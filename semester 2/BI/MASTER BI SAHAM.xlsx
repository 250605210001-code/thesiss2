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82E9B2B-E085-44A9-9808-4B43C3759D7F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BBRI" sheetId="1" r:id="rId1"/>
    <sheet name="BBCA" sheetId="2" r:id="rId2"/>
    <sheet name="BMRI" sheetId="3" r:id="rId3"/>
    <sheet name="BBNI" sheetId="4" r:id="rId4"/>
    <sheet name="Kurs USD ke IDR" sheetId="5" r:id="rId5"/>
    <sheet name="IHSG" sheetId="6" r:id="rId6"/>
    <sheet name="FUNDAMENTAL" sheetId="7" r:id="rId7"/>
    <sheet name="Volatilita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8" l="1"/>
  <c r="C4" i="8"/>
  <c r="C3" i="8"/>
  <c r="C2" i="8"/>
  <c r="B5" i="8"/>
  <c r="B4" i="8"/>
  <c r="B3" i="8"/>
  <c r="B2" i="8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8" i="4"/>
  <c r="I108" i="4"/>
  <c r="H109" i="4"/>
  <c r="I109" i="4"/>
  <c r="H110" i="4"/>
  <c r="I110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3" i="4"/>
  <c r="I123" i="4"/>
  <c r="H124" i="4"/>
  <c r="I124" i="4"/>
  <c r="H125" i="4"/>
  <c r="I125" i="4"/>
  <c r="H126" i="4"/>
  <c r="I126" i="4"/>
  <c r="H127" i="4"/>
  <c r="I127" i="4"/>
  <c r="H128" i="4"/>
  <c r="I128" i="4"/>
  <c r="H129" i="4"/>
  <c r="I129" i="4"/>
  <c r="H130" i="4"/>
  <c r="I130" i="4"/>
  <c r="H131" i="4"/>
  <c r="I131" i="4"/>
  <c r="H132" i="4"/>
  <c r="I132" i="4"/>
  <c r="H133" i="4"/>
  <c r="I133" i="4"/>
  <c r="H134" i="4"/>
  <c r="I134" i="4"/>
  <c r="H135" i="4"/>
  <c r="I135" i="4"/>
  <c r="H136" i="4"/>
  <c r="I136" i="4"/>
  <c r="H137" i="4"/>
  <c r="I137" i="4"/>
  <c r="H138" i="4"/>
  <c r="I138" i="4"/>
  <c r="H139" i="4"/>
  <c r="I139" i="4"/>
  <c r="H140" i="4"/>
  <c r="I140" i="4"/>
  <c r="H141" i="4"/>
  <c r="I141" i="4"/>
  <c r="H142" i="4"/>
  <c r="I142" i="4"/>
  <c r="H143" i="4"/>
  <c r="I143" i="4"/>
  <c r="H144" i="4"/>
  <c r="I144" i="4"/>
  <c r="H145" i="4"/>
  <c r="I145" i="4"/>
  <c r="H146" i="4"/>
  <c r="I146" i="4"/>
  <c r="H147" i="4"/>
  <c r="I147" i="4"/>
  <c r="H148" i="4"/>
  <c r="I148" i="4"/>
  <c r="H149" i="4"/>
  <c r="I149" i="4"/>
  <c r="H150" i="4"/>
  <c r="I150" i="4"/>
  <c r="H151" i="4"/>
  <c r="I151" i="4"/>
  <c r="H152" i="4"/>
  <c r="I152" i="4"/>
  <c r="H153" i="4"/>
  <c r="I153" i="4"/>
  <c r="H154" i="4"/>
  <c r="I154" i="4"/>
  <c r="H155" i="4"/>
  <c r="I155" i="4"/>
  <c r="H156" i="4"/>
  <c r="I156" i="4"/>
  <c r="H157" i="4"/>
  <c r="I157" i="4"/>
  <c r="H158" i="4"/>
  <c r="I158" i="4"/>
  <c r="H159" i="4"/>
  <c r="I159" i="4"/>
  <c r="H160" i="4"/>
  <c r="I160" i="4"/>
  <c r="H161" i="4"/>
  <c r="I161" i="4"/>
  <c r="H162" i="4"/>
  <c r="I162" i="4"/>
  <c r="H163" i="4"/>
  <c r="I163" i="4"/>
  <c r="H164" i="4"/>
  <c r="I164" i="4"/>
  <c r="H165" i="4"/>
  <c r="I165" i="4"/>
  <c r="H166" i="4"/>
  <c r="I166" i="4"/>
  <c r="H167" i="4"/>
  <c r="I167" i="4"/>
  <c r="H168" i="4"/>
  <c r="I168" i="4"/>
  <c r="H169" i="4"/>
  <c r="I169" i="4"/>
  <c r="H170" i="4"/>
  <c r="I170" i="4"/>
  <c r="H171" i="4"/>
  <c r="I171" i="4"/>
  <c r="H172" i="4"/>
  <c r="I172" i="4"/>
  <c r="H173" i="4"/>
  <c r="I173" i="4"/>
  <c r="H174" i="4"/>
  <c r="I174" i="4"/>
  <c r="H175" i="4"/>
  <c r="I175" i="4"/>
  <c r="H176" i="4"/>
  <c r="I176" i="4"/>
  <c r="H177" i="4"/>
  <c r="I177" i="4"/>
  <c r="H178" i="4"/>
  <c r="I178" i="4"/>
  <c r="H179" i="4"/>
  <c r="I179" i="4"/>
  <c r="H180" i="4"/>
  <c r="I180" i="4"/>
  <c r="H181" i="4"/>
  <c r="I181" i="4"/>
  <c r="H182" i="4"/>
  <c r="I182" i="4"/>
  <c r="H183" i="4"/>
  <c r="I183" i="4"/>
  <c r="H184" i="4"/>
  <c r="I184" i="4"/>
  <c r="H185" i="4"/>
  <c r="I185" i="4"/>
  <c r="H186" i="4"/>
  <c r="I186" i="4"/>
  <c r="H187" i="4"/>
  <c r="I187" i="4"/>
  <c r="H188" i="4"/>
  <c r="I188" i="4"/>
  <c r="H189" i="4"/>
  <c r="I189" i="4"/>
  <c r="H190" i="4"/>
  <c r="I190" i="4"/>
  <c r="H191" i="4"/>
  <c r="I191" i="4"/>
  <c r="H192" i="4"/>
  <c r="I192" i="4"/>
  <c r="H193" i="4"/>
  <c r="I193" i="4"/>
  <c r="H194" i="4"/>
  <c r="I194" i="4"/>
  <c r="H195" i="4"/>
  <c r="I195" i="4"/>
  <c r="H196" i="4"/>
  <c r="I196" i="4"/>
  <c r="H197" i="4"/>
  <c r="I197" i="4"/>
  <c r="H198" i="4"/>
  <c r="I198" i="4"/>
  <c r="H199" i="4"/>
  <c r="I199" i="4"/>
  <c r="H200" i="4"/>
  <c r="I200" i="4"/>
  <c r="H201" i="4"/>
  <c r="I201" i="4"/>
  <c r="H202" i="4"/>
  <c r="I202" i="4"/>
  <c r="H203" i="4"/>
  <c r="I203" i="4"/>
  <c r="H204" i="4"/>
  <c r="I204" i="4"/>
  <c r="H205" i="4"/>
  <c r="I205" i="4"/>
  <c r="H206" i="4"/>
  <c r="I206" i="4"/>
  <c r="H207" i="4"/>
  <c r="I207" i="4"/>
  <c r="H208" i="4"/>
  <c r="I208" i="4"/>
  <c r="H209" i="4"/>
  <c r="I209" i="4"/>
  <c r="H210" i="4"/>
  <c r="I210" i="4"/>
  <c r="H211" i="4"/>
  <c r="I211" i="4"/>
  <c r="H212" i="4"/>
  <c r="I212" i="4"/>
  <c r="H213" i="4"/>
  <c r="I213" i="4"/>
  <c r="H214" i="4"/>
  <c r="I214" i="4"/>
  <c r="H215" i="4"/>
  <c r="I215" i="4"/>
  <c r="H216" i="4"/>
  <c r="I216" i="4"/>
  <c r="H217" i="4"/>
  <c r="I217" i="4"/>
  <c r="H218" i="4"/>
  <c r="I218" i="4"/>
  <c r="H219" i="4"/>
  <c r="I219" i="4"/>
  <c r="H220" i="4"/>
  <c r="I220" i="4"/>
  <c r="H221" i="4"/>
  <c r="I221" i="4"/>
  <c r="H222" i="4"/>
  <c r="I222" i="4"/>
  <c r="H223" i="4"/>
  <c r="I223" i="4"/>
  <c r="H224" i="4"/>
  <c r="I224" i="4"/>
  <c r="H225" i="4"/>
  <c r="I225" i="4"/>
  <c r="H226" i="4"/>
  <c r="I226" i="4"/>
  <c r="H227" i="4"/>
  <c r="I227" i="4"/>
  <c r="H228" i="4"/>
  <c r="I228" i="4"/>
  <c r="H229" i="4"/>
  <c r="I229" i="4"/>
  <c r="H230" i="4"/>
  <c r="I230" i="4"/>
  <c r="H231" i="4"/>
  <c r="I231" i="4"/>
  <c r="H232" i="4"/>
  <c r="I232" i="4"/>
  <c r="H233" i="4"/>
  <c r="I233" i="4"/>
  <c r="H234" i="4"/>
  <c r="I234" i="4"/>
  <c r="H235" i="4"/>
  <c r="I235" i="4"/>
  <c r="H236" i="4"/>
  <c r="I236" i="4"/>
  <c r="H237" i="4"/>
  <c r="I237" i="4"/>
  <c r="H238" i="4"/>
  <c r="I238" i="4"/>
  <c r="H239" i="4"/>
  <c r="I239" i="4"/>
  <c r="H240" i="4"/>
  <c r="I240" i="4"/>
  <c r="H241" i="4"/>
  <c r="I241" i="4"/>
  <c r="H242" i="4"/>
  <c r="I242" i="4"/>
  <c r="H243" i="4"/>
  <c r="I243" i="4"/>
  <c r="H244" i="4"/>
  <c r="I244" i="4"/>
  <c r="H245" i="4"/>
  <c r="I245" i="4"/>
  <c r="H246" i="4"/>
  <c r="I246" i="4"/>
  <c r="H247" i="4"/>
  <c r="I247" i="4"/>
  <c r="H248" i="4"/>
  <c r="I248" i="4"/>
  <c r="H249" i="4"/>
  <c r="I249" i="4"/>
  <c r="H250" i="4"/>
  <c r="I250" i="4"/>
  <c r="H251" i="4"/>
  <c r="I251" i="4"/>
  <c r="H252" i="4"/>
  <c r="I252" i="4"/>
  <c r="H253" i="4"/>
  <c r="I253" i="4"/>
  <c r="H254" i="4"/>
  <c r="I254" i="4"/>
  <c r="H255" i="4"/>
  <c r="I255" i="4"/>
  <c r="H256" i="4"/>
  <c r="I256" i="4"/>
  <c r="H257" i="4"/>
  <c r="I257" i="4"/>
  <c r="H258" i="4"/>
  <c r="I258" i="4"/>
  <c r="H259" i="4"/>
  <c r="I259" i="4"/>
  <c r="H260" i="4"/>
  <c r="I260" i="4"/>
  <c r="H261" i="4"/>
  <c r="I261" i="4"/>
  <c r="H262" i="4"/>
  <c r="I262" i="4"/>
  <c r="H263" i="4"/>
  <c r="I263" i="4"/>
  <c r="H264" i="4"/>
  <c r="I264" i="4"/>
  <c r="H265" i="4"/>
  <c r="I265" i="4"/>
  <c r="H266" i="4"/>
  <c r="I266" i="4"/>
  <c r="H267" i="4"/>
  <c r="I267" i="4"/>
  <c r="H268" i="4"/>
  <c r="I268" i="4"/>
  <c r="H269" i="4"/>
  <c r="I269" i="4"/>
  <c r="H270" i="4"/>
  <c r="I270" i="4"/>
  <c r="H271" i="4"/>
  <c r="I271" i="4"/>
  <c r="H272" i="4"/>
  <c r="I272" i="4"/>
  <c r="H273" i="4"/>
  <c r="I273" i="4"/>
  <c r="H274" i="4"/>
  <c r="I274" i="4"/>
  <c r="H275" i="4"/>
  <c r="I275" i="4"/>
  <c r="H276" i="4"/>
  <c r="I276" i="4"/>
  <c r="H277" i="4"/>
  <c r="I277" i="4"/>
  <c r="H278" i="4"/>
  <c r="I278" i="4"/>
  <c r="H279" i="4"/>
  <c r="I279" i="4"/>
  <c r="H280" i="4"/>
  <c r="I280" i="4"/>
  <c r="H281" i="4"/>
  <c r="I281" i="4"/>
  <c r="H282" i="4"/>
  <c r="I282" i="4"/>
  <c r="H283" i="4"/>
  <c r="I283" i="4"/>
  <c r="H284" i="4"/>
  <c r="I284" i="4"/>
  <c r="H285" i="4"/>
  <c r="I285" i="4"/>
  <c r="H286" i="4"/>
  <c r="I286" i="4"/>
  <c r="H287" i="4"/>
  <c r="I287" i="4"/>
  <c r="H288" i="4"/>
  <c r="I288" i="4"/>
  <c r="H289" i="4"/>
  <c r="I289" i="4"/>
  <c r="H290" i="4"/>
  <c r="I290" i="4"/>
  <c r="H291" i="4"/>
  <c r="I291" i="4"/>
  <c r="H292" i="4"/>
  <c r="I292" i="4"/>
  <c r="H293" i="4"/>
  <c r="I293" i="4"/>
  <c r="H294" i="4"/>
  <c r="I294" i="4"/>
  <c r="H295" i="4"/>
  <c r="I295" i="4"/>
  <c r="H296" i="4"/>
  <c r="I296" i="4"/>
  <c r="H297" i="4"/>
  <c r="I297" i="4"/>
  <c r="H298" i="4"/>
  <c r="I298" i="4"/>
  <c r="H299" i="4"/>
  <c r="I299" i="4"/>
  <c r="H300" i="4"/>
  <c r="I300" i="4"/>
  <c r="H301" i="4"/>
  <c r="I301" i="4"/>
  <c r="H302" i="4"/>
  <c r="I302" i="4"/>
  <c r="H303" i="4"/>
  <c r="I303" i="4"/>
  <c r="H304" i="4"/>
  <c r="I304" i="4"/>
  <c r="H305" i="4"/>
  <c r="I305" i="4"/>
  <c r="H306" i="4"/>
  <c r="I306" i="4"/>
  <c r="H307" i="4"/>
  <c r="I307" i="4"/>
  <c r="H308" i="4"/>
  <c r="I308" i="4"/>
  <c r="H309" i="4"/>
  <c r="I309" i="4"/>
  <c r="H310" i="4"/>
  <c r="I310" i="4"/>
  <c r="H311" i="4"/>
  <c r="I311" i="4"/>
  <c r="H312" i="4"/>
  <c r="I312" i="4"/>
  <c r="H313" i="4"/>
  <c r="I313" i="4"/>
  <c r="H314" i="4"/>
  <c r="I314" i="4"/>
  <c r="H315" i="4"/>
  <c r="I315" i="4"/>
  <c r="H316" i="4"/>
  <c r="I316" i="4"/>
  <c r="H317" i="4"/>
  <c r="I317" i="4"/>
  <c r="H318" i="4"/>
  <c r="I318" i="4"/>
  <c r="H319" i="4"/>
  <c r="I319" i="4"/>
  <c r="H320" i="4"/>
  <c r="I320" i="4"/>
  <c r="H321" i="4"/>
  <c r="I321" i="4"/>
  <c r="H322" i="4"/>
  <c r="I322" i="4"/>
  <c r="H323" i="4"/>
  <c r="I323" i="4"/>
  <c r="H324" i="4"/>
  <c r="I324" i="4"/>
  <c r="H325" i="4"/>
  <c r="I325" i="4"/>
  <c r="H326" i="4"/>
  <c r="I326" i="4"/>
  <c r="H327" i="4"/>
  <c r="I327" i="4"/>
  <c r="H328" i="4"/>
  <c r="I328" i="4"/>
  <c r="H329" i="4"/>
  <c r="I329" i="4"/>
  <c r="H330" i="4"/>
  <c r="I330" i="4"/>
  <c r="H331" i="4"/>
  <c r="I331" i="4"/>
  <c r="H332" i="4"/>
  <c r="I332" i="4"/>
  <c r="H333" i="4"/>
  <c r="I333" i="4"/>
  <c r="H334" i="4"/>
  <c r="I334" i="4"/>
  <c r="H335" i="4"/>
  <c r="I335" i="4"/>
  <c r="H336" i="4"/>
  <c r="I336" i="4"/>
  <c r="H337" i="4"/>
  <c r="I337" i="4"/>
  <c r="H338" i="4"/>
  <c r="I338" i="4"/>
  <c r="H339" i="4"/>
  <c r="I339" i="4"/>
  <c r="H340" i="4"/>
  <c r="I340" i="4"/>
  <c r="H341" i="4"/>
  <c r="I341" i="4"/>
  <c r="H342" i="4"/>
  <c r="I342" i="4"/>
  <c r="H343" i="4"/>
  <c r="I343" i="4"/>
  <c r="H344" i="4"/>
  <c r="I344" i="4"/>
  <c r="H345" i="4"/>
  <c r="I345" i="4"/>
  <c r="H346" i="4"/>
  <c r="I346" i="4"/>
  <c r="H347" i="4"/>
  <c r="I347" i="4"/>
  <c r="H348" i="4"/>
  <c r="I348" i="4"/>
  <c r="H349" i="4"/>
  <c r="I349" i="4"/>
  <c r="H350" i="4"/>
  <c r="I350" i="4"/>
  <c r="H351" i="4"/>
  <c r="I351" i="4"/>
  <c r="H352" i="4"/>
  <c r="I352" i="4"/>
  <c r="H353" i="4"/>
  <c r="I353" i="4"/>
  <c r="H354" i="4"/>
  <c r="I354" i="4"/>
  <c r="H355" i="4"/>
  <c r="I355" i="4"/>
  <c r="H356" i="4"/>
  <c r="I356" i="4"/>
  <c r="H357" i="4"/>
  <c r="I357" i="4"/>
  <c r="H358" i="4"/>
  <c r="I358" i="4"/>
  <c r="H359" i="4"/>
  <c r="I359" i="4"/>
  <c r="H360" i="4"/>
  <c r="I360" i="4"/>
  <c r="H361" i="4"/>
  <c r="I361" i="4"/>
  <c r="H362" i="4"/>
  <c r="I362" i="4"/>
  <c r="H363" i="4"/>
  <c r="I363" i="4"/>
  <c r="H364" i="4"/>
  <c r="I364" i="4"/>
  <c r="H365" i="4"/>
  <c r="I365" i="4"/>
  <c r="H366" i="4"/>
  <c r="I366" i="4"/>
  <c r="H367" i="4"/>
  <c r="I367" i="4"/>
  <c r="H368" i="4"/>
  <c r="I368" i="4"/>
  <c r="H369" i="4"/>
  <c r="I369" i="4"/>
  <c r="H370" i="4"/>
  <c r="I370" i="4"/>
  <c r="H371" i="4"/>
  <c r="I371" i="4"/>
  <c r="H372" i="4"/>
  <c r="I372" i="4"/>
  <c r="H373" i="4"/>
  <c r="I373" i="4"/>
  <c r="H374" i="4"/>
  <c r="I374" i="4"/>
  <c r="H375" i="4"/>
  <c r="I375" i="4"/>
  <c r="H376" i="4"/>
  <c r="I376" i="4"/>
  <c r="H377" i="4"/>
  <c r="I377" i="4"/>
  <c r="H378" i="4"/>
  <c r="I378" i="4"/>
  <c r="H379" i="4"/>
  <c r="I379" i="4"/>
  <c r="H380" i="4"/>
  <c r="I380" i="4"/>
  <c r="H381" i="4"/>
  <c r="I381" i="4"/>
  <c r="H382" i="4"/>
  <c r="I382" i="4"/>
  <c r="H383" i="4"/>
  <c r="I383" i="4"/>
  <c r="H384" i="4"/>
  <c r="I384" i="4"/>
  <c r="H385" i="4"/>
  <c r="I385" i="4"/>
  <c r="H386" i="4"/>
  <c r="I386" i="4"/>
  <c r="H387" i="4"/>
  <c r="I387" i="4"/>
  <c r="H388" i="4"/>
  <c r="I388" i="4"/>
  <c r="H389" i="4"/>
  <c r="I389" i="4"/>
  <c r="H390" i="4"/>
  <c r="I390" i="4"/>
  <c r="H391" i="4"/>
  <c r="I391" i="4"/>
  <c r="H392" i="4"/>
  <c r="I392" i="4"/>
  <c r="H393" i="4"/>
  <c r="I393" i="4"/>
  <c r="H394" i="4"/>
  <c r="I394" i="4"/>
  <c r="H395" i="4"/>
  <c r="I395" i="4"/>
  <c r="H396" i="4"/>
  <c r="I396" i="4"/>
  <c r="H397" i="4"/>
  <c r="I397" i="4"/>
  <c r="H398" i="4"/>
  <c r="I398" i="4"/>
  <c r="H399" i="4"/>
  <c r="I399" i="4"/>
  <c r="H400" i="4"/>
  <c r="I400" i="4"/>
  <c r="H401" i="4"/>
  <c r="I401" i="4"/>
  <c r="H402" i="4"/>
  <c r="I402" i="4"/>
  <c r="H403" i="4"/>
  <c r="I403" i="4"/>
  <c r="H404" i="4"/>
  <c r="I404" i="4"/>
  <c r="H405" i="4"/>
  <c r="I405" i="4"/>
  <c r="H406" i="4"/>
  <c r="I406" i="4"/>
  <c r="H407" i="4"/>
  <c r="I407" i="4"/>
  <c r="H408" i="4"/>
  <c r="I408" i="4"/>
  <c r="H409" i="4"/>
  <c r="I409" i="4"/>
  <c r="H410" i="4"/>
  <c r="I410" i="4"/>
  <c r="H411" i="4"/>
  <c r="I411" i="4"/>
  <c r="H412" i="4"/>
  <c r="I412" i="4"/>
  <c r="H413" i="4"/>
  <c r="I413" i="4"/>
  <c r="H414" i="4"/>
  <c r="I414" i="4"/>
  <c r="H415" i="4"/>
  <c r="I415" i="4"/>
  <c r="H416" i="4"/>
  <c r="I416" i="4"/>
  <c r="H417" i="4"/>
  <c r="I417" i="4"/>
  <c r="H418" i="4"/>
  <c r="I418" i="4"/>
  <c r="H419" i="4"/>
  <c r="I419" i="4"/>
  <c r="H420" i="4"/>
  <c r="I420" i="4"/>
  <c r="H421" i="4"/>
  <c r="I421" i="4"/>
  <c r="H422" i="4"/>
  <c r="I422" i="4"/>
  <c r="H423" i="4"/>
  <c r="I423" i="4"/>
  <c r="H424" i="4"/>
  <c r="I424" i="4"/>
  <c r="H425" i="4"/>
  <c r="I425" i="4"/>
  <c r="H426" i="4"/>
  <c r="I426" i="4"/>
  <c r="H427" i="4"/>
  <c r="I427" i="4"/>
  <c r="H428" i="4"/>
  <c r="I428" i="4"/>
  <c r="H429" i="4"/>
  <c r="I429" i="4"/>
  <c r="H430" i="4"/>
  <c r="I430" i="4"/>
  <c r="H431" i="4"/>
  <c r="I431" i="4"/>
  <c r="H432" i="4"/>
  <c r="I432" i="4"/>
  <c r="H433" i="4"/>
  <c r="I433" i="4"/>
  <c r="H434" i="4"/>
  <c r="I434" i="4"/>
  <c r="H435" i="4"/>
  <c r="I435" i="4"/>
  <c r="H436" i="4"/>
  <c r="I436" i="4"/>
  <c r="H437" i="4"/>
  <c r="I437" i="4"/>
  <c r="H438" i="4"/>
  <c r="I438" i="4"/>
  <c r="H439" i="4"/>
  <c r="I439" i="4"/>
  <c r="H440" i="4"/>
  <c r="I440" i="4"/>
  <c r="H441" i="4"/>
  <c r="I441" i="4"/>
  <c r="H442" i="4"/>
  <c r="I442" i="4"/>
  <c r="H443" i="4"/>
  <c r="I443" i="4"/>
  <c r="H444" i="4"/>
  <c r="I444" i="4"/>
  <c r="H445" i="4"/>
  <c r="I445" i="4"/>
  <c r="H446" i="4"/>
  <c r="I446" i="4"/>
  <c r="H447" i="4"/>
  <c r="I447" i="4"/>
  <c r="H448" i="4"/>
  <c r="I448" i="4"/>
  <c r="H449" i="4"/>
  <c r="I449" i="4"/>
  <c r="H450" i="4"/>
  <c r="I450" i="4"/>
  <c r="H451" i="4"/>
  <c r="I451" i="4"/>
  <c r="H452" i="4"/>
  <c r="I452" i="4"/>
  <c r="H453" i="4"/>
  <c r="I453" i="4"/>
  <c r="H454" i="4"/>
  <c r="I454" i="4"/>
  <c r="H455" i="4"/>
  <c r="I455" i="4"/>
  <c r="H456" i="4"/>
  <c r="I456" i="4"/>
  <c r="H457" i="4"/>
  <c r="I457" i="4"/>
  <c r="H458" i="4"/>
  <c r="I458" i="4"/>
  <c r="H459" i="4"/>
  <c r="I459" i="4"/>
  <c r="H460" i="4"/>
  <c r="I460" i="4"/>
  <c r="H461" i="4"/>
  <c r="I461" i="4"/>
  <c r="H462" i="4"/>
  <c r="I462" i="4"/>
  <c r="H463" i="4"/>
  <c r="I463" i="4"/>
  <c r="H464" i="4"/>
  <c r="I464" i="4"/>
  <c r="H465" i="4"/>
  <c r="I465" i="4"/>
  <c r="H466" i="4"/>
  <c r="I466" i="4"/>
  <c r="H467" i="4"/>
  <c r="I467" i="4"/>
  <c r="H468" i="4"/>
  <c r="I468" i="4"/>
  <c r="H469" i="4"/>
  <c r="I469" i="4"/>
  <c r="H470" i="4"/>
  <c r="I470" i="4"/>
  <c r="H471" i="4"/>
  <c r="I471" i="4"/>
  <c r="H472" i="4"/>
  <c r="I472" i="4"/>
  <c r="H473" i="4"/>
  <c r="I473" i="4"/>
  <c r="H474" i="4"/>
  <c r="I474" i="4"/>
  <c r="I3" i="4"/>
  <c r="H3" i="4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4" i="3"/>
  <c r="I144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2" i="3"/>
  <c r="I152" i="3"/>
  <c r="H153" i="3"/>
  <c r="I153" i="3"/>
  <c r="H154" i="3"/>
  <c r="I154" i="3"/>
  <c r="H155" i="3"/>
  <c r="I155" i="3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H179" i="3"/>
  <c r="I179" i="3"/>
  <c r="H180" i="3"/>
  <c r="I180" i="3"/>
  <c r="H181" i="3"/>
  <c r="I181" i="3"/>
  <c r="H182" i="3"/>
  <c r="I182" i="3"/>
  <c r="H183" i="3"/>
  <c r="I183" i="3"/>
  <c r="H184" i="3"/>
  <c r="I184" i="3"/>
  <c r="H185" i="3"/>
  <c r="I185" i="3"/>
  <c r="H186" i="3"/>
  <c r="I186" i="3"/>
  <c r="H187" i="3"/>
  <c r="I187" i="3"/>
  <c r="H188" i="3"/>
  <c r="I188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0" i="3"/>
  <c r="I210" i="3"/>
  <c r="H211" i="3"/>
  <c r="I211" i="3"/>
  <c r="H212" i="3"/>
  <c r="I212" i="3"/>
  <c r="H213" i="3"/>
  <c r="I213" i="3"/>
  <c r="H214" i="3"/>
  <c r="I214" i="3"/>
  <c r="H215" i="3"/>
  <c r="I215" i="3"/>
  <c r="H216" i="3"/>
  <c r="I216" i="3"/>
  <c r="H217" i="3"/>
  <c r="I217" i="3"/>
  <c r="H218" i="3"/>
  <c r="I218" i="3"/>
  <c r="H219" i="3"/>
  <c r="I219" i="3"/>
  <c r="H220" i="3"/>
  <c r="I220" i="3"/>
  <c r="H221" i="3"/>
  <c r="I221" i="3"/>
  <c r="H222" i="3"/>
  <c r="I222" i="3"/>
  <c r="H223" i="3"/>
  <c r="I223" i="3"/>
  <c r="H224" i="3"/>
  <c r="I224" i="3"/>
  <c r="H225" i="3"/>
  <c r="I225" i="3"/>
  <c r="H226" i="3"/>
  <c r="I226" i="3"/>
  <c r="H227" i="3"/>
  <c r="I227" i="3"/>
  <c r="H228" i="3"/>
  <c r="I228" i="3"/>
  <c r="H229" i="3"/>
  <c r="I229" i="3"/>
  <c r="H230" i="3"/>
  <c r="I230" i="3"/>
  <c r="H231" i="3"/>
  <c r="I231" i="3"/>
  <c r="H232" i="3"/>
  <c r="I232" i="3"/>
  <c r="H233" i="3"/>
  <c r="I233" i="3"/>
  <c r="H234" i="3"/>
  <c r="I234" i="3"/>
  <c r="H235" i="3"/>
  <c r="I235" i="3"/>
  <c r="H236" i="3"/>
  <c r="I236" i="3"/>
  <c r="H237" i="3"/>
  <c r="I237" i="3"/>
  <c r="H238" i="3"/>
  <c r="I238" i="3"/>
  <c r="H239" i="3"/>
  <c r="I239" i="3"/>
  <c r="H240" i="3"/>
  <c r="I240" i="3"/>
  <c r="H241" i="3"/>
  <c r="I241" i="3"/>
  <c r="H242" i="3"/>
  <c r="I242" i="3"/>
  <c r="H243" i="3"/>
  <c r="I243" i="3"/>
  <c r="H244" i="3"/>
  <c r="I244" i="3"/>
  <c r="H245" i="3"/>
  <c r="I245" i="3"/>
  <c r="H246" i="3"/>
  <c r="I246" i="3"/>
  <c r="H247" i="3"/>
  <c r="I247" i="3"/>
  <c r="H248" i="3"/>
  <c r="I248" i="3"/>
  <c r="H249" i="3"/>
  <c r="I249" i="3"/>
  <c r="H250" i="3"/>
  <c r="I250" i="3"/>
  <c r="H251" i="3"/>
  <c r="I251" i="3"/>
  <c r="H252" i="3"/>
  <c r="I252" i="3"/>
  <c r="H253" i="3"/>
  <c r="I253" i="3"/>
  <c r="H254" i="3"/>
  <c r="I254" i="3"/>
  <c r="H255" i="3"/>
  <c r="I255" i="3"/>
  <c r="H256" i="3"/>
  <c r="I256" i="3"/>
  <c r="H257" i="3"/>
  <c r="I257" i="3"/>
  <c r="H258" i="3"/>
  <c r="I258" i="3"/>
  <c r="H259" i="3"/>
  <c r="I259" i="3"/>
  <c r="H260" i="3"/>
  <c r="I260" i="3"/>
  <c r="H261" i="3"/>
  <c r="I261" i="3"/>
  <c r="H262" i="3"/>
  <c r="I262" i="3"/>
  <c r="H263" i="3"/>
  <c r="I263" i="3"/>
  <c r="H264" i="3"/>
  <c r="I264" i="3"/>
  <c r="H265" i="3"/>
  <c r="I265" i="3"/>
  <c r="H266" i="3"/>
  <c r="I266" i="3"/>
  <c r="H267" i="3"/>
  <c r="I267" i="3"/>
  <c r="H268" i="3"/>
  <c r="I268" i="3"/>
  <c r="H269" i="3"/>
  <c r="I269" i="3"/>
  <c r="H270" i="3"/>
  <c r="I270" i="3"/>
  <c r="H271" i="3"/>
  <c r="I271" i="3"/>
  <c r="H272" i="3"/>
  <c r="I272" i="3"/>
  <c r="H273" i="3"/>
  <c r="I273" i="3"/>
  <c r="H274" i="3"/>
  <c r="I274" i="3"/>
  <c r="H275" i="3"/>
  <c r="I275" i="3"/>
  <c r="H276" i="3"/>
  <c r="I276" i="3"/>
  <c r="H277" i="3"/>
  <c r="I277" i="3"/>
  <c r="H278" i="3"/>
  <c r="I278" i="3"/>
  <c r="H279" i="3"/>
  <c r="I279" i="3"/>
  <c r="H280" i="3"/>
  <c r="I280" i="3"/>
  <c r="H281" i="3"/>
  <c r="I281" i="3"/>
  <c r="H282" i="3"/>
  <c r="I282" i="3"/>
  <c r="H283" i="3"/>
  <c r="I283" i="3"/>
  <c r="H284" i="3"/>
  <c r="I284" i="3"/>
  <c r="H285" i="3"/>
  <c r="I285" i="3"/>
  <c r="H286" i="3"/>
  <c r="I286" i="3"/>
  <c r="H287" i="3"/>
  <c r="I287" i="3"/>
  <c r="H288" i="3"/>
  <c r="I288" i="3"/>
  <c r="H289" i="3"/>
  <c r="I289" i="3"/>
  <c r="H290" i="3"/>
  <c r="I290" i="3"/>
  <c r="H291" i="3"/>
  <c r="I291" i="3"/>
  <c r="H292" i="3"/>
  <c r="I292" i="3"/>
  <c r="H293" i="3"/>
  <c r="I293" i="3"/>
  <c r="H294" i="3"/>
  <c r="I294" i="3"/>
  <c r="H295" i="3"/>
  <c r="I295" i="3"/>
  <c r="H296" i="3"/>
  <c r="I296" i="3"/>
  <c r="H297" i="3"/>
  <c r="I297" i="3"/>
  <c r="H298" i="3"/>
  <c r="I298" i="3"/>
  <c r="H299" i="3"/>
  <c r="I299" i="3"/>
  <c r="H300" i="3"/>
  <c r="I300" i="3"/>
  <c r="H301" i="3"/>
  <c r="I301" i="3"/>
  <c r="H302" i="3"/>
  <c r="I302" i="3"/>
  <c r="H303" i="3"/>
  <c r="I303" i="3"/>
  <c r="H304" i="3"/>
  <c r="I304" i="3"/>
  <c r="H305" i="3"/>
  <c r="I305" i="3"/>
  <c r="H306" i="3"/>
  <c r="I306" i="3"/>
  <c r="H307" i="3"/>
  <c r="I307" i="3"/>
  <c r="H308" i="3"/>
  <c r="I308" i="3"/>
  <c r="H309" i="3"/>
  <c r="I309" i="3"/>
  <c r="H310" i="3"/>
  <c r="I310" i="3"/>
  <c r="H311" i="3"/>
  <c r="I311" i="3"/>
  <c r="H312" i="3"/>
  <c r="I312" i="3"/>
  <c r="H313" i="3"/>
  <c r="I313" i="3"/>
  <c r="H314" i="3"/>
  <c r="I314" i="3"/>
  <c r="H315" i="3"/>
  <c r="I315" i="3"/>
  <c r="H316" i="3"/>
  <c r="I316" i="3"/>
  <c r="H317" i="3"/>
  <c r="I317" i="3"/>
  <c r="H318" i="3"/>
  <c r="I318" i="3"/>
  <c r="H319" i="3"/>
  <c r="I319" i="3"/>
  <c r="H320" i="3"/>
  <c r="I320" i="3"/>
  <c r="H321" i="3"/>
  <c r="I321" i="3"/>
  <c r="H322" i="3"/>
  <c r="I322" i="3"/>
  <c r="H323" i="3"/>
  <c r="I323" i="3"/>
  <c r="H324" i="3"/>
  <c r="I324" i="3"/>
  <c r="H325" i="3"/>
  <c r="I325" i="3"/>
  <c r="H326" i="3"/>
  <c r="I326" i="3"/>
  <c r="H327" i="3"/>
  <c r="I327" i="3"/>
  <c r="H328" i="3"/>
  <c r="I328" i="3"/>
  <c r="H329" i="3"/>
  <c r="I329" i="3"/>
  <c r="H330" i="3"/>
  <c r="I330" i="3"/>
  <c r="H331" i="3"/>
  <c r="I331" i="3"/>
  <c r="H332" i="3"/>
  <c r="I332" i="3"/>
  <c r="H333" i="3"/>
  <c r="I333" i="3"/>
  <c r="H334" i="3"/>
  <c r="I334" i="3"/>
  <c r="H335" i="3"/>
  <c r="I335" i="3"/>
  <c r="H336" i="3"/>
  <c r="I336" i="3"/>
  <c r="H337" i="3"/>
  <c r="I337" i="3"/>
  <c r="H338" i="3"/>
  <c r="I338" i="3"/>
  <c r="H339" i="3"/>
  <c r="I339" i="3"/>
  <c r="H340" i="3"/>
  <c r="I340" i="3"/>
  <c r="H341" i="3"/>
  <c r="I341" i="3"/>
  <c r="H342" i="3"/>
  <c r="I342" i="3"/>
  <c r="H343" i="3"/>
  <c r="I343" i="3"/>
  <c r="H344" i="3"/>
  <c r="I344" i="3"/>
  <c r="H345" i="3"/>
  <c r="I345" i="3"/>
  <c r="H346" i="3"/>
  <c r="I346" i="3"/>
  <c r="H347" i="3"/>
  <c r="I347" i="3"/>
  <c r="H348" i="3"/>
  <c r="I348" i="3"/>
  <c r="H349" i="3"/>
  <c r="I349" i="3"/>
  <c r="H350" i="3"/>
  <c r="I350" i="3"/>
  <c r="H351" i="3"/>
  <c r="I351" i="3"/>
  <c r="H352" i="3"/>
  <c r="I352" i="3"/>
  <c r="H353" i="3"/>
  <c r="I353" i="3"/>
  <c r="H354" i="3"/>
  <c r="I354" i="3"/>
  <c r="H355" i="3"/>
  <c r="I355" i="3"/>
  <c r="H356" i="3"/>
  <c r="I356" i="3"/>
  <c r="H357" i="3"/>
  <c r="I357" i="3"/>
  <c r="H358" i="3"/>
  <c r="I358" i="3"/>
  <c r="H359" i="3"/>
  <c r="I359" i="3"/>
  <c r="H360" i="3"/>
  <c r="I360" i="3"/>
  <c r="H361" i="3"/>
  <c r="I361" i="3"/>
  <c r="H362" i="3"/>
  <c r="I362" i="3"/>
  <c r="H363" i="3"/>
  <c r="I363" i="3"/>
  <c r="H364" i="3"/>
  <c r="I364" i="3"/>
  <c r="H365" i="3"/>
  <c r="I365" i="3"/>
  <c r="H366" i="3"/>
  <c r="I366" i="3"/>
  <c r="H367" i="3"/>
  <c r="I367" i="3"/>
  <c r="H368" i="3"/>
  <c r="I368" i="3"/>
  <c r="H369" i="3"/>
  <c r="I369" i="3"/>
  <c r="H370" i="3"/>
  <c r="I370" i="3"/>
  <c r="H371" i="3"/>
  <c r="I371" i="3"/>
  <c r="H372" i="3"/>
  <c r="I372" i="3"/>
  <c r="H373" i="3"/>
  <c r="I373" i="3"/>
  <c r="H374" i="3"/>
  <c r="I374" i="3"/>
  <c r="H375" i="3"/>
  <c r="I375" i="3"/>
  <c r="H376" i="3"/>
  <c r="I376" i="3"/>
  <c r="H377" i="3"/>
  <c r="I377" i="3"/>
  <c r="H378" i="3"/>
  <c r="I378" i="3"/>
  <c r="H379" i="3"/>
  <c r="I379" i="3"/>
  <c r="H380" i="3"/>
  <c r="I380" i="3"/>
  <c r="H381" i="3"/>
  <c r="I381" i="3"/>
  <c r="H382" i="3"/>
  <c r="I382" i="3"/>
  <c r="H383" i="3"/>
  <c r="I383" i="3"/>
  <c r="H384" i="3"/>
  <c r="I384" i="3"/>
  <c r="H385" i="3"/>
  <c r="I385" i="3"/>
  <c r="H386" i="3"/>
  <c r="I386" i="3"/>
  <c r="H387" i="3"/>
  <c r="I387" i="3"/>
  <c r="H388" i="3"/>
  <c r="I388" i="3"/>
  <c r="H389" i="3"/>
  <c r="I389" i="3"/>
  <c r="H390" i="3"/>
  <c r="I390" i="3"/>
  <c r="H391" i="3"/>
  <c r="I391" i="3"/>
  <c r="H392" i="3"/>
  <c r="I392" i="3"/>
  <c r="H393" i="3"/>
  <c r="I393" i="3"/>
  <c r="H394" i="3"/>
  <c r="I394" i="3"/>
  <c r="H395" i="3"/>
  <c r="I395" i="3"/>
  <c r="H396" i="3"/>
  <c r="I396" i="3"/>
  <c r="H397" i="3"/>
  <c r="I397" i="3"/>
  <c r="H398" i="3"/>
  <c r="I398" i="3"/>
  <c r="H399" i="3"/>
  <c r="I399" i="3"/>
  <c r="H400" i="3"/>
  <c r="I400" i="3"/>
  <c r="H401" i="3"/>
  <c r="I401" i="3"/>
  <c r="H402" i="3"/>
  <c r="I402" i="3"/>
  <c r="H403" i="3"/>
  <c r="I403" i="3"/>
  <c r="H404" i="3"/>
  <c r="I404" i="3"/>
  <c r="H405" i="3"/>
  <c r="I405" i="3"/>
  <c r="H406" i="3"/>
  <c r="I406" i="3"/>
  <c r="H407" i="3"/>
  <c r="I407" i="3"/>
  <c r="H408" i="3"/>
  <c r="I408" i="3"/>
  <c r="H409" i="3"/>
  <c r="I409" i="3"/>
  <c r="H410" i="3"/>
  <c r="I410" i="3"/>
  <c r="H411" i="3"/>
  <c r="I411" i="3"/>
  <c r="H412" i="3"/>
  <c r="I412" i="3"/>
  <c r="H413" i="3"/>
  <c r="I413" i="3"/>
  <c r="H414" i="3"/>
  <c r="I414" i="3"/>
  <c r="H415" i="3"/>
  <c r="I415" i="3"/>
  <c r="H416" i="3"/>
  <c r="I416" i="3"/>
  <c r="H417" i="3"/>
  <c r="I417" i="3"/>
  <c r="H418" i="3"/>
  <c r="I418" i="3"/>
  <c r="H419" i="3"/>
  <c r="I419" i="3"/>
  <c r="H420" i="3"/>
  <c r="I420" i="3"/>
  <c r="H421" i="3"/>
  <c r="I421" i="3"/>
  <c r="H422" i="3"/>
  <c r="I422" i="3"/>
  <c r="H423" i="3"/>
  <c r="I423" i="3"/>
  <c r="H424" i="3"/>
  <c r="I424" i="3"/>
  <c r="H425" i="3"/>
  <c r="I425" i="3"/>
  <c r="H426" i="3"/>
  <c r="I426" i="3"/>
  <c r="H427" i="3"/>
  <c r="I427" i="3"/>
  <c r="H428" i="3"/>
  <c r="I428" i="3"/>
  <c r="H429" i="3"/>
  <c r="I429" i="3"/>
  <c r="H430" i="3"/>
  <c r="I430" i="3"/>
  <c r="H431" i="3"/>
  <c r="I431" i="3"/>
  <c r="H432" i="3"/>
  <c r="I432" i="3"/>
  <c r="H433" i="3"/>
  <c r="I433" i="3"/>
  <c r="H434" i="3"/>
  <c r="I434" i="3"/>
  <c r="H435" i="3"/>
  <c r="I435" i="3"/>
  <c r="H436" i="3"/>
  <c r="I436" i="3"/>
  <c r="H437" i="3"/>
  <c r="I437" i="3"/>
  <c r="H438" i="3"/>
  <c r="I438" i="3"/>
  <c r="H439" i="3"/>
  <c r="I439" i="3"/>
  <c r="H440" i="3"/>
  <c r="I440" i="3"/>
  <c r="H441" i="3"/>
  <c r="I441" i="3"/>
  <c r="H442" i="3"/>
  <c r="I442" i="3"/>
  <c r="H443" i="3"/>
  <c r="I443" i="3"/>
  <c r="H444" i="3"/>
  <c r="I444" i="3"/>
  <c r="H445" i="3"/>
  <c r="I445" i="3"/>
  <c r="H446" i="3"/>
  <c r="I446" i="3"/>
  <c r="H447" i="3"/>
  <c r="I447" i="3"/>
  <c r="H448" i="3"/>
  <c r="I448" i="3"/>
  <c r="H449" i="3"/>
  <c r="I449" i="3"/>
  <c r="H450" i="3"/>
  <c r="I450" i="3"/>
  <c r="H451" i="3"/>
  <c r="I451" i="3"/>
  <c r="H452" i="3"/>
  <c r="I452" i="3"/>
  <c r="H453" i="3"/>
  <c r="I453" i="3"/>
  <c r="H454" i="3"/>
  <c r="I454" i="3"/>
  <c r="H455" i="3"/>
  <c r="I455" i="3"/>
  <c r="H456" i="3"/>
  <c r="I456" i="3"/>
  <c r="H457" i="3"/>
  <c r="I457" i="3"/>
  <c r="H458" i="3"/>
  <c r="I458" i="3"/>
  <c r="H459" i="3"/>
  <c r="I459" i="3"/>
  <c r="H460" i="3"/>
  <c r="I460" i="3"/>
  <c r="H461" i="3"/>
  <c r="I461" i="3"/>
  <c r="H462" i="3"/>
  <c r="I462" i="3"/>
  <c r="H463" i="3"/>
  <c r="I463" i="3"/>
  <c r="H464" i="3"/>
  <c r="I464" i="3"/>
  <c r="H465" i="3"/>
  <c r="I465" i="3"/>
  <c r="H466" i="3"/>
  <c r="I466" i="3"/>
  <c r="H467" i="3"/>
  <c r="I467" i="3"/>
  <c r="H468" i="3"/>
  <c r="I468" i="3"/>
  <c r="H469" i="3"/>
  <c r="I469" i="3"/>
  <c r="H470" i="3"/>
  <c r="I470" i="3"/>
  <c r="H471" i="3"/>
  <c r="I471" i="3"/>
  <c r="H472" i="3"/>
  <c r="I472" i="3"/>
  <c r="H473" i="3"/>
  <c r="I473" i="3"/>
  <c r="H474" i="3"/>
  <c r="I474" i="3"/>
  <c r="I3" i="3"/>
  <c r="H3" i="3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K51" i="2"/>
  <c r="J21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H203" i="2"/>
  <c r="I203" i="2"/>
  <c r="H204" i="2"/>
  <c r="I204" i="2"/>
  <c r="H205" i="2"/>
  <c r="I205" i="2"/>
  <c r="H206" i="2"/>
  <c r="I206" i="2"/>
  <c r="H207" i="2"/>
  <c r="I207" i="2"/>
  <c r="H208" i="2"/>
  <c r="I208" i="2"/>
  <c r="H209" i="2"/>
  <c r="I209" i="2"/>
  <c r="H210" i="2"/>
  <c r="I210" i="2"/>
  <c r="H211" i="2"/>
  <c r="I211" i="2"/>
  <c r="H212" i="2"/>
  <c r="I212" i="2"/>
  <c r="H213" i="2"/>
  <c r="I213" i="2"/>
  <c r="H214" i="2"/>
  <c r="I214" i="2"/>
  <c r="H215" i="2"/>
  <c r="I215" i="2"/>
  <c r="H216" i="2"/>
  <c r="I216" i="2"/>
  <c r="H217" i="2"/>
  <c r="I217" i="2"/>
  <c r="H218" i="2"/>
  <c r="I218" i="2"/>
  <c r="H219" i="2"/>
  <c r="I219" i="2"/>
  <c r="H220" i="2"/>
  <c r="I220" i="2"/>
  <c r="H221" i="2"/>
  <c r="I221" i="2"/>
  <c r="H222" i="2"/>
  <c r="I222" i="2"/>
  <c r="H223" i="2"/>
  <c r="I223" i="2"/>
  <c r="H224" i="2"/>
  <c r="I224" i="2"/>
  <c r="H225" i="2"/>
  <c r="I225" i="2"/>
  <c r="H226" i="2"/>
  <c r="I226" i="2"/>
  <c r="H227" i="2"/>
  <c r="I227" i="2"/>
  <c r="H228" i="2"/>
  <c r="I228" i="2"/>
  <c r="H229" i="2"/>
  <c r="I229" i="2"/>
  <c r="H230" i="2"/>
  <c r="I230" i="2"/>
  <c r="H231" i="2"/>
  <c r="I231" i="2"/>
  <c r="H232" i="2"/>
  <c r="I232" i="2"/>
  <c r="H233" i="2"/>
  <c r="I233" i="2"/>
  <c r="H234" i="2"/>
  <c r="I234" i="2"/>
  <c r="H235" i="2"/>
  <c r="I235" i="2"/>
  <c r="H236" i="2"/>
  <c r="I236" i="2"/>
  <c r="H237" i="2"/>
  <c r="I237" i="2"/>
  <c r="H238" i="2"/>
  <c r="I238" i="2"/>
  <c r="H239" i="2"/>
  <c r="I239" i="2"/>
  <c r="H240" i="2"/>
  <c r="I240" i="2"/>
  <c r="H241" i="2"/>
  <c r="I241" i="2"/>
  <c r="H242" i="2"/>
  <c r="I242" i="2"/>
  <c r="H243" i="2"/>
  <c r="I243" i="2"/>
  <c r="H244" i="2"/>
  <c r="I244" i="2"/>
  <c r="H245" i="2"/>
  <c r="I245" i="2"/>
  <c r="H246" i="2"/>
  <c r="I246" i="2"/>
  <c r="H247" i="2"/>
  <c r="I247" i="2"/>
  <c r="H248" i="2"/>
  <c r="I248" i="2"/>
  <c r="H249" i="2"/>
  <c r="I249" i="2"/>
  <c r="H250" i="2"/>
  <c r="I250" i="2"/>
  <c r="H251" i="2"/>
  <c r="I251" i="2"/>
  <c r="H252" i="2"/>
  <c r="I252" i="2"/>
  <c r="H253" i="2"/>
  <c r="I253" i="2"/>
  <c r="H254" i="2"/>
  <c r="I254" i="2"/>
  <c r="H255" i="2"/>
  <c r="I255" i="2"/>
  <c r="H256" i="2"/>
  <c r="I256" i="2"/>
  <c r="H257" i="2"/>
  <c r="I257" i="2"/>
  <c r="H258" i="2"/>
  <c r="I258" i="2"/>
  <c r="H259" i="2"/>
  <c r="I259" i="2"/>
  <c r="H260" i="2"/>
  <c r="I260" i="2"/>
  <c r="H261" i="2"/>
  <c r="I261" i="2"/>
  <c r="H262" i="2"/>
  <c r="I262" i="2"/>
  <c r="H263" i="2"/>
  <c r="I263" i="2"/>
  <c r="H264" i="2"/>
  <c r="I264" i="2"/>
  <c r="H265" i="2"/>
  <c r="I265" i="2"/>
  <c r="H266" i="2"/>
  <c r="I266" i="2"/>
  <c r="H267" i="2"/>
  <c r="I267" i="2"/>
  <c r="H268" i="2"/>
  <c r="I268" i="2"/>
  <c r="H269" i="2"/>
  <c r="I269" i="2"/>
  <c r="H270" i="2"/>
  <c r="I270" i="2"/>
  <c r="H271" i="2"/>
  <c r="I271" i="2"/>
  <c r="H272" i="2"/>
  <c r="I272" i="2"/>
  <c r="H273" i="2"/>
  <c r="I273" i="2"/>
  <c r="H274" i="2"/>
  <c r="I274" i="2"/>
  <c r="H275" i="2"/>
  <c r="I275" i="2"/>
  <c r="H276" i="2"/>
  <c r="I276" i="2"/>
  <c r="H277" i="2"/>
  <c r="I277" i="2"/>
  <c r="H278" i="2"/>
  <c r="I278" i="2"/>
  <c r="H279" i="2"/>
  <c r="I279" i="2"/>
  <c r="H280" i="2"/>
  <c r="I280" i="2"/>
  <c r="H281" i="2"/>
  <c r="I281" i="2"/>
  <c r="H282" i="2"/>
  <c r="I282" i="2"/>
  <c r="H283" i="2"/>
  <c r="I283" i="2"/>
  <c r="H284" i="2"/>
  <c r="I284" i="2"/>
  <c r="H285" i="2"/>
  <c r="I285" i="2"/>
  <c r="H286" i="2"/>
  <c r="I286" i="2"/>
  <c r="H287" i="2"/>
  <c r="I287" i="2"/>
  <c r="H288" i="2"/>
  <c r="I288" i="2"/>
  <c r="H289" i="2"/>
  <c r="I289" i="2"/>
  <c r="H290" i="2"/>
  <c r="I290" i="2"/>
  <c r="H291" i="2"/>
  <c r="I291" i="2"/>
  <c r="H292" i="2"/>
  <c r="I292" i="2"/>
  <c r="H293" i="2"/>
  <c r="I293" i="2"/>
  <c r="H294" i="2"/>
  <c r="I294" i="2"/>
  <c r="H295" i="2"/>
  <c r="I295" i="2"/>
  <c r="H296" i="2"/>
  <c r="I296" i="2"/>
  <c r="H297" i="2"/>
  <c r="I297" i="2"/>
  <c r="H298" i="2"/>
  <c r="I298" i="2"/>
  <c r="H299" i="2"/>
  <c r="I299" i="2"/>
  <c r="H300" i="2"/>
  <c r="I300" i="2"/>
  <c r="H301" i="2"/>
  <c r="I301" i="2"/>
  <c r="H302" i="2"/>
  <c r="I302" i="2"/>
  <c r="H303" i="2"/>
  <c r="I303" i="2"/>
  <c r="H304" i="2"/>
  <c r="I304" i="2"/>
  <c r="H305" i="2"/>
  <c r="I305" i="2"/>
  <c r="H306" i="2"/>
  <c r="I306" i="2"/>
  <c r="H307" i="2"/>
  <c r="I307" i="2"/>
  <c r="H308" i="2"/>
  <c r="I308" i="2"/>
  <c r="H309" i="2"/>
  <c r="I309" i="2"/>
  <c r="H310" i="2"/>
  <c r="I310" i="2"/>
  <c r="H311" i="2"/>
  <c r="I311" i="2"/>
  <c r="H312" i="2"/>
  <c r="I312" i="2"/>
  <c r="H313" i="2"/>
  <c r="I313" i="2"/>
  <c r="H314" i="2"/>
  <c r="I314" i="2"/>
  <c r="H315" i="2"/>
  <c r="I315" i="2"/>
  <c r="H316" i="2"/>
  <c r="I316" i="2"/>
  <c r="H317" i="2"/>
  <c r="I317" i="2"/>
  <c r="H318" i="2"/>
  <c r="I318" i="2"/>
  <c r="H319" i="2"/>
  <c r="I319" i="2"/>
  <c r="H320" i="2"/>
  <c r="I320" i="2"/>
  <c r="H321" i="2"/>
  <c r="I321" i="2"/>
  <c r="H322" i="2"/>
  <c r="I322" i="2"/>
  <c r="H323" i="2"/>
  <c r="I323" i="2"/>
  <c r="H324" i="2"/>
  <c r="I324" i="2"/>
  <c r="H325" i="2"/>
  <c r="I325" i="2"/>
  <c r="H326" i="2"/>
  <c r="I326" i="2"/>
  <c r="H327" i="2"/>
  <c r="I327" i="2"/>
  <c r="H328" i="2"/>
  <c r="I328" i="2"/>
  <c r="H329" i="2"/>
  <c r="I329" i="2"/>
  <c r="H330" i="2"/>
  <c r="I330" i="2"/>
  <c r="H331" i="2"/>
  <c r="I331" i="2"/>
  <c r="H332" i="2"/>
  <c r="I332" i="2"/>
  <c r="H333" i="2"/>
  <c r="I333" i="2"/>
  <c r="H334" i="2"/>
  <c r="I334" i="2"/>
  <c r="H335" i="2"/>
  <c r="I335" i="2"/>
  <c r="H336" i="2"/>
  <c r="I336" i="2"/>
  <c r="H337" i="2"/>
  <c r="I337" i="2"/>
  <c r="H338" i="2"/>
  <c r="I338" i="2"/>
  <c r="H339" i="2"/>
  <c r="I339" i="2"/>
  <c r="H340" i="2"/>
  <c r="I340" i="2"/>
  <c r="H341" i="2"/>
  <c r="I341" i="2"/>
  <c r="H342" i="2"/>
  <c r="I342" i="2"/>
  <c r="H343" i="2"/>
  <c r="I343" i="2"/>
  <c r="H344" i="2"/>
  <c r="I344" i="2"/>
  <c r="H345" i="2"/>
  <c r="I345" i="2"/>
  <c r="H346" i="2"/>
  <c r="I346" i="2"/>
  <c r="H347" i="2"/>
  <c r="I347" i="2"/>
  <c r="H348" i="2"/>
  <c r="I348" i="2"/>
  <c r="H349" i="2"/>
  <c r="I349" i="2"/>
  <c r="H350" i="2"/>
  <c r="I350" i="2"/>
  <c r="H351" i="2"/>
  <c r="I351" i="2"/>
  <c r="H352" i="2"/>
  <c r="I352" i="2"/>
  <c r="H353" i="2"/>
  <c r="I353" i="2"/>
  <c r="H354" i="2"/>
  <c r="I354" i="2"/>
  <c r="H355" i="2"/>
  <c r="I355" i="2"/>
  <c r="H356" i="2"/>
  <c r="I356" i="2"/>
  <c r="H357" i="2"/>
  <c r="I357" i="2"/>
  <c r="H358" i="2"/>
  <c r="I358" i="2"/>
  <c r="H359" i="2"/>
  <c r="I359" i="2"/>
  <c r="H360" i="2"/>
  <c r="I360" i="2"/>
  <c r="H361" i="2"/>
  <c r="I361" i="2"/>
  <c r="H362" i="2"/>
  <c r="I362" i="2"/>
  <c r="H363" i="2"/>
  <c r="I363" i="2"/>
  <c r="H364" i="2"/>
  <c r="I364" i="2"/>
  <c r="H365" i="2"/>
  <c r="I365" i="2"/>
  <c r="H366" i="2"/>
  <c r="I366" i="2"/>
  <c r="H367" i="2"/>
  <c r="I367" i="2"/>
  <c r="H368" i="2"/>
  <c r="I368" i="2"/>
  <c r="H369" i="2"/>
  <c r="I369" i="2"/>
  <c r="H370" i="2"/>
  <c r="I370" i="2"/>
  <c r="H371" i="2"/>
  <c r="I371" i="2"/>
  <c r="H372" i="2"/>
  <c r="I372" i="2"/>
  <c r="H373" i="2"/>
  <c r="I373" i="2"/>
  <c r="H374" i="2"/>
  <c r="I374" i="2"/>
  <c r="H375" i="2"/>
  <c r="I375" i="2"/>
  <c r="H376" i="2"/>
  <c r="I376" i="2"/>
  <c r="H377" i="2"/>
  <c r="I377" i="2"/>
  <c r="H378" i="2"/>
  <c r="I378" i="2"/>
  <c r="H379" i="2"/>
  <c r="I379" i="2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H401" i="2"/>
  <c r="I401" i="2"/>
  <c r="H402" i="2"/>
  <c r="I402" i="2"/>
  <c r="H403" i="2"/>
  <c r="I403" i="2"/>
  <c r="H404" i="2"/>
  <c r="I404" i="2"/>
  <c r="H405" i="2"/>
  <c r="I405" i="2"/>
  <c r="H406" i="2"/>
  <c r="I406" i="2"/>
  <c r="H407" i="2"/>
  <c r="I407" i="2"/>
  <c r="H408" i="2"/>
  <c r="I408" i="2"/>
  <c r="H409" i="2"/>
  <c r="I409" i="2"/>
  <c r="H410" i="2"/>
  <c r="I410" i="2"/>
  <c r="H411" i="2"/>
  <c r="I411" i="2"/>
  <c r="H412" i="2"/>
  <c r="I412" i="2"/>
  <c r="H413" i="2"/>
  <c r="I413" i="2"/>
  <c r="H414" i="2"/>
  <c r="I414" i="2"/>
  <c r="H415" i="2"/>
  <c r="I415" i="2"/>
  <c r="H416" i="2"/>
  <c r="I416" i="2"/>
  <c r="H417" i="2"/>
  <c r="I417" i="2"/>
  <c r="H418" i="2"/>
  <c r="I418" i="2"/>
  <c r="H419" i="2"/>
  <c r="I419" i="2"/>
  <c r="H420" i="2"/>
  <c r="I420" i="2"/>
  <c r="H421" i="2"/>
  <c r="I421" i="2"/>
  <c r="H422" i="2"/>
  <c r="I422" i="2"/>
  <c r="H423" i="2"/>
  <c r="I42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H432" i="2"/>
  <c r="I432" i="2"/>
  <c r="H433" i="2"/>
  <c r="I433" i="2"/>
  <c r="H434" i="2"/>
  <c r="I434" i="2"/>
  <c r="H435" i="2"/>
  <c r="I435" i="2"/>
  <c r="H436" i="2"/>
  <c r="I436" i="2"/>
  <c r="H437" i="2"/>
  <c r="I437" i="2"/>
  <c r="H438" i="2"/>
  <c r="I438" i="2"/>
  <c r="H439" i="2"/>
  <c r="I439" i="2"/>
  <c r="H440" i="2"/>
  <c r="I440" i="2"/>
  <c r="H441" i="2"/>
  <c r="I441" i="2"/>
  <c r="H442" i="2"/>
  <c r="I442" i="2"/>
  <c r="H443" i="2"/>
  <c r="I443" i="2"/>
  <c r="H444" i="2"/>
  <c r="I444" i="2"/>
  <c r="H445" i="2"/>
  <c r="I445" i="2"/>
  <c r="H446" i="2"/>
  <c r="I446" i="2"/>
  <c r="H447" i="2"/>
  <c r="I447" i="2"/>
  <c r="H448" i="2"/>
  <c r="I448" i="2"/>
  <c r="H449" i="2"/>
  <c r="I449" i="2"/>
  <c r="H450" i="2"/>
  <c r="I450" i="2"/>
  <c r="H451" i="2"/>
  <c r="I451" i="2"/>
  <c r="H452" i="2"/>
  <c r="I452" i="2"/>
  <c r="H453" i="2"/>
  <c r="I453" i="2"/>
  <c r="H454" i="2"/>
  <c r="I454" i="2"/>
  <c r="H455" i="2"/>
  <c r="I455" i="2"/>
  <c r="H456" i="2"/>
  <c r="I456" i="2"/>
  <c r="H457" i="2"/>
  <c r="I457" i="2"/>
  <c r="H458" i="2"/>
  <c r="I458" i="2"/>
  <c r="H459" i="2"/>
  <c r="I459" i="2"/>
  <c r="H460" i="2"/>
  <c r="I460" i="2"/>
  <c r="H461" i="2"/>
  <c r="I461" i="2"/>
  <c r="H462" i="2"/>
  <c r="I462" i="2"/>
  <c r="H463" i="2"/>
  <c r="I463" i="2"/>
  <c r="H464" i="2"/>
  <c r="I464" i="2"/>
  <c r="H465" i="2"/>
  <c r="I465" i="2"/>
  <c r="H466" i="2"/>
  <c r="I466" i="2"/>
  <c r="H467" i="2"/>
  <c r="I467" i="2"/>
  <c r="H468" i="2"/>
  <c r="I468" i="2"/>
  <c r="H469" i="2"/>
  <c r="I469" i="2"/>
  <c r="H470" i="2"/>
  <c r="I470" i="2"/>
  <c r="H471" i="2"/>
  <c r="I471" i="2"/>
  <c r="H472" i="2"/>
  <c r="I472" i="2"/>
  <c r="H473" i="2"/>
  <c r="I473" i="2"/>
  <c r="H474" i="2"/>
  <c r="I474" i="2"/>
  <c r="I3" i="2"/>
  <c r="H3" i="2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5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2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3" i="1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<sst xmlns="http://schemas.openxmlformats.org/spreadsheetml/2006/main" count="97" uniqueCount="66">
  <si>
    <t>Change</t>
  </si>
  <si>
    <t>Kode Saham</t>
  </si>
  <si>
    <t>Tahun</t>
  </si>
  <si>
    <t>Market Cap (Triliun Rp)</t>
  </si>
  <si>
    <t>ROE (%)</t>
  </si>
  <si>
    <t>PER (x)</t>
  </si>
  <si>
    <t>PBV (x)</t>
  </si>
  <si>
    <t>Net Profit (Triliun Rp)</t>
  </si>
  <si>
    <t>BBCA.JK</t>
  </si>
  <si>
    <t>21,80%</t>
  </si>
  <si>
    <t>20,98</t>
  </si>
  <si>
    <t>3,85</t>
  </si>
  <si>
    <t>54,84</t>
  </si>
  <si>
    <t>20,43%</t>
  </si>
  <si>
    <t>15,90</t>
  </si>
  <si>
    <t>3,25</t>
  </si>
  <si>
    <t>57,54</t>
  </si>
  <si>
    <t>BBRI.JK</t>
  </si>
  <si>
    <t>18,90%</t>
  </si>
  <si>
    <t>12,09</t>
  </si>
  <si>
    <t>2,24</t>
  </si>
  <si>
    <t>59,94</t>
  </si>
  <si>
    <t>17,12%</t>
  </si>
  <si>
    <t>10,38</t>
  </si>
  <si>
    <t>1,78</t>
  </si>
  <si>
    <t>56,65</t>
  </si>
  <si>
    <t>BMRI.JK</t>
  </si>
  <si>
    <t>17,79%</t>
  </si>
  <si>
    <t>8,36</t>
  </si>
  <si>
    <t>1,49</t>
  </si>
  <si>
    <t>55,78</t>
  </si>
  <si>
    <t>17,19%</t>
  </si>
  <si>
    <t>8,29</t>
  </si>
  <si>
    <t>1,43</t>
  </si>
  <si>
    <t>56,29</t>
  </si>
  <si>
    <t>BBNI.JK</t>
  </si>
  <si>
    <t>14,20%</t>
  </si>
  <si>
    <t>8,64</t>
  </si>
  <si>
    <t>1,11</t>
  </si>
  <si>
    <t>21,46</t>
  </si>
  <si>
    <t>11,36%</t>
  </si>
  <si>
    <t>8,53</t>
  </si>
  <si>
    <t>0,97</t>
  </si>
  <si>
    <t>20,04</t>
  </si>
  <si>
    <t>Date</t>
  </si>
  <si>
    <t>Open</t>
  </si>
  <si>
    <t>High</t>
  </si>
  <si>
    <t>Low</t>
  </si>
  <si>
    <t>Close</t>
  </si>
  <si>
    <t>Volume</t>
  </si>
  <si>
    <t>915.3</t>
  </si>
  <si>
    <t>725</t>
  </si>
  <si>
    <t>588.1</t>
  </si>
  <si>
    <t>466.6</t>
  </si>
  <si>
    <t>185.5</t>
  </si>
  <si>
    <t>170.9</t>
  </si>
  <si>
    <t>1150</t>
  </si>
  <si>
    <t>Cumulative Return</t>
  </si>
  <si>
    <t>SMA-20</t>
  </si>
  <si>
    <t>SMA-50</t>
  </si>
  <si>
    <t>BBCA</t>
  </si>
  <si>
    <t>BBRI</t>
  </si>
  <si>
    <t>BMRI</t>
  </si>
  <si>
    <t>BBNI</t>
  </si>
  <si>
    <t>KODE SAHAM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</si>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</sst>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6" formatCode="[$-421]dd\ mmmm\ yyyy;@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" fontId="1" fillId="0" borderId="0" xfId="0" applyNumberFormat="1" applyFont="1"/>
    <xf numFmtId="0" fontId="2" fillId="0" borderId="0" xfId="0" quotePrefix="1" applyFont="1"/>
    <xf numFmtId="3" fontId="2" fillId="0" borderId="0" xfId="0" quotePrefix="1" applyNumberFormat="1" applyFont="1"/>
    <xf numFmtId="10" fontId="0" fillId="0" borderId="0" xfId="1" applyNumberFormat="1" applyFont="1"/>
    <xf numFmtId="0" fontId="5" fillId="0" borderId="0" xfId="0" applyFont="1"/>
    <xf numFmtId="166" fontId="4" fillId="0" borderId="0" xfId="0" applyNumberFormat="1" applyFont="1"/>
    <xf numFmtId="166" fontId="1" fillId="0" borderId="0" xfId="0" applyNumberFormat="1" applyFont="1"/>
    <xf numFmtId="0" fontId="4" fillId="0" borderId="0" xfId="0" applyFont="1"/>
    <xf numFmtId="1" fontId="0" fillId="0" borderId="0" xfId="0" applyNumberForma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/>
    <xf numFmtId="10" fontId="0" fillId="2" borderId="0" xfId="1" applyNumberFormat="1" applyFont="1" applyFill="1"/>
    <xf numFmtId="0" fontId="0" fillId="2" borderId="0" xfId="0" applyFill="1"/>
    <xf numFmtId="1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74"/>
  <sheetViews>
    <sheetView topLeftCell="C1" zoomScale="145" zoomScaleNormal="145" workbookViewId="0">
      <selection activeCell="B243" sqref="B243"/>
    </sheetView>
  </sheetViews>
  <sheetFormatPr defaultColWidth="12.5703125" defaultRowHeight="15.75" customHeight="1" x14ac:dyDescent="0.2"/>
  <cols>
    <col min="1" max="1" width="18.7109375" bestFit="1" customWidth="1"/>
    <col min="2" max="2" width="17.42578125" bestFit="1" customWidth="1"/>
  </cols>
  <sheetData>
    <row r="1" spans="1:11" x14ac:dyDescent="0.2">
      <c r="A1" s="1" t="s">
        <v>44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0</v>
      </c>
      <c r="I1" s="12" t="s">
        <v>57</v>
      </c>
      <c r="J1" s="12" t="s">
        <v>58</v>
      </c>
      <c r="K1" s="12" t="s">
        <v>59</v>
      </c>
    </row>
    <row r="2" spans="1:11" x14ac:dyDescent="0.2">
      <c r="A2" s="2">
        <f ca="1">IFERROR(__xludf.DUMMYFUNCTION("""COMPUTED_VALUE"""),45293.6666666666)</f>
        <v>45293.666666666599</v>
      </c>
      <c r="B2" s="11">
        <v>45293</v>
      </c>
      <c r="C2">
        <v>5650</v>
      </c>
      <c r="D2">
        <v>5675</v>
      </c>
      <c r="E2">
        <v>5625</v>
      </c>
      <c r="F2">
        <v>5675</v>
      </c>
      <c r="G2">
        <v>91143100</v>
      </c>
      <c r="H2" s="8">
        <v>0</v>
      </c>
      <c r="I2" s="8">
        <v>0</v>
      </c>
    </row>
    <row r="3" spans="1:11" x14ac:dyDescent="0.2">
      <c r="A3" s="2">
        <f ca="1">IFERROR(__xludf.DUMMYFUNCTION("""COMPUTED_VALUE"""),45294.6666666666)</f>
        <v>45294.666666666599</v>
      </c>
      <c r="B3" s="11">
        <v>45294</v>
      </c>
      <c r="C3">
        <v>5625</v>
      </c>
      <c r="D3">
        <v>5650</v>
      </c>
      <c r="E3">
        <v>5600</v>
      </c>
      <c r="F3">
        <v>5600</v>
      </c>
      <c r="G3">
        <v>83659700</v>
      </c>
      <c r="H3" s="8">
        <f>(F3-F2)/F2</f>
        <v>-1.3215859030837005E-2</v>
      </c>
      <c r="I3" s="8">
        <f>(F3-$F$2)/$F$2</f>
        <v>-1.3215859030837005E-2</v>
      </c>
    </row>
    <row r="4" spans="1:11" x14ac:dyDescent="0.2">
      <c r="A4" s="2">
        <f ca="1">IFERROR(__xludf.DUMMYFUNCTION("""COMPUTED_VALUE"""),45295.6666666666)</f>
        <v>45295.666666666599</v>
      </c>
      <c r="B4" s="11">
        <v>45295</v>
      </c>
      <c r="C4">
        <v>5600</v>
      </c>
      <c r="D4">
        <v>5700</v>
      </c>
      <c r="E4">
        <v>5575</v>
      </c>
      <c r="F4">
        <v>5700</v>
      </c>
      <c r="G4">
        <v>92683500</v>
      </c>
      <c r="H4" s="8">
        <f t="shared" ref="H4:H67" si="0">(F4-F3)/F3</f>
        <v>1.7857142857142856E-2</v>
      </c>
      <c r="I4" s="8">
        <f t="shared" ref="I4:I67" si="1">(F4-$F$2)/$F$2</f>
        <v>4.4052863436123352E-3</v>
      </c>
    </row>
    <row r="5" spans="1:11" x14ac:dyDescent="0.2">
      <c r="A5" s="2">
        <f ca="1">IFERROR(__xludf.DUMMYFUNCTION("""COMPUTED_VALUE"""),45296.6666666666)</f>
        <v>45296.666666666599</v>
      </c>
      <c r="B5" s="11">
        <v>45296</v>
      </c>
      <c r="C5">
        <v>5725</v>
      </c>
      <c r="D5">
        <v>5850</v>
      </c>
      <c r="E5">
        <v>5700</v>
      </c>
      <c r="F5">
        <v>5750</v>
      </c>
      <c r="G5">
        <v>134929600</v>
      </c>
      <c r="H5" s="8">
        <f t="shared" si="0"/>
        <v>8.771929824561403E-3</v>
      </c>
      <c r="I5" s="8">
        <f t="shared" si="1"/>
        <v>1.3215859030837005E-2</v>
      </c>
    </row>
    <row r="6" spans="1:11" x14ac:dyDescent="0.2">
      <c r="A6" s="2">
        <f ca="1">IFERROR(__xludf.DUMMYFUNCTION("""COMPUTED_VALUE"""),45299.6666666666)</f>
        <v>45299.666666666599</v>
      </c>
      <c r="B6" s="11">
        <v>45299</v>
      </c>
      <c r="C6">
        <v>5750</v>
      </c>
      <c r="D6">
        <v>5800</v>
      </c>
      <c r="E6">
        <v>5625</v>
      </c>
      <c r="F6">
        <v>5625</v>
      </c>
      <c r="G6">
        <v>152015000</v>
      </c>
      <c r="H6" s="8">
        <f t="shared" si="0"/>
        <v>-2.1739130434782608E-2</v>
      </c>
      <c r="I6" s="8">
        <f t="shared" si="1"/>
        <v>-8.8105726872246704E-3</v>
      </c>
    </row>
    <row r="7" spans="1:11" x14ac:dyDescent="0.2">
      <c r="A7" s="2">
        <f ca="1">IFERROR(__xludf.DUMMYFUNCTION("""COMPUTED_VALUE"""),45300.6666666666)</f>
        <v>45300.666666666599</v>
      </c>
      <c r="B7" s="11">
        <v>45300</v>
      </c>
      <c r="C7">
        <v>5625</v>
      </c>
      <c r="D7">
        <v>5700</v>
      </c>
      <c r="E7">
        <v>5625</v>
      </c>
      <c r="F7">
        <v>5700</v>
      </c>
      <c r="G7">
        <v>105666200</v>
      </c>
      <c r="H7" s="8">
        <f t="shared" si="0"/>
        <v>1.3333333333333334E-2</v>
      </c>
      <c r="I7" s="8">
        <f t="shared" si="1"/>
        <v>4.4052863436123352E-3</v>
      </c>
    </row>
    <row r="8" spans="1:11" x14ac:dyDescent="0.2">
      <c r="A8" s="2">
        <f ca="1">IFERROR(__xludf.DUMMYFUNCTION("""COMPUTED_VALUE"""),45301.6666666666)</f>
        <v>45301.666666666599</v>
      </c>
      <c r="B8" s="11">
        <v>45301</v>
      </c>
      <c r="C8">
        <v>5625</v>
      </c>
      <c r="D8">
        <v>5700</v>
      </c>
      <c r="E8">
        <v>5625</v>
      </c>
      <c r="F8">
        <v>5700</v>
      </c>
      <c r="G8">
        <v>82626400</v>
      </c>
      <c r="H8" s="8">
        <f t="shared" si="0"/>
        <v>0</v>
      </c>
      <c r="I8" s="8">
        <f t="shared" si="1"/>
        <v>4.4052863436123352E-3</v>
      </c>
    </row>
    <row r="9" spans="1:11" x14ac:dyDescent="0.2">
      <c r="A9" s="2">
        <f ca="1">IFERROR(__xludf.DUMMYFUNCTION("""COMPUTED_VALUE"""),45302.6666666666)</f>
        <v>45302.666666666599</v>
      </c>
      <c r="B9" s="11">
        <v>45302</v>
      </c>
      <c r="C9">
        <v>5750</v>
      </c>
      <c r="D9">
        <v>5800</v>
      </c>
      <c r="E9">
        <v>5700</v>
      </c>
      <c r="F9">
        <v>5750</v>
      </c>
      <c r="G9">
        <v>116804400</v>
      </c>
      <c r="H9" s="8">
        <f t="shared" si="0"/>
        <v>8.771929824561403E-3</v>
      </c>
      <c r="I9" s="8">
        <f t="shared" si="1"/>
        <v>1.3215859030837005E-2</v>
      </c>
    </row>
    <row r="10" spans="1:11" x14ac:dyDescent="0.2">
      <c r="A10" s="2">
        <f ca="1">IFERROR(__xludf.DUMMYFUNCTION("""COMPUTED_VALUE"""),45303.6666666666)</f>
        <v>45303.666666666599</v>
      </c>
      <c r="B10" s="11">
        <v>45303</v>
      </c>
      <c r="C10">
        <v>5800</v>
      </c>
      <c r="D10">
        <v>5850</v>
      </c>
      <c r="E10">
        <v>5775</v>
      </c>
      <c r="F10">
        <v>5850</v>
      </c>
      <c r="G10">
        <v>109715700</v>
      </c>
      <c r="H10" s="8">
        <f t="shared" si="0"/>
        <v>1.7391304347826087E-2</v>
      </c>
      <c r="I10" s="8">
        <f t="shared" si="1"/>
        <v>3.0837004405286344E-2</v>
      </c>
    </row>
    <row r="11" spans="1:11" x14ac:dyDescent="0.2">
      <c r="A11" s="2">
        <f ca="1">IFERROR(__xludf.DUMMYFUNCTION("""COMPUTED_VALUE"""),45306.6666666666)</f>
        <v>45306.666666666599</v>
      </c>
      <c r="B11" s="10">
        <v>45306</v>
      </c>
      <c r="C11">
        <v>5850</v>
      </c>
      <c r="D11">
        <v>5900</v>
      </c>
      <c r="E11">
        <v>5775</v>
      </c>
      <c r="F11">
        <v>5825</v>
      </c>
      <c r="G11">
        <v>115126700</v>
      </c>
      <c r="H11" s="8">
        <f t="shared" si="0"/>
        <v>-4.2735042735042739E-3</v>
      </c>
      <c r="I11" s="8">
        <f t="shared" si="1"/>
        <v>2.643171806167401E-2</v>
      </c>
    </row>
    <row r="12" spans="1:11" x14ac:dyDescent="0.2">
      <c r="A12" s="2">
        <f ca="1">IFERROR(__xludf.DUMMYFUNCTION("""COMPUTED_VALUE"""),45307.6666666666)</f>
        <v>45307.666666666599</v>
      </c>
      <c r="B12" s="10">
        <v>45307</v>
      </c>
      <c r="C12">
        <v>5825</v>
      </c>
      <c r="D12">
        <v>5875</v>
      </c>
      <c r="E12">
        <v>5775</v>
      </c>
      <c r="F12">
        <v>5825</v>
      </c>
      <c r="G12">
        <v>97074300</v>
      </c>
      <c r="H12" s="8">
        <f t="shared" si="0"/>
        <v>0</v>
      </c>
      <c r="I12" s="8">
        <f t="shared" si="1"/>
        <v>2.643171806167401E-2</v>
      </c>
    </row>
    <row r="13" spans="1:11" x14ac:dyDescent="0.2">
      <c r="A13" s="2">
        <f ca="1">IFERROR(__xludf.DUMMYFUNCTION("""COMPUTED_VALUE"""),45308.6666666666)</f>
        <v>45308.666666666599</v>
      </c>
      <c r="B13" s="10">
        <v>45308</v>
      </c>
      <c r="C13">
        <v>5825</v>
      </c>
      <c r="D13">
        <v>5825</v>
      </c>
      <c r="E13">
        <v>5750</v>
      </c>
      <c r="F13">
        <v>5775</v>
      </c>
      <c r="G13">
        <v>107941600</v>
      </c>
      <c r="H13" s="8">
        <f t="shared" si="0"/>
        <v>-8.5836909871244635E-3</v>
      </c>
      <c r="I13" s="8">
        <f t="shared" si="1"/>
        <v>1.7621145374449341E-2</v>
      </c>
    </row>
    <row r="14" spans="1:11" x14ac:dyDescent="0.2">
      <c r="A14" s="2">
        <f ca="1">IFERROR(__xludf.DUMMYFUNCTION("""COMPUTED_VALUE"""),45309.6666666666)</f>
        <v>45309.666666666599</v>
      </c>
      <c r="B14" s="10">
        <v>45309</v>
      </c>
      <c r="C14">
        <v>5800</v>
      </c>
      <c r="D14">
        <v>5800</v>
      </c>
      <c r="E14">
        <v>5700</v>
      </c>
      <c r="F14">
        <v>5750</v>
      </c>
      <c r="G14">
        <v>87259100</v>
      </c>
      <c r="H14" s="8">
        <f t="shared" si="0"/>
        <v>-4.329004329004329E-3</v>
      </c>
      <c r="I14" s="8">
        <f t="shared" si="1"/>
        <v>1.3215859030837005E-2</v>
      </c>
    </row>
    <row r="15" spans="1:11" x14ac:dyDescent="0.2">
      <c r="A15" s="2">
        <f ca="1">IFERROR(__xludf.DUMMYFUNCTION("""COMPUTED_VALUE"""),45310.6666666666)</f>
        <v>45310.666666666599</v>
      </c>
      <c r="B15" s="10">
        <v>45310</v>
      </c>
      <c r="C15">
        <v>5750</v>
      </c>
      <c r="D15">
        <v>5800</v>
      </c>
      <c r="E15">
        <v>5700</v>
      </c>
      <c r="F15">
        <v>5800</v>
      </c>
      <c r="G15">
        <v>75370700</v>
      </c>
      <c r="H15" s="8">
        <f t="shared" si="0"/>
        <v>8.6956521739130436E-3</v>
      </c>
      <c r="I15" s="8">
        <f t="shared" si="1"/>
        <v>2.2026431718061675E-2</v>
      </c>
    </row>
    <row r="16" spans="1:11" x14ac:dyDescent="0.2">
      <c r="A16" s="2">
        <f ca="1">IFERROR(__xludf.DUMMYFUNCTION("""COMPUTED_VALUE"""),45313.6666666666)</f>
        <v>45313.666666666599</v>
      </c>
      <c r="B16" s="10">
        <v>45313</v>
      </c>
      <c r="C16">
        <v>5775</v>
      </c>
      <c r="D16">
        <v>5800</v>
      </c>
      <c r="E16">
        <v>5700</v>
      </c>
      <c r="F16">
        <v>5775</v>
      </c>
      <c r="G16">
        <v>97545600</v>
      </c>
      <c r="H16" s="8">
        <f t="shared" si="0"/>
        <v>-4.3103448275862068E-3</v>
      </c>
      <c r="I16" s="8">
        <f t="shared" si="1"/>
        <v>1.7621145374449341E-2</v>
      </c>
    </row>
    <row r="17" spans="1:10" x14ac:dyDescent="0.2">
      <c r="A17" s="2">
        <f ca="1">IFERROR(__xludf.DUMMYFUNCTION("""COMPUTED_VALUE"""),45314.6666666666)</f>
        <v>45314.666666666599</v>
      </c>
      <c r="B17" s="10">
        <v>45314</v>
      </c>
      <c r="C17">
        <v>5700</v>
      </c>
      <c r="D17">
        <v>5750</v>
      </c>
      <c r="E17">
        <v>5650</v>
      </c>
      <c r="F17">
        <v>5700</v>
      </c>
      <c r="G17">
        <v>122999700</v>
      </c>
      <c r="H17" s="8">
        <f t="shared" si="0"/>
        <v>-1.2987012987012988E-2</v>
      </c>
      <c r="I17" s="8">
        <f t="shared" si="1"/>
        <v>4.4052863436123352E-3</v>
      </c>
    </row>
    <row r="18" spans="1:10" x14ac:dyDescent="0.2">
      <c r="A18" s="2">
        <f ca="1">IFERROR(__xludf.DUMMYFUNCTION("""COMPUTED_VALUE"""),45315.6666666666)</f>
        <v>45315.666666666599</v>
      </c>
      <c r="B18" s="10">
        <v>45315</v>
      </c>
      <c r="C18">
        <v>5675</v>
      </c>
      <c r="D18">
        <v>5700</v>
      </c>
      <c r="E18">
        <v>5575</v>
      </c>
      <c r="F18">
        <v>5650</v>
      </c>
      <c r="G18">
        <v>104225000</v>
      </c>
      <c r="H18" s="8">
        <f t="shared" si="0"/>
        <v>-8.771929824561403E-3</v>
      </c>
      <c r="I18" s="8">
        <f t="shared" si="1"/>
        <v>-4.4052863436123352E-3</v>
      </c>
    </row>
    <row r="19" spans="1:10" x14ac:dyDescent="0.2">
      <c r="A19" s="2">
        <f ca="1">IFERROR(__xludf.DUMMYFUNCTION("""COMPUTED_VALUE"""),45316.6666666666)</f>
        <v>45316.666666666599</v>
      </c>
      <c r="B19" s="10">
        <v>45316</v>
      </c>
      <c r="C19">
        <v>5575</v>
      </c>
      <c r="D19">
        <v>5650</v>
      </c>
      <c r="E19">
        <v>5525</v>
      </c>
      <c r="F19">
        <v>5525</v>
      </c>
      <c r="G19">
        <v>120478800</v>
      </c>
      <c r="H19" s="8">
        <f t="shared" si="0"/>
        <v>-2.2123893805309734E-2</v>
      </c>
      <c r="I19" s="8">
        <f t="shared" si="1"/>
        <v>-2.643171806167401E-2</v>
      </c>
    </row>
    <row r="20" spans="1:10" x14ac:dyDescent="0.2">
      <c r="A20" s="2">
        <f ca="1">IFERROR(__xludf.DUMMYFUNCTION("""COMPUTED_VALUE"""),45317.6666666666)</f>
        <v>45317.666666666599</v>
      </c>
      <c r="B20" s="10">
        <v>45317</v>
      </c>
      <c r="C20">
        <v>5450</v>
      </c>
      <c r="D20">
        <v>5475</v>
      </c>
      <c r="E20">
        <v>5400</v>
      </c>
      <c r="F20">
        <v>5425</v>
      </c>
      <c r="G20">
        <v>185244400</v>
      </c>
      <c r="H20" s="8">
        <f t="shared" si="0"/>
        <v>-1.8099547511312219E-2</v>
      </c>
      <c r="I20" s="8">
        <f t="shared" si="1"/>
        <v>-4.405286343612335E-2</v>
      </c>
    </row>
    <row r="21" spans="1:10" x14ac:dyDescent="0.2">
      <c r="A21" s="2">
        <f ca="1">IFERROR(__xludf.DUMMYFUNCTION("""COMPUTED_VALUE"""),45320.6666666666)</f>
        <v>45320.666666666599</v>
      </c>
      <c r="B21" s="10">
        <v>45320</v>
      </c>
      <c r="C21">
        <v>5400</v>
      </c>
      <c r="D21">
        <v>5575</v>
      </c>
      <c r="E21">
        <v>5400</v>
      </c>
      <c r="F21">
        <v>5575</v>
      </c>
      <c r="G21">
        <v>145629600</v>
      </c>
      <c r="H21" s="8">
        <f t="shared" si="0"/>
        <v>2.7649769585253458E-2</v>
      </c>
      <c r="I21" s="8">
        <f t="shared" si="1"/>
        <v>-1.7621145374449341E-2</v>
      </c>
      <c r="J21" s="13">
        <f>AVERAGE(F2:F21)</f>
        <v>5698.75</v>
      </c>
    </row>
    <row r="22" spans="1:10" x14ac:dyDescent="0.2">
      <c r="A22" s="2">
        <f ca="1">IFERROR(__xludf.DUMMYFUNCTION("""COMPUTED_VALUE"""),45321.6666666666)</f>
        <v>45321.666666666599</v>
      </c>
      <c r="B22" s="10">
        <v>45321</v>
      </c>
      <c r="C22">
        <v>5525</v>
      </c>
      <c r="D22">
        <v>5650</v>
      </c>
      <c r="E22">
        <v>5475</v>
      </c>
      <c r="F22">
        <v>5625</v>
      </c>
      <c r="G22">
        <v>150513700</v>
      </c>
      <c r="H22" s="8">
        <f t="shared" si="0"/>
        <v>8.9686098654708519E-3</v>
      </c>
      <c r="I22" s="8">
        <f t="shared" si="1"/>
        <v>-8.8105726872246704E-3</v>
      </c>
      <c r="J22" s="13">
        <f t="shared" ref="J22:J85" si="2">AVERAGE(F3:F22)</f>
        <v>5696.25</v>
      </c>
    </row>
    <row r="23" spans="1:10" x14ac:dyDescent="0.2">
      <c r="A23" s="2">
        <f ca="1">IFERROR(__xludf.DUMMYFUNCTION("""COMPUTED_VALUE"""),45322.6666666666)</f>
        <v>45322.666666666599</v>
      </c>
      <c r="B23" s="10">
        <v>45322</v>
      </c>
      <c r="C23">
        <v>5725</v>
      </c>
      <c r="D23">
        <v>5775</v>
      </c>
      <c r="E23">
        <v>5675</v>
      </c>
      <c r="F23">
        <v>5700</v>
      </c>
      <c r="G23">
        <v>245117200</v>
      </c>
      <c r="H23" s="8">
        <f t="shared" si="0"/>
        <v>1.3333333333333334E-2</v>
      </c>
      <c r="I23" s="8">
        <f t="shared" si="1"/>
        <v>4.4052863436123352E-3</v>
      </c>
      <c r="J23" s="13">
        <f t="shared" si="2"/>
        <v>5701.25</v>
      </c>
    </row>
    <row r="24" spans="1:10" x14ac:dyDescent="0.2">
      <c r="A24" s="2">
        <f ca="1">IFERROR(__xludf.DUMMYFUNCTION("""COMPUTED_VALUE"""),45323.6666666666)</f>
        <v>45323.666666666599</v>
      </c>
      <c r="B24" s="10">
        <v>45323</v>
      </c>
      <c r="C24">
        <v>5775</v>
      </c>
      <c r="D24">
        <v>5800</v>
      </c>
      <c r="E24">
        <v>5725</v>
      </c>
      <c r="F24">
        <v>5750</v>
      </c>
      <c r="G24">
        <v>156633900</v>
      </c>
      <c r="H24" s="8">
        <f t="shared" si="0"/>
        <v>8.771929824561403E-3</v>
      </c>
      <c r="I24" s="8">
        <f t="shared" si="1"/>
        <v>1.3215859030837005E-2</v>
      </c>
      <c r="J24" s="13">
        <f t="shared" si="2"/>
        <v>5703.75</v>
      </c>
    </row>
    <row r="25" spans="1:10" x14ac:dyDescent="0.2">
      <c r="A25" s="2">
        <f ca="1">IFERROR(__xludf.DUMMYFUNCTION("""COMPUTED_VALUE"""),45324.6666666666)</f>
        <v>45324.666666666599</v>
      </c>
      <c r="B25" s="10">
        <v>45324</v>
      </c>
      <c r="C25">
        <v>5800</v>
      </c>
      <c r="D25">
        <v>5850</v>
      </c>
      <c r="E25">
        <v>5750</v>
      </c>
      <c r="F25">
        <v>5850</v>
      </c>
      <c r="G25">
        <v>177209700</v>
      </c>
      <c r="H25" s="8">
        <f t="shared" si="0"/>
        <v>1.7391304347826087E-2</v>
      </c>
      <c r="I25" s="8">
        <f t="shared" si="1"/>
        <v>3.0837004405286344E-2</v>
      </c>
      <c r="J25" s="13">
        <f t="shared" si="2"/>
        <v>5708.75</v>
      </c>
    </row>
    <row r="26" spans="1:10" x14ac:dyDescent="0.2">
      <c r="A26" s="2">
        <f ca="1">IFERROR(__xludf.DUMMYFUNCTION("""COMPUTED_VALUE"""),45327.6666666666)</f>
        <v>45327.666666666599</v>
      </c>
      <c r="B26" s="10">
        <v>45327</v>
      </c>
      <c r="C26">
        <v>5800</v>
      </c>
      <c r="D26">
        <v>5825</v>
      </c>
      <c r="E26">
        <v>5750</v>
      </c>
      <c r="F26">
        <v>5775</v>
      </c>
      <c r="G26">
        <v>113760000</v>
      </c>
      <c r="H26" s="8">
        <f t="shared" si="0"/>
        <v>-1.282051282051282E-2</v>
      </c>
      <c r="I26" s="8">
        <f t="shared" si="1"/>
        <v>1.7621145374449341E-2</v>
      </c>
      <c r="J26" s="13">
        <f t="shared" si="2"/>
        <v>5716.25</v>
      </c>
    </row>
    <row r="27" spans="1:10" x14ac:dyDescent="0.2">
      <c r="A27" s="2">
        <f ca="1">IFERROR(__xludf.DUMMYFUNCTION("""COMPUTED_VALUE"""),45328.6666666666)</f>
        <v>45328.666666666599</v>
      </c>
      <c r="B27" s="10">
        <v>45328</v>
      </c>
      <c r="C27">
        <v>5900</v>
      </c>
      <c r="D27">
        <v>5900</v>
      </c>
      <c r="E27">
        <v>5800</v>
      </c>
      <c r="F27">
        <v>5825</v>
      </c>
      <c r="G27">
        <v>126704300</v>
      </c>
      <c r="H27" s="8">
        <f t="shared" si="0"/>
        <v>8.658008658008658E-3</v>
      </c>
      <c r="I27" s="8">
        <f t="shared" si="1"/>
        <v>2.643171806167401E-2</v>
      </c>
      <c r="J27" s="13">
        <f t="shared" si="2"/>
        <v>5722.5</v>
      </c>
    </row>
    <row r="28" spans="1:10" x14ac:dyDescent="0.2">
      <c r="A28" s="2">
        <f ca="1">IFERROR(__xludf.DUMMYFUNCTION("""COMPUTED_VALUE"""),45329.6666666666)</f>
        <v>45329.666666666599</v>
      </c>
      <c r="B28" s="10">
        <v>45329</v>
      </c>
      <c r="C28">
        <v>5850</v>
      </c>
      <c r="D28">
        <v>5900</v>
      </c>
      <c r="E28">
        <v>5825</v>
      </c>
      <c r="F28">
        <v>5850</v>
      </c>
      <c r="G28">
        <v>147005300</v>
      </c>
      <c r="H28" s="8">
        <f t="shared" si="0"/>
        <v>4.2918454935622317E-3</v>
      </c>
      <c r="I28" s="8">
        <f t="shared" si="1"/>
        <v>3.0837004405286344E-2</v>
      </c>
      <c r="J28" s="13">
        <f t="shared" si="2"/>
        <v>5730</v>
      </c>
    </row>
    <row r="29" spans="1:10" x14ac:dyDescent="0.2">
      <c r="A29" s="2">
        <f ca="1">IFERROR(__xludf.DUMMYFUNCTION("""COMPUTED_VALUE"""),45334.6666666666)</f>
        <v>45334.666666666599</v>
      </c>
      <c r="B29" s="10">
        <v>45334</v>
      </c>
      <c r="C29">
        <v>5875</v>
      </c>
      <c r="D29">
        <v>6025</v>
      </c>
      <c r="E29">
        <v>5850</v>
      </c>
      <c r="F29">
        <v>6025</v>
      </c>
      <c r="G29">
        <v>171514600</v>
      </c>
      <c r="H29" s="8">
        <f t="shared" si="0"/>
        <v>2.9914529914529916E-2</v>
      </c>
      <c r="I29" s="8">
        <f t="shared" si="1"/>
        <v>6.1674008810572688E-2</v>
      </c>
      <c r="J29" s="13">
        <f t="shared" si="2"/>
        <v>5743.75</v>
      </c>
    </row>
    <row r="30" spans="1:10" x14ac:dyDescent="0.2">
      <c r="A30" s="2">
        <f ca="1">IFERROR(__xludf.DUMMYFUNCTION("""COMPUTED_VALUE"""),45335.6666666666)</f>
        <v>45335.666666666599</v>
      </c>
      <c r="B30" s="10">
        <v>45335</v>
      </c>
      <c r="C30">
        <v>6050</v>
      </c>
      <c r="D30">
        <v>6050</v>
      </c>
      <c r="E30">
        <v>5950</v>
      </c>
      <c r="F30">
        <v>6000</v>
      </c>
      <c r="G30">
        <v>145852200</v>
      </c>
      <c r="H30" s="8">
        <f t="shared" si="0"/>
        <v>-4.1493775933609959E-3</v>
      </c>
      <c r="I30" s="8">
        <f t="shared" si="1"/>
        <v>5.7268722466960353E-2</v>
      </c>
      <c r="J30" s="13">
        <f t="shared" si="2"/>
        <v>5751.25</v>
      </c>
    </row>
    <row r="31" spans="1:10" x14ac:dyDescent="0.2">
      <c r="A31" s="2">
        <f ca="1">IFERROR(__xludf.DUMMYFUNCTION("""COMPUTED_VALUE"""),45337.6666666666)</f>
        <v>45337.666666666599</v>
      </c>
      <c r="B31" s="10">
        <v>45337</v>
      </c>
      <c r="C31">
        <v>6275</v>
      </c>
      <c r="D31">
        <v>6275</v>
      </c>
      <c r="E31">
        <v>6100</v>
      </c>
      <c r="F31">
        <v>6125</v>
      </c>
      <c r="G31">
        <v>308685100</v>
      </c>
      <c r="H31" s="8">
        <f t="shared" si="0"/>
        <v>2.0833333333333332E-2</v>
      </c>
      <c r="I31" s="8">
        <f t="shared" si="1"/>
        <v>7.9295154185022032E-2</v>
      </c>
      <c r="J31" s="13">
        <f t="shared" si="2"/>
        <v>5766.25</v>
      </c>
    </row>
    <row r="32" spans="1:10" x14ac:dyDescent="0.2">
      <c r="A32" s="2">
        <f ca="1">IFERROR(__xludf.DUMMYFUNCTION("""COMPUTED_VALUE"""),45338.6666666666)</f>
        <v>45338.666666666599</v>
      </c>
      <c r="B32" s="10">
        <v>45338</v>
      </c>
      <c r="C32">
        <v>6150</v>
      </c>
      <c r="D32">
        <v>6200</v>
      </c>
      <c r="E32">
        <v>6125</v>
      </c>
      <c r="F32">
        <v>6150</v>
      </c>
      <c r="G32">
        <v>130814400</v>
      </c>
      <c r="H32" s="8">
        <f t="shared" si="0"/>
        <v>4.0816326530612249E-3</v>
      </c>
      <c r="I32" s="8">
        <f t="shared" si="1"/>
        <v>8.3700440528634359E-2</v>
      </c>
      <c r="J32" s="13">
        <f t="shared" si="2"/>
        <v>5782.5</v>
      </c>
    </row>
    <row r="33" spans="1:10" x14ac:dyDescent="0.2">
      <c r="A33" s="2">
        <f ca="1">IFERROR(__xludf.DUMMYFUNCTION("""COMPUTED_VALUE"""),45341.6666666666)</f>
        <v>45341.666666666599</v>
      </c>
      <c r="B33" s="10">
        <v>45341</v>
      </c>
      <c r="C33">
        <v>6125</v>
      </c>
      <c r="D33">
        <v>6175</v>
      </c>
      <c r="E33">
        <v>6075</v>
      </c>
      <c r="F33">
        <v>6100</v>
      </c>
      <c r="G33">
        <v>111382900</v>
      </c>
      <c r="H33" s="8">
        <f t="shared" si="0"/>
        <v>-8.130081300813009E-3</v>
      </c>
      <c r="I33" s="8">
        <f t="shared" si="1"/>
        <v>7.4889867841409691E-2</v>
      </c>
      <c r="J33" s="13">
        <f t="shared" si="2"/>
        <v>5798.75</v>
      </c>
    </row>
    <row r="34" spans="1:10" x14ac:dyDescent="0.2">
      <c r="A34" s="2">
        <f ca="1">IFERROR(__xludf.DUMMYFUNCTION("""COMPUTED_VALUE"""),45342.6666666666)</f>
        <v>45342.666666666599</v>
      </c>
      <c r="B34" s="10">
        <v>45342</v>
      </c>
      <c r="C34">
        <v>6175</v>
      </c>
      <c r="D34">
        <v>6300</v>
      </c>
      <c r="E34">
        <v>6175</v>
      </c>
      <c r="F34">
        <v>6300</v>
      </c>
      <c r="G34">
        <v>160872600</v>
      </c>
      <c r="H34" s="8">
        <f t="shared" si="0"/>
        <v>3.2786885245901641E-2</v>
      </c>
      <c r="I34" s="8">
        <f t="shared" si="1"/>
        <v>0.11013215859030837</v>
      </c>
      <c r="J34" s="13">
        <f t="shared" si="2"/>
        <v>5826.25</v>
      </c>
    </row>
    <row r="35" spans="1:10" x14ac:dyDescent="0.2">
      <c r="A35" s="2">
        <f ca="1">IFERROR(__xludf.DUMMYFUNCTION("""COMPUTED_VALUE"""),45343.6666666666)</f>
        <v>45343.666666666599</v>
      </c>
      <c r="B35" s="10">
        <v>45343</v>
      </c>
      <c r="C35">
        <v>6325</v>
      </c>
      <c r="D35">
        <v>6375</v>
      </c>
      <c r="E35">
        <v>6225</v>
      </c>
      <c r="F35">
        <v>6300</v>
      </c>
      <c r="G35">
        <v>168423000</v>
      </c>
      <c r="H35" s="8">
        <f t="shared" si="0"/>
        <v>0</v>
      </c>
      <c r="I35" s="8">
        <f t="shared" si="1"/>
        <v>0.11013215859030837</v>
      </c>
      <c r="J35" s="13">
        <f t="shared" si="2"/>
        <v>5851.25</v>
      </c>
    </row>
    <row r="36" spans="1:10" x14ac:dyDescent="0.2">
      <c r="A36" s="2">
        <f ca="1">IFERROR(__xludf.DUMMYFUNCTION("""COMPUTED_VALUE"""),45344.6666666666)</f>
        <v>45344.666666666599</v>
      </c>
      <c r="B36" s="10">
        <v>45344</v>
      </c>
      <c r="C36">
        <v>6250</v>
      </c>
      <c r="D36">
        <v>6300</v>
      </c>
      <c r="E36">
        <v>6225</v>
      </c>
      <c r="F36">
        <v>6250</v>
      </c>
      <c r="G36">
        <v>100256000</v>
      </c>
      <c r="H36" s="8">
        <f t="shared" si="0"/>
        <v>-7.9365079365079361E-3</v>
      </c>
      <c r="I36" s="8">
        <f t="shared" si="1"/>
        <v>0.1013215859030837</v>
      </c>
      <c r="J36" s="13">
        <f t="shared" si="2"/>
        <v>5875</v>
      </c>
    </row>
    <row r="37" spans="1:10" x14ac:dyDescent="0.2">
      <c r="A37" s="2">
        <f ca="1">IFERROR(__xludf.DUMMYFUNCTION("""COMPUTED_VALUE"""),45345.6666666666)</f>
        <v>45345.666666666599</v>
      </c>
      <c r="B37" s="10">
        <v>45345</v>
      </c>
      <c r="C37">
        <v>6125</v>
      </c>
      <c r="D37">
        <v>6175</v>
      </c>
      <c r="E37">
        <v>6050</v>
      </c>
      <c r="F37">
        <v>6125</v>
      </c>
      <c r="G37">
        <v>148643000</v>
      </c>
      <c r="H37" s="8">
        <f t="shared" si="0"/>
        <v>-0.02</v>
      </c>
      <c r="I37" s="8">
        <f t="shared" si="1"/>
        <v>7.9295154185022032E-2</v>
      </c>
      <c r="J37" s="13">
        <f t="shared" si="2"/>
        <v>5896.25</v>
      </c>
    </row>
    <row r="38" spans="1:10" x14ac:dyDescent="0.2">
      <c r="A38" s="2">
        <f ca="1">IFERROR(__xludf.DUMMYFUNCTION("""COMPUTED_VALUE"""),45348.6666666666)</f>
        <v>45348.666666666599</v>
      </c>
      <c r="B38" s="10">
        <v>45348</v>
      </c>
      <c r="C38">
        <v>6100</v>
      </c>
      <c r="D38">
        <v>6200</v>
      </c>
      <c r="E38">
        <v>6075</v>
      </c>
      <c r="F38">
        <v>6175</v>
      </c>
      <c r="G38">
        <v>98920800</v>
      </c>
      <c r="H38" s="8">
        <f t="shared" si="0"/>
        <v>8.1632653061224497E-3</v>
      </c>
      <c r="I38" s="8">
        <f t="shared" si="1"/>
        <v>8.8105726872246701E-2</v>
      </c>
      <c r="J38" s="13">
        <f t="shared" si="2"/>
        <v>5922.5</v>
      </c>
    </row>
    <row r="39" spans="1:10" x14ac:dyDescent="0.2">
      <c r="A39" s="2">
        <f ca="1">IFERROR(__xludf.DUMMYFUNCTION("""COMPUTED_VALUE"""),45349.6666666666)</f>
        <v>45349.666666666599</v>
      </c>
      <c r="B39" s="10">
        <v>45349</v>
      </c>
      <c r="C39">
        <v>6125</v>
      </c>
      <c r="D39">
        <v>6200</v>
      </c>
      <c r="E39">
        <v>6125</v>
      </c>
      <c r="F39">
        <v>6125</v>
      </c>
      <c r="G39">
        <v>99187500</v>
      </c>
      <c r="H39" s="8">
        <f t="shared" si="0"/>
        <v>-8.0971659919028341E-3</v>
      </c>
      <c r="I39" s="8">
        <f t="shared" si="1"/>
        <v>7.9295154185022032E-2</v>
      </c>
      <c r="J39" s="13">
        <f t="shared" si="2"/>
        <v>5952.5</v>
      </c>
    </row>
    <row r="40" spans="1:10" x14ac:dyDescent="0.2">
      <c r="A40" s="2">
        <f ca="1">IFERROR(__xludf.DUMMYFUNCTION("""COMPUTED_VALUE"""),45350.6666666666)</f>
        <v>45350.666666666599</v>
      </c>
      <c r="B40" s="10">
        <v>45350</v>
      </c>
      <c r="C40">
        <v>6100</v>
      </c>
      <c r="D40">
        <v>6225</v>
      </c>
      <c r="E40">
        <v>6100</v>
      </c>
      <c r="F40">
        <v>6225</v>
      </c>
      <c r="G40">
        <v>97236700</v>
      </c>
      <c r="H40" s="8">
        <f t="shared" si="0"/>
        <v>1.6326530612244899E-2</v>
      </c>
      <c r="I40" s="8">
        <f t="shared" si="1"/>
        <v>9.6916299559471369E-2</v>
      </c>
      <c r="J40" s="13">
        <f t="shared" si="2"/>
        <v>5992.5</v>
      </c>
    </row>
    <row r="41" spans="1:10" x14ac:dyDescent="0.2">
      <c r="A41" s="2">
        <f ca="1">IFERROR(__xludf.DUMMYFUNCTION("""COMPUTED_VALUE"""),45351.6666666666)</f>
        <v>45351.666666666599</v>
      </c>
      <c r="B41" s="10">
        <v>45351</v>
      </c>
      <c r="C41">
        <v>6150</v>
      </c>
      <c r="D41">
        <v>6200</v>
      </c>
      <c r="E41">
        <v>6125</v>
      </c>
      <c r="F41">
        <v>6125</v>
      </c>
      <c r="G41">
        <v>173774600</v>
      </c>
      <c r="H41" s="8">
        <f t="shared" si="0"/>
        <v>-1.6064257028112448E-2</v>
      </c>
      <c r="I41" s="8">
        <f t="shared" si="1"/>
        <v>7.9295154185022032E-2</v>
      </c>
      <c r="J41" s="13">
        <f t="shared" si="2"/>
        <v>6020</v>
      </c>
    </row>
    <row r="42" spans="1:10" x14ac:dyDescent="0.2">
      <c r="A42" s="2">
        <f ca="1">IFERROR(__xludf.DUMMYFUNCTION("""COMPUTED_VALUE"""),45352.6666666666)</f>
        <v>45352.666666666599</v>
      </c>
      <c r="B42" s="10">
        <v>45352</v>
      </c>
      <c r="C42">
        <v>6175</v>
      </c>
      <c r="D42">
        <v>6175</v>
      </c>
      <c r="E42">
        <v>6075</v>
      </c>
      <c r="F42">
        <v>6125</v>
      </c>
      <c r="G42">
        <v>76286400</v>
      </c>
      <c r="H42" s="8">
        <f t="shared" si="0"/>
        <v>0</v>
      </c>
      <c r="I42" s="8">
        <f t="shared" si="1"/>
        <v>7.9295154185022032E-2</v>
      </c>
      <c r="J42" s="13">
        <f t="shared" si="2"/>
        <v>6045</v>
      </c>
    </row>
    <row r="43" spans="1:10" x14ac:dyDescent="0.2">
      <c r="A43" s="2">
        <f ca="1">IFERROR(__xludf.DUMMYFUNCTION("""COMPUTED_VALUE"""),45355.6666666666)</f>
        <v>45355.666666666599</v>
      </c>
      <c r="B43" s="10">
        <v>45355</v>
      </c>
      <c r="C43">
        <v>6125</v>
      </c>
      <c r="D43">
        <v>6125</v>
      </c>
      <c r="E43">
        <v>6050</v>
      </c>
      <c r="F43">
        <v>6050</v>
      </c>
      <c r="G43">
        <v>70354900</v>
      </c>
      <c r="H43" s="8">
        <f t="shared" si="0"/>
        <v>-1.2244897959183673E-2</v>
      </c>
      <c r="I43" s="8">
        <f t="shared" si="1"/>
        <v>6.6079295154185022E-2</v>
      </c>
      <c r="J43" s="13">
        <f t="shared" si="2"/>
        <v>6062.5</v>
      </c>
    </row>
    <row r="44" spans="1:10" x14ac:dyDescent="0.2">
      <c r="A44" s="2">
        <f ca="1">IFERROR(__xludf.DUMMYFUNCTION("""COMPUTED_VALUE"""),45356.6666666666)</f>
        <v>45356.666666666599</v>
      </c>
      <c r="B44" s="10">
        <v>45356</v>
      </c>
      <c r="C44">
        <v>6100</v>
      </c>
      <c r="D44">
        <v>6175</v>
      </c>
      <c r="E44">
        <v>6075</v>
      </c>
      <c r="F44">
        <v>6125</v>
      </c>
      <c r="G44">
        <v>115084600</v>
      </c>
      <c r="H44" s="8">
        <f t="shared" si="0"/>
        <v>1.2396694214876033E-2</v>
      </c>
      <c r="I44" s="8">
        <f t="shared" si="1"/>
        <v>7.9295154185022032E-2</v>
      </c>
      <c r="J44" s="13">
        <f t="shared" si="2"/>
        <v>6081.25</v>
      </c>
    </row>
    <row r="45" spans="1:10" x14ac:dyDescent="0.2">
      <c r="A45" s="2">
        <f ca="1">IFERROR(__xludf.DUMMYFUNCTION("""COMPUTED_VALUE"""),45357.6666666666)</f>
        <v>45357.666666666599</v>
      </c>
      <c r="B45" s="10">
        <v>45357</v>
      </c>
      <c r="C45">
        <v>6100</v>
      </c>
      <c r="D45">
        <v>6200</v>
      </c>
      <c r="E45">
        <v>6100</v>
      </c>
      <c r="F45">
        <v>6200</v>
      </c>
      <c r="G45">
        <v>84108800</v>
      </c>
      <c r="H45" s="8">
        <f t="shared" si="0"/>
        <v>1.2244897959183673E-2</v>
      </c>
      <c r="I45" s="8">
        <f t="shared" si="1"/>
        <v>9.2511013215859028E-2</v>
      </c>
      <c r="J45" s="13">
        <f t="shared" si="2"/>
        <v>6098.75</v>
      </c>
    </row>
    <row r="46" spans="1:10" x14ac:dyDescent="0.2">
      <c r="A46" s="2">
        <f ca="1">IFERROR(__xludf.DUMMYFUNCTION("""COMPUTED_VALUE"""),45358.6666666666)</f>
        <v>45358.666666666599</v>
      </c>
      <c r="B46" s="10">
        <v>45358</v>
      </c>
      <c r="C46">
        <v>6200</v>
      </c>
      <c r="D46">
        <v>6275</v>
      </c>
      <c r="E46">
        <v>6200</v>
      </c>
      <c r="F46">
        <v>6225</v>
      </c>
      <c r="G46">
        <v>117724700</v>
      </c>
      <c r="H46" s="8">
        <f t="shared" si="0"/>
        <v>4.0322580645161289E-3</v>
      </c>
      <c r="I46" s="8">
        <f t="shared" si="1"/>
        <v>9.6916299559471369E-2</v>
      </c>
      <c r="J46" s="13">
        <f t="shared" si="2"/>
        <v>6121.25</v>
      </c>
    </row>
    <row r="47" spans="1:10" x14ac:dyDescent="0.2">
      <c r="A47" s="2">
        <f ca="1">IFERROR(__xludf.DUMMYFUNCTION("""COMPUTED_VALUE"""),45359.6666666666)</f>
        <v>45359.666666666599</v>
      </c>
      <c r="B47" s="10">
        <v>45359</v>
      </c>
      <c r="C47">
        <v>6275</v>
      </c>
      <c r="D47">
        <v>6400</v>
      </c>
      <c r="E47">
        <v>6250</v>
      </c>
      <c r="F47">
        <v>6350</v>
      </c>
      <c r="G47">
        <v>163060000</v>
      </c>
      <c r="H47" s="8">
        <f t="shared" si="0"/>
        <v>2.0080321285140562E-2</v>
      </c>
      <c r="I47" s="8">
        <f t="shared" si="1"/>
        <v>0.11894273127753303</v>
      </c>
      <c r="J47" s="13">
        <f t="shared" si="2"/>
        <v>6147.5</v>
      </c>
    </row>
    <row r="48" spans="1:10" x14ac:dyDescent="0.2">
      <c r="A48" s="2">
        <f ca="1">IFERROR(__xludf.DUMMYFUNCTION("""COMPUTED_VALUE"""),45364.6666666666)</f>
        <v>45364.666666666599</v>
      </c>
      <c r="B48" s="10">
        <v>45364</v>
      </c>
      <c r="C48">
        <v>6350</v>
      </c>
      <c r="D48">
        <v>6450</v>
      </c>
      <c r="E48">
        <v>6350</v>
      </c>
      <c r="F48">
        <v>6400</v>
      </c>
      <c r="G48">
        <v>195173100</v>
      </c>
      <c r="H48" s="8">
        <f t="shared" si="0"/>
        <v>7.874015748031496E-3</v>
      </c>
      <c r="I48" s="8">
        <f t="shared" si="1"/>
        <v>0.1277533039647577</v>
      </c>
      <c r="J48" s="13">
        <f t="shared" si="2"/>
        <v>6175</v>
      </c>
    </row>
    <row r="49" spans="1:11" x14ac:dyDescent="0.2">
      <c r="A49" s="2">
        <f ca="1">IFERROR(__xludf.DUMMYFUNCTION("""COMPUTED_VALUE"""),45365.6666666666)</f>
        <v>45365.666666666599</v>
      </c>
      <c r="B49" s="10">
        <v>45365</v>
      </c>
      <c r="C49">
        <v>6175</v>
      </c>
      <c r="D49">
        <v>6200</v>
      </c>
      <c r="E49">
        <v>6050</v>
      </c>
      <c r="F49">
        <v>6150</v>
      </c>
      <c r="G49">
        <v>271254000</v>
      </c>
      <c r="H49" s="8">
        <f t="shared" si="0"/>
        <v>-3.90625E-2</v>
      </c>
      <c r="I49" s="8">
        <f t="shared" si="1"/>
        <v>8.3700440528634359E-2</v>
      </c>
      <c r="J49" s="13">
        <f t="shared" si="2"/>
        <v>6181.25</v>
      </c>
    </row>
    <row r="50" spans="1:11" x14ac:dyDescent="0.2">
      <c r="A50" s="2">
        <f ca="1">IFERROR(__xludf.DUMMYFUNCTION("""COMPUTED_VALUE"""),45366.6666666666)</f>
        <v>45366.666666666599</v>
      </c>
      <c r="B50" s="10">
        <v>45366</v>
      </c>
      <c r="C50">
        <v>6000</v>
      </c>
      <c r="D50">
        <v>6075</v>
      </c>
      <c r="E50">
        <v>5950</v>
      </c>
      <c r="F50">
        <v>5975</v>
      </c>
      <c r="G50">
        <v>305995800</v>
      </c>
      <c r="H50" s="8">
        <f t="shared" si="0"/>
        <v>-2.8455284552845527E-2</v>
      </c>
      <c r="I50" s="8">
        <f t="shared" si="1"/>
        <v>5.2863436123348019E-2</v>
      </c>
      <c r="J50" s="13">
        <f t="shared" si="2"/>
        <v>6180</v>
      </c>
    </row>
    <row r="51" spans="1:11" x14ac:dyDescent="0.2">
      <c r="A51" s="2">
        <f ca="1">IFERROR(__xludf.DUMMYFUNCTION("""COMPUTED_VALUE"""),45369.6666666666)</f>
        <v>45369.666666666599</v>
      </c>
      <c r="B51" s="10">
        <v>45369</v>
      </c>
      <c r="C51">
        <v>6000</v>
      </c>
      <c r="D51">
        <v>6100</v>
      </c>
      <c r="E51">
        <v>5975</v>
      </c>
      <c r="F51">
        <v>6000</v>
      </c>
      <c r="G51">
        <v>110564700</v>
      </c>
      <c r="H51" s="8">
        <f t="shared" si="0"/>
        <v>4.1841004184100415E-3</v>
      </c>
      <c r="I51" s="8">
        <f t="shared" si="1"/>
        <v>5.7268722466960353E-2</v>
      </c>
      <c r="J51" s="13">
        <f t="shared" si="2"/>
        <v>6173.75</v>
      </c>
      <c r="K51" s="13">
        <f>AVERAGE(F2:F51)</f>
        <v>5919.5</v>
      </c>
    </row>
    <row r="52" spans="1:11" x14ac:dyDescent="0.2">
      <c r="A52" s="2">
        <f ca="1">IFERROR(__xludf.DUMMYFUNCTION("""COMPUTED_VALUE"""),45370.6666666666)</f>
        <v>45370.666666666599</v>
      </c>
      <c r="B52" s="10">
        <v>45370</v>
      </c>
      <c r="C52">
        <v>6000</v>
      </c>
      <c r="D52">
        <v>6050</v>
      </c>
      <c r="E52">
        <v>5975</v>
      </c>
      <c r="F52">
        <v>6000</v>
      </c>
      <c r="G52">
        <v>114338600</v>
      </c>
      <c r="H52" s="8">
        <f t="shared" si="0"/>
        <v>0</v>
      </c>
      <c r="I52" s="8">
        <f t="shared" si="1"/>
        <v>5.7268722466960353E-2</v>
      </c>
      <c r="J52" s="13">
        <f t="shared" si="2"/>
        <v>6166.25</v>
      </c>
      <c r="K52" s="13">
        <f t="shared" ref="K52:K115" si="3">AVERAGE(F3:F52)</f>
        <v>5926</v>
      </c>
    </row>
    <row r="53" spans="1:11" x14ac:dyDescent="0.2">
      <c r="A53" s="2">
        <f ca="1">IFERROR(__xludf.DUMMYFUNCTION("""COMPUTED_VALUE"""),45371.6666666666)</f>
        <v>45371.666666666599</v>
      </c>
      <c r="B53" s="10">
        <v>45371</v>
      </c>
      <c r="C53">
        <v>6000</v>
      </c>
      <c r="D53">
        <v>6100</v>
      </c>
      <c r="E53">
        <v>6000</v>
      </c>
      <c r="F53">
        <v>6100</v>
      </c>
      <c r="G53">
        <v>120885400</v>
      </c>
      <c r="H53" s="8">
        <f t="shared" si="0"/>
        <v>1.6666666666666666E-2</v>
      </c>
      <c r="I53" s="8">
        <f t="shared" si="1"/>
        <v>7.4889867841409691E-2</v>
      </c>
      <c r="J53" s="13">
        <f t="shared" si="2"/>
        <v>6166.25</v>
      </c>
      <c r="K53" s="13">
        <f t="shared" si="3"/>
        <v>5936</v>
      </c>
    </row>
    <row r="54" spans="1:11" x14ac:dyDescent="0.2">
      <c r="A54" s="2">
        <f ca="1">IFERROR(__xludf.DUMMYFUNCTION("""COMPUTED_VALUE"""),45372.6666666666)</f>
        <v>45372.666666666599</v>
      </c>
      <c r="B54" s="10">
        <v>45372</v>
      </c>
      <c r="C54">
        <v>6175</v>
      </c>
      <c r="D54">
        <v>6200</v>
      </c>
      <c r="E54">
        <v>6100</v>
      </c>
      <c r="F54">
        <v>6100</v>
      </c>
      <c r="G54">
        <v>136020000</v>
      </c>
      <c r="H54" s="8">
        <f t="shared" si="0"/>
        <v>0</v>
      </c>
      <c r="I54" s="8">
        <f t="shared" si="1"/>
        <v>7.4889867841409691E-2</v>
      </c>
      <c r="J54" s="13">
        <f t="shared" si="2"/>
        <v>6156.25</v>
      </c>
      <c r="K54" s="13">
        <f t="shared" si="3"/>
        <v>5944</v>
      </c>
    </row>
    <row r="55" spans="1:11" x14ac:dyDescent="0.2">
      <c r="A55" s="2">
        <f ca="1">IFERROR(__xludf.DUMMYFUNCTION("""COMPUTED_VALUE"""),45373.6666666666)</f>
        <v>45373.666666666599</v>
      </c>
      <c r="B55" s="10">
        <v>45373</v>
      </c>
      <c r="C55">
        <v>6050</v>
      </c>
      <c r="D55">
        <v>6125</v>
      </c>
      <c r="E55">
        <v>6050</v>
      </c>
      <c r="F55">
        <v>6125</v>
      </c>
      <c r="G55">
        <v>46529200</v>
      </c>
      <c r="H55" s="8">
        <f t="shared" si="0"/>
        <v>4.0983606557377051E-3</v>
      </c>
      <c r="I55" s="8">
        <f t="shared" si="1"/>
        <v>7.9295154185022032E-2</v>
      </c>
      <c r="J55" s="13">
        <f t="shared" si="2"/>
        <v>6147.5</v>
      </c>
      <c r="K55" s="13">
        <f t="shared" si="3"/>
        <v>5951.5</v>
      </c>
    </row>
    <row r="56" spans="1:11" x14ac:dyDescent="0.2">
      <c r="A56" s="2">
        <f ca="1">IFERROR(__xludf.DUMMYFUNCTION("""COMPUTED_VALUE"""),45376.6666666666)</f>
        <v>45376.666666666599</v>
      </c>
      <c r="B56" s="10">
        <v>45376</v>
      </c>
      <c r="C56">
        <v>6250</v>
      </c>
      <c r="D56">
        <v>6250</v>
      </c>
      <c r="E56">
        <v>6125</v>
      </c>
      <c r="F56">
        <v>6250</v>
      </c>
      <c r="G56">
        <v>115729600</v>
      </c>
      <c r="H56" s="8">
        <f t="shared" si="0"/>
        <v>2.0408163265306121E-2</v>
      </c>
      <c r="I56" s="8">
        <f t="shared" si="1"/>
        <v>0.1013215859030837</v>
      </c>
      <c r="J56" s="13">
        <f t="shared" si="2"/>
        <v>6147.5</v>
      </c>
      <c r="K56" s="13">
        <f t="shared" si="3"/>
        <v>5964</v>
      </c>
    </row>
    <row r="57" spans="1:11" x14ac:dyDescent="0.2">
      <c r="A57" s="2">
        <f ca="1">IFERROR(__xludf.DUMMYFUNCTION("""COMPUTED_VALUE"""),45377.6666666666)</f>
        <v>45377.666666666599</v>
      </c>
      <c r="B57" s="10">
        <v>45377</v>
      </c>
      <c r="C57">
        <v>6300</v>
      </c>
      <c r="D57">
        <v>6300</v>
      </c>
      <c r="E57">
        <v>6200</v>
      </c>
      <c r="F57">
        <v>6300</v>
      </c>
      <c r="G57">
        <v>120748400</v>
      </c>
      <c r="H57" s="8">
        <f t="shared" si="0"/>
        <v>8.0000000000000002E-3</v>
      </c>
      <c r="I57" s="8">
        <f t="shared" si="1"/>
        <v>0.11013215859030837</v>
      </c>
      <c r="J57" s="13">
        <f t="shared" si="2"/>
        <v>6156.25</v>
      </c>
      <c r="K57" s="13">
        <f t="shared" si="3"/>
        <v>5976</v>
      </c>
    </row>
    <row r="58" spans="1:11" x14ac:dyDescent="0.2">
      <c r="A58" s="2">
        <f ca="1">IFERROR(__xludf.DUMMYFUNCTION("""COMPUTED_VALUE"""),45378.6666666666)</f>
        <v>45378.666666666599</v>
      </c>
      <c r="B58" s="10">
        <v>45378</v>
      </c>
      <c r="C58">
        <v>6300</v>
      </c>
      <c r="D58">
        <v>6325</v>
      </c>
      <c r="E58">
        <v>6225</v>
      </c>
      <c r="F58">
        <v>6250</v>
      </c>
      <c r="G58">
        <v>73308900</v>
      </c>
      <c r="H58" s="8">
        <f t="shared" si="0"/>
        <v>-7.9365079365079361E-3</v>
      </c>
      <c r="I58" s="8">
        <f t="shared" si="1"/>
        <v>0.1013215859030837</v>
      </c>
      <c r="J58" s="13">
        <f t="shared" si="2"/>
        <v>6160</v>
      </c>
      <c r="K58" s="13">
        <f t="shared" si="3"/>
        <v>5987</v>
      </c>
    </row>
    <row r="59" spans="1:11" x14ac:dyDescent="0.2">
      <c r="A59" s="2">
        <f ca="1">IFERROR(__xludf.DUMMYFUNCTION("""COMPUTED_VALUE"""),45379.6666666666)</f>
        <v>45379.666666666599</v>
      </c>
      <c r="B59" s="10">
        <v>45379</v>
      </c>
      <c r="C59">
        <v>6100</v>
      </c>
      <c r="D59">
        <v>6200</v>
      </c>
      <c r="E59">
        <v>6025</v>
      </c>
      <c r="F59">
        <v>6050</v>
      </c>
      <c r="G59">
        <v>288926900</v>
      </c>
      <c r="H59" s="8">
        <f t="shared" si="0"/>
        <v>-3.2000000000000001E-2</v>
      </c>
      <c r="I59" s="8">
        <f t="shared" si="1"/>
        <v>6.6079295154185022E-2</v>
      </c>
      <c r="J59" s="13">
        <f t="shared" si="2"/>
        <v>6156.25</v>
      </c>
      <c r="K59" s="13">
        <f t="shared" si="3"/>
        <v>5993</v>
      </c>
    </row>
    <row r="60" spans="1:11" x14ac:dyDescent="0.2">
      <c r="A60" s="2">
        <f ca="1">IFERROR(__xludf.DUMMYFUNCTION("""COMPUTED_VALUE"""),45383.6666666666)</f>
        <v>45383.666666666599</v>
      </c>
      <c r="B60" s="10">
        <v>45383</v>
      </c>
      <c r="C60">
        <v>6000</v>
      </c>
      <c r="D60">
        <v>6025</v>
      </c>
      <c r="E60">
        <v>5825</v>
      </c>
      <c r="F60">
        <v>5925</v>
      </c>
      <c r="G60">
        <v>217207800</v>
      </c>
      <c r="H60" s="8">
        <f t="shared" si="0"/>
        <v>-2.0661157024793389E-2</v>
      </c>
      <c r="I60" s="8">
        <f t="shared" si="1"/>
        <v>4.405286343612335E-2</v>
      </c>
      <c r="J60" s="13">
        <f t="shared" si="2"/>
        <v>6141.25</v>
      </c>
      <c r="K60" s="13">
        <f t="shared" si="3"/>
        <v>5994.5</v>
      </c>
    </row>
    <row r="61" spans="1:11" x14ac:dyDescent="0.2">
      <c r="A61" s="2">
        <f ca="1">IFERROR(__xludf.DUMMYFUNCTION("""COMPUTED_VALUE"""),45384.6666666666)</f>
        <v>45384.666666666599</v>
      </c>
      <c r="B61" s="10">
        <v>45384</v>
      </c>
      <c r="C61">
        <v>5850</v>
      </c>
      <c r="D61">
        <v>5950</v>
      </c>
      <c r="E61">
        <v>5625</v>
      </c>
      <c r="F61">
        <v>5675</v>
      </c>
      <c r="G61">
        <v>412180900</v>
      </c>
      <c r="H61" s="8">
        <f t="shared" si="0"/>
        <v>-4.2194092827004218E-2</v>
      </c>
      <c r="I61" s="8">
        <f t="shared" si="1"/>
        <v>0</v>
      </c>
      <c r="J61" s="13">
        <f t="shared" si="2"/>
        <v>6118.75</v>
      </c>
      <c r="K61" s="13">
        <f t="shared" si="3"/>
        <v>5991.5</v>
      </c>
    </row>
    <row r="62" spans="1:11" x14ac:dyDescent="0.2">
      <c r="A62" s="2">
        <f ca="1">IFERROR(__xludf.DUMMYFUNCTION("""COMPUTED_VALUE"""),45385.6666666666)</f>
        <v>45385.666666666599</v>
      </c>
      <c r="B62" s="10">
        <v>45385</v>
      </c>
      <c r="C62">
        <v>5575</v>
      </c>
      <c r="D62">
        <v>5675</v>
      </c>
      <c r="E62">
        <v>5525</v>
      </c>
      <c r="F62">
        <v>5625</v>
      </c>
      <c r="G62">
        <v>333518700</v>
      </c>
      <c r="H62" s="8">
        <f t="shared" si="0"/>
        <v>-8.8105726872246704E-3</v>
      </c>
      <c r="I62" s="8">
        <f t="shared" si="1"/>
        <v>-8.8105726872246704E-3</v>
      </c>
      <c r="J62" s="13">
        <f t="shared" si="2"/>
        <v>6093.75</v>
      </c>
      <c r="K62" s="13">
        <f t="shared" si="3"/>
        <v>5987.5</v>
      </c>
    </row>
    <row r="63" spans="1:11" x14ac:dyDescent="0.2">
      <c r="A63" s="2">
        <f ca="1">IFERROR(__xludf.DUMMYFUNCTION("""COMPUTED_VALUE"""),45386.6666666666)</f>
        <v>45386.666666666599</v>
      </c>
      <c r="B63" s="10">
        <v>45386</v>
      </c>
      <c r="C63">
        <v>5650</v>
      </c>
      <c r="D63">
        <v>5750</v>
      </c>
      <c r="E63">
        <v>5650</v>
      </c>
      <c r="F63">
        <v>5700</v>
      </c>
      <c r="G63">
        <v>131936100</v>
      </c>
      <c r="H63" s="8">
        <f t="shared" si="0"/>
        <v>1.3333333333333334E-2</v>
      </c>
      <c r="I63" s="8">
        <f t="shared" si="1"/>
        <v>4.4052863436123352E-3</v>
      </c>
      <c r="J63" s="13">
        <f t="shared" si="2"/>
        <v>6076.25</v>
      </c>
      <c r="K63" s="13">
        <f t="shared" si="3"/>
        <v>5986</v>
      </c>
    </row>
    <row r="64" spans="1:11" x14ac:dyDescent="0.2">
      <c r="A64" s="2">
        <f ca="1">IFERROR(__xludf.DUMMYFUNCTION("""COMPUTED_VALUE"""),45387.6666666666)</f>
        <v>45387.666666666599</v>
      </c>
      <c r="B64" s="10">
        <v>45387</v>
      </c>
      <c r="C64">
        <v>5625</v>
      </c>
      <c r="D64">
        <v>5700</v>
      </c>
      <c r="E64">
        <v>5625</v>
      </c>
      <c r="F64">
        <v>5650</v>
      </c>
      <c r="G64">
        <v>178817800</v>
      </c>
      <c r="H64" s="8">
        <f t="shared" si="0"/>
        <v>-8.771929824561403E-3</v>
      </c>
      <c r="I64" s="8">
        <f t="shared" si="1"/>
        <v>-4.4052863436123352E-3</v>
      </c>
      <c r="J64" s="13">
        <f t="shared" si="2"/>
        <v>6052.5</v>
      </c>
      <c r="K64" s="13">
        <f t="shared" si="3"/>
        <v>5984</v>
      </c>
    </row>
    <row r="65" spans="1:11" x14ac:dyDescent="0.2">
      <c r="A65" s="2">
        <f ca="1">IFERROR(__xludf.DUMMYFUNCTION("""COMPUTED_VALUE"""),45398.6666666666)</f>
        <v>45398.666666666599</v>
      </c>
      <c r="B65" s="10">
        <v>45398</v>
      </c>
      <c r="C65">
        <v>5375</v>
      </c>
      <c r="D65">
        <v>5575</v>
      </c>
      <c r="E65">
        <v>5350</v>
      </c>
      <c r="F65">
        <v>5350</v>
      </c>
      <c r="G65">
        <v>600717500</v>
      </c>
      <c r="H65" s="8">
        <f t="shared" si="0"/>
        <v>-5.3097345132743362E-2</v>
      </c>
      <c r="I65" s="8">
        <f t="shared" si="1"/>
        <v>-5.7268722466960353E-2</v>
      </c>
      <c r="J65" s="13">
        <f t="shared" si="2"/>
        <v>6010</v>
      </c>
      <c r="K65" s="13">
        <f t="shared" si="3"/>
        <v>5975</v>
      </c>
    </row>
    <row r="66" spans="1:11" x14ac:dyDescent="0.2">
      <c r="A66" s="2">
        <f ca="1">IFERROR(__xludf.DUMMYFUNCTION("""COMPUTED_VALUE"""),45399.6666666666)</f>
        <v>45399.666666666599</v>
      </c>
      <c r="B66" s="10">
        <v>45399</v>
      </c>
      <c r="C66">
        <v>5475</v>
      </c>
      <c r="D66">
        <v>5500</v>
      </c>
      <c r="E66">
        <v>5300</v>
      </c>
      <c r="F66">
        <v>5300</v>
      </c>
      <c r="G66">
        <v>244002000</v>
      </c>
      <c r="H66" s="8">
        <f t="shared" si="0"/>
        <v>-9.3457943925233638E-3</v>
      </c>
      <c r="I66" s="8">
        <f t="shared" si="1"/>
        <v>-6.6079295154185022E-2</v>
      </c>
      <c r="J66" s="13">
        <f t="shared" si="2"/>
        <v>5963.75</v>
      </c>
      <c r="K66" s="13">
        <f t="shared" si="3"/>
        <v>5965.5</v>
      </c>
    </row>
    <row r="67" spans="1:11" x14ac:dyDescent="0.2">
      <c r="A67" s="2">
        <f ca="1">IFERROR(__xludf.DUMMYFUNCTION("""COMPUTED_VALUE"""),45400.6666666666)</f>
        <v>45400.666666666599</v>
      </c>
      <c r="B67" s="10">
        <v>45400</v>
      </c>
      <c r="C67">
        <v>5300</v>
      </c>
      <c r="D67">
        <v>5500</v>
      </c>
      <c r="E67">
        <v>5300</v>
      </c>
      <c r="F67">
        <v>5475</v>
      </c>
      <c r="G67">
        <v>247410700</v>
      </c>
      <c r="H67" s="8">
        <f t="shared" si="0"/>
        <v>3.3018867924528301E-2</v>
      </c>
      <c r="I67" s="8">
        <f t="shared" si="1"/>
        <v>-3.5242290748898682E-2</v>
      </c>
      <c r="J67" s="13">
        <f t="shared" si="2"/>
        <v>5920</v>
      </c>
      <c r="K67" s="13">
        <f t="shared" si="3"/>
        <v>5961</v>
      </c>
    </row>
    <row r="68" spans="1:11" x14ac:dyDescent="0.2">
      <c r="A68" s="2">
        <f ca="1">IFERROR(__xludf.DUMMYFUNCTION("""COMPUTED_VALUE"""),45401.6666666666)</f>
        <v>45401.666666666599</v>
      </c>
      <c r="B68" s="10">
        <v>45401</v>
      </c>
      <c r="C68">
        <v>5350</v>
      </c>
      <c r="D68">
        <v>5375</v>
      </c>
      <c r="E68">
        <v>5250</v>
      </c>
      <c r="F68">
        <v>5275</v>
      </c>
      <c r="G68">
        <v>258211500</v>
      </c>
      <c r="H68" s="8">
        <f t="shared" ref="H68:H131" si="4">(F68-F67)/F67</f>
        <v>-3.6529680365296802E-2</v>
      </c>
      <c r="I68" s="8">
        <f t="shared" ref="I68:I131" si="5">(F68-$F$2)/$F$2</f>
        <v>-7.0484581497797363E-2</v>
      </c>
      <c r="J68" s="13">
        <f t="shared" si="2"/>
        <v>5863.75</v>
      </c>
      <c r="K68" s="13">
        <f t="shared" si="3"/>
        <v>5953.5</v>
      </c>
    </row>
    <row r="69" spans="1:11" x14ac:dyDescent="0.2">
      <c r="A69" s="2">
        <f ca="1">IFERROR(__xludf.DUMMYFUNCTION("""COMPUTED_VALUE"""),45404.6666666666)</f>
        <v>45404.666666666599</v>
      </c>
      <c r="B69" s="10">
        <v>45404</v>
      </c>
      <c r="C69">
        <v>5200</v>
      </c>
      <c r="D69">
        <v>5325</v>
      </c>
      <c r="E69">
        <v>5150</v>
      </c>
      <c r="F69">
        <v>5300</v>
      </c>
      <c r="G69">
        <v>342282800</v>
      </c>
      <c r="H69" s="8">
        <f t="shared" si="4"/>
        <v>4.7393364928909956E-3</v>
      </c>
      <c r="I69" s="8">
        <f t="shared" si="5"/>
        <v>-6.6079295154185022E-2</v>
      </c>
      <c r="J69" s="13">
        <f t="shared" si="2"/>
        <v>5821.25</v>
      </c>
      <c r="K69" s="13">
        <f t="shared" si="3"/>
        <v>5949</v>
      </c>
    </row>
    <row r="70" spans="1:11" x14ac:dyDescent="0.2">
      <c r="A70" s="2">
        <f ca="1">IFERROR(__xludf.DUMMYFUNCTION("""COMPUTED_VALUE"""),45405.6666666666)</f>
        <v>45405.666666666599</v>
      </c>
      <c r="B70" s="10">
        <v>45405</v>
      </c>
      <c r="C70">
        <v>5350</v>
      </c>
      <c r="D70">
        <v>5400</v>
      </c>
      <c r="E70">
        <v>5225</v>
      </c>
      <c r="F70">
        <v>5300</v>
      </c>
      <c r="G70">
        <v>281403100</v>
      </c>
      <c r="H70" s="8">
        <f t="shared" si="4"/>
        <v>0</v>
      </c>
      <c r="I70" s="8">
        <f t="shared" si="5"/>
        <v>-6.6079295154185022E-2</v>
      </c>
      <c r="J70" s="13">
        <f t="shared" si="2"/>
        <v>5787.5</v>
      </c>
      <c r="K70" s="13">
        <f t="shared" si="3"/>
        <v>5946.5</v>
      </c>
    </row>
    <row r="71" spans="1:11" x14ac:dyDescent="0.2">
      <c r="A71" s="2">
        <f ca="1">IFERROR(__xludf.DUMMYFUNCTION("""COMPUTED_VALUE"""),45406.6666666666)</f>
        <v>45406.666666666599</v>
      </c>
      <c r="B71" s="10">
        <v>45406</v>
      </c>
      <c r="C71">
        <v>5250</v>
      </c>
      <c r="D71">
        <v>5350</v>
      </c>
      <c r="E71">
        <v>5150</v>
      </c>
      <c r="F71">
        <v>5225</v>
      </c>
      <c r="G71">
        <v>471241400</v>
      </c>
      <c r="H71" s="8">
        <f t="shared" si="4"/>
        <v>-1.4150943396226415E-2</v>
      </c>
      <c r="I71" s="8">
        <f t="shared" si="5"/>
        <v>-7.9295154185022032E-2</v>
      </c>
      <c r="J71" s="13">
        <f t="shared" si="2"/>
        <v>5748.75</v>
      </c>
      <c r="K71" s="13">
        <f t="shared" si="3"/>
        <v>5939.5</v>
      </c>
    </row>
    <row r="72" spans="1:11" x14ac:dyDescent="0.2">
      <c r="A72" s="2">
        <f ca="1">IFERROR(__xludf.DUMMYFUNCTION("""COMPUTED_VALUE"""),45407.6666666666)</f>
        <v>45407.666666666599</v>
      </c>
      <c r="B72" s="10">
        <v>45407</v>
      </c>
      <c r="C72">
        <v>5125</v>
      </c>
      <c r="D72">
        <v>5200</v>
      </c>
      <c r="E72">
        <v>5050</v>
      </c>
      <c r="F72">
        <v>5150</v>
      </c>
      <c r="G72">
        <v>479170900</v>
      </c>
      <c r="H72" s="8">
        <f t="shared" si="4"/>
        <v>-1.4354066985645933E-2</v>
      </c>
      <c r="I72" s="8">
        <f t="shared" si="5"/>
        <v>-9.2511013215859028E-2</v>
      </c>
      <c r="J72" s="13">
        <f t="shared" si="2"/>
        <v>5706.25</v>
      </c>
      <c r="K72" s="13">
        <f t="shared" si="3"/>
        <v>5930</v>
      </c>
    </row>
    <row r="73" spans="1:11" x14ac:dyDescent="0.2">
      <c r="A73" s="2">
        <f ca="1">IFERROR(__xludf.DUMMYFUNCTION("""COMPUTED_VALUE"""),45408.6666666666)</f>
        <v>45408.666666666599</v>
      </c>
      <c r="B73" s="10">
        <v>45408</v>
      </c>
      <c r="C73">
        <v>5050</v>
      </c>
      <c r="D73">
        <v>5100</v>
      </c>
      <c r="E73">
        <v>4830</v>
      </c>
      <c r="F73">
        <v>4830</v>
      </c>
      <c r="G73">
        <v>782589900</v>
      </c>
      <c r="H73" s="8">
        <f t="shared" si="4"/>
        <v>-6.2135922330097085E-2</v>
      </c>
      <c r="I73" s="8">
        <f t="shared" si="5"/>
        <v>-0.14889867841409693</v>
      </c>
      <c r="J73" s="13">
        <f t="shared" si="2"/>
        <v>5642.75</v>
      </c>
      <c r="K73" s="13">
        <f t="shared" si="3"/>
        <v>5912.6</v>
      </c>
    </row>
    <row r="74" spans="1:11" x14ac:dyDescent="0.2">
      <c r="A74" s="2">
        <f ca="1">IFERROR(__xludf.DUMMYFUNCTION("""COMPUTED_VALUE"""),45411.6666666666)</f>
        <v>45411.666666666599</v>
      </c>
      <c r="B74" s="10">
        <v>45411</v>
      </c>
      <c r="C74">
        <v>4700</v>
      </c>
      <c r="D74">
        <v>4890</v>
      </c>
      <c r="E74">
        <v>4680</v>
      </c>
      <c r="F74">
        <v>4770</v>
      </c>
      <c r="G74">
        <v>700644800</v>
      </c>
      <c r="H74" s="8">
        <f t="shared" si="4"/>
        <v>-1.2422360248447204E-2</v>
      </c>
      <c r="I74" s="8">
        <f t="shared" si="5"/>
        <v>-0.15947136563876652</v>
      </c>
      <c r="J74" s="13">
        <f t="shared" si="2"/>
        <v>5576.25</v>
      </c>
      <c r="K74" s="13">
        <f t="shared" si="3"/>
        <v>5893</v>
      </c>
    </row>
    <row r="75" spans="1:11" x14ac:dyDescent="0.2">
      <c r="A75" s="2">
        <f ca="1">IFERROR(__xludf.DUMMYFUNCTION("""COMPUTED_VALUE"""),45412.6666666666)</f>
        <v>45412.666666666599</v>
      </c>
      <c r="B75" s="10">
        <v>45412</v>
      </c>
      <c r="C75">
        <v>4850</v>
      </c>
      <c r="D75">
        <v>5050</v>
      </c>
      <c r="E75">
        <v>4820</v>
      </c>
      <c r="F75">
        <v>4940</v>
      </c>
      <c r="G75">
        <v>565609200</v>
      </c>
      <c r="H75" s="8">
        <f t="shared" si="4"/>
        <v>3.5639412997903561E-2</v>
      </c>
      <c r="I75" s="8">
        <f t="shared" si="5"/>
        <v>-0.12951541850220263</v>
      </c>
      <c r="J75" s="13">
        <f t="shared" si="2"/>
        <v>5517</v>
      </c>
      <c r="K75" s="13">
        <f t="shared" si="3"/>
        <v>5874.8</v>
      </c>
    </row>
    <row r="76" spans="1:11" x14ac:dyDescent="0.2">
      <c r="A76" s="2">
        <f ca="1">IFERROR(__xludf.DUMMYFUNCTION("""COMPUTED_VALUE"""),45414.6666666666)</f>
        <v>45414.666666666599</v>
      </c>
      <c r="B76" s="10">
        <v>45414</v>
      </c>
      <c r="C76">
        <v>4910</v>
      </c>
      <c r="D76">
        <v>4920</v>
      </c>
      <c r="E76">
        <v>4700</v>
      </c>
      <c r="F76">
        <v>4760</v>
      </c>
      <c r="G76">
        <v>636922100</v>
      </c>
      <c r="H76" s="8">
        <f t="shared" si="4"/>
        <v>-3.643724696356275E-2</v>
      </c>
      <c r="I76" s="8">
        <f t="shared" si="5"/>
        <v>-0.16123348017621145</v>
      </c>
      <c r="J76" s="13">
        <f t="shared" si="2"/>
        <v>5442.5</v>
      </c>
      <c r="K76" s="13">
        <f t="shared" si="3"/>
        <v>5854.5</v>
      </c>
    </row>
    <row r="77" spans="1:11" x14ac:dyDescent="0.2">
      <c r="A77" s="2">
        <f ca="1">IFERROR(__xludf.DUMMYFUNCTION("""COMPUTED_VALUE"""),45415.6666666666)</f>
        <v>45415.666666666599</v>
      </c>
      <c r="B77" s="10">
        <v>45415</v>
      </c>
      <c r="C77">
        <v>4760</v>
      </c>
      <c r="D77">
        <v>4830</v>
      </c>
      <c r="E77">
        <v>4710</v>
      </c>
      <c r="F77">
        <v>4750</v>
      </c>
      <c r="G77">
        <v>321697200</v>
      </c>
      <c r="H77" s="8">
        <f t="shared" si="4"/>
        <v>-2.1008403361344537E-3</v>
      </c>
      <c r="I77" s="8">
        <f t="shared" si="5"/>
        <v>-0.16299559471365638</v>
      </c>
      <c r="J77" s="13">
        <f t="shared" si="2"/>
        <v>5365</v>
      </c>
      <c r="K77" s="13">
        <f t="shared" si="3"/>
        <v>5833</v>
      </c>
    </row>
    <row r="78" spans="1:11" x14ac:dyDescent="0.2">
      <c r="A78" s="2">
        <f ca="1">IFERROR(__xludf.DUMMYFUNCTION("""COMPUTED_VALUE"""),45418.6666666666)</f>
        <v>45418.666666666599</v>
      </c>
      <c r="B78" s="10">
        <v>45418</v>
      </c>
      <c r="C78">
        <v>4800</v>
      </c>
      <c r="D78">
        <v>4840</v>
      </c>
      <c r="E78">
        <v>4730</v>
      </c>
      <c r="F78">
        <v>4790</v>
      </c>
      <c r="G78">
        <v>262707400</v>
      </c>
      <c r="H78" s="8">
        <f t="shared" si="4"/>
        <v>8.4210526315789472E-3</v>
      </c>
      <c r="I78" s="8">
        <f t="shared" si="5"/>
        <v>-0.15594713656387665</v>
      </c>
      <c r="J78" s="13">
        <f t="shared" si="2"/>
        <v>5292</v>
      </c>
      <c r="K78" s="13">
        <f t="shared" si="3"/>
        <v>5811.8</v>
      </c>
    </row>
    <row r="79" spans="1:11" x14ac:dyDescent="0.2">
      <c r="A79" s="2">
        <f ca="1">IFERROR(__xludf.DUMMYFUNCTION("""COMPUTED_VALUE"""),45419.6666666666)</f>
        <v>45419.666666666599</v>
      </c>
      <c r="B79" s="10">
        <v>45419</v>
      </c>
      <c r="C79">
        <v>4770</v>
      </c>
      <c r="D79">
        <v>4780</v>
      </c>
      <c r="E79">
        <v>4670</v>
      </c>
      <c r="F79">
        <v>4670</v>
      </c>
      <c r="G79">
        <v>304013600</v>
      </c>
      <c r="H79" s="8">
        <f t="shared" si="4"/>
        <v>-2.5052192066805846E-2</v>
      </c>
      <c r="I79" s="8">
        <f t="shared" si="5"/>
        <v>-0.17709251101321585</v>
      </c>
      <c r="J79" s="13">
        <f t="shared" si="2"/>
        <v>5223</v>
      </c>
      <c r="K79" s="13">
        <f t="shared" si="3"/>
        <v>5784.7</v>
      </c>
    </row>
    <row r="80" spans="1:11" x14ac:dyDescent="0.2">
      <c r="A80" s="2">
        <f ca="1">IFERROR(__xludf.DUMMYFUNCTION("""COMPUTED_VALUE"""),45420.6666666666)</f>
        <v>45420.666666666599</v>
      </c>
      <c r="B80" s="10">
        <v>45420</v>
      </c>
      <c r="C80">
        <v>4650</v>
      </c>
      <c r="D80">
        <v>4740</v>
      </c>
      <c r="E80">
        <v>4570</v>
      </c>
      <c r="F80">
        <v>4680</v>
      </c>
      <c r="G80">
        <v>572275800</v>
      </c>
      <c r="H80" s="8">
        <f t="shared" si="4"/>
        <v>2.1413276231263384E-3</v>
      </c>
      <c r="I80" s="8">
        <f t="shared" si="5"/>
        <v>-0.17533039647577092</v>
      </c>
      <c r="J80" s="13">
        <f t="shared" si="2"/>
        <v>5160.75</v>
      </c>
      <c r="K80" s="13">
        <f t="shared" si="3"/>
        <v>5758.3</v>
      </c>
    </row>
    <row r="81" spans="1:11" x14ac:dyDescent="0.2">
      <c r="A81" s="2">
        <f ca="1">IFERROR(__xludf.DUMMYFUNCTION("""COMPUTED_VALUE"""),45425.6666666666)</f>
        <v>45425.666666666599</v>
      </c>
      <c r="B81" s="10">
        <v>45425</v>
      </c>
      <c r="C81">
        <v>4650</v>
      </c>
      <c r="D81">
        <v>4700</v>
      </c>
      <c r="E81">
        <v>4630</v>
      </c>
      <c r="F81">
        <v>4680</v>
      </c>
      <c r="G81">
        <v>320067100</v>
      </c>
      <c r="H81" s="8">
        <f t="shared" si="4"/>
        <v>0</v>
      </c>
      <c r="I81" s="8">
        <f t="shared" si="5"/>
        <v>-0.17533039647577092</v>
      </c>
      <c r="J81" s="13">
        <f t="shared" si="2"/>
        <v>5111</v>
      </c>
      <c r="K81" s="13">
        <f t="shared" si="3"/>
        <v>5729.4</v>
      </c>
    </row>
    <row r="82" spans="1:11" x14ac:dyDescent="0.2">
      <c r="A82" s="2">
        <f ca="1">IFERROR(__xludf.DUMMYFUNCTION("""COMPUTED_VALUE"""),45426.6666666666)</f>
        <v>45426.666666666599</v>
      </c>
      <c r="B82" s="10">
        <v>45426</v>
      </c>
      <c r="C82">
        <v>4720</v>
      </c>
      <c r="D82">
        <v>4810</v>
      </c>
      <c r="E82">
        <v>4700</v>
      </c>
      <c r="F82">
        <v>4730</v>
      </c>
      <c r="G82">
        <v>341458900</v>
      </c>
      <c r="H82" s="8">
        <f t="shared" si="4"/>
        <v>1.0683760683760684E-2</v>
      </c>
      <c r="I82" s="8">
        <f t="shared" si="5"/>
        <v>-0.16651982378854627</v>
      </c>
      <c r="J82" s="13">
        <f t="shared" si="2"/>
        <v>5066.25</v>
      </c>
      <c r="K82" s="13">
        <f t="shared" si="3"/>
        <v>5701</v>
      </c>
    </row>
    <row r="83" spans="1:11" x14ac:dyDescent="0.2">
      <c r="A83" s="2">
        <f ca="1">IFERROR(__xludf.DUMMYFUNCTION("""COMPUTED_VALUE"""),45427.6666666666)</f>
        <v>45427.666666666599</v>
      </c>
      <c r="B83" s="10">
        <v>45427</v>
      </c>
      <c r="C83">
        <v>4780</v>
      </c>
      <c r="D83">
        <v>4870</v>
      </c>
      <c r="E83">
        <v>4760</v>
      </c>
      <c r="F83">
        <v>4820</v>
      </c>
      <c r="G83">
        <v>298990300</v>
      </c>
      <c r="H83" s="8">
        <f t="shared" si="4"/>
        <v>1.9027484143763214E-2</v>
      </c>
      <c r="I83" s="8">
        <f t="shared" si="5"/>
        <v>-0.15066079295154186</v>
      </c>
      <c r="J83" s="13">
        <f t="shared" si="2"/>
        <v>5022.25</v>
      </c>
      <c r="K83" s="13">
        <f t="shared" si="3"/>
        <v>5675.4</v>
      </c>
    </row>
    <row r="84" spans="1:11" x14ac:dyDescent="0.2">
      <c r="A84" s="2">
        <f ca="1">IFERROR(__xludf.DUMMYFUNCTION("""COMPUTED_VALUE"""),45428.6666666666)</f>
        <v>45428.666666666599</v>
      </c>
      <c r="B84" s="10">
        <v>45428</v>
      </c>
      <c r="C84">
        <v>4930</v>
      </c>
      <c r="D84">
        <v>4960</v>
      </c>
      <c r="E84">
        <v>4840</v>
      </c>
      <c r="F84">
        <v>4840</v>
      </c>
      <c r="G84">
        <v>371295000</v>
      </c>
      <c r="H84" s="8">
        <f t="shared" si="4"/>
        <v>4.1493775933609959E-3</v>
      </c>
      <c r="I84" s="8">
        <f t="shared" si="5"/>
        <v>-0.14713656387665197</v>
      </c>
      <c r="J84" s="13">
        <f t="shared" si="2"/>
        <v>4981.75</v>
      </c>
      <c r="K84" s="13">
        <f t="shared" si="3"/>
        <v>5646.2</v>
      </c>
    </row>
    <row r="85" spans="1:11" x14ac:dyDescent="0.2">
      <c r="A85" s="2">
        <f ca="1">IFERROR(__xludf.DUMMYFUNCTION("""COMPUTED_VALUE"""),45429.6666666666)</f>
        <v>45429.666666666599</v>
      </c>
      <c r="B85" s="10">
        <v>45429</v>
      </c>
      <c r="C85">
        <v>4840</v>
      </c>
      <c r="D85">
        <v>4960</v>
      </c>
      <c r="E85">
        <v>4820</v>
      </c>
      <c r="F85">
        <v>4920</v>
      </c>
      <c r="G85">
        <v>208991800</v>
      </c>
      <c r="H85" s="8">
        <f t="shared" si="4"/>
        <v>1.6528925619834711E-2</v>
      </c>
      <c r="I85" s="8">
        <f t="shared" si="5"/>
        <v>-0.13303964757709252</v>
      </c>
      <c r="J85" s="13">
        <f t="shared" si="2"/>
        <v>4960.25</v>
      </c>
      <c r="K85" s="13">
        <f t="shared" si="3"/>
        <v>5618.6</v>
      </c>
    </row>
    <row r="86" spans="1:11" x14ac:dyDescent="0.2">
      <c r="A86" s="2">
        <f ca="1">IFERROR(__xludf.DUMMYFUNCTION("""COMPUTED_VALUE"""),45432.6666666666)</f>
        <v>45432.666666666599</v>
      </c>
      <c r="B86" s="10">
        <v>45432</v>
      </c>
      <c r="C86">
        <v>4990</v>
      </c>
      <c r="D86">
        <v>5050</v>
      </c>
      <c r="E86">
        <v>4820</v>
      </c>
      <c r="F86">
        <v>4820</v>
      </c>
      <c r="G86">
        <v>335150700</v>
      </c>
      <c r="H86" s="8">
        <f t="shared" si="4"/>
        <v>-2.032520325203252E-2</v>
      </c>
      <c r="I86" s="8">
        <f t="shared" si="5"/>
        <v>-0.15066079295154186</v>
      </c>
      <c r="J86" s="13">
        <f t="shared" ref="J86:J149" si="6">AVERAGE(F67:F86)</f>
        <v>4936.25</v>
      </c>
      <c r="K86" s="13">
        <f t="shared" si="3"/>
        <v>5590</v>
      </c>
    </row>
    <row r="87" spans="1:11" x14ac:dyDescent="0.2">
      <c r="A87" s="2">
        <f ca="1">IFERROR(__xludf.DUMMYFUNCTION("""COMPUTED_VALUE"""),45433.6666666666)</f>
        <v>45433.666666666599</v>
      </c>
      <c r="B87" s="10">
        <v>45433</v>
      </c>
      <c r="C87">
        <v>4810</v>
      </c>
      <c r="D87">
        <v>4870</v>
      </c>
      <c r="E87">
        <v>4680</v>
      </c>
      <c r="F87">
        <v>4680</v>
      </c>
      <c r="G87">
        <v>271568800</v>
      </c>
      <c r="H87" s="8">
        <f t="shared" si="4"/>
        <v>-2.9045643153526972E-2</v>
      </c>
      <c r="I87" s="8">
        <f t="shared" si="5"/>
        <v>-0.17533039647577092</v>
      </c>
      <c r="J87" s="13">
        <f t="shared" si="6"/>
        <v>4896.5</v>
      </c>
      <c r="K87" s="13">
        <f t="shared" si="3"/>
        <v>5561.1</v>
      </c>
    </row>
    <row r="88" spans="1:11" x14ac:dyDescent="0.2">
      <c r="A88" s="2">
        <f ca="1">IFERROR(__xludf.DUMMYFUNCTION("""COMPUTED_VALUE"""),45434.6666666666)</f>
        <v>45434.666666666599</v>
      </c>
      <c r="B88" s="10">
        <v>45434</v>
      </c>
      <c r="C88">
        <v>4650</v>
      </c>
      <c r="D88">
        <v>4770</v>
      </c>
      <c r="E88">
        <v>4650</v>
      </c>
      <c r="F88">
        <v>4720</v>
      </c>
      <c r="G88">
        <v>215066000</v>
      </c>
      <c r="H88" s="8">
        <f t="shared" si="4"/>
        <v>8.5470085470085479E-3</v>
      </c>
      <c r="I88" s="8">
        <f t="shared" si="5"/>
        <v>-0.1682819383259912</v>
      </c>
      <c r="J88" s="13">
        <f t="shared" si="6"/>
        <v>4868.75</v>
      </c>
      <c r="K88" s="13">
        <f t="shared" si="3"/>
        <v>5532</v>
      </c>
    </row>
    <row r="89" spans="1:11" x14ac:dyDescent="0.2">
      <c r="A89" s="2">
        <f ca="1">IFERROR(__xludf.DUMMYFUNCTION("""COMPUTED_VALUE"""),45439.6666666666)</f>
        <v>45439.666666666599</v>
      </c>
      <c r="B89" s="10">
        <v>45439</v>
      </c>
      <c r="C89">
        <v>4700</v>
      </c>
      <c r="D89">
        <v>4720</v>
      </c>
      <c r="E89">
        <v>4550</v>
      </c>
      <c r="F89">
        <v>4550</v>
      </c>
      <c r="G89">
        <v>363719300</v>
      </c>
      <c r="H89" s="8">
        <f t="shared" si="4"/>
        <v>-3.6016949152542374E-2</v>
      </c>
      <c r="I89" s="8">
        <f t="shared" si="5"/>
        <v>-0.19823788546255505</v>
      </c>
      <c r="J89" s="13">
        <f t="shared" si="6"/>
        <v>4831.25</v>
      </c>
      <c r="K89" s="13">
        <f t="shared" si="3"/>
        <v>5500.5</v>
      </c>
    </row>
    <row r="90" spans="1:11" x14ac:dyDescent="0.2">
      <c r="A90" s="2">
        <f ca="1">IFERROR(__xludf.DUMMYFUNCTION("""COMPUTED_VALUE"""),45440.6666666666)</f>
        <v>45440.666666666599</v>
      </c>
      <c r="B90" s="10">
        <v>45440</v>
      </c>
      <c r="C90">
        <v>4580</v>
      </c>
      <c r="D90">
        <v>4630</v>
      </c>
      <c r="E90">
        <v>4520</v>
      </c>
      <c r="F90">
        <v>4530</v>
      </c>
      <c r="G90">
        <v>258070200</v>
      </c>
      <c r="H90" s="8">
        <f t="shared" si="4"/>
        <v>-4.3956043956043956E-3</v>
      </c>
      <c r="I90" s="8">
        <f t="shared" si="5"/>
        <v>-0.20176211453744494</v>
      </c>
      <c r="J90" s="13">
        <f t="shared" si="6"/>
        <v>4792.75</v>
      </c>
      <c r="K90" s="13">
        <f t="shared" si="3"/>
        <v>5466.6</v>
      </c>
    </row>
    <row r="91" spans="1:11" x14ac:dyDescent="0.2">
      <c r="A91" s="2">
        <f ca="1">IFERROR(__xludf.DUMMYFUNCTION("""COMPUTED_VALUE"""),45441.6666666666)</f>
        <v>45441.666666666599</v>
      </c>
      <c r="B91" s="10">
        <v>45441</v>
      </c>
      <c r="C91">
        <v>4480</v>
      </c>
      <c r="D91">
        <v>4500</v>
      </c>
      <c r="E91">
        <v>4400</v>
      </c>
      <c r="F91">
        <v>4410</v>
      </c>
      <c r="G91">
        <v>465008500</v>
      </c>
      <c r="H91" s="8">
        <f t="shared" si="4"/>
        <v>-2.6490066225165563E-2</v>
      </c>
      <c r="I91" s="8">
        <f t="shared" si="5"/>
        <v>-0.22290748898678414</v>
      </c>
      <c r="J91" s="13">
        <f t="shared" si="6"/>
        <v>4752</v>
      </c>
      <c r="K91" s="13">
        <f t="shared" si="3"/>
        <v>5432.3</v>
      </c>
    </row>
    <row r="92" spans="1:11" x14ac:dyDescent="0.2">
      <c r="A92" s="2">
        <f ca="1">IFERROR(__xludf.DUMMYFUNCTION("""COMPUTED_VALUE"""),45442.6666666666)</f>
        <v>45442.666666666599</v>
      </c>
      <c r="B92" s="10">
        <v>45442</v>
      </c>
      <c r="C92">
        <v>4400</v>
      </c>
      <c r="D92">
        <v>4480</v>
      </c>
      <c r="E92">
        <v>4310</v>
      </c>
      <c r="F92">
        <v>4380</v>
      </c>
      <c r="G92">
        <v>502927800</v>
      </c>
      <c r="H92" s="8">
        <f t="shared" si="4"/>
        <v>-6.8027210884353739E-3</v>
      </c>
      <c r="I92" s="8">
        <f t="shared" si="5"/>
        <v>-0.22819383259911893</v>
      </c>
      <c r="J92" s="13">
        <f t="shared" si="6"/>
        <v>4713.5</v>
      </c>
      <c r="K92" s="13">
        <f t="shared" si="3"/>
        <v>5397.4</v>
      </c>
    </row>
    <row r="93" spans="1:11" x14ac:dyDescent="0.2">
      <c r="A93" s="2">
        <f ca="1">IFERROR(__xludf.DUMMYFUNCTION("""COMPUTED_VALUE"""),45443.6666666666)</f>
        <v>45443.666666666599</v>
      </c>
      <c r="B93" s="10">
        <v>45443</v>
      </c>
      <c r="C93">
        <v>4430</v>
      </c>
      <c r="D93">
        <v>4470</v>
      </c>
      <c r="E93">
        <v>4330</v>
      </c>
      <c r="F93">
        <v>4340</v>
      </c>
      <c r="G93">
        <v>655144100</v>
      </c>
      <c r="H93" s="8">
        <f t="shared" si="4"/>
        <v>-9.1324200913242004E-3</v>
      </c>
      <c r="I93" s="8">
        <f t="shared" si="5"/>
        <v>-0.23524229074889869</v>
      </c>
      <c r="J93" s="13">
        <f t="shared" si="6"/>
        <v>4689</v>
      </c>
      <c r="K93" s="13">
        <f t="shared" si="3"/>
        <v>5363.2</v>
      </c>
    </row>
    <row r="94" spans="1:11" x14ac:dyDescent="0.2">
      <c r="A94" s="2">
        <f ca="1">IFERROR(__xludf.DUMMYFUNCTION("""COMPUTED_VALUE"""),45446.6666666666)</f>
        <v>45446.666666666599</v>
      </c>
      <c r="B94" s="10">
        <v>45446</v>
      </c>
      <c r="C94">
        <v>4430</v>
      </c>
      <c r="D94">
        <v>4560</v>
      </c>
      <c r="E94">
        <v>4400</v>
      </c>
      <c r="F94">
        <v>4530</v>
      </c>
      <c r="G94">
        <v>345770100</v>
      </c>
      <c r="H94" s="8">
        <f t="shared" si="4"/>
        <v>4.377880184331797E-2</v>
      </c>
      <c r="I94" s="8">
        <f t="shared" si="5"/>
        <v>-0.20176211453744494</v>
      </c>
      <c r="J94" s="13">
        <f t="shared" si="6"/>
        <v>4677</v>
      </c>
      <c r="K94" s="13">
        <f t="shared" si="3"/>
        <v>5331.3</v>
      </c>
    </row>
    <row r="95" spans="1:11" x14ac:dyDescent="0.2">
      <c r="A95" s="2">
        <f ca="1">IFERROR(__xludf.DUMMYFUNCTION("""COMPUTED_VALUE"""),45447.6666666666)</f>
        <v>45447.666666666599</v>
      </c>
      <c r="B95" s="10">
        <v>45447</v>
      </c>
      <c r="C95">
        <v>4560</v>
      </c>
      <c r="D95">
        <v>4590</v>
      </c>
      <c r="E95">
        <v>4450</v>
      </c>
      <c r="F95">
        <v>4450</v>
      </c>
      <c r="G95">
        <v>332902200</v>
      </c>
      <c r="H95" s="8">
        <f t="shared" si="4"/>
        <v>-1.7660044150110375E-2</v>
      </c>
      <c r="I95" s="8">
        <f t="shared" si="5"/>
        <v>-0.21585903083700442</v>
      </c>
      <c r="J95" s="13">
        <f t="shared" si="6"/>
        <v>4652.5</v>
      </c>
      <c r="K95" s="13">
        <f t="shared" si="3"/>
        <v>5296.3</v>
      </c>
    </row>
    <row r="96" spans="1:11" x14ac:dyDescent="0.2">
      <c r="A96" s="2">
        <f ca="1">IFERROR(__xludf.DUMMYFUNCTION("""COMPUTED_VALUE"""),45448.6666666666)</f>
        <v>45448.666666666599</v>
      </c>
      <c r="B96" s="10">
        <v>45448</v>
      </c>
      <c r="C96">
        <v>4500</v>
      </c>
      <c r="D96">
        <v>4500</v>
      </c>
      <c r="E96">
        <v>4400</v>
      </c>
      <c r="F96">
        <v>4400</v>
      </c>
      <c r="G96">
        <v>240788500</v>
      </c>
      <c r="H96" s="8">
        <f t="shared" si="4"/>
        <v>-1.1235955056179775E-2</v>
      </c>
      <c r="I96" s="8">
        <f t="shared" si="5"/>
        <v>-0.22466960352422907</v>
      </c>
      <c r="J96" s="13">
        <f t="shared" si="6"/>
        <v>4634.5</v>
      </c>
      <c r="K96" s="13">
        <f t="shared" si="3"/>
        <v>5259.8</v>
      </c>
    </row>
    <row r="97" spans="1:11" x14ac:dyDescent="0.2">
      <c r="A97" s="2">
        <f ca="1">IFERROR(__xludf.DUMMYFUNCTION("""COMPUTED_VALUE"""),45449.6666666666)</f>
        <v>45449.666666666599</v>
      </c>
      <c r="B97" s="10"/>
      <c r="C97">
        <v>4450</v>
      </c>
      <c r="D97">
        <v>4500</v>
      </c>
      <c r="E97">
        <v>4390</v>
      </c>
      <c r="F97">
        <v>4500</v>
      </c>
      <c r="G97">
        <v>281534200</v>
      </c>
      <c r="H97" s="8">
        <f t="shared" si="4"/>
        <v>2.2727272727272728E-2</v>
      </c>
      <c r="I97" s="8">
        <f t="shared" si="5"/>
        <v>-0.20704845814977973</v>
      </c>
      <c r="J97" s="13">
        <f t="shared" si="6"/>
        <v>4622</v>
      </c>
      <c r="K97" s="13">
        <f t="shared" si="3"/>
        <v>5222.8</v>
      </c>
    </row>
    <row r="98" spans="1:11" x14ac:dyDescent="0.2">
      <c r="A98" s="2">
        <f ca="1">IFERROR(__xludf.DUMMYFUNCTION("""COMPUTED_VALUE"""),45450.6666666666)</f>
        <v>45450.666666666599</v>
      </c>
      <c r="B98" s="10"/>
      <c r="C98">
        <v>4490</v>
      </c>
      <c r="D98">
        <v>4500</v>
      </c>
      <c r="E98">
        <v>4350</v>
      </c>
      <c r="F98">
        <v>4350</v>
      </c>
      <c r="G98">
        <v>375439600</v>
      </c>
      <c r="H98" s="8">
        <f t="shared" si="4"/>
        <v>-3.3333333333333333E-2</v>
      </c>
      <c r="I98" s="8">
        <f t="shared" si="5"/>
        <v>-0.23348017621145375</v>
      </c>
      <c r="J98" s="13">
        <f t="shared" si="6"/>
        <v>4600</v>
      </c>
      <c r="K98" s="13">
        <f t="shared" si="3"/>
        <v>5181.8</v>
      </c>
    </row>
    <row r="99" spans="1:11" x14ac:dyDescent="0.2">
      <c r="A99" s="2">
        <f ca="1">IFERROR(__xludf.DUMMYFUNCTION("""COMPUTED_VALUE"""),45453.6666666666)</f>
        <v>45453.666666666599</v>
      </c>
      <c r="B99" s="10"/>
      <c r="C99">
        <v>4350</v>
      </c>
      <c r="D99">
        <v>4430</v>
      </c>
      <c r="E99">
        <v>4320</v>
      </c>
      <c r="F99">
        <v>4400</v>
      </c>
      <c r="G99">
        <v>181387000</v>
      </c>
      <c r="H99" s="8">
        <f t="shared" si="4"/>
        <v>1.1494252873563218E-2</v>
      </c>
      <c r="I99" s="8">
        <f t="shared" si="5"/>
        <v>-0.22466960352422907</v>
      </c>
      <c r="J99" s="13">
        <f t="shared" si="6"/>
        <v>4586.5</v>
      </c>
      <c r="K99" s="13">
        <f t="shared" si="3"/>
        <v>5146.8</v>
      </c>
    </row>
    <row r="100" spans="1:11" x14ac:dyDescent="0.2">
      <c r="A100" s="2">
        <f ca="1">IFERROR(__xludf.DUMMYFUNCTION("""COMPUTED_VALUE"""),45454.6666666666)</f>
        <v>45454.666666666599</v>
      </c>
      <c r="B100" s="10"/>
      <c r="C100">
        <v>4380</v>
      </c>
      <c r="D100">
        <v>4440</v>
      </c>
      <c r="E100">
        <v>4340</v>
      </c>
      <c r="F100">
        <v>4340</v>
      </c>
      <c r="G100">
        <v>197854400</v>
      </c>
      <c r="H100" s="8">
        <f t="shared" si="4"/>
        <v>-1.3636363636363636E-2</v>
      </c>
      <c r="I100" s="8">
        <f t="shared" si="5"/>
        <v>-0.23524229074889869</v>
      </c>
      <c r="J100" s="13">
        <f t="shared" si="6"/>
        <v>4569.5</v>
      </c>
      <c r="K100" s="13">
        <f t="shared" si="3"/>
        <v>5114.1000000000004</v>
      </c>
    </row>
    <row r="101" spans="1:11" x14ac:dyDescent="0.2">
      <c r="A101" s="2">
        <f ca="1">IFERROR(__xludf.DUMMYFUNCTION("""COMPUTED_VALUE"""),45455.6666666666)</f>
        <v>45455.666666666599</v>
      </c>
      <c r="B101" s="10"/>
      <c r="C101">
        <v>4340</v>
      </c>
      <c r="D101">
        <v>4360</v>
      </c>
      <c r="E101">
        <v>4310</v>
      </c>
      <c r="F101">
        <v>4350</v>
      </c>
      <c r="G101">
        <v>187332500</v>
      </c>
      <c r="H101" s="8">
        <f t="shared" si="4"/>
        <v>2.304147465437788E-3</v>
      </c>
      <c r="I101" s="8">
        <f t="shared" si="5"/>
        <v>-0.23348017621145375</v>
      </c>
      <c r="J101" s="13">
        <f t="shared" si="6"/>
        <v>4553</v>
      </c>
      <c r="K101" s="13">
        <f t="shared" si="3"/>
        <v>5081.1000000000004</v>
      </c>
    </row>
    <row r="102" spans="1:11" x14ac:dyDescent="0.2">
      <c r="A102" s="2">
        <f ca="1">IFERROR(__xludf.DUMMYFUNCTION("""COMPUTED_VALUE"""),45456.6666666666)</f>
        <v>45456.666666666599</v>
      </c>
      <c r="B102" s="10"/>
      <c r="C102">
        <v>4400</v>
      </c>
      <c r="D102">
        <v>4420</v>
      </c>
      <c r="E102">
        <v>4300</v>
      </c>
      <c r="F102">
        <v>4310</v>
      </c>
      <c r="G102">
        <v>238349600</v>
      </c>
      <c r="H102" s="8">
        <f t="shared" si="4"/>
        <v>-9.1954022988505746E-3</v>
      </c>
      <c r="I102" s="8">
        <f t="shared" si="5"/>
        <v>-0.24052863436123348</v>
      </c>
      <c r="J102" s="13">
        <f t="shared" si="6"/>
        <v>4532</v>
      </c>
      <c r="K102" s="13">
        <f t="shared" si="3"/>
        <v>5047.3</v>
      </c>
    </row>
    <row r="103" spans="1:11" x14ac:dyDescent="0.2">
      <c r="A103" s="2">
        <f ca="1">IFERROR(__xludf.DUMMYFUNCTION("""COMPUTED_VALUE"""),45457.6666666666)</f>
        <v>45457.666666666599</v>
      </c>
      <c r="B103" s="10"/>
      <c r="C103">
        <v>4300</v>
      </c>
      <c r="D103">
        <v>4320</v>
      </c>
      <c r="E103">
        <v>4170</v>
      </c>
      <c r="F103">
        <v>4180</v>
      </c>
      <c r="G103">
        <v>358893200</v>
      </c>
      <c r="H103" s="8">
        <f t="shared" si="4"/>
        <v>-3.0162412993039442E-2</v>
      </c>
      <c r="I103" s="8">
        <f t="shared" si="5"/>
        <v>-0.26343612334801764</v>
      </c>
      <c r="J103" s="13">
        <f t="shared" si="6"/>
        <v>4500</v>
      </c>
      <c r="K103" s="13">
        <f t="shared" si="3"/>
        <v>5008.8999999999996</v>
      </c>
    </row>
    <row r="104" spans="1:11" x14ac:dyDescent="0.2">
      <c r="A104" s="2">
        <f ca="1">IFERROR(__xludf.DUMMYFUNCTION("""COMPUTED_VALUE"""),45462.6666666666)</f>
        <v>45462.666666666599</v>
      </c>
      <c r="B104" s="10"/>
      <c r="C104">
        <v>4100</v>
      </c>
      <c r="D104">
        <v>4240</v>
      </c>
      <c r="E104">
        <v>4090</v>
      </c>
      <c r="F104">
        <v>4100</v>
      </c>
      <c r="G104">
        <v>410338400</v>
      </c>
      <c r="H104" s="8">
        <f t="shared" si="4"/>
        <v>-1.9138755980861243E-2</v>
      </c>
      <c r="I104" s="8">
        <f t="shared" si="5"/>
        <v>-0.27753303964757708</v>
      </c>
      <c r="J104" s="13">
        <f t="shared" si="6"/>
        <v>4463</v>
      </c>
      <c r="K104" s="13">
        <f t="shared" si="3"/>
        <v>4968.8999999999996</v>
      </c>
    </row>
    <row r="105" spans="1:11" x14ac:dyDescent="0.2">
      <c r="A105" s="2">
        <f ca="1">IFERROR(__xludf.DUMMYFUNCTION("""COMPUTED_VALUE"""),45463.6666666666)</f>
        <v>45463.666666666599</v>
      </c>
      <c r="B105" s="10"/>
      <c r="C105">
        <v>4130</v>
      </c>
      <c r="D105">
        <v>4270</v>
      </c>
      <c r="E105">
        <v>4130</v>
      </c>
      <c r="F105">
        <v>4270</v>
      </c>
      <c r="G105">
        <v>387133400</v>
      </c>
      <c r="H105" s="8">
        <f t="shared" si="4"/>
        <v>4.1463414634146344E-2</v>
      </c>
      <c r="I105" s="8">
        <f t="shared" si="5"/>
        <v>-0.2475770925110132</v>
      </c>
      <c r="J105" s="13">
        <f t="shared" si="6"/>
        <v>4430.5</v>
      </c>
      <c r="K105" s="13">
        <f t="shared" si="3"/>
        <v>4931.8</v>
      </c>
    </row>
    <row r="106" spans="1:11" x14ac:dyDescent="0.2">
      <c r="A106" s="2">
        <f ca="1">IFERROR(__xludf.DUMMYFUNCTION("""COMPUTED_VALUE"""),45464.6666666666)</f>
        <v>45464.666666666599</v>
      </c>
      <c r="B106" s="10"/>
      <c r="C106">
        <v>4280</v>
      </c>
      <c r="D106">
        <v>4490</v>
      </c>
      <c r="E106">
        <v>4260</v>
      </c>
      <c r="F106">
        <v>4440</v>
      </c>
      <c r="G106">
        <v>532713300</v>
      </c>
      <c r="H106" s="8">
        <f t="shared" si="4"/>
        <v>3.9812646370023422E-2</v>
      </c>
      <c r="I106" s="8">
        <f t="shared" si="5"/>
        <v>-0.21762114537444935</v>
      </c>
      <c r="J106" s="13">
        <f t="shared" si="6"/>
        <v>4411.5</v>
      </c>
      <c r="K106" s="13">
        <f t="shared" si="3"/>
        <v>4895.6000000000004</v>
      </c>
    </row>
    <row r="107" spans="1:11" x14ac:dyDescent="0.2">
      <c r="A107" s="2">
        <f ca="1">IFERROR(__xludf.DUMMYFUNCTION("""COMPUTED_VALUE"""),45467.6666666666)</f>
        <v>45467.666666666599</v>
      </c>
      <c r="B107" s="10"/>
      <c r="C107">
        <v>4440</v>
      </c>
      <c r="D107">
        <v>4510</v>
      </c>
      <c r="E107">
        <v>4400</v>
      </c>
      <c r="F107">
        <v>4400</v>
      </c>
      <c r="G107">
        <v>303830800</v>
      </c>
      <c r="H107" s="8">
        <f t="shared" si="4"/>
        <v>-9.0090090090090089E-3</v>
      </c>
      <c r="I107" s="8">
        <f t="shared" si="5"/>
        <v>-0.22466960352422907</v>
      </c>
      <c r="J107" s="13">
        <f t="shared" si="6"/>
        <v>4397.5</v>
      </c>
      <c r="K107" s="13">
        <f t="shared" si="3"/>
        <v>4857.6000000000004</v>
      </c>
    </row>
    <row r="108" spans="1:11" x14ac:dyDescent="0.2">
      <c r="A108" s="2">
        <f ca="1">IFERROR(__xludf.DUMMYFUNCTION("""COMPUTED_VALUE"""),45468.6666666666)</f>
        <v>45468.666666666599</v>
      </c>
      <c r="B108" s="10"/>
      <c r="C108">
        <v>4320</v>
      </c>
      <c r="D108">
        <v>4400</v>
      </c>
      <c r="E108">
        <v>4280</v>
      </c>
      <c r="F108">
        <v>4380</v>
      </c>
      <c r="G108">
        <v>383572500</v>
      </c>
      <c r="H108" s="8">
        <f t="shared" si="4"/>
        <v>-4.5454545454545452E-3</v>
      </c>
      <c r="I108" s="8">
        <f t="shared" si="5"/>
        <v>-0.22819383259911893</v>
      </c>
      <c r="J108" s="13">
        <f t="shared" si="6"/>
        <v>4380.5</v>
      </c>
      <c r="K108" s="13">
        <f t="shared" si="3"/>
        <v>4820.2</v>
      </c>
    </row>
    <row r="109" spans="1:11" x14ac:dyDescent="0.2">
      <c r="A109" s="2">
        <f ca="1">IFERROR(__xludf.DUMMYFUNCTION("""COMPUTED_VALUE"""),45469.6666666666)</f>
        <v>45469.666666666599</v>
      </c>
      <c r="B109" s="10"/>
      <c r="C109">
        <v>4390</v>
      </c>
      <c r="D109">
        <v>4430</v>
      </c>
      <c r="E109">
        <v>4350</v>
      </c>
      <c r="F109">
        <v>4370</v>
      </c>
      <c r="G109">
        <v>150303400</v>
      </c>
      <c r="H109" s="8">
        <f t="shared" si="4"/>
        <v>-2.2831050228310501E-3</v>
      </c>
      <c r="I109" s="8">
        <f t="shared" si="5"/>
        <v>-0.22995594713656387</v>
      </c>
      <c r="J109" s="13">
        <f t="shared" si="6"/>
        <v>4371.5</v>
      </c>
      <c r="K109" s="13">
        <f t="shared" si="3"/>
        <v>4786.6000000000004</v>
      </c>
    </row>
    <row r="110" spans="1:11" x14ac:dyDescent="0.2">
      <c r="A110" s="2">
        <f ca="1">IFERROR(__xludf.DUMMYFUNCTION("""COMPUTED_VALUE"""),45470.6666666666)</f>
        <v>45470.666666666599</v>
      </c>
      <c r="B110" s="10"/>
      <c r="C110">
        <v>4410</v>
      </c>
      <c r="D110">
        <v>4500</v>
      </c>
      <c r="E110">
        <v>4380</v>
      </c>
      <c r="F110">
        <v>4460</v>
      </c>
      <c r="G110">
        <v>299430600</v>
      </c>
      <c r="H110" s="8">
        <f t="shared" si="4"/>
        <v>2.0594965675057208E-2</v>
      </c>
      <c r="I110" s="8">
        <f t="shared" si="5"/>
        <v>-0.21409691629955946</v>
      </c>
      <c r="J110" s="13">
        <f t="shared" si="6"/>
        <v>4368</v>
      </c>
      <c r="K110" s="13">
        <f t="shared" si="3"/>
        <v>4757.3</v>
      </c>
    </row>
    <row r="111" spans="1:11" x14ac:dyDescent="0.2">
      <c r="A111" s="2">
        <f ca="1">IFERROR(__xludf.DUMMYFUNCTION("""COMPUTED_VALUE"""),45471.6666666666)</f>
        <v>45471.666666666599</v>
      </c>
      <c r="B111" s="10"/>
      <c r="C111">
        <v>4590</v>
      </c>
      <c r="D111">
        <v>4640</v>
      </c>
      <c r="E111">
        <v>4580</v>
      </c>
      <c r="F111">
        <v>4600</v>
      </c>
      <c r="G111">
        <v>581319300</v>
      </c>
      <c r="H111" s="8">
        <f t="shared" si="4"/>
        <v>3.1390134529147982E-2</v>
      </c>
      <c r="I111" s="8">
        <f t="shared" si="5"/>
        <v>-0.1894273127753304</v>
      </c>
      <c r="J111" s="13">
        <f t="shared" si="6"/>
        <v>4377.5</v>
      </c>
      <c r="K111" s="13">
        <f t="shared" si="3"/>
        <v>4735.8</v>
      </c>
    </row>
    <row r="112" spans="1:11" x14ac:dyDescent="0.2">
      <c r="A112" s="2">
        <f ca="1">IFERROR(__xludf.DUMMYFUNCTION("""COMPUTED_VALUE"""),45474.6666666666)</f>
        <v>45474.666666666599</v>
      </c>
      <c r="B112" s="10"/>
      <c r="C112">
        <v>4630</v>
      </c>
      <c r="D112">
        <v>4670</v>
      </c>
      <c r="E112">
        <v>4560</v>
      </c>
      <c r="F112">
        <v>4630</v>
      </c>
      <c r="G112">
        <v>261421200</v>
      </c>
      <c r="H112" s="8">
        <f t="shared" si="4"/>
        <v>6.5217391304347823E-3</v>
      </c>
      <c r="I112" s="8">
        <f t="shared" si="5"/>
        <v>-0.1841409691629956</v>
      </c>
      <c r="J112" s="13">
        <f t="shared" si="6"/>
        <v>4390</v>
      </c>
      <c r="K112" s="13">
        <f t="shared" si="3"/>
        <v>4715.8999999999996</v>
      </c>
    </row>
    <row r="113" spans="1:11" x14ac:dyDescent="0.2">
      <c r="A113" s="2">
        <f ca="1">IFERROR(__xludf.DUMMYFUNCTION("""COMPUTED_VALUE"""),45475.6666666666)</f>
        <v>45475.666666666599</v>
      </c>
      <c r="B113" s="10"/>
      <c r="C113">
        <v>4610</v>
      </c>
      <c r="D113">
        <v>4630</v>
      </c>
      <c r="E113">
        <v>4570</v>
      </c>
      <c r="F113">
        <v>4570</v>
      </c>
      <c r="G113">
        <v>234403100</v>
      </c>
      <c r="H113" s="8">
        <f t="shared" si="4"/>
        <v>-1.2958963282937365E-2</v>
      </c>
      <c r="I113" s="8">
        <f t="shared" si="5"/>
        <v>-0.19471365638766519</v>
      </c>
      <c r="J113" s="13">
        <f t="shared" si="6"/>
        <v>4401.5</v>
      </c>
      <c r="K113" s="13">
        <f t="shared" si="3"/>
        <v>4693.3</v>
      </c>
    </row>
    <row r="114" spans="1:11" x14ac:dyDescent="0.2">
      <c r="A114" s="2">
        <f ca="1">IFERROR(__xludf.DUMMYFUNCTION("""COMPUTED_VALUE"""),45476.6666666666)</f>
        <v>45476.666666666599</v>
      </c>
      <c r="B114" s="10"/>
      <c r="C114">
        <v>4630</v>
      </c>
      <c r="D114">
        <v>4640</v>
      </c>
      <c r="E114">
        <v>4560</v>
      </c>
      <c r="F114">
        <v>4600</v>
      </c>
      <c r="G114">
        <v>176310400</v>
      </c>
      <c r="H114" s="8">
        <f t="shared" si="4"/>
        <v>6.5645514223194746E-3</v>
      </c>
      <c r="I114" s="8">
        <f t="shared" si="5"/>
        <v>-0.1894273127753304</v>
      </c>
      <c r="J114" s="13">
        <f t="shared" si="6"/>
        <v>4405</v>
      </c>
      <c r="K114" s="13">
        <f t="shared" si="3"/>
        <v>4672.3</v>
      </c>
    </row>
    <row r="115" spans="1:11" x14ac:dyDescent="0.2">
      <c r="A115" s="2">
        <f ca="1">IFERROR(__xludf.DUMMYFUNCTION("""COMPUTED_VALUE"""),45477.6666666666)</f>
        <v>45477.666666666599</v>
      </c>
      <c r="B115" s="10"/>
      <c r="C115">
        <v>4680</v>
      </c>
      <c r="D115">
        <v>4830</v>
      </c>
      <c r="E115">
        <v>4660</v>
      </c>
      <c r="F115">
        <v>4790</v>
      </c>
      <c r="G115">
        <v>422261500</v>
      </c>
      <c r="H115" s="8">
        <f t="shared" si="4"/>
        <v>4.1304347826086954E-2</v>
      </c>
      <c r="I115" s="8">
        <f t="shared" si="5"/>
        <v>-0.15594713656387665</v>
      </c>
      <c r="J115" s="13">
        <f t="shared" si="6"/>
        <v>4422</v>
      </c>
      <c r="K115" s="13">
        <f t="shared" si="3"/>
        <v>4661.1000000000004</v>
      </c>
    </row>
    <row r="116" spans="1:11" x14ac:dyDescent="0.2">
      <c r="A116" s="2">
        <f ca="1">IFERROR(__xludf.DUMMYFUNCTION("""COMPUTED_VALUE"""),45478.6666666666)</f>
        <v>45478.666666666599</v>
      </c>
      <c r="B116" s="10"/>
      <c r="C116">
        <v>4850</v>
      </c>
      <c r="D116">
        <v>4870</v>
      </c>
      <c r="E116">
        <v>4790</v>
      </c>
      <c r="F116">
        <v>4800</v>
      </c>
      <c r="G116">
        <v>218278000</v>
      </c>
      <c r="H116" s="8">
        <f t="shared" si="4"/>
        <v>2.0876826722338203E-3</v>
      </c>
      <c r="I116" s="8">
        <f t="shared" si="5"/>
        <v>-0.15418502202643172</v>
      </c>
      <c r="J116" s="13">
        <f t="shared" si="6"/>
        <v>4442</v>
      </c>
      <c r="K116" s="13">
        <f t="shared" ref="K116:K179" si="7">AVERAGE(F67:F116)</f>
        <v>4651.1000000000004</v>
      </c>
    </row>
    <row r="117" spans="1:11" x14ac:dyDescent="0.2">
      <c r="A117" s="2">
        <f ca="1">IFERROR(__xludf.DUMMYFUNCTION("""COMPUTED_VALUE"""),45481.6666666666)</f>
        <v>45481.666666666599</v>
      </c>
      <c r="B117" s="10"/>
      <c r="C117">
        <v>4800</v>
      </c>
      <c r="D117">
        <v>4830</v>
      </c>
      <c r="E117">
        <v>4740</v>
      </c>
      <c r="F117">
        <v>4750</v>
      </c>
      <c r="G117">
        <v>222042100</v>
      </c>
      <c r="H117" s="8">
        <f t="shared" si="4"/>
        <v>-1.0416666666666666E-2</v>
      </c>
      <c r="I117" s="8">
        <f t="shared" si="5"/>
        <v>-0.16299559471365638</v>
      </c>
      <c r="J117" s="13">
        <f t="shared" si="6"/>
        <v>4454.5</v>
      </c>
      <c r="K117" s="13">
        <f t="shared" si="7"/>
        <v>4636.6000000000004</v>
      </c>
    </row>
    <row r="118" spans="1:11" x14ac:dyDescent="0.2">
      <c r="A118" s="2">
        <f ca="1">IFERROR(__xludf.DUMMYFUNCTION("""COMPUTED_VALUE"""),45482.6666666666)</f>
        <v>45482.666666666599</v>
      </c>
      <c r="B118" s="10"/>
      <c r="C118">
        <v>4780</v>
      </c>
      <c r="D118">
        <v>4930</v>
      </c>
      <c r="E118">
        <v>4750</v>
      </c>
      <c r="F118">
        <v>4870</v>
      </c>
      <c r="G118">
        <v>291320400</v>
      </c>
      <c r="H118" s="8">
        <f t="shared" si="4"/>
        <v>2.5263157894736842E-2</v>
      </c>
      <c r="I118" s="8">
        <f t="shared" si="5"/>
        <v>-0.14185022026431718</v>
      </c>
      <c r="J118" s="13">
        <f t="shared" si="6"/>
        <v>4480.5</v>
      </c>
      <c r="K118" s="13">
        <f t="shared" si="7"/>
        <v>4628.5</v>
      </c>
    </row>
    <row r="119" spans="1:11" x14ac:dyDescent="0.2">
      <c r="A119" s="2">
        <f ca="1">IFERROR(__xludf.DUMMYFUNCTION("""COMPUTED_VALUE"""),45483.6666666666)</f>
        <v>45483.666666666599</v>
      </c>
      <c r="B119" s="10"/>
      <c r="C119">
        <v>4870</v>
      </c>
      <c r="D119">
        <v>4920</v>
      </c>
      <c r="E119">
        <v>4840</v>
      </c>
      <c r="F119">
        <v>4850</v>
      </c>
      <c r="G119">
        <v>167619700</v>
      </c>
      <c r="H119" s="8">
        <f t="shared" si="4"/>
        <v>-4.1067761806981521E-3</v>
      </c>
      <c r="I119" s="8">
        <f t="shared" si="5"/>
        <v>-0.14537444933920704</v>
      </c>
      <c r="J119" s="13">
        <f t="shared" si="6"/>
        <v>4503</v>
      </c>
      <c r="K119" s="13">
        <f t="shared" si="7"/>
        <v>4619.5</v>
      </c>
    </row>
    <row r="120" spans="1:11" x14ac:dyDescent="0.2">
      <c r="A120" s="2">
        <f ca="1">IFERROR(__xludf.DUMMYFUNCTION("""COMPUTED_VALUE"""),45484.6666666666)</f>
        <v>45484.666666666599</v>
      </c>
      <c r="B120" s="10"/>
      <c r="C120">
        <v>4910</v>
      </c>
      <c r="D120">
        <v>4920</v>
      </c>
      <c r="E120">
        <v>4840</v>
      </c>
      <c r="F120">
        <v>4840</v>
      </c>
      <c r="G120">
        <v>170461300</v>
      </c>
      <c r="H120" s="8">
        <f t="shared" si="4"/>
        <v>-2.0618556701030928E-3</v>
      </c>
      <c r="I120" s="8">
        <f t="shared" si="5"/>
        <v>-0.14713656387665197</v>
      </c>
      <c r="J120" s="13">
        <f t="shared" si="6"/>
        <v>4528</v>
      </c>
      <c r="K120" s="13">
        <f t="shared" si="7"/>
        <v>4610.3</v>
      </c>
    </row>
    <row r="121" spans="1:11" x14ac:dyDescent="0.2">
      <c r="A121" s="2">
        <f ca="1">IFERROR(__xludf.DUMMYFUNCTION("""COMPUTED_VALUE"""),45485.6666666666)</f>
        <v>45485.666666666599</v>
      </c>
      <c r="B121" s="10"/>
      <c r="C121">
        <v>4970</v>
      </c>
      <c r="D121">
        <v>4980</v>
      </c>
      <c r="E121">
        <v>4880</v>
      </c>
      <c r="F121">
        <v>4900</v>
      </c>
      <c r="G121">
        <v>301125400</v>
      </c>
      <c r="H121" s="8">
        <f t="shared" si="4"/>
        <v>1.2396694214876033E-2</v>
      </c>
      <c r="I121" s="8">
        <f t="shared" si="5"/>
        <v>-0.13656387665198239</v>
      </c>
      <c r="J121" s="13">
        <f t="shared" si="6"/>
        <v>4555.5</v>
      </c>
      <c r="K121" s="13">
        <f t="shared" si="7"/>
        <v>4603.8</v>
      </c>
    </row>
    <row r="122" spans="1:11" x14ac:dyDescent="0.2">
      <c r="A122" s="2">
        <f ca="1">IFERROR(__xludf.DUMMYFUNCTION("""COMPUTED_VALUE"""),45488.6666666666)</f>
        <v>45488.666666666599</v>
      </c>
      <c r="B122" s="10"/>
      <c r="C122">
        <v>4920</v>
      </c>
      <c r="D122">
        <v>4930</v>
      </c>
      <c r="E122">
        <v>4810</v>
      </c>
      <c r="F122">
        <v>4820</v>
      </c>
      <c r="G122">
        <v>188713000</v>
      </c>
      <c r="H122" s="8">
        <f t="shared" si="4"/>
        <v>-1.6326530612244899E-2</v>
      </c>
      <c r="I122" s="8">
        <f t="shared" si="5"/>
        <v>-0.15066079295154186</v>
      </c>
      <c r="J122" s="13">
        <f t="shared" si="6"/>
        <v>4581</v>
      </c>
      <c r="K122" s="13">
        <f t="shared" si="7"/>
        <v>4597.2</v>
      </c>
    </row>
    <row r="123" spans="1:11" x14ac:dyDescent="0.2">
      <c r="A123" s="2">
        <f ca="1">IFERROR(__xludf.DUMMYFUNCTION("""COMPUTED_VALUE"""),45489.6666666666)</f>
        <v>45489.666666666599</v>
      </c>
      <c r="B123" s="10"/>
      <c r="C123">
        <v>4820</v>
      </c>
      <c r="D123">
        <v>4840</v>
      </c>
      <c r="E123">
        <v>4730</v>
      </c>
      <c r="F123">
        <v>4730</v>
      </c>
      <c r="G123">
        <v>189271400</v>
      </c>
      <c r="H123" s="8">
        <f t="shared" si="4"/>
        <v>-1.8672199170124481E-2</v>
      </c>
      <c r="I123" s="8">
        <f t="shared" si="5"/>
        <v>-0.16651982378854627</v>
      </c>
      <c r="J123" s="13">
        <f t="shared" si="6"/>
        <v>4608.5</v>
      </c>
      <c r="K123" s="13">
        <f t="shared" si="7"/>
        <v>4595.2</v>
      </c>
    </row>
    <row r="124" spans="1:11" x14ac:dyDescent="0.2">
      <c r="A124" s="2">
        <f ca="1">IFERROR(__xludf.DUMMYFUNCTION("""COMPUTED_VALUE"""),45490.6666666666)</f>
        <v>45490.666666666599</v>
      </c>
      <c r="B124" s="10"/>
      <c r="C124">
        <v>4750</v>
      </c>
      <c r="D124">
        <v>4810</v>
      </c>
      <c r="E124">
        <v>4720</v>
      </c>
      <c r="F124">
        <v>4760</v>
      </c>
      <c r="G124">
        <v>263325400</v>
      </c>
      <c r="H124" s="8">
        <f t="shared" si="4"/>
        <v>6.3424947145877377E-3</v>
      </c>
      <c r="I124" s="8">
        <f t="shared" si="5"/>
        <v>-0.16123348017621145</v>
      </c>
      <c r="J124" s="13">
        <f t="shared" si="6"/>
        <v>4641.5</v>
      </c>
      <c r="K124" s="13">
        <f t="shared" si="7"/>
        <v>4595</v>
      </c>
    </row>
    <row r="125" spans="1:11" x14ac:dyDescent="0.2">
      <c r="A125" s="2">
        <f ca="1">IFERROR(__xludf.DUMMYFUNCTION("""COMPUTED_VALUE"""),45491.6666666666)</f>
        <v>45491.666666666599</v>
      </c>
      <c r="B125" s="10"/>
      <c r="C125">
        <v>4760</v>
      </c>
      <c r="D125">
        <v>4890</v>
      </c>
      <c r="E125">
        <v>4750</v>
      </c>
      <c r="F125">
        <v>4890</v>
      </c>
      <c r="G125">
        <v>296614900</v>
      </c>
      <c r="H125" s="8">
        <f t="shared" si="4"/>
        <v>2.7310924369747899E-2</v>
      </c>
      <c r="I125" s="8">
        <f t="shared" si="5"/>
        <v>-0.13832599118942732</v>
      </c>
      <c r="J125" s="13">
        <f t="shared" si="6"/>
        <v>4672.5</v>
      </c>
      <c r="K125" s="13">
        <f t="shared" si="7"/>
        <v>4594</v>
      </c>
    </row>
    <row r="126" spans="1:11" x14ac:dyDescent="0.2">
      <c r="A126" s="2">
        <f ca="1">IFERROR(__xludf.DUMMYFUNCTION("""COMPUTED_VALUE"""),45492.6666666666)</f>
        <v>45492.666666666599</v>
      </c>
      <c r="B126" s="10"/>
      <c r="C126">
        <v>4870</v>
      </c>
      <c r="D126">
        <v>4910</v>
      </c>
      <c r="E126">
        <v>4850</v>
      </c>
      <c r="F126">
        <v>4900</v>
      </c>
      <c r="G126">
        <v>135104800</v>
      </c>
      <c r="H126" s="8">
        <f t="shared" si="4"/>
        <v>2.0449897750511249E-3</v>
      </c>
      <c r="I126" s="8">
        <f t="shared" si="5"/>
        <v>-0.13656387665198239</v>
      </c>
      <c r="J126" s="13">
        <f t="shared" si="6"/>
        <v>4695.5</v>
      </c>
      <c r="K126" s="13">
        <f t="shared" si="7"/>
        <v>4596.8</v>
      </c>
    </row>
    <row r="127" spans="1:11" x14ac:dyDescent="0.2">
      <c r="A127" s="2">
        <f ca="1">IFERROR(__xludf.DUMMYFUNCTION("""COMPUTED_VALUE"""),45495.6666666666)</f>
        <v>45495.666666666599</v>
      </c>
      <c r="B127" s="10"/>
      <c r="C127">
        <v>4920</v>
      </c>
      <c r="D127">
        <v>4940</v>
      </c>
      <c r="E127">
        <v>4880</v>
      </c>
      <c r="F127">
        <v>4910</v>
      </c>
      <c r="G127">
        <v>140128300</v>
      </c>
      <c r="H127" s="8">
        <f t="shared" si="4"/>
        <v>2.0408163265306124E-3</v>
      </c>
      <c r="I127" s="8">
        <f t="shared" si="5"/>
        <v>-0.13480176211453745</v>
      </c>
      <c r="J127" s="13">
        <f t="shared" si="6"/>
        <v>4721</v>
      </c>
      <c r="K127" s="13">
        <f t="shared" si="7"/>
        <v>4600</v>
      </c>
    </row>
    <row r="128" spans="1:11" x14ac:dyDescent="0.2">
      <c r="A128" s="2">
        <f ca="1">IFERROR(__xludf.DUMMYFUNCTION("""COMPUTED_VALUE"""),45496.6666666666)</f>
        <v>45496.666666666599</v>
      </c>
      <c r="B128" s="10"/>
      <c r="C128">
        <v>4900</v>
      </c>
      <c r="D128">
        <v>4910</v>
      </c>
      <c r="E128">
        <v>4780</v>
      </c>
      <c r="F128">
        <v>4790</v>
      </c>
      <c r="G128">
        <v>170919500</v>
      </c>
      <c r="H128" s="8">
        <f t="shared" si="4"/>
        <v>-2.4439918533604887E-2</v>
      </c>
      <c r="I128" s="8">
        <f t="shared" si="5"/>
        <v>-0.15594713656387665</v>
      </c>
      <c r="J128" s="13">
        <f t="shared" si="6"/>
        <v>4741.5</v>
      </c>
      <c r="K128" s="13">
        <f t="shared" si="7"/>
        <v>4600</v>
      </c>
    </row>
    <row r="129" spans="1:11" x14ac:dyDescent="0.2">
      <c r="A129" s="2">
        <f ca="1">IFERROR(__xludf.DUMMYFUNCTION("""COMPUTED_VALUE"""),45497.6666666666)</f>
        <v>45497.666666666599</v>
      </c>
      <c r="B129" s="10"/>
      <c r="C129">
        <v>4770</v>
      </c>
      <c r="D129">
        <v>4800</v>
      </c>
      <c r="E129">
        <v>4760</v>
      </c>
      <c r="F129">
        <v>4780</v>
      </c>
      <c r="G129">
        <v>116037600</v>
      </c>
      <c r="H129" s="8">
        <f t="shared" si="4"/>
        <v>-2.0876826722338203E-3</v>
      </c>
      <c r="I129" s="8">
        <f t="shared" si="5"/>
        <v>-0.15770925110132158</v>
      </c>
      <c r="J129" s="13">
        <f t="shared" si="6"/>
        <v>4762</v>
      </c>
      <c r="K129" s="13">
        <f t="shared" si="7"/>
        <v>4602.2</v>
      </c>
    </row>
    <row r="130" spans="1:11" x14ac:dyDescent="0.2">
      <c r="A130" s="2">
        <f ca="1">IFERROR(__xludf.DUMMYFUNCTION("""COMPUTED_VALUE"""),45498.6666666666)</f>
        <v>45498.666666666599</v>
      </c>
      <c r="B130" s="10"/>
      <c r="C130">
        <v>4760</v>
      </c>
      <c r="D130">
        <v>4760</v>
      </c>
      <c r="E130">
        <v>4660</v>
      </c>
      <c r="F130">
        <v>4700</v>
      </c>
      <c r="G130">
        <v>274397700</v>
      </c>
      <c r="H130" s="8">
        <f t="shared" si="4"/>
        <v>-1.6736401673640166E-2</v>
      </c>
      <c r="I130" s="8">
        <f t="shared" si="5"/>
        <v>-0.17180616740088106</v>
      </c>
      <c r="J130" s="13">
        <f t="shared" si="6"/>
        <v>4774</v>
      </c>
      <c r="K130" s="13">
        <f t="shared" si="7"/>
        <v>4602.6000000000004</v>
      </c>
    </row>
    <row r="131" spans="1:11" x14ac:dyDescent="0.2">
      <c r="A131" s="2">
        <f ca="1">IFERROR(__xludf.DUMMYFUNCTION("""COMPUTED_VALUE"""),45499.6666666666)</f>
        <v>45499.666666666599</v>
      </c>
      <c r="B131" s="10"/>
      <c r="C131">
        <v>4760</v>
      </c>
      <c r="D131">
        <v>4810</v>
      </c>
      <c r="E131">
        <v>4740</v>
      </c>
      <c r="F131">
        <v>4760</v>
      </c>
      <c r="G131">
        <v>192267300</v>
      </c>
      <c r="H131" s="8">
        <f t="shared" si="4"/>
        <v>1.276595744680851E-2</v>
      </c>
      <c r="I131" s="8">
        <f t="shared" si="5"/>
        <v>-0.16123348017621145</v>
      </c>
      <c r="J131" s="13">
        <f t="shared" si="6"/>
        <v>4782</v>
      </c>
      <c r="K131" s="13">
        <f t="shared" si="7"/>
        <v>4604.2</v>
      </c>
    </row>
    <row r="132" spans="1:11" x14ac:dyDescent="0.2">
      <c r="A132" s="2">
        <f ca="1">IFERROR(__xludf.DUMMYFUNCTION("""COMPUTED_VALUE"""),45502.6666666666)</f>
        <v>45502.666666666599</v>
      </c>
      <c r="B132" s="10"/>
      <c r="C132">
        <v>4800</v>
      </c>
      <c r="D132">
        <v>4800</v>
      </c>
      <c r="E132">
        <v>4760</v>
      </c>
      <c r="F132">
        <v>4780</v>
      </c>
      <c r="G132">
        <v>126109900</v>
      </c>
      <c r="H132" s="8">
        <f t="shared" ref="H132:H195" si="8">(F132-F131)/F131</f>
        <v>4.2016806722689074E-3</v>
      </c>
      <c r="I132" s="8">
        <f t="shared" ref="I132:I195" si="9">(F132-$F$2)/$F$2</f>
        <v>-0.15770925110132158</v>
      </c>
      <c r="J132" s="13">
        <f t="shared" si="6"/>
        <v>4789.5</v>
      </c>
      <c r="K132" s="13">
        <f t="shared" si="7"/>
        <v>4605.2</v>
      </c>
    </row>
    <row r="133" spans="1:11" x14ac:dyDescent="0.2">
      <c r="A133" s="2">
        <f ca="1">IFERROR(__xludf.DUMMYFUNCTION("""COMPUTED_VALUE"""),45503.6666666666)</f>
        <v>45503.666666666599</v>
      </c>
      <c r="B133" s="10"/>
      <c r="C133">
        <v>4720</v>
      </c>
      <c r="D133">
        <v>4740</v>
      </c>
      <c r="E133">
        <v>4670</v>
      </c>
      <c r="F133">
        <v>4670</v>
      </c>
      <c r="G133">
        <v>201835700</v>
      </c>
      <c r="H133" s="8">
        <f t="shared" si="8"/>
        <v>-2.3012552301255231E-2</v>
      </c>
      <c r="I133" s="8">
        <f t="shared" si="9"/>
        <v>-0.17709251101321585</v>
      </c>
      <c r="J133" s="13">
        <f t="shared" si="6"/>
        <v>4794.5</v>
      </c>
      <c r="K133" s="13">
        <f t="shared" si="7"/>
        <v>4602.2</v>
      </c>
    </row>
    <row r="134" spans="1:11" x14ac:dyDescent="0.2">
      <c r="A134" s="2">
        <f ca="1">IFERROR(__xludf.DUMMYFUNCTION("""COMPUTED_VALUE"""),45504.6666666666)</f>
        <v>45504.666666666599</v>
      </c>
      <c r="B134" s="10"/>
      <c r="C134">
        <v>4650</v>
      </c>
      <c r="D134">
        <v>4710</v>
      </c>
      <c r="E134">
        <v>4650</v>
      </c>
      <c r="F134">
        <v>4670</v>
      </c>
      <c r="G134">
        <v>168490300</v>
      </c>
      <c r="H134" s="8">
        <f t="shared" si="8"/>
        <v>0</v>
      </c>
      <c r="I134" s="8">
        <f t="shared" si="9"/>
        <v>-0.17709251101321585</v>
      </c>
      <c r="J134" s="13">
        <f t="shared" si="6"/>
        <v>4798</v>
      </c>
      <c r="K134" s="13">
        <f t="shared" si="7"/>
        <v>4598.8</v>
      </c>
    </row>
    <row r="135" spans="1:11" x14ac:dyDescent="0.2">
      <c r="A135" s="2">
        <f ca="1">IFERROR(__xludf.DUMMYFUNCTION("""COMPUTED_VALUE"""),45505.6666666666)</f>
        <v>45505.666666666599</v>
      </c>
      <c r="B135" s="10"/>
      <c r="C135">
        <v>4710</v>
      </c>
      <c r="D135">
        <v>4750</v>
      </c>
      <c r="E135">
        <v>4690</v>
      </c>
      <c r="F135">
        <v>4750</v>
      </c>
      <c r="G135">
        <v>169636700</v>
      </c>
      <c r="H135" s="8">
        <f t="shared" si="8"/>
        <v>1.7130620985010708E-2</v>
      </c>
      <c r="I135" s="8">
        <f t="shared" si="9"/>
        <v>-0.16299559471365638</v>
      </c>
      <c r="J135" s="13">
        <f t="shared" si="6"/>
        <v>4796</v>
      </c>
      <c r="K135" s="13">
        <f t="shared" si="7"/>
        <v>4595.3999999999996</v>
      </c>
    </row>
    <row r="136" spans="1:11" x14ac:dyDescent="0.2">
      <c r="A136" s="2">
        <f ca="1">IFERROR(__xludf.DUMMYFUNCTION("""COMPUTED_VALUE"""),45506.6666666666)</f>
        <v>45506.666666666599</v>
      </c>
      <c r="B136" s="10"/>
      <c r="C136">
        <v>4730</v>
      </c>
      <c r="D136">
        <v>4750</v>
      </c>
      <c r="E136">
        <v>4690</v>
      </c>
      <c r="F136">
        <v>4710</v>
      </c>
      <c r="G136">
        <v>113328400</v>
      </c>
      <c r="H136" s="8">
        <f t="shared" si="8"/>
        <v>-8.4210526315789472E-3</v>
      </c>
      <c r="I136" s="8">
        <f t="shared" si="9"/>
        <v>-0.17004405286343613</v>
      </c>
      <c r="J136" s="13">
        <f t="shared" si="6"/>
        <v>4791.5</v>
      </c>
      <c r="K136" s="13">
        <f t="shared" si="7"/>
        <v>4593.2</v>
      </c>
    </row>
    <row r="137" spans="1:11" x14ac:dyDescent="0.2">
      <c r="A137" s="2">
        <f ca="1">IFERROR(__xludf.DUMMYFUNCTION("""COMPUTED_VALUE"""),45509.6666666666)</f>
        <v>45509.666666666599</v>
      </c>
      <c r="B137" s="10"/>
      <c r="C137">
        <v>4660</v>
      </c>
      <c r="D137">
        <v>4670</v>
      </c>
      <c r="E137">
        <v>4510</v>
      </c>
      <c r="F137">
        <v>4530</v>
      </c>
      <c r="G137">
        <v>329430900</v>
      </c>
      <c r="H137" s="8">
        <f t="shared" si="8"/>
        <v>-3.8216560509554139E-2</v>
      </c>
      <c r="I137" s="8">
        <f t="shared" si="9"/>
        <v>-0.20176211453744494</v>
      </c>
      <c r="J137" s="13">
        <f t="shared" si="6"/>
        <v>4780.5</v>
      </c>
      <c r="K137" s="13">
        <f t="shared" si="7"/>
        <v>4590.2</v>
      </c>
    </row>
    <row r="138" spans="1:11" x14ac:dyDescent="0.2">
      <c r="A138" s="2">
        <f ca="1">IFERROR(__xludf.DUMMYFUNCTION("""COMPUTED_VALUE"""),45510.6666666666)</f>
        <v>45510.666666666599</v>
      </c>
      <c r="B138" s="10"/>
      <c r="C138">
        <v>4550</v>
      </c>
      <c r="D138">
        <v>4650</v>
      </c>
      <c r="E138">
        <v>4520</v>
      </c>
      <c r="F138">
        <v>4600</v>
      </c>
      <c r="G138">
        <v>238051800</v>
      </c>
      <c r="H138" s="8">
        <f t="shared" si="8"/>
        <v>1.5452538631346579E-2</v>
      </c>
      <c r="I138" s="8">
        <f t="shared" si="9"/>
        <v>-0.1894273127753304</v>
      </c>
      <c r="J138" s="13">
        <f t="shared" si="6"/>
        <v>4767</v>
      </c>
      <c r="K138" s="13">
        <f t="shared" si="7"/>
        <v>4587.8</v>
      </c>
    </row>
    <row r="139" spans="1:11" x14ac:dyDescent="0.2">
      <c r="A139" s="2">
        <f ca="1">IFERROR(__xludf.DUMMYFUNCTION("""COMPUTED_VALUE"""),45511.6666666666)</f>
        <v>45511.666666666599</v>
      </c>
      <c r="B139" s="10"/>
      <c r="C139">
        <v>4640</v>
      </c>
      <c r="D139">
        <v>4640</v>
      </c>
      <c r="E139">
        <v>4590</v>
      </c>
      <c r="F139">
        <v>4620</v>
      </c>
      <c r="G139">
        <v>125984100</v>
      </c>
      <c r="H139" s="8">
        <f t="shared" si="8"/>
        <v>4.3478260869565218E-3</v>
      </c>
      <c r="I139" s="8">
        <f t="shared" si="9"/>
        <v>-0.18590308370044054</v>
      </c>
      <c r="J139" s="13">
        <f t="shared" si="6"/>
        <v>4755.5</v>
      </c>
      <c r="K139" s="13">
        <f t="shared" si="7"/>
        <v>4589.2</v>
      </c>
    </row>
    <row r="140" spans="1:11" x14ac:dyDescent="0.2">
      <c r="A140" s="2">
        <f ca="1">IFERROR(__xludf.DUMMYFUNCTION("""COMPUTED_VALUE"""),45512.6666666666)</f>
        <v>45512.666666666599</v>
      </c>
      <c r="B140" s="10"/>
      <c r="C140">
        <v>4600</v>
      </c>
      <c r="D140">
        <v>4690</v>
      </c>
      <c r="E140">
        <v>4590</v>
      </c>
      <c r="F140">
        <v>4660</v>
      </c>
      <c r="G140">
        <v>131343400</v>
      </c>
      <c r="H140" s="8">
        <f t="shared" si="8"/>
        <v>8.658008658008658E-3</v>
      </c>
      <c r="I140" s="8">
        <f t="shared" si="9"/>
        <v>-0.17885462555066078</v>
      </c>
      <c r="J140" s="13">
        <f t="shared" si="6"/>
        <v>4746.5</v>
      </c>
      <c r="K140" s="13">
        <f t="shared" si="7"/>
        <v>4591.8</v>
      </c>
    </row>
    <row r="141" spans="1:11" x14ac:dyDescent="0.2">
      <c r="A141" s="2">
        <f ca="1">IFERROR(__xludf.DUMMYFUNCTION("""COMPUTED_VALUE"""),45513.6666666666)</f>
        <v>45513.666666666599</v>
      </c>
      <c r="B141" s="10"/>
      <c r="C141">
        <v>4700</v>
      </c>
      <c r="D141">
        <v>4730</v>
      </c>
      <c r="E141">
        <v>4670</v>
      </c>
      <c r="F141">
        <v>4670</v>
      </c>
      <c r="G141">
        <v>98730900</v>
      </c>
      <c r="H141" s="8">
        <f t="shared" si="8"/>
        <v>2.1459227467811159E-3</v>
      </c>
      <c r="I141" s="8">
        <f t="shared" si="9"/>
        <v>-0.17709251101321585</v>
      </c>
      <c r="J141" s="13">
        <f t="shared" si="6"/>
        <v>4735</v>
      </c>
      <c r="K141" s="13">
        <f t="shared" si="7"/>
        <v>4597</v>
      </c>
    </row>
    <row r="142" spans="1:11" x14ac:dyDescent="0.2">
      <c r="A142" s="2">
        <f ca="1">IFERROR(__xludf.DUMMYFUNCTION("""COMPUTED_VALUE"""),45516.6666666666)</f>
        <v>45516.666666666599</v>
      </c>
      <c r="B142" s="10"/>
      <c r="C142">
        <v>4720</v>
      </c>
      <c r="D142">
        <v>4720</v>
      </c>
      <c r="E142">
        <v>4650</v>
      </c>
      <c r="F142">
        <v>4680</v>
      </c>
      <c r="G142">
        <v>83552800</v>
      </c>
      <c r="H142" s="8">
        <f t="shared" si="8"/>
        <v>2.1413276231263384E-3</v>
      </c>
      <c r="I142" s="8">
        <f t="shared" si="9"/>
        <v>-0.17533039647577092</v>
      </c>
      <c r="J142" s="13">
        <f t="shared" si="6"/>
        <v>4728</v>
      </c>
      <c r="K142" s="13">
        <f t="shared" si="7"/>
        <v>4603</v>
      </c>
    </row>
    <row r="143" spans="1:11" x14ac:dyDescent="0.2">
      <c r="A143" s="2">
        <f ca="1">IFERROR(__xludf.DUMMYFUNCTION("""COMPUTED_VALUE"""),45517.6666666666)</f>
        <v>45517.666666666599</v>
      </c>
      <c r="B143" s="10"/>
      <c r="C143">
        <v>4700</v>
      </c>
      <c r="D143">
        <v>4750</v>
      </c>
      <c r="E143">
        <v>4690</v>
      </c>
      <c r="F143">
        <v>4720</v>
      </c>
      <c r="G143">
        <v>109533400</v>
      </c>
      <c r="H143" s="8">
        <f t="shared" si="8"/>
        <v>8.5470085470085479E-3</v>
      </c>
      <c r="I143" s="8">
        <f t="shared" si="9"/>
        <v>-0.1682819383259912</v>
      </c>
      <c r="J143" s="13">
        <f t="shared" si="6"/>
        <v>4727.5</v>
      </c>
      <c r="K143" s="13">
        <f t="shared" si="7"/>
        <v>4610.6000000000004</v>
      </c>
    </row>
    <row r="144" spans="1:11" x14ac:dyDescent="0.2">
      <c r="A144" s="2">
        <f ca="1">IFERROR(__xludf.DUMMYFUNCTION("""COMPUTED_VALUE"""),45518.6666666666)</f>
        <v>45518.666666666599</v>
      </c>
      <c r="B144" s="10"/>
      <c r="C144">
        <v>4770</v>
      </c>
      <c r="D144">
        <v>4840</v>
      </c>
      <c r="E144">
        <v>4760</v>
      </c>
      <c r="F144">
        <v>4820</v>
      </c>
      <c r="G144">
        <v>262716500</v>
      </c>
      <c r="H144" s="8">
        <f t="shared" si="8"/>
        <v>2.1186440677966101E-2</v>
      </c>
      <c r="I144" s="8">
        <f t="shared" si="9"/>
        <v>-0.15066079295154186</v>
      </c>
      <c r="J144" s="13">
        <f t="shared" si="6"/>
        <v>4730.5</v>
      </c>
      <c r="K144" s="13">
        <f t="shared" si="7"/>
        <v>4616.3999999999996</v>
      </c>
    </row>
    <row r="145" spans="1:11" x14ac:dyDescent="0.2">
      <c r="A145" s="2">
        <f ca="1">IFERROR(__xludf.DUMMYFUNCTION("""COMPUTED_VALUE"""),45519.6666666666)</f>
        <v>45519.666666666599</v>
      </c>
      <c r="B145" s="10"/>
      <c r="C145">
        <v>4850</v>
      </c>
      <c r="D145">
        <v>4870</v>
      </c>
      <c r="E145">
        <v>4790</v>
      </c>
      <c r="F145">
        <v>4830</v>
      </c>
      <c r="G145">
        <v>214394900</v>
      </c>
      <c r="H145" s="8">
        <f t="shared" si="8"/>
        <v>2.0746887966804979E-3</v>
      </c>
      <c r="I145" s="8">
        <f t="shared" si="9"/>
        <v>-0.14889867841409693</v>
      </c>
      <c r="J145" s="13">
        <f t="shared" si="6"/>
        <v>4727.5</v>
      </c>
      <c r="K145" s="13">
        <f t="shared" si="7"/>
        <v>4624</v>
      </c>
    </row>
    <row r="146" spans="1:11" x14ac:dyDescent="0.2">
      <c r="A146" s="2">
        <f ca="1">IFERROR(__xludf.DUMMYFUNCTION("""COMPUTED_VALUE"""),45520.6666666666)</f>
        <v>45520.666666666599</v>
      </c>
      <c r="B146" s="10"/>
      <c r="C146">
        <v>4850</v>
      </c>
      <c r="D146">
        <v>4870</v>
      </c>
      <c r="E146">
        <v>4830</v>
      </c>
      <c r="F146">
        <v>4830</v>
      </c>
      <c r="G146">
        <v>149701700</v>
      </c>
      <c r="H146" s="8">
        <f t="shared" si="8"/>
        <v>0</v>
      </c>
      <c r="I146" s="8">
        <f t="shared" si="9"/>
        <v>-0.14889867841409693</v>
      </c>
      <c r="J146" s="13">
        <f t="shared" si="6"/>
        <v>4724</v>
      </c>
      <c r="K146" s="13">
        <f t="shared" si="7"/>
        <v>4632.6000000000004</v>
      </c>
    </row>
    <row r="147" spans="1:11" x14ac:dyDescent="0.2">
      <c r="A147" s="2">
        <f ca="1">IFERROR(__xludf.DUMMYFUNCTION("""COMPUTED_VALUE"""),45523.6666666666)</f>
        <v>45523.666666666599</v>
      </c>
      <c r="B147" s="10"/>
      <c r="C147">
        <v>4820</v>
      </c>
      <c r="D147">
        <v>4820</v>
      </c>
      <c r="E147">
        <v>4750</v>
      </c>
      <c r="F147">
        <v>4820</v>
      </c>
      <c r="G147">
        <v>196203200</v>
      </c>
      <c r="H147" s="8">
        <f t="shared" si="8"/>
        <v>-2.070393374741201E-3</v>
      </c>
      <c r="I147" s="8">
        <f t="shared" si="9"/>
        <v>-0.15066079295154186</v>
      </c>
      <c r="J147" s="13">
        <f t="shared" si="6"/>
        <v>4719.5</v>
      </c>
      <c r="K147" s="13">
        <f t="shared" si="7"/>
        <v>4639</v>
      </c>
    </row>
    <row r="148" spans="1:11" x14ac:dyDescent="0.2">
      <c r="A148" s="2">
        <f ca="1">IFERROR(__xludf.DUMMYFUNCTION("""COMPUTED_VALUE"""),45524.6666666666)</f>
        <v>45524.666666666599</v>
      </c>
      <c r="B148" s="10"/>
      <c r="C148">
        <v>4860</v>
      </c>
      <c r="D148">
        <v>4950</v>
      </c>
      <c r="E148">
        <v>4840</v>
      </c>
      <c r="F148">
        <v>4950</v>
      </c>
      <c r="G148">
        <v>310085500</v>
      </c>
      <c r="H148" s="8">
        <f t="shared" si="8"/>
        <v>2.6970954356846474E-2</v>
      </c>
      <c r="I148" s="8">
        <f t="shared" si="9"/>
        <v>-0.1277533039647577</v>
      </c>
      <c r="J148" s="13">
        <f t="shared" si="6"/>
        <v>4727.5</v>
      </c>
      <c r="K148" s="13">
        <f t="shared" si="7"/>
        <v>4651</v>
      </c>
    </row>
    <row r="149" spans="1:11" x14ac:dyDescent="0.2">
      <c r="A149" s="2">
        <f ca="1">IFERROR(__xludf.DUMMYFUNCTION("""COMPUTED_VALUE"""),45525.6666666666)</f>
        <v>45525.666666666599</v>
      </c>
      <c r="B149" s="10"/>
      <c r="C149">
        <v>4990</v>
      </c>
      <c r="D149">
        <v>5100</v>
      </c>
      <c r="E149">
        <v>4980</v>
      </c>
      <c r="F149">
        <v>5100</v>
      </c>
      <c r="G149">
        <v>390307000</v>
      </c>
      <c r="H149" s="8">
        <f t="shared" si="8"/>
        <v>3.0303030303030304E-2</v>
      </c>
      <c r="I149" s="8">
        <f t="shared" si="9"/>
        <v>-0.1013215859030837</v>
      </c>
      <c r="J149" s="13">
        <f t="shared" si="6"/>
        <v>4743.5</v>
      </c>
      <c r="K149" s="13">
        <f t="shared" si="7"/>
        <v>4665</v>
      </c>
    </row>
    <row r="150" spans="1:11" x14ac:dyDescent="0.2">
      <c r="A150" s="2">
        <f ca="1">IFERROR(__xludf.DUMMYFUNCTION("""COMPUTED_VALUE"""),45526.6666666666)</f>
        <v>45526.666666666599</v>
      </c>
      <c r="B150" s="10"/>
      <c r="C150">
        <v>5125</v>
      </c>
      <c r="D150">
        <v>5150</v>
      </c>
      <c r="E150">
        <v>5025</v>
      </c>
      <c r="F150">
        <v>5050</v>
      </c>
      <c r="G150">
        <v>474043100</v>
      </c>
      <c r="H150" s="8">
        <f t="shared" si="8"/>
        <v>-9.8039215686274508E-3</v>
      </c>
      <c r="I150" s="8">
        <f t="shared" si="9"/>
        <v>-0.11013215859030837</v>
      </c>
      <c r="J150" s="13">
        <f t="shared" ref="J150:J213" si="10">AVERAGE(F131:F150)</f>
        <v>4761</v>
      </c>
      <c r="K150" s="13">
        <f t="shared" si="7"/>
        <v>4679.2</v>
      </c>
    </row>
    <row r="151" spans="1:11" x14ac:dyDescent="0.2">
      <c r="A151" s="2">
        <f ca="1">IFERROR(__xludf.DUMMYFUNCTION("""COMPUTED_VALUE"""),45527.6666666666)</f>
        <v>45527.666666666599</v>
      </c>
      <c r="B151" s="10"/>
      <c r="C151">
        <v>5150</v>
      </c>
      <c r="D151">
        <v>5200</v>
      </c>
      <c r="E151">
        <v>5125</v>
      </c>
      <c r="F151">
        <v>5150</v>
      </c>
      <c r="G151">
        <v>217759300</v>
      </c>
      <c r="H151" s="8">
        <f t="shared" si="8"/>
        <v>1.9801980198019802E-2</v>
      </c>
      <c r="I151" s="8">
        <f t="shared" si="9"/>
        <v>-9.2511013215859028E-2</v>
      </c>
      <c r="J151" s="13">
        <f t="shared" si="10"/>
        <v>4780.5</v>
      </c>
      <c r="K151" s="13">
        <f t="shared" si="7"/>
        <v>4695.2</v>
      </c>
    </row>
    <row r="152" spans="1:11" x14ac:dyDescent="0.2">
      <c r="A152" s="2">
        <f ca="1">IFERROR(__xludf.DUMMYFUNCTION("""COMPUTED_VALUE"""),45530.6666666666)</f>
        <v>45530.666666666599</v>
      </c>
      <c r="B152" s="10"/>
      <c r="C152">
        <v>5200</v>
      </c>
      <c r="D152">
        <v>5325</v>
      </c>
      <c r="E152">
        <v>5200</v>
      </c>
      <c r="F152">
        <v>5300</v>
      </c>
      <c r="G152">
        <v>361169800</v>
      </c>
      <c r="H152" s="8">
        <f t="shared" si="8"/>
        <v>2.9126213592233011E-2</v>
      </c>
      <c r="I152" s="8">
        <f t="shared" si="9"/>
        <v>-6.6079295154185022E-2</v>
      </c>
      <c r="J152" s="13">
        <f t="shared" si="10"/>
        <v>4806.5</v>
      </c>
      <c r="K152" s="13">
        <f t="shared" si="7"/>
        <v>4715</v>
      </c>
    </row>
    <row r="153" spans="1:11" x14ac:dyDescent="0.2">
      <c r="A153" s="2">
        <f ca="1">IFERROR(__xludf.DUMMYFUNCTION("""COMPUTED_VALUE"""),45531.6666666666)</f>
        <v>45531.666666666599</v>
      </c>
      <c r="B153" s="10"/>
      <c r="C153">
        <v>5250</v>
      </c>
      <c r="D153">
        <v>5275</v>
      </c>
      <c r="E153">
        <v>5100</v>
      </c>
      <c r="F153">
        <v>5175</v>
      </c>
      <c r="G153">
        <v>271088700</v>
      </c>
      <c r="H153" s="8">
        <f t="shared" si="8"/>
        <v>-2.358490566037736E-2</v>
      </c>
      <c r="I153" s="8">
        <f t="shared" si="9"/>
        <v>-8.8105726872246701E-2</v>
      </c>
      <c r="J153" s="13">
        <f t="shared" si="10"/>
        <v>4831.75</v>
      </c>
      <c r="K153" s="13">
        <f t="shared" si="7"/>
        <v>4734.8999999999996</v>
      </c>
    </row>
    <row r="154" spans="1:11" x14ac:dyDescent="0.2">
      <c r="A154" s="2">
        <f ca="1">IFERROR(__xludf.DUMMYFUNCTION("""COMPUTED_VALUE"""),45532.6666666666)</f>
        <v>45532.666666666599</v>
      </c>
      <c r="B154" s="10"/>
      <c r="C154">
        <v>5100</v>
      </c>
      <c r="D154">
        <v>5175</v>
      </c>
      <c r="E154">
        <v>5025</v>
      </c>
      <c r="F154">
        <v>5150</v>
      </c>
      <c r="G154">
        <v>277561700</v>
      </c>
      <c r="H154" s="8">
        <f t="shared" si="8"/>
        <v>-4.830917874396135E-3</v>
      </c>
      <c r="I154" s="8">
        <f t="shared" si="9"/>
        <v>-9.2511013215859028E-2</v>
      </c>
      <c r="J154" s="13">
        <f t="shared" si="10"/>
        <v>4855.75</v>
      </c>
      <c r="K154" s="13">
        <f t="shared" si="7"/>
        <v>4755.8999999999996</v>
      </c>
    </row>
    <row r="155" spans="1:11" x14ac:dyDescent="0.2">
      <c r="A155" s="2">
        <f ca="1">IFERROR(__xludf.DUMMYFUNCTION("""COMPUTED_VALUE"""),45533.6666666666)</f>
        <v>45533.666666666599</v>
      </c>
      <c r="B155" s="10"/>
      <c r="C155">
        <v>5125</v>
      </c>
      <c r="D155">
        <v>5175</v>
      </c>
      <c r="E155">
        <v>5100</v>
      </c>
      <c r="F155">
        <v>5125</v>
      </c>
      <c r="G155">
        <v>160041900</v>
      </c>
      <c r="H155" s="8">
        <f t="shared" si="8"/>
        <v>-4.8543689320388345E-3</v>
      </c>
      <c r="I155" s="8">
        <f t="shared" si="9"/>
        <v>-9.6916299559471369E-2</v>
      </c>
      <c r="J155" s="13">
        <f t="shared" si="10"/>
        <v>4874.5</v>
      </c>
      <c r="K155" s="13">
        <f t="shared" si="7"/>
        <v>4773</v>
      </c>
    </row>
    <row r="156" spans="1:11" x14ac:dyDescent="0.2">
      <c r="A156" s="2">
        <f ca="1">IFERROR(__xludf.DUMMYFUNCTION("""COMPUTED_VALUE"""),45534.6666666666)</f>
        <v>45534.666666666599</v>
      </c>
      <c r="B156" s="10"/>
      <c r="C156">
        <v>5175</v>
      </c>
      <c r="D156">
        <v>5175</v>
      </c>
      <c r="E156">
        <v>5125</v>
      </c>
      <c r="F156">
        <v>5150</v>
      </c>
      <c r="G156">
        <v>275298000</v>
      </c>
      <c r="H156" s="8">
        <f t="shared" si="8"/>
        <v>4.8780487804878049E-3</v>
      </c>
      <c r="I156" s="8">
        <f t="shared" si="9"/>
        <v>-9.2511013215859028E-2</v>
      </c>
      <c r="J156" s="13">
        <f t="shared" si="10"/>
        <v>4896.5</v>
      </c>
      <c r="K156" s="13">
        <f t="shared" si="7"/>
        <v>4787.2</v>
      </c>
    </row>
    <row r="157" spans="1:11" x14ac:dyDescent="0.2">
      <c r="A157" s="2">
        <f ca="1">IFERROR(__xludf.DUMMYFUNCTION("""COMPUTED_VALUE"""),45537.6666666666)</f>
        <v>45537.666666666599</v>
      </c>
      <c r="B157" s="10"/>
      <c r="C157">
        <v>5150</v>
      </c>
      <c r="D157">
        <v>5225</v>
      </c>
      <c r="E157">
        <v>5150</v>
      </c>
      <c r="F157">
        <v>5175</v>
      </c>
      <c r="G157">
        <v>136717200</v>
      </c>
      <c r="H157" s="8">
        <f t="shared" si="8"/>
        <v>4.8543689320388345E-3</v>
      </c>
      <c r="I157" s="8">
        <f t="shared" si="9"/>
        <v>-8.8105726872246701E-2</v>
      </c>
      <c r="J157" s="13">
        <f t="shared" si="10"/>
        <v>4928.75</v>
      </c>
      <c r="K157" s="13">
        <f t="shared" si="7"/>
        <v>4802.7</v>
      </c>
    </row>
    <row r="158" spans="1:11" x14ac:dyDescent="0.2">
      <c r="A158" s="2">
        <f ca="1">IFERROR(__xludf.DUMMYFUNCTION("""COMPUTED_VALUE"""),45538.6666666666)</f>
        <v>45538.666666666599</v>
      </c>
      <c r="B158" s="10"/>
      <c r="C158">
        <v>5225</v>
      </c>
      <c r="D158">
        <v>5250</v>
      </c>
      <c r="E158">
        <v>5150</v>
      </c>
      <c r="F158">
        <v>5175</v>
      </c>
      <c r="G158">
        <v>166033900</v>
      </c>
      <c r="H158" s="8">
        <f t="shared" si="8"/>
        <v>0</v>
      </c>
      <c r="I158" s="8">
        <f t="shared" si="9"/>
        <v>-8.8105726872246701E-2</v>
      </c>
      <c r="J158" s="13">
        <f t="shared" si="10"/>
        <v>4957.5</v>
      </c>
      <c r="K158" s="13">
        <f t="shared" si="7"/>
        <v>4818.6000000000004</v>
      </c>
    </row>
    <row r="159" spans="1:11" x14ac:dyDescent="0.2">
      <c r="A159" s="2">
        <f ca="1">IFERROR(__xludf.DUMMYFUNCTION("""COMPUTED_VALUE"""),45539.6666666666)</f>
        <v>45539.666666666599</v>
      </c>
      <c r="B159" s="10"/>
      <c r="C159">
        <v>5100</v>
      </c>
      <c r="D159">
        <v>5175</v>
      </c>
      <c r="E159">
        <v>5100</v>
      </c>
      <c r="F159">
        <v>5100</v>
      </c>
      <c r="G159">
        <v>141890400</v>
      </c>
      <c r="H159" s="8">
        <f t="shared" si="8"/>
        <v>-1.4492753623188406E-2</v>
      </c>
      <c r="I159" s="8">
        <f t="shared" si="9"/>
        <v>-0.1013215859030837</v>
      </c>
      <c r="J159" s="13">
        <f t="shared" si="10"/>
        <v>4981.5</v>
      </c>
      <c r="K159" s="13">
        <f t="shared" si="7"/>
        <v>4833.2</v>
      </c>
    </row>
    <row r="160" spans="1:11" x14ac:dyDescent="0.2">
      <c r="A160" s="2">
        <f ca="1">IFERROR(__xludf.DUMMYFUNCTION("""COMPUTED_VALUE"""),45540.6666666666)</f>
        <v>45540.666666666599</v>
      </c>
      <c r="B160" s="10"/>
      <c r="C160">
        <v>5125</v>
      </c>
      <c r="D160">
        <v>5150</v>
      </c>
      <c r="E160">
        <v>5075</v>
      </c>
      <c r="F160">
        <v>5150</v>
      </c>
      <c r="G160">
        <v>166436800</v>
      </c>
      <c r="H160" s="8">
        <f t="shared" si="8"/>
        <v>9.8039215686274508E-3</v>
      </c>
      <c r="I160" s="8">
        <f t="shared" si="9"/>
        <v>-9.2511013215859028E-2</v>
      </c>
      <c r="J160" s="13">
        <f t="shared" si="10"/>
        <v>5006</v>
      </c>
      <c r="K160" s="13">
        <f t="shared" si="7"/>
        <v>4847</v>
      </c>
    </row>
    <row r="161" spans="1:11" x14ac:dyDescent="0.2">
      <c r="A161" s="2">
        <f ca="1">IFERROR(__xludf.DUMMYFUNCTION("""COMPUTED_VALUE"""),45541.6666666666)</f>
        <v>45541.666666666599</v>
      </c>
      <c r="B161" s="10"/>
      <c r="C161">
        <v>5200</v>
      </c>
      <c r="D161">
        <v>5250</v>
      </c>
      <c r="E161">
        <v>5150</v>
      </c>
      <c r="F161">
        <v>5225</v>
      </c>
      <c r="G161">
        <v>170520700</v>
      </c>
      <c r="H161" s="8">
        <f t="shared" si="8"/>
        <v>1.4563106796116505E-2</v>
      </c>
      <c r="I161" s="8">
        <f t="shared" si="9"/>
        <v>-7.9295154185022032E-2</v>
      </c>
      <c r="J161" s="13">
        <f t="shared" si="10"/>
        <v>5033.75</v>
      </c>
      <c r="K161" s="13">
        <f t="shared" si="7"/>
        <v>4859.5</v>
      </c>
    </row>
    <row r="162" spans="1:11" x14ac:dyDescent="0.2">
      <c r="A162" s="2">
        <f ca="1">IFERROR(__xludf.DUMMYFUNCTION("""COMPUTED_VALUE"""),45544.6666666666)</f>
        <v>45544.666666666599</v>
      </c>
      <c r="B162" s="10"/>
      <c r="C162">
        <v>5275</v>
      </c>
      <c r="D162">
        <v>5300</v>
      </c>
      <c r="E162">
        <v>5150</v>
      </c>
      <c r="F162">
        <v>5175</v>
      </c>
      <c r="G162">
        <v>201448700</v>
      </c>
      <c r="H162" s="8">
        <f t="shared" si="8"/>
        <v>-9.5693779904306216E-3</v>
      </c>
      <c r="I162" s="8">
        <f t="shared" si="9"/>
        <v>-8.8105726872246701E-2</v>
      </c>
      <c r="J162" s="13">
        <f t="shared" si="10"/>
        <v>5058.5</v>
      </c>
      <c r="K162" s="13">
        <f t="shared" si="7"/>
        <v>4870.3999999999996</v>
      </c>
    </row>
    <row r="163" spans="1:11" x14ac:dyDescent="0.2">
      <c r="A163" s="2">
        <f ca="1">IFERROR(__xludf.DUMMYFUNCTION("""COMPUTED_VALUE"""),45545.6666666666)</f>
        <v>45545.666666666599</v>
      </c>
      <c r="B163" s="10"/>
      <c r="C163">
        <v>5200</v>
      </c>
      <c r="D163">
        <v>5250</v>
      </c>
      <c r="E163">
        <v>5125</v>
      </c>
      <c r="F163">
        <v>5250</v>
      </c>
      <c r="G163">
        <v>202326400</v>
      </c>
      <c r="H163" s="8">
        <f t="shared" si="8"/>
        <v>1.4492753623188406E-2</v>
      </c>
      <c r="I163" s="8">
        <f t="shared" si="9"/>
        <v>-7.4889867841409691E-2</v>
      </c>
      <c r="J163" s="13">
        <f t="shared" si="10"/>
        <v>5085</v>
      </c>
      <c r="K163" s="13">
        <f t="shared" si="7"/>
        <v>4884</v>
      </c>
    </row>
    <row r="164" spans="1:11" x14ac:dyDescent="0.2">
      <c r="A164" s="2">
        <f ca="1">IFERROR(__xludf.DUMMYFUNCTION("""COMPUTED_VALUE"""),45546.6666666666)</f>
        <v>45546.666666666599</v>
      </c>
      <c r="B164" s="10"/>
      <c r="C164">
        <v>5225</v>
      </c>
      <c r="D164">
        <v>5250</v>
      </c>
      <c r="E164">
        <v>5125</v>
      </c>
      <c r="F164">
        <v>5175</v>
      </c>
      <c r="G164">
        <v>165284900</v>
      </c>
      <c r="H164" s="8">
        <f t="shared" si="8"/>
        <v>-1.4285714285714285E-2</v>
      </c>
      <c r="I164" s="8">
        <f t="shared" si="9"/>
        <v>-8.8105726872246701E-2</v>
      </c>
      <c r="J164" s="13">
        <f t="shared" si="10"/>
        <v>5102.75</v>
      </c>
      <c r="K164" s="13">
        <f t="shared" si="7"/>
        <v>4895.5</v>
      </c>
    </row>
    <row r="165" spans="1:11" x14ac:dyDescent="0.2">
      <c r="A165" s="2">
        <f ca="1">IFERROR(__xludf.DUMMYFUNCTION("""COMPUTED_VALUE"""),45547.6666666666)</f>
        <v>45547.666666666599</v>
      </c>
      <c r="B165" s="10"/>
      <c r="C165">
        <v>5175</v>
      </c>
      <c r="D165">
        <v>5225</v>
      </c>
      <c r="E165">
        <v>5150</v>
      </c>
      <c r="F165">
        <v>5175</v>
      </c>
      <c r="G165">
        <v>138542100</v>
      </c>
      <c r="H165" s="8">
        <f t="shared" si="8"/>
        <v>0</v>
      </c>
      <c r="I165" s="8">
        <f t="shared" si="9"/>
        <v>-8.8105726872246701E-2</v>
      </c>
      <c r="J165" s="13">
        <f t="shared" si="10"/>
        <v>5120</v>
      </c>
      <c r="K165" s="13">
        <f t="shared" si="7"/>
        <v>4903.2</v>
      </c>
    </row>
    <row r="166" spans="1:11" x14ac:dyDescent="0.2">
      <c r="A166" s="2">
        <f ca="1">IFERROR(__xludf.DUMMYFUNCTION("""COMPUTED_VALUE"""),45548.6666666666)</f>
        <v>45548.666666666599</v>
      </c>
      <c r="B166" s="10"/>
      <c r="C166">
        <v>5200</v>
      </c>
      <c r="D166">
        <v>5300</v>
      </c>
      <c r="E166">
        <v>5175</v>
      </c>
      <c r="F166">
        <v>5300</v>
      </c>
      <c r="G166">
        <v>259722600</v>
      </c>
      <c r="H166" s="8">
        <f t="shared" si="8"/>
        <v>2.4154589371980676E-2</v>
      </c>
      <c r="I166" s="8">
        <f t="shared" si="9"/>
        <v>-6.6079295154185022E-2</v>
      </c>
      <c r="J166" s="13">
        <f t="shared" si="10"/>
        <v>5143.5</v>
      </c>
      <c r="K166" s="13">
        <f t="shared" si="7"/>
        <v>4913.2</v>
      </c>
    </row>
    <row r="167" spans="1:11" x14ac:dyDescent="0.2">
      <c r="A167" s="2">
        <f ca="1">IFERROR(__xludf.DUMMYFUNCTION("""COMPUTED_VALUE"""),45552.6666666666)</f>
        <v>45552.666666666599</v>
      </c>
      <c r="B167" s="10"/>
      <c r="C167">
        <v>5350</v>
      </c>
      <c r="D167">
        <v>5350</v>
      </c>
      <c r="E167">
        <v>5250</v>
      </c>
      <c r="F167">
        <v>5300</v>
      </c>
      <c r="G167">
        <v>201331600</v>
      </c>
      <c r="H167" s="8">
        <f t="shared" si="8"/>
        <v>0</v>
      </c>
      <c r="I167" s="8">
        <f t="shared" si="9"/>
        <v>-6.6079295154185022E-2</v>
      </c>
      <c r="J167" s="13">
        <f t="shared" si="10"/>
        <v>5167.5</v>
      </c>
      <c r="K167" s="13">
        <f t="shared" si="7"/>
        <v>4924.2</v>
      </c>
    </row>
    <row r="168" spans="1:11" x14ac:dyDescent="0.2">
      <c r="A168" s="2">
        <f ca="1">IFERROR(__xludf.DUMMYFUNCTION("""COMPUTED_VALUE"""),45553.6666666666)</f>
        <v>45553.666666666599</v>
      </c>
      <c r="B168" s="10"/>
      <c r="C168">
        <v>5350</v>
      </c>
      <c r="D168">
        <v>5375</v>
      </c>
      <c r="E168">
        <v>5325</v>
      </c>
      <c r="F168">
        <v>5350</v>
      </c>
      <c r="G168">
        <v>186877300</v>
      </c>
      <c r="H168" s="8">
        <f t="shared" si="8"/>
        <v>9.433962264150943E-3</v>
      </c>
      <c r="I168" s="8">
        <f t="shared" si="9"/>
        <v>-5.7268722466960353E-2</v>
      </c>
      <c r="J168" s="13">
        <f t="shared" si="10"/>
        <v>5187.5</v>
      </c>
      <c r="K168" s="13">
        <f t="shared" si="7"/>
        <v>4933.8</v>
      </c>
    </row>
    <row r="169" spans="1:11" x14ac:dyDescent="0.2">
      <c r="A169" s="2">
        <f ca="1">IFERROR(__xludf.DUMMYFUNCTION("""COMPUTED_VALUE"""),45554.6666666666)</f>
        <v>45554.666666666599</v>
      </c>
      <c r="B169" s="10"/>
      <c r="C169">
        <v>5425</v>
      </c>
      <c r="D169">
        <v>5500</v>
      </c>
      <c r="E169">
        <v>5400</v>
      </c>
      <c r="F169">
        <v>5400</v>
      </c>
      <c r="G169">
        <v>332941100</v>
      </c>
      <c r="H169" s="8">
        <f t="shared" si="8"/>
        <v>9.3457943925233638E-3</v>
      </c>
      <c r="I169" s="8">
        <f t="shared" si="9"/>
        <v>-4.8458149779735685E-2</v>
      </c>
      <c r="J169" s="13">
        <f t="shared" si="10"/>
        <v>5202.5</v>
      </c>
      <c r="K169" s="13">
        <f t="shared" si="7"/>
        <v>4944.8</v>
      </c>
    </row>
    <row r="170" spans="1:11" x14ac:dyDescent="0.2">
      <c r="A170" s="2">
        <f ca="1">IFERROR(__xludf.DUMMYFUNCTION("""COMPUTED_VALUE"""),45555.6666666666)</f>
        <v>45555.666666666599</v>
      </c>
      <c r="B170" s="10"/>
      <c r="C170">
        <v>5400</v>
      </c>
      <c r="D170">
        <v>5450</v>
      </c>
      <c r="E170">
        <v>5375</v>
      </c>
      <c r="F170">
        <v>5375</v>
      </c>
      <c r="G170">
        <v>260437400</v>
      </c>
      <c r="H170" s="8">
        <f t="shared" si="8"/>
        <v>-4.6296296296296294E-3</v>
      </c>
      <c r="I170" s="8">
        <f t="shared" si="9"/>
        <v>-5.2863436123348019E-2</v>
      </c>
      <c r="J170" s="13">
        <f t="shared" si="10"/>
        <v>5218.75</v>
      </c>
      <c r="K170" s="13">
        <f t="shared" si="7"/>
        <v>4955.5</v>
      </c>
    </row>
    <row r="171" spans="1:11" x14ac:dyDescent="0.2">
      <c r="A171" s="2">
        <f ca="1">IFERROR(__xludf.DUMMYFUNCTION("""COMPUTED_VALUE"""),45558.6666666666)</f>
        <v>45558.666666666599</v>
      </c>
      <c r="B171" s="10"/>
      <c r="C171">
        <v>5350</v>
      </c>
      <c r="D171">
        <v>5500</v>
      </c>
      <c r="E171">
        <v>5350</v>
      </c>
      <c r="F171">
        <v>5500</v>
      </c>
      <c r="G171">
        <v>245292000</v>
      </c>
      <c r="H171" s="8">
        <f t="shared" si="8"/>
        <v>2.3255813953488372E-2</v>
      </c>
      <c r="I171" s="8">
        <f t="shared" si="9"/>
        <v>-3.0837004405286344E-2</v>
      </c>
      <c r="J171" s="13">
        <f t="shared" si="10"/>
        <v>5236.25</v>
      </c>
      <c r="K171" s="13">
        <f t="shared" si="7"/>
        <v>4967.5</v>
      </c>
    </row>
    <row r="172" spans="1:11" x14ac:dyDescent="0.2">
      <c r="A172" s="2">
        <f ca="1">IFERROR(__xludf.DUMMYFUNCTION("""COMPUTED_VALUE"""),45559.6666666666)</f>
        <v>45559.666666666599</v>
      </c>
      <c r="B172" s="10"/>
      <c r="C172">
        <v>5550</v>
      </c>
      <c r="D172">
        <v>5575</v>
      </c>
      <c r="E172">
        <v>5525</v>
      </c>
      <c r="F172">
        <v>5525</v>
      </c>
      <c r="G172">
        <v>195415700</v>
      </c>
      <c r="H172" s="8">
        <f t="shared" si="8"/>
        <v>4.5454545454545452E-3</v>
      </c>
      <c r="I172" s="8">
        <f t="shared" si="9"/>
        <v>-2.643171806167401E-2</v>
      </c>
      <c r="J172" s="13">
        <f t="shared" si="10"/>
        <v>5247.5</v>
      </c>
      <c r="K172" s="13">
        <f t="shared" si="7"/>
        <v>4981.6000000000004</v>
      </c>
    </row>
    <row r="173" spans="1:11" x14ac:dyDescent="0.2">
      <c r="A173" s="2">
        <f ca="1">IFERROR(__xludf.DUMMYFUNCTION("""COMPUTED_VALUE"""),45560.6666666666)</f>
        <v>45560.666666666599</v>
      </c>
      <c r="B173" s="10"/>
      <c r="C173">
        <v>5400</v>
      </c>
      <c r="D173">
        <v>5425</v>
      </c>
      <c r="E173">
        <v>5200</v>
      </c>
      <c r="F173">
        <v>5325</v>
      </c>
      <c r="G173">
        <v>607065900</v>
      </c>
      <c r="H173" s="8">
        <f t="shared" si="8"/>
        <v>-3.6199095022624438E-2</v>
      </c>
      <c r="I173" s="8">
        <f t="shared" si="9"/>
        <v>-6.1674008810572688E-2</v>
      </c>
      <c r="J173" s="13">
        <f t="shared" si="10"/>
        <v>5255</v>
      </c>
      <c r="K173" s="13">
        <f t="shared" si="7"/>
        <v>4993.5</v>
      </c>
    </row>
    <row r="174" spans="1:11" x14ac:dyDescent="0.2">
      <c r="A174" s="2">
        <f ca="1">IFERROR(__xludf.DUMMYFUNCTION("""COMPUTED_VALUE"""),45561.6666666666)</f>
        <v>45561.666666666599</v>
      </c>
      <c r="B174" s="10"/>
      <c r="C174">
        <v>5150</v>
      </c>
      <c r="D174">
        <v>5200</v>
      </c>
      <c r="E174">
        <v>5025</v>
      </c>
      <c r="F174">
        <v>5050</v>
      </c>
      <c r="G174">
        <v>855266800</v>
      </c>
      <c r="H174" s="8">
        <f t="shared" si="8"/>
        <v>-5.1643192488262914E-2</v>
      </c>
      <c r="I174" s="8">
        <f t="shared" si="9"/>
        <v>-0.11013215859030837</v>
      </c>
      <c r="J174" s="13">
        <f t="shared" si="10"/>
        <v>5250</v>
      </c>
      <c r="K174" s="13">
        <f t="shared" si="7"/>
        <v>4999.3</v>
      </c>
    </row>
    <row r="175" spans="1:11" x14ac:dyDescent="0.2">
      <c r="A175" s="2">
        <f ca="1">IFERROR(__xludf.DUMMYFUNCTION("""COMPUTED_VALUE"""),45562.6666666666)</f>
        <v>45562.666666666599</v>
      </c>
      <c r="B175" s="10"/>
      <c r="C175">
        <v>5050</v>
      </c>
      <c r="D175">
        <v>5150</v>
      </c>
      <c r="E175">
        <v>5000</v>
      </c>
      <c r="F175">
        <v>5100</v>
      </c>
      <c r="G175">
        <v>304694300</v>
      </c>
      <c r="H175" s="8">
        <f t="shared" si="8"/>
        <v>9.9009900990099011E-3</v>
      </c>
      <c r="I175" s="8">
        <f t="shared" si="9"/>
        <v>-0.1013215859030837</v>
      </c>
      <c r="J175" s="13">
        <f t="shared" si="10"/>
        <v>5248.75</v>
      </c>
      <c r="K175" s="13">
        <f t="shared" si="7"/>
        <v>5003.5</v>
      </c>
    </row>
    <row r="176" spans="1:11" x14ac:dyDescent="0.2">
      <c r="A176" s="2">
        <f ca="1">IFERROR(__xludf.DUMMYFUNCTION("""COMPUTED_VALUE"""),45565.6666666666)</f>
        <v>45565.666666666599</v>
      </c>
      <c r="B176" s="10"/>
      <c r="C176">
        <v>5050</v>
      </c>
      <c r="D176">
        <v>5050</v>
      </c>
      <c r="E176">
        <v>4950</v>
      </c>
      <c r="F176">
        <v>4950</v>
      </c>
      <c r="G176">
        <v>539169900</v>
      </c>
      <c r="H176" s="8">
        <f t="shared" si="8"/>
        <v>-2.9411764705882353E-2</v>
      </c>
      <c r="I176" s="8">
        <f t="shared" si="9"/>
        <v>-0.1277533039647577</v>
      </c>
      <c r="J176" s="13">
        <f t="shared" si="10"/>
        <v>5238.75</v>
      </c>
      <c r="K176" s="13">
        <f t="shared" si="7"/>
        <v>5004.5</v>
      </c>
    </row>
    <row r="177" spans="1:11" x14ac:dyDescent="0.2">
      <c r="A177" s="2">
        <f ca="1">IFERROR(__xludf.DUMMYFUNCTION("""COMPUTED_VALUE"""),45566.6666666666)</f>
        <v>45566.666666666599</v>
      </c>
      <c r="B177" s="10"/>
      <c r="C177">
        <v>4970</v>
      </c>
      <c r="D177">
        <v>5075</v>
      </c>
      <c r="E177">
        <v>4970</v>
      </c>
      <c r="F177">
        <v>5075</v>
      </c>
      <c r="G177">
        <v>197069300</v>
      </c>
      <c r="H177" s="8">
        <f t="shared" si="8"/>
        <v>2.5252525252525252E-2</v>
      </c>
      <c r="I177" s="8">
        <f t="shared" si="9"/>
        <v>-0.10572687224669604</v>
      </c>
      <c r="J177" s="13">
        <f t="shared" si="10"/>
        <v>5233.75</v>
      </c>
      <c r="K177" s="13">
        <f t="shared" si="7"/>
        <v>5007.8</v>
      </c>
    </row>
    <row r="178" spans="1:11" x14ac:dyDescent="0.2">
      <c r="A178" s="2">
        <f ca="1">IFERROR(__xludf.DUMMYFUNCTION("""COMPUTED_VALUE"""),45567.6666666666)</f>
        <v>45567.666666666599</v>
      </c>
      <c r="B178" s="10"/>
      <c r="C178">
        <v>5000</v>
      </c>
      <c r="D178">
        <v>5075</v>
      </c>
      <c r="E178">
        <v>4900</v>
      </c>
      <c r="F178">
        <v>4940</v>
      </c>
      <c r="G178">
        <v>307487600</v>
      </c>
      <c r="H178" s="8">
        <f t="shared" si="8"/>
        <v>-2.6600985221674877E-2</v>
      </c>
      <c r="I178" s="8">
        <f t="shared" si="9"/>
        <v>-0.12951541850220263</v>
      </c>
      <c r="J178" s="13">
        <f t="shared" si="10"/>
        <v>5222</v>
      </c>
      <c r="K178" s="13">
        <f t="shared" si="7"/>
        <v>5010.8</v>
      </c>
    </row>
    <row r="179" spans="1:11" x14ac:dyDescent="0.2">
      <c r="A179" s="2">
        <f ca="1">IFERROR(__xludf.DUMMYFUNCTION("""COMPUTED_VALUE"""),45568.6666666666)</f>
        <v>45568.666666666599</v>
      </c>
      <c r="B179" s="10"/>
      <c r="C179">
        <v>4900</v>
      </c>
      <c r="D179">
        <v>4960</v>
      </c>
      <c r="E179">
        <v>4860</v>
      </c>
      <c r="F179">
        <v>4920</v>
      </c>
      <c r="G179">
        <v>354814800</v>
      </c>
      <c r="H179" s="8">
        <f t="shared" si="8"/>
        <v>-4.048582995951417E-3</v>
      </c>
      <c r="I179" s="8">
        <f t="shared" si="9"/>
        <v>-0.13303964757709252</v>
      </c>
      <c r="J179" s="13">
        <f t="shared" si="10"/>
        <v>5213</v>
      </c>
      <c r="K179" s="13">
        <f t="shared" si="7"/>
        <v>5013.6000000000004</v>
      </c>
    </row>
    <row r="180" spans="1:11" x14ac:dyDescent="0.2">
      <c r="A180" s="2">
        <f ca="1">IFERROR(__xludf.DUMMYFUNCTION("""COMPUTED_VALUE"""),45569.6666666666)</f>
        <v>45569.666666666599</v>
      </c>
      <c r="B180" s="10"/>
      <c r="C180">
        <v>4870</v>
      </c>
      <c r="D180">
        <v>4920</v>
      </c>
      <c r="E180">
        <v>4850</v>
      </c>
      <c r="F180">
        <v>4860</v>
      </c>
      <c r="G180">
        <v>289960700</v>
      </c>
      <c r="H180" s="8">
        <f t="shared" si="8"/>
        <v>-1.2195121951219513E-2</v>
      </c>
      <c r="I180" s="8">
        <f t="shared" si="9"/>
        <v>-0.14361233480176211</v>
      </c>
      <c r="J180" s="13">
        <f t="shared" si="10"/>
        <v>5198.5</v>
      </c>
      <c r="K180" s="13">
        <f t="shared" ref="K180:K238" si="11">AVERAGE(F131:F180)</f>
        <v>5016.8</v>
      </c>
    </row>
    <row r="181" spans="1:11" x14ac:dyDescent="0.2">
      <c r="A181" s="2">
        <f ca="1">IFERROR(__xludf.DUMMYFUNCTION("""COMPUTED_VALUE"""),45572.6666666666)</f>
        <v>45572.666666666599</v>
      </c>
      <c r="B181" s="10"/>
      <c r="C181">
        <v>4860</v>
      </c>
      <c r="D181">
        <v>4930</v>
      </c>
      <c r="E181">
        <v>4810</v>
      </c>
      <c r="F181">
        <v>4820</v>
      </c>
      <c r="G181">
        <v>308452200</v>
      </c>
      <c r="H181" s="8">
        <f t="shared" si="8"/>
        <v>-8.23045267489712E-3</v>
      </c>
      <c r="I181" s="8">
        <f t="shared" si="9"/>
        <v>-0.15066079295154186</v>
      </c>
      <c r="J181" s="13">
        <f t="shared" si="10"/>
        <v>5178.25</v>
      </c>
      <c r="K181" s="13">
        <f t="shared" si="11"/>
        <v>5018</v>
      </c>
    </row>
    <row r="182" spans="1:11" x14ac:dyDescent="0.2">
      <c r="A182" s="2">
        <f ca="1">IFERROR(__xludf.DUMMYFUNCTION("""COMPUTED_VALUE"""),45573.6666666666)</f>
        <v>45573.666666666599</v>
      </c>
      <c r="B182" s="10"/>
      <c r="C182">
        <v>4800</v>
      </c>
      <c r="D182">
        <v>5050</v>
      </c>
      <c r="E182">
        <v>4760</v>
      </c>
      <c r="F182">
        <v>5000</v>
      </c>
      <c r="G182">
        <v>527474400</v>
      </c>
      <c r="H182" s="8">
        <f t="shared" si="8"/>
        <v>3.7344398340248962E-2</v>
      </c>
      <c r="I182" s="8">
        <f t="shared" si="9"/>
        <v>-0.11894273127753303</v>
      </c>
      <c r="J182" s="13">
        <f t="shared" si="10"/>
        <v>5169.5</v>
      </c>
      <c r="K182" s="13">
        <f t="shared" si="11"/>
        <v>5022.3999999999996</v>
      </c>
    </row>
    <row r="183" spans="1:11" x14ac:dyDescent="0.2">
      <c r="A183" s="2">
        <f ca="1">IFERROR(__xludf.DUMMYFUNCTION("""COMPUTED_VALUE"""),45574.6666666666)</f>
        <v>45574.666666666599</v>
      </c>
      <c r="B183" s="10"/>
      <c r="C183">
        <v>5000</v>
      </c>
      <c r="D183">
        <v>5075</v>
      </c>
      <c r="E183">
        <v>4930</v>
      </c>
      <c r="F183">
        <v>4930</v>
      </c>
      <c r="G183">
        <v>309336600</v>
      </c>
      <c r="H183" s="8">
        <f t="shared" si="8"/>
        <v>-1.4E-2</v>
      </c>
      <c r="I183" s="8">
        <f t="shared" si="9"/>
        <v>-0.13127753303964756</v>
      </c>
      <c r="J183" s="13">
        <f t="shared" si="10"/>
        <v>5153.5</v>
      </c>
      <c r="K183" s="13">
        <f t="shared" si="11"/>
        <v>5027.6000000000004</v>
      </c>
    </row>
    <row r="184" spans="1:11" x14ac:dyDescent="0.2">
      <c r="A184" s="2">
        <f ca="1">IFERROR(__xludf.DUMMYFUNCTION("""COMPUTED_VALUE"""),45575.6666666666)</f>
        <v>45575.666666666599</v>
      </c>
      <c r="B184" s="10"/>
      <c r="C184">
        <v>4920</v>
      </c>
      <c r="D184">
        <v>4970</v>
      </c>
      <c r="E184">
        <v>4860</v>
      </c>
      <c r="F184">
        <v>4860</v>
      </c>
      <c r="G184">
        <v>226564700</v>
      </c>
      <c r="H184" s="8">
        <f t="shared" si="8"/>
        <v>-1.4198782961460446E-2</v>
      </c>
      <c r="I184" s="8">
        <f t="shared" si="9"/>
        <v>-0.14361233480176211</v>
      </c>
      <c r="J184" s="13">
        <f t="shared" si="10"/>
        <v>5137.75</v>
      </c>
      <c r="K184" s="13">
        <f t="shared" si="11"/>
        <v>5031.3999999999996</v>
      </c>
    </row>
    <row r="185" spans="1:11" x14ac:dyDescent="0.2">
      <c r="A185" s="2">
        <f ca="1">IFERROR(__xludf.DUMMYFUNCTION("""COMPUTED_VALUE"""),45576.6666666666)</f>
        <v>45576.666666666599</v>
      </c>
      <c r="B185" s="10"/>
      <c r="C185">
        <v>4910</v>
      </c>
      <c r="D185">
        <v>4940</v>
      </c>
      <c r="E185">
        <v>4890</v>
      </c>
      <c r="F185">
        <v>4900</v>
      </c>
      <c r="G185">
        <v>104875300</v>
      </c>
      <c r="H185" s="8">
        <f t="shared" si="8"/>
        <v>8.23045267489712E-3</v>
      </c>
      <c r="I185" s="8">
        <f t="shared" si="9"/>
        <v>-0.13656387665198239</v>
      </c>
      <c r="J185" s="13">
        <f t="shared" si="10"/>
        <v>5124</v>
      </c>
      <c r="K185" s="13">
        <f t="shared" si="11"/>
        <v>5034.3999999999996</v>
      </c>
    </row>
    <row r="186" spans="1:11" x14ac:dyDescent="0.2">
      <c r="A186" s="2">
        <f ca="1">IFERROR(__xludf.DUMMYFUNCTION("""COMPUTED_VALUE"""),45579.6666666666)</f>
        <v>45579.666666666599</v>
      </c>
      <c r="B186" s="10"/>
      <c r="C186">
        <v>4900</v>
      </c>
      <c r="D186">
        <v>4930</v>
      </c>
      <c r="E186">
        <v>4870</v>
      </c>
      <c r="F186">
        <v>4900</v>
      </c>
      <c r="G186">
        <v>125414400</v>
      </c>
      <c r="H186" s="8">
        <f t="shared" si="8"/>
        <v>0</v>
      </c>
      <c r="I186" s="8">
        <f t="shared" si="9"/>
        <v>-0.13656387665198239</v>
      </c>
      <c r="J186" s="13">
        <f t="shared" si="10"/>
        <v>5104</v>
      </c>
      <c r="K186" s="13">
        <f t="shared" si="11"/>
        <v>5038.2</v>
      </c>
    </row>
    <row r="187" spans="1:11" x14ac:dyDescent="0.2">
      <c r="A187" s="2">
        <f ca="1">IFERROR(__xludf.DUMMYFUNCTION("""COMPUTED_VALUE"""),45580.6666666666)</f>
        <v>45580.666666666599</v>
      </c>
      <c r="B187" s="10"/>
      <c r="C187">
        <v>4930</v>
      </c>
      <c r="D187">
        <v>4990</v>
      </c>
      <c r="E187">
        <v>4920</v>
      </c>
      <c r="F187">
        <v>4920</v>
      </c>
      <c r="G187">
        <v>142372200</v>
      </c>
      <c r="H187" s="8">
        <f t="shared" si="8"/>
        <v>4.0816326530612249E-3</v>
      </c>
      <c r="I187" s="8">
        <f t="shared" si="9"/>
        <v>-0.13303964757709252</v>
      </c>
      <c r="J187" s="13">
        <f t="shared" si="10"/>
        <v>5085</v>
      </c>
      <c r="K187" s="13">
        <f t="shared" si="11"/>
        <v>5046</v>
      </c>
    </row>
    <row r="188" spans="1:11" x14ac:dyDescent="0.2">
      <c r="A188" s="2">
        <f ca="1">IFERROR(__xludf.DUMMYFUNCTION("""COMPUTED_VALUE"""),45581.6666666666)</f>
        <v>45581.666666666599</v>
      </c>
      <c r="B188" s="10"/>
      <c r="C188">
        <v>4950</v>
      </c>
      <c r="D188">
        <v>4970</v>
      </c>
      <c r="E188">
        <v>4920</v>
      </c>
      <c r="F188">
        <v>4950</v>
      </c>
      <c r="G188">
        <v>118014300</v>
      </c>
      <c r="H188" s="8">
        <f t="shared" si="8"/>
        <v>6.0975609756097563E-3</v>
      </c>
      <c r="I188" s="8">
        <f t="shared" si="9"/>
        <v>-0.1277533039647577</v>
      </c>
      <c r="J188" s="13">
        <f t="shared" si="10"/>
        <v>5065</v>
      </c>
      <c r="K188" s="13">
        <f t="shared" si="11"/>
        <v>5053</v>
      </c>
    </row>
    <row r="189" spans="1:11" x14ac:dyDescent="0.2">
      <c r="A189" s="2">
        <f ca="1">IFERROR(__xludf.DUMMYFUNCTION("""COMPUTED_VALUE"""),45582.6666666666)</f>
        <v>45582.666666666599</v>
      </c>
      <c r="B189" s="10"/>
      <c r="C189">
        <v>4960</v>
      </c>
      <c r="D189">
        <v>5050</v>
      </c>
      <c r="E189">
        <v>4940</v>
      </c>
      <c r="F189">
        <v>4980</v>
      </c>
      <c r="G189">
        <v>188127700</v>
      </c>
      <c r="H189" s="8">
        <f t="shared" si="8"/>
        <v>6.0606060606060606E-3</v>
      </c>
      <c r="I189" s="8">
        <f t="shared" si="9"/>
        <v>-0.12246696035242291</v>
      </c>
      <c r="J189" s="13">
        <f t="shared" si="10"/>
        <v>5044</v>
      </c>
      <c r="K189" s="13">
        <f t="shared" si="11"/>
        <v>5060.2</v>
      </c>
    </row>
    <row r="190" spans="1:11" x14ac:dyDescent="0.2">
      <c r="A190" s="2">
        <f ca="1">IFERROR(__xludf.DUMMYFUNCTION("""COMPUTED_VALUE"""),45583.6666666666)</f>
        <v>45583.666666666599</v>
      </c>
      <c r="B190" s="10"/>
      <c r="C190">
        <v>5025</v>
      </c>
      <c r="D190">
        <v>5050</v>
      </c>
      <c r="E190">
        <v>4960</v>
      </c>
      <c r="F190">
        <v>4970</v>
      </c>
      <c r="G190">
        <v>157113000</v>
      </c>
      <c r="H190" s="8">
        <f t="shared" si="8"/>
        <v>-2.008032128514056E-3</v>
      </c>
      <c r="I190" s="8">
        <f t="shared" si="9"/>
        <v>-0.12422907488986784</v>
      </c>
      <c r="J190" s="13">
        <f t="shared" si="10"/>
        <v>5023.75</v>
      </c>
      <c r="K190" s="13">
        <f t="shared" si="11"/>
        <v>5066.3999999999996</v>
      </c>
    </row>
    <row r="191" spans="1:11" x14ac:dyDescent="0.2">
      <c r="A191" s="2">
        <f ca="1">IFERROR(__xludf.DUMMYFUNCTION("""COMPUTED_VALUE"""),45586.6666666666)</f>
        <v>45586.666666666599</v>
      </c>
      <c r="B191" s="10"/>
      <c r="C191">
        <v>4980</v>
      </c>
      <c r="D191">
        <v>5025</v>
      </c>
      <c r="E191">
        <v>4970</v>
      </c>
      <c r="F191">
        <v>4990</v>
      </c>
      <c r="G191">
        <v>110708200</v>
      </c>
      <c r="H191" s="8">
        <f t="shared" si="8"/>
        <v>4.0241448692152921E-3</v>
      </c>
      <c r="I191" s="8">
        <f t="shared" si="9"/>
        <v>-0.12070484581497798</v>
      </c>
      <c r="J191" s="13">
        <f t="shared" si="10"/>
        <v>4998.25</v>
      </c>
      <c r="K191" s="13">
        <f t="shared" si="11"/>
        <v>5072.8</v>
      </c>
    </row>
    <row r="192" spans="1:11" x14ac:dyDescent="0.2">
      <c r="A192" s="2">
        <f ca="1">IFERROR(__xludf.DUMMYFUNCTION("""COMPUTED_VALUE"""),45587.6666666666)</f>
        <v>45587.666666666599</v>
      </c>
      <c r="B192" s="10"/>
      <c r="C192">
        <v>4960</v>
      </c>
      <c r="D192">
        <v>4970</v>
      </c>
      <c r="E192">
        <v>4900</v>
      </c>
      <c r="F192">
        <v>4900</v>
      </c>
      <c r="G192">
        <v>199707500</v>
      </c>
      <c r="H192" s="8">
        <f t="shared" si="8"/>
        <v>-1.8036072144288578E-2</v>
      </c>
      <c r="I192" s="8">
        <f t="shared" si="9"/>
        <v>-0.13656387665198239</v>
      </c>
      <c r="J192" s="13">
        <f t="shared" si="10"/>
        <v>4967</v>
      </c>
      <c r="K192" s="13">
        <f t="shared" si="11"/>
        <v>5077.2</v>
      </c>
    </row>
    <row r="193" spans="1:11" x14ac:dyDescent="0.2">
      <c r="A193" s="2">
        <f ca="1">IFERROR(__xludf.DUMMYFUNCTION("""COMPUTED_VALUE"""),45588.6666666666)</f>
        <v>45588.666666666599</v>
      </c>
      <c r="B193" s="10"/>
      <c r="C193">
        <v>4830</v>
      </c>
      <c r="D193">
        <v>4890</v>
      </c>
      <c r="E193">
        <v>4810</v>
      </c>
      <c r="F193">
        <v>4860</v>
      </c>
      <c r="G193">
        <v>222147300</v>
      </c>
      <c r="H193" s="8">
        <f t="shared" si="8"/>
        <v>-8.1632653061224497E-3</v>
      </c>
      <c r="I193" s="8">
        <f t="shared" si="9"/>
        <v>-0.14361233480176211</v>
      </c>
      <c r="J193" s="13">
        <f t="shared" si="10"/>
        <v>4943.75</v>
      </c>
      <c r="K193" s="13">
        <f t="shared" si="11"/>
        <v>5080</v>
      </c>
    </row>
    <row r="194" spans="1:11" x14ac:dyDescent="0.2">
      <c r="A194" s="2">
        <f ca="1">IFERROR(__xludf.DUMMYFUNCTION("""COMPUTED_VALUE"""),45589.6666666666)</f>
        <v>45589.666666666599</v>
      </c>
      <c r="B194" s="10"/>
      <c r="C194">
        <v>4820</v>
      </c>
      <c r="D194">
        <v>4900</v>
      </c>
      <c r="E194">
        <v>4810</v>
      </c>
      <c r="F194">
        <v>4820</v>
      </c>
      <c r="G194">
        <v>218162100</v>
      </c>
      <c r="H194" s="8">
        <f t="shared" si="8"/>
        <v>-8.23045267489712E-3</v>
      </c>
      <c r="I194" s="8">
        <f t="shared" si="9"/>
        <v>-0.15066079295154186</v>
      </c>
      <c r="J194" s="13">
        <f t="shared" si="10"/>
        <v>4932.25</v>
      </c>
      <c r="K194" s="13">
        <f t="shared" si="11"/>
        <v>5080</v>
      </c>
    </row>
    <row r="195" spans="1:11" x14ac:dyDescent="0.2">
      <c r="A195" s="2">
        <f ca="1">IFERROR(__xludf.DUMMYFUNCTION("""COMPUTED_VALUE"""),45590.6666666666)</f>
        <v>45590.666666666599</v>
      </c>
      <c r="B195" s="10"/>
      <c r="C195">
        <v>4820</v>
      </c>
      <c r="D195">
        <v>4860</v>
      </c>
      <c r="E195">
        <v>4770</v>
      </c>
      <c r="F195">
        <v>4770</v>
      </c>
      <c r="G195">
        <v>195647800</v>
      </c>
      <c r="H195" s="8">
        <f t="shared" si="8"/>
        <v>-1.0373443983402489E-2</v>
      </c>
      <c r="I195" s="8">
        <f t="shared" si="9"/>
        <v>-0.15947136563876652</v>
      </c>
      <c r="J195" s="13">
        <f t="shared" si="10"/>
        <v>4915.75</v>
      </c>
      <c r="K195" s="13">
        <f t="shared" si="11"/>
        <v>5078.8</v>
      </c>
    </row>
    <row r="196" spans="1:11" x14ac:dyDescent="0.2">
      <c r="A196" s="2">
        <f ca="1">IFERROR(__xludf.DUMMYFUNCTION("""COMPUTED_VALUE"""),45593.6666666666)</f>
        <v>45593.666666666599</v>
      </c>
      <c r="B196" s="10"/>
      <c r="C196">
        <v>4770</v>
      </c>
      <c r="D196">
        <v>4800</v>
      </c>
      <c r="E196">
        <v>4710</v>
      </c>
      <c r="F196">
        <v>4760</v>
      </c>
      <c r="G196">
        <v>191211000</v>
      </c>
      <c r="H196" s="8">
        <f t="shared" ref="H196:H259" si="12">(F196-F195)/F195</f>
        <v>-2.0964360587002098E-3</v>
      </c>
      <c r="I196" s="8">
        <f t="shared" ref="I196:I259" si="13">(F196-$F$2)/$F$2</f>
        <v>-0.16123348017621145</v>
      </c>
      <c r="J196" s="13">
        <f t="shared" si="10"/>
        <v>4906.25</v>
      </c>
      <c r="K196" s="13">
        <f t="shared" si="11"/>
        <v>5077.3999999999996</v>
      </c>
    </row>
    <row r="197" spans="1:11" x14ac:dyDescent="0.2">
      <c r="A197" s="2">
        <f ca="1">IFERROR(__xludf.DUMMYFUNCTION("""COMPUTED_VALUE"""),45594.6666666666)</f>
        <v>45594.666666666599</v>
      </c>
      <c r="B197" s="10"/>
      <c r="C197">
        <v>4730</v>
      </c>
      <c r="D197">
        <v>4780</v>
      </c>
      <c r="E197">
        <v>4700</v>
      </c>
      <c r="F197">
        <v>4700</v>
      </c>
      <c r="G197">
        <v>203658600</v>
      </c>
      <c r="H197" s="8">
        <f t="shared" si="12"/>
        <v>-1.2605042016806723E-2</v>
      </c>
      <c r="I197" s="8">
        <f t="shared" si="13"/>
        <v>-0.17180616740088106</v>
      </c>
      <c r="J197" s="13">
        <f t="shared" si="10"/>
        <v>4887.5</v>
      </c>
      <c r="K197" s="13">
        <f t="shared" si="11"/>
        <v>5075</v>
      </c>
    </row>
    <row r="198" spans="1:11" x14ac:dyDescent="0.2">
      <c r="A198" s="2">
        <f ca="1">IFERROR(__xludf.DUMMYFUNCTION("""COMPUTED_VALUE"""),45595.6666666666)</f>
        <v>45595.666666666599</v>
      </c>
      <c r="B198" s="10"/>
      <c r="C198">
        <v>4630</v>
      </c>
      <c r="D198">
        <v>4750</v>
      </c>
      <c r="E198">
        <v>4630</v>
      </c>
      <c r="F198">
        <v>4710</v>
      </c>
      <c r="G198">
        <v>296314500</v>
      </c>
      <c r="H198" s="8">
        <f t="shared" si="12"/>
        <v>2.1276595744680851E-3</v>
      </c>
      <c r="I198" s="8">
        <f t="shared" si="13"/>
        <v>-0.17004405286343613</v>
      </c>
      <c r="J198" s="13">
        <f t="shared" si="10"/>
        <v>4876</v>
      </c>
      <c r="K198" s="13">
        <f t="shared" si="11"/>
        <v>5070.2</v>
      </c>
    </row>
    <row r="199" spans="1:11" x14ac:dyDescent="0.2">
      <c r="A199" s="2">
        <f ca="1">IFERROR(__xludf.DUMMYFUNCTION("""COMPUTED_VALUE"""),45596.6666666666)</f>
        <v>45596.666666666599</v>
      </c>
      <c r="B199" s="10"/>
      <c r="C199">
        <v>4710</v>
      </c>
      <c r="D199">
        <v>4870</v>
      </c>
      <c r="E199">
        <v>4710</v>
      </c>
      <c r="F199">
        <v>4800</v>
      </c>
      <c r="G199">
        <v>307110400</v>
      </c>
      <c r="H199" s="8">
        <f t="shared" si="12"/>
        <v>1.9108280254777069E-2</v>
      </c>
      <c r="I199" s="8">
        <f t="shared" si="13"/>
        <v>-0.15418502202643172</v>
      </c>
      <c r="J199" s="13">
        <f t="shared" si="10"/>
        <v>4870</v>
      </c>
      <c r="K199" s="13">
        <f t="shared" si="11"/>
        <v>5064.2</v>
      </c>
    </row>
    <row r="200" spans="1:11" x14ac:dyDescent="0.2">
      <c r="A200" s="2">
        <f ca="1">IFERROR(__xludf.DUMMYFUNCTION("""COMPUTED_VALUE"""),45597.6666666666)</f>
        <v>45597.666666666599</v>
      </c>
      <c r="B200" s="10"/>
      <c r="C200">
        <v>4770</v>
      </c>
      <c r="D200">
        <v>4820</v>
      </c>
      <c r="E200">
        <v>4700</v>
      </c>
      <c r="F200">
        <v>4700</v>
      </c>
      <c r="G200">
        <v>235656400</v>
      </c>
      <c r="H200" s="8">
        <f t="shared" si="12"/>
        <v>-2.0833333333333332E-2</v>
      </c>
      <c r="I200" s="8">
        <f t="shared" si="13"/>
        <v>-0.17180616740088106</v>
      </c>
      <c r="J200" s="13">
        <f t="shared" si="10"/>
        <v>4862</v>
      </c>
      <c r="K200" s="13">
        <f t="shared" si="11"/>
        <v>5057.2</v>
      </c>
    </row>
    <row r="201" spans="1:11" x14ac:dyDescent="0.2">
      <c r="A201" s="2">
        <f ca="1">IFERROR(__xludf.DUMMYFUNCTION("""COMPUTED_VALUE"""),45600.6666666666)</f>
        <v>45600.666666666599</v>
      </c>
      <c r="B201" s="10"/>
      <c r="C201">
        <v>4710</v>
      </c>
      <c r="D201">
        <v>4770</v>
      </c>
      <c r="E201">
        <v>4650</v>
      </c>
      <c r="F201">
        <v>4720</v>
      </c>
      <c r="G201">
        <v>209831500</v>
      </c>
      <c r="H201" s="8">
        <f t="shared" si="12"/>
        <v>4.2553191489361703E-3</v>
      </c>
      <c r="I201" s="8">
        <f t="shared" si="13"/>
        <v>-0.1682819383259912</v>
      </c>
      <c r="J201" s="13">
        <f t="shared" si="10"/>
        <v>4857</v>
      </c>
      <c r="K201" s="13">
        <f t="shared" si="11"/>
        <v>5048.6000000000004</v>
      </c>
    </row>
    <row r="202" spans="1:11" x14ac:dyDescent="0.2">
      <c r="A202" s="2">
        <f ca="1">IFERROR(__xludf.DUMMYFUNCTION("""COMPUTED_VALUE"""),45601.6666666666)</f>
        <v>45601.666666666599</v>
      </c>
      <c r="B202" s="10"/>
      <c r="C202">
        <v>4690</v>
      </c>
      <c r="D202">
        <v>4740</v>
      </c>
      <c r="E202">
        <v>4680</v>
      </c>
      <c r="F202">
        <v>4710</v>
      </c>
      <c r="G202">
        <v>199499300</v>
      </c>
      <c r="H202" s="8">
        <f t="shared" si="12"/>
        <v>-2.1186440677966102E-3</v>
      </c>
      <c r="I202" s="8">
        <f t="shared" si="13"/>
        <v>-0.17004405286343613</v>
      </c>
      <c r="J202" s="13">
        <f t="shared" si="10"/>
        <v>4842.5</v>
      </c>
      <c r="K202" s="13">
        <f t="shared" si="11"/>
        <v>5036.8</v>
      </c>
    </row>
    <row r="203" spans="1:11" x14ac:dyDescent="0.2">
      <c r="A203" s="2">
        <f ca="1">IFERROR(__xludf.DUMMYFUNCTION("""COMPUTED_VALUE"""),45602.6666666666)</f>
        <v>45602.666666666599</v>
      </c>
      <c r="B203" s="10"/>
      <c r="C203">
        <v>4710</v>
      </c>
      <c r="D203">
        <v>4730</v>
      </c>
      <c r="E203">
        <v>4600</v>
      </c>
      <c r="F203">
        <v>4600</v>
      </c>
      <c r="G203">
        <v>249059500</v>
      </c>
      <c r="H203" s="8">
        <f t="shared" si="12"/>
        <v>-2.3354564755838639E-2</v>
      </c>
      <c r="I203" s="8">
        <f t="shared" si="13"/>
        <v>-0.1894273127753304</v>
      </c>
      <c r="J203" s="13">
        <f t="shared" si="10"/>
        <v>4826</v>
      </c>
      <c r="K203" s="13">
        <f t="shared" si="11"/>
        <v>5025.3</v>
      </c>
    </row>
    <row r="204" spans="1:11" x14ac:dyDescent="0.2">
      <c r="A204" s="2">
        <f ca="1">IFERROR(__xludf.DUMMYFUNCTION("""COMPUTED_VALUE"""),45603.6666666666)</f>
        <v>45603.666666666599</v>
      </c>
      <c r="B204" s="10"/>
      <c r="C204">
        <v>4610</v>
      </c>
      <c r="D204">
        <v>4640</v>
      </c>
      <c r="E204">
        <v>4550</v>
      </c>
      <c r="F204">
        <v>4550</v>
      </c>
      <c r="G204">
        <v>296218600</v>
      </c>
      <c r="H204" s="8">
        <f t="shared" si="12"/>
        <v>-1.0869565217391304E-2</v>
      </c>
      <c r="I204" s="8">
        <f t="shared" si="13"/>
        <v>-0.19823788546255505</v>
      </c>
      <c r="J204" s="13">
        <f t="shared" si="10"/>
        <v>4810.5</v>
      </c>
      <c r="K204" s="13">
        <f t="shared" si="11"/>
        <v>5013.3</v>
      </c>
    </row>
    <row r="205" spans="1:11" x14ac:dyDescent="0.2">
      <c r="A205" s="2">
        <f ca="1">IFERROR(__xludf.DUMMYFUNCTION("""COMPUTED_VALUE"""),45604.6666666666)</f>
        <v>45604.666666666599</v>
      </c>
      <c r="B205" s="10"/>
      <c r="C205">
        <v>4600</v>
      </c>
      <c r="D205">
        <v>4640</v>
      </c>
      <c r="E205">
        <v>4520</v>
      </c>
      <c r="F205">
        <v>4520</v>
      </c>
      <c r="G205">
        <v>213862600</v>
      </c>
      <c r="H205" s="8">
        <f t="shared" si="12"/>
        <v>-6.5934065934065934E-3</v>
      </c>
      <c r="I205" s="8">
        <f t="shared" si="13"/>
        <v>-0.20352422907488987</v>
      </c>
      <c r="J205" s="13">
        <f t="shared" si="10"/>
        <v>4791.5</v>
      </c>
      <c r="K205" s="13">
        <f t="shared" si="11"/>
        <v>5001.2</v>
      </c>
    </row>
    <row r="206" spans="1:11" x14ac:dyDescent="0.2">
      <c r="A206" s="2">
        <f ca="1">IFERROR(__xludf.DUMMYFUNCTION("""COMPUTED_VALUE"""),45607.6666666666)</f>
        <v>45607.666666666599</v>
      </c>
      <c r="B206" s="10"/>
      <c r="C206">
        <v>4470</v>
      </c>
      <c r="D206">
        <v>4540</v>
      </c>
      <c r="E206">
        <v>4370</v>
      </c>
      <c r="F206">
        <v>4460</v>
      </c>
      <c r="G206">
        <v>507192300</v>
      </c>
      <c r="H206" s="8">
        <f t="shared" si="12"/>
        <v>-1.3274336283185841E-2</v>
      </c>
      <c r="I206" s="8">
        <f t="shared" si="13"/>
        <v>-0.21409691629955946</v>
      </c>
      <c r="J206" s="13">
        <f t="shared" si="10"/>
        <v>4769.5</v>
      </c>
      <c r="K206" s="13">
        <f t="shared" si="11"/>
        <v>4987.3999999999996</v>
      </c>
    </row>
    <row r="207" spans="1:11" x14ac:dyDescent="0.2">
      <c r="A207" s="2">
        <f ca="1">IFERROR(__xludf.DUMMYFUNCTION("""COMPUTED_VALUE"""),45608.6666666666)</f>
        <v>45608.666666666599</v>
      </c>
      <c r="B207" s="10"/>
      <c r="C207">
        <v>4430</v>
      </c>
      <c r="D207">
        <v>4520</v>
      </c>
      <c r="E207">
        <v>4430</v>
      </c>
      <c r="F207">
        <v>4500</v>
      </c>
      <c r="G207">
        <v>252380100</v>
      </c>
      <c r="H207" s="8">
        <f t="shared" si="12"/>
        <v>8.9686098654708519E-3</v>
      </c>
      <c r="I207" s="8">
        <f t="shared" si="13"/>
        <v>-0.20704845814977973</v>
      </c>
      <c r="J207" s="13">
        <f t="shared" si="10"/>
        <v>4748.5</v>
      </c>
      <c r="K207" s="13">
        <f t="shared" si="11"/>
        <v>4973.8999999999996</v>
      </c>
    </row>
    <row r="208" spans="1:11" x14ac:dyDescent="0.2">
      <c r="A208" s="2">
        <f ca="1">IFERROR(__xludf.DUMMYFUNCTION("""COMPUTED_VALUE"""),45609.6666666666)</f>
        <v>45609.666666666599</v>
      </c>
      <c r="B208" s="10"/>
      <c r="C208">
        <v>4470</v>
      </c>
      <c r="D208">
        <v>4610</v>
      </c>
      <c r="E208">
        <v>4460</v>
      </c>
      <c r="F208">
        <v>4580</v>
      </c>
      <c r="G208">
        <v>209627200</v>
      </c>
      <c r="H208" s="8">
        <f t="shared" si="12"/>
        <v>1.7777777777777778E-2</v>
      </c>
      <c r="I208" s="8">
        <f t="shared" si="13"/>
        <v>-0.19295154185022026</v>
      </c>
      <c r="J208" s="13">
        <f t="shared" si="10"/>
        <v>4730</v>
      </c>
      <c r="K208" s="13">
        <f t="shared" si="11"/>
        <v>4962</v>
      </c>
    </row>
    <row r="209" spans="1:11" x14ac:dyDescent="0.2">
      <c r="A209" s="2">
        <f ca="1">IFERROR(__xludf.DUMMYFUNCTION("""COMPUTED_VALUE"""),45610.6666666666)</f>
        <v>45610.666666666599</v>
      </c>
      <c r="B209" s="10"/>
      <c r="C209">
        <v>4570</v>
      </c>
      <c r="D209">
        <v>4590</v>
      </c>
      <c r="E209">
        <v>4500</v>
      </c>
      <c r="F209">
        <v>4500</v>
      </c>
      <c r="G209">
        <v>159871800</v>
      </c>
      <c r="H209" s="8">
        <f t="shared" si="12"/>
        <v>-1.7467248908296942E-2</v>
      </c>
      <c r="I209" s="8">
        <f t="shared" si="13"/>
        <v>-0.20704845814977973</v>
      </c>
      <c r="J209" s="13">
        <f t="shared" si="10"/>
        <v>4706</v>
      </c>
      <c r="K209" s="13">
        <f t="shared" si="11"/>
        <v>4950</v>
      </c>
    </row>
    <row r="210" spans="1:11" x14ac:dyDescent="0.2">
      <c r="A210" s="2">
        <f ca="1">IFERROR(__xludf.DUMMYFUNCTION("""COMPUTED_VALUE"""),45611.6666666666)</f>
        <v>45611.666666666599</v>
      </c>
      <c r="B210" s="10"/>
      <c r="C210">
        <v>4450</v>
      </c>
      <c r="D210">
        <v>4510</v>
      </c>
      <c r="E210">
        <v>4450</v>
      </c>
      <c r="F210">
        <v>4470</v>
      </c>
      <c r="G210">
        <v>106365600</v>
      </c>
      <c r="H210" s="8">
        <f t="shared" si="12"/>
        <v>-6.6666666666666671E-3</v>
      </c>
      <c r="I210" s="8">
        <f t="shared" si="13"/>
        <v>-0.21233480176211453</v>
      </c>
      <c r="J210" s="13">
        <f t="shared" si="10"/>
        <v>4681</v>
      </c>
      <c r="K210" s="13">
        <f t="shared" si="11"/>
        <v>4936.3999999999996</v>
      </c>
    </row>
    <row r="211" spans="1:11" x14ac:dyDescent="0.2">
      <c r="A211" s="2">
        <f ca="1">IFERROR(__xludf.DUMMYFUNCTION("""COMPUTED_VALUE"""),45614.6666666666)</f>
        <v>45614.666666666599</v>
      </c>
      <c r="B211" s="10"/>
      <c r="C211">
        <v>4440</v>
      </c>
      <c r="D211">
        <v>4460</v>
      </c>
      <c r="E211">
        <v>4350</v>
      </c>
      <c r="F211">
        <v>4350</v>
      </c>
      <c r="G211">
        <v>253272300</v>
      </c>
      <c r="H211" s="8">
        <f t="shared" si="12"/>
        <v>-2.6845637583892617E-2</v>
      </c>
      <c r="I211" s="8">
        <f t="shared" si="13"/>
        <v>-0.23348017621145375</v>
      </c>
      <c r="J211" s="13">
        <f t="shared" si="10"/>
        <v>4649</v>
      </c>
      <c r="K211" s="13">
        <f t="shared" si="11"/>
        <v>4918.8999999999996</v>
      </c>
    </row>
    <row r="212" spans="1:11" x14ac:dyDescent="0.2">
      <c r="A212" s="2">
        <f ca="1">IFERROR(__xludf.DUMMYFUNCTION("""COMPUTED_VALUE"""),45615.6666666666)</f>
        <v>45615.666666666599</v>
      </c>
      <c r="B212" s="10"/>
      <c r="C212">
        <v>4350</v>
      </c>
      <c r="D212">
        <v>4410</v>
      </c>
      <c r="E212">
        <v>4350</v>
      </c>
      <c r="F212">
        <v>4360</v>
      </c>
      <c r="G212">
        <v>294838700</v>
      </c>
      <c r="H212" s="8">
        <f t="shared" si="12"/>
        <v>2.2988505747126436E-3</v>
      </c>
      <c r="I212" s="8">
        <f t="shared" si="13"/>
        <v>-0.23171806167400882</v>
      </c>
      <c r="J212" s="13">
        <f t="shared" si="10"/>
        <v>4622</v>
      </c>
      <c r="K212" s="13">
        <f t="shared" si="11"/>
        <v>4902.6000000000004</v>
      </c>
    </row>
    <row r="213" spans="1:11" x14ac:dyDescent="0.2">
      <c r="A213" s="2">
        <f ca="1">IFERROR(__xludf.DUMMYFUNCTION("""COMPUTED_VALUE"""),45616.6666666666)</f>
        <v>45616.666666666599</v>
      </c>
      <c r="B213" s="10"/>
      <c r="C213">
        <v>4400</v>
      </c>
      <c r="D213">
        <v>4440</v>
      </c>
      <c r="E213">
        <v>4330</v>
      </c>
      <c r="F213">
        <v>4330</v>
      </c>
      <c r="G213">
        <v>298734600</v>
      </c>
      <c r="H213" s="8">
        <f t="shared" si="12"/>
        <v>-6.8807339449541288E-3</v>
      </c>
      <c r="I213" s="8">
        <f t="shared" si="13"/>
        <v>-0.23700440528634362</v>
      </c>
      <c r="J213" s="13">
        <f t="shared" si="10"/>
        <v>4595.5</v>
      </c>
      <c r="K213" s="13">
        <f t="shared" si="11"/>
        <v>4884.2</v>
      </c>
    </row>
    <row r="214" spans="1:11" x14ac:dyDescent="0.2">
      <c r="A214" s="2">
        <f ca="1">IFERROR(__xludf.DUMMYFUNCTION("""COMPUTED_VALUE"""),45617.6666666666)</f>
        <v>45617.666666666599</v>
      </c>
      <c r="B214" s="10"/>
      <c r="C214">
        <v>4280</v>
      </c>
      <c r="D214">
        <v>4320</v>
      </c>
      <c r="E214">
        <v>4250</v>
      </c>
      <c r="F214">
        <v>4250</v>
      </c>
      <c r="G214">
        <v>376788400</v>
      </c>
      <c r="H214" s="8">
        <f t="shared" si="12"/>
        <v>-1.8475750577367205E-2</v>
      </c>
      <c r="I214" s="8">
        <f t="shared" si="13"/>
        <v>-0.25110132158590309</v>
      </c>
      <c r="J214" s="13">
        <f t="shared" ref="J214:J277" si="14">AVERAGE(F195:F214)</f>
        <v>4567</v>
      </c>
      <c r="K214" s="13">
        <f t="shared" si="11"/>
        <v>4865.7</v>
      </c>
    </row>
    <row r="215" spans="1:11" x14ac:dyDescent="0.2">
      <c r="A215" s="2">
        <f ca="1">IFERROR(__xludf.DUMMYFUNCTION("""COMPUTED_VALUE"""),45618.6666666666)</f>
        <v>45618.666666666599</v>
      </c>
      <c r="B215" s="10"/>
      <c r="C215">
        <v>4250</v>
      </c>
      <c r="D215">
        <v>4420</v>
      </c>
      <c r="E215">
        <v>4250</v>
      </c>
      <c r="F215">
        <v>4400</v>
      </c>
      <c r="G215">
        <v>280188100</v>
      </c>
      <c r="H215" s="8">
        <f t="shared" si="12"/>
        <v>3.5294117647058823E-2</v>
      </c>
      <c r="I215" s="8">
        <f t="shared" si="13"/>
        <v>-0.22466960352422907</v>
      </c>
      <c r="J215" s="13">
        <f t="shared" si="14"/>
        <v>4548.5</v>
      </c>
      <c r="K215" s="13">
        <f t="shared" si="11"/>
        <v>4850.2</v>
      </c>
    </row>
    <row r="216" spans="1:11" x14ac:dyDescent="0.2">
      <c r="A216" s="2">
        <f ca="1">IFERROR(__xludf.DUMMYFUNCTION("""COMPUTED_VALUE"""),45621.6666666666)</f>
        <v>45621.666666666599</v>
      </c>
      <c r="B216" s="10"/>
      <c r="C216">
        <v>4420</v>
      </c>
      <c r="D216">
        <v>4530</v>
      </c>
      <c r="E216">
        <v>4420</v>
      </c>
      <c r="F216">
        <v>4470</v>
      </c>
      <c r="G216">
        <v>401446400</v>
      </c>
      <c r="H216" s="8">
        <f t="shared" si="12"/>
        <v>1.5909090909090907E-2</v>
      </c>
      <c r="I216" s="8">
        <f t="shared" si="13"/>
        <v>-0.21233480176211453</v>
      </c>
      <c r="J216" s="13">
        <f t="shared" si="14"/>
        <v>4534</v>
      </c>
      <c r="K216" s="13">
        <f t="shared" si="11"/>
        <v>4833.6000000000004</v>
      </c>
    </row>
    <row r="217" spans="1:11" x14ac:dyDescent="0.2">
      <c r="A217" s="2">
        <f ca="1">IFERROR(__xludf.DUMMYFUNCTION("""COMPUTED_VALUE"""),45622.6666666666)</f>
        <v>45622.666666666599</v>
      </c>
      <c r="B217" s="10"/>
      <c r="C217">
        <v>4450</v>
      </c>
      <c r="D217">
        <v>4470</v>
      </c>
      <c r="E217">
        <v>4380</v>
      </c>
      <c r="F217">
        <v>4400</v>
      </c>
      <c r="G217">
        <v>266677500</v>
      </c>
      <c r="H217" s="8">
        <f t="shared" si="12"/>
        <v>-1.5659955257270694E-2</v>
      </c>
      <c r="I217" s="8">
        <f t="shared" si="13"/>
        <v>-0.22466960352422907</v>
      </c>
      <c r="J217" s="13">
        <f t="shared" si="14"/>
        <v>4519</v>
      </c>
      <c r="K217" s="13">
        <f t="shared" si="11"/>
        <v>4815.6000000000004</v>
      </c>
    </row>
    <row r="218" spans="1:11" x14ac:dyDescent="0.2">
      <c r="A218" s="2">
        <f ca="1">IFERROR(__xludf.DUMMYFUNCTION("""COMPUTED_VALUE"""),45624.6666666666)</f>
        <v>45624.666666666599</v>
      </c>
      <c r="B218" s="10"/>
      <c r="C218">
        <v>4350</v>
      </c>
      <c r="D218">
        <v>4390</v>
      </c>
      <c r="E218">
        <v>4330</v>
      </c>
      <c r="F218">
        <v>4330</v>
      </c>
      <c r="G218">
        <v>277081800</v>
      </c>
      <c r="H218" s="8">
        <f t="shared" si="12"/>
        <v>-1.5909090909090907E-2</v>
      </c>
      <c r="I218" s="8">
        <f t="shared" si="13"/>
        <v>-0.23700440528634362</v>
      </c>
      <c r="J218" s="13">
        <f t="shared" si="14"/>
        <v>4500</v>
      </c>
      <c r="K218" s="13">
        <f t="shared" si="11"/>
        <v>4795.2</v>
      </c>
    </row>
    <row r="219" spans="1:11" x14ac:dyDescent="0.2">
      <c r="A219" s="2">
        <f ca="1">IFERROR(__xludf.DUMMYFUNCTION("""COMPUTED_VALUE"""),45625.6666666666)</f>
        <v>45625.666666666599</v>
      </c>
      <c r="B219" s="10"/>
      <c r="C219">
        <v>4280</v>
      </c>
      <c r="D219">
        <v>4300</v>
      </c>
      <c r="E219">
        <v>4250</v>
      </c>
      <c r="F219">
        <v>4250</v>
      </c>
      <c r="G219">
        <v>412519800</v>
      </c>
      <c r="H219" s="8">
        <f t="shared" si="12"/>
        <v>-1.8475750577367205E-2</v>
      </c>
      <c r="I219" s="8">
        <f t="shared" si="13"/>
        <v>-0.25110132158590309</v>
      </c>
      <c r="J219" s="13">
        <f t="shared" si="14"/>
        <v>4472.5</v>
      </c>
      <c r="K219" s="13">
        <f t="shared" si="11"/>
        <v>4772.2</v>
      </c>
    </row>
    <row r="220" spans="1:11" x14ac:dyDescent="0.2">
      <c r="A220" s="2">
        <f ca="1">IFERROR(__xludf.DUMMYFUNCTION("""COMPUTED_VALUE"""),45628.6666666666)</f>
        <v>45628.666666666599</v>
      </c>
      <c r="B220" s="10"/>
      <c r="C220">
        <v>4270</v>
      </c>
      <c r="D220">
        <v>4280</v>
      </c>
      <c r="E220">
        <v>4160</v>
      </c>
      <c r="F220">
        <v>4170</v>
      </c>
      <c r="G220">
        <v>337188900</v>
      </c>
      <c r="H220" s="8">
        <f t="shared" si="12"/>
        <v>-1.8823529411764704E-2</v>
      </c>
      <c r="I220" s="8">
        <f t="shared" si="13"/>
        <v>-0.26519823788546254</v>
      </c>
      <c r="J220" s="13">
        <f t="shared" si="14"/>
        <v>4446</v>
      </c>
      <c r="K220" s="13">
        <f t="shared" si="11"/>
        <v>4748.1000000000004</v>
      </c>
    </row>
    <row r="221" spans="1:11" x14ac:dyDescent="0.2">
      <c r="A221" s="2">
        <f ca="1">IFERROR(__xludf.DUMMYFUNCTION("""COMPUTED_VALUE"""),45629.6666666666)</f>
        <v>45629.666666666599</v>
      </c>
      <c r="B221" s="10"/>
      <c r="C221">
        <v>4240</v>
      </c>
      <c r="D221">
        <v>4250</v>
      </c>
      <c r="E221">
        <v>4210</v>
      </c>
      <c r="F221">
        <v>4240</v>
      </c>
      <c r="G221">
        <v>384146700</v>
      </c>
      <c r="H221" s="8">
        <f t="shared" si="12"/>
        <v>1.6786570743405275E-2</v>
      </c>
      <c r="I221" s="8">
        <f t="shared" si="13"/>
        <v>-0.252863436123348</v>
      </c>
      <c r="J221" s="13">
        <f t="shared" si="14"/>
        <v>4422</v>
      </c>
      <c r="K221" s="13">
        <f t="shared" si="11"/>
        <v>4722.8999999999996</v>
      </c>
    </row>
    <row r="222" spans="1:11" x14ac:dyDescent="0.2">
      <c r="A222" s="2">
        <f ca="1">IFERROR(__xludf.DUMMYFUNCTION("""COMPUTED_VALUE"""),45630.6666666666)</f>
        <v>45630.666666666599</v>
      </c>
      <c r="B222" s="10"/>
      <c r="C222">
        <v>4240</v>
      </c>
      <c r="D222">
        <v>4370</v>
      </c>
      <c r="E222">
        <v>4220</v>
      </c>
      <c r="F222">
        <v>4350</v>
      </c>
      <c r="G222">
        <v>345762200</v>
      </c>
      <c r="H222" s="8">
        <f t="shared" si="12"/>
        <v>2.5943396226415096E-2</v>
      </c>
      <c r="I222" s="8">
        <f t="shared" si="13"/>
        <v>-0.23348017621145375</v>
      </c>
      <c r="J222" s="13">
        <f t="shared" si="14"/>
        <v>4404</v>
      </c>
      <c r="K222" s="13">
        <f t="shared" si="11"/>
        <v>4699.3999999999996</v>
      </c>
    </row>
    <row r="223" spans="1:11" x14ac:dyDescent="0.2">
      <c r="A223" s="2">
        <f ca="1">IFERROR(__xludf.DUMMYFUNCTION("""COMPUTED_VALUE"""),45631.6666666666)</f>
        <v>45631.666666666599</v>
      </c>
      <c r="B223" s="10"/>
      <c r="C223">
        <v>4310</v>
      </c>
      <c r="D223">
        <v>4340</v>
      </c>
      <c r="E223">
        <v>4250</v>
      </c>
      <c r="F223">
        <v>4260</v>
      </c>
      <c r="G223">
        <v>183249300</v>
      </c>
      <c r="H223" s="8">
        <f t="shared" si="12"/>
        <v>-2.0689655172413793E-2</v>
      </c>
      <c r="I223" s="8">
        <f t="shared" si="13"/>
        <v>-0.24933920704845816</v>
      </c>
      <c r="J223" s="13">
        <f t="shared" si="14"/>
        <v>4387</v>
      </c>
      <c r="K223" s="13">
        <f t="shared" si="11"/>
        <v>4678.1000000000004</v>
      </c>
    </row>
    <row r="224" spans="1:11" x14ac:dyDescent="0.2">
      <c r="A224" s="2">
        <f ca="1">IFERROR(__xludf.DUMMYFUNCTION("""COMPUTED_VALUE"""),45632.6666666666)</f>
        <v>45632.666666666599</v>
      </c>
      <c r="B224" s="10"/>
      <c r="C224">
        <v>4250</v>
      </c>
      <c r="D224">
        <v>4310</v>
      </c>
      <c r="E224">
        <v>4220</v>
      </c>
      <c r="F224">
        <v>4310</v>
      </c>
      <c r="G224">
        <v>151433000</v>
      </c>
      <c r="H224" s="8">
        <f t="shared" si="12"/>
        <v>1.1737089201877934E-2</v>
      </c>
      <c r="I224" s="8">
        <f t="shared" si="13"/>
        <v>-0.24052863436123348</v>
      </c>
      <c r="J224" s="13">
        <f t="shared" si="14"/>
        <v>4375</v>
      </c>
      <c r="K224" s="13">
        <f t="shared" si="11"/>
        <v>4663.3</v>
      </c>
    </row>
    <row r="225" spans="1:11" x14ac:dyDescent="0.2">
      <c r="A225" s="2">
        <f ca="1">IFERROR(__xludf.DUMMYFUNCTION("""COMPUTED_VALUE"""),45635.6666666666)</f>
        <v>45635.666666666599</v>
      </c>
      <c r="B225" s="10"/>
      <c r="C225">
        <v>4310</v>
      </c>
      <c r="D225">
        <v>4390</v>
      </c>
      <c r="E225">
        <v>4300</v>
      </c>
      <c r="F225">
        <v>4390</v>
      </c>
      <c r="G225">
        <v>158897200</v>
      </c>
      <c r="H225" s="8">
        <f t="shared" si="12"/>
        <v>1.8561484918793503E-2</v>
      </c>
      <c r="I225" s="8">
        <f t="shared" si="13"/>
        <v>-0.226431718061674</v>
      </c>
      <c r="J225" s="13">
        <f t="shared" si="14"/>
        <v>4368.5</v>
      </c>
      <c r="K225" s="13">
        <f t="shared" si="11"/>
        <v>4649.1000000000004</v>
      </c>
    </row>
    <row r="226" spans="1:11" x14ac:dyDescent="0.2">
      <c r="A226" s="2">
        <f ca="1">IFERROR(__xludf.DUMMYFUNCTION("""COMPUTED_VALUE"""),45636.6666666666)</f>
        <v>45636.666666666599</v>
      </c>
      <c r="B226" s="10"/>
      <c r="C226">
        <v>4360</v>
      </c>
      <c r="D226">
        <v>4380</v>
      </c>
      <c r="E226">
        <v>4290</v>
      </c>
      <c r="F226">
        <v>4360</v>
      </c>
      <c r="G226">
        <v>196160900</v>
      </c>
      <c r="H226" s="8">
        <f t="shared" si="12"/>
        <v>-6.8337129840546698E-3</v>
      </c>
      <c r="I226" s="8">
        <f t="shared" si="13"/>
        <v>-0.23171806167400882</v>
      </c>
      <c r="J226" s="13">
        <f t="shared" si="14"/>
        <v>4363.5</v>
      </c>
      <c r="K226" s="13">
        <f t="shared" si="11"/>
        <v>4637.3</v>
      </c>
    </row>
    <row r="227" spans="1:11" x14ac:dyDescent="0.2">
      <c r="A227" s="2">
        <f ca="1">IFERROR(__xludf.DUMMYFUNCTION("""COMPUTED_VALUE"""),45637.6666666666)</f>
        <v>45637.666666666599</v>
      </c>
      <c r="B227" s="10"/>
      <c r="C227">
        <v>4340</v>
      </c>
      <c r="D227">
        <v>4430</v>
      </c>
      <c r="E227">
        <v>4340</v>
      </c>
      <c r="F227">
        <v>4380</v>
      </c>
      <c r="G227">
        <v>203980300</v>
      </c>
      <c r="H227" s="8">
        <f t="shared" si="12"/>
        <v>4.5871559633027525E-3</v>
      </c>
      <c r="I227" s="8">
        <f t="shared" si="13"/>
        <v>-0.22819383259911893</v>
      </c>
      <c r="J227" s="13">
        <f t="shared" si="14"/>
        <v>4357.5</v>
      </c>
      <c r="K227" s="13">
        <f t="shared" si="11"/>
        <v>4623.3999999999996</v>
      </c>
    </row>
    <row r="228" spans="1:11" x14ac:dyDescent="0.2">
      <c r="A228" s="2">
        <f ca="1">IFERROR(__xludf.DUMMYFUNCTION("""COMPUTED_VALUE"""),45638.6666666666)</f>
        <v>45638.666666666599</v>
      </c>
      <c r="B228" s="10"/>
      <c r="C228">
        <v>4340</v>
      </c>
      <c r="D228">
        <v>4360</v>
      </c>
      <c r="E228">
        <v>4260</v>
      </c>
      <c r="F228">
        <v>4260</v>
      </c>
      <c r="G228">
        <v>226698900</v>
      </c>
      <c r="H228" s="8">
        <f t="shared" si="12"/>
        <v>-2.7397260273972601E-2</v>
      </c>
      <c r="I228" s="8">
        <f t="shared" si="13"/>
        <v>-0.24933920704845816</v>
      </c>
      <c r="J228" s="13">
        <f t="shared" si="14"/>
        <v>4341.5</v>
      </c>
      <c r="K228" s="13">
        <f t="shared" si="11"/>
        <v>4609.8</v>
      </c>
    </row>
    <row r="229" spans="1:11" x14ac:dyDescent="0.2">
      <c r="A229" s="2">
        <f ca="1">IFERROR(__xludf.DUMMYFUNCTION("""COMPUTED_VALUE"""),45639.6666666666)</f>
        <v>45639.666666666599</v>
      </c>
      <c r="B229" s="10"/>
      <c r="C229">
        <v>4230</v>
      </c>
      <c r="D229">
        <v>4280</v>
      </c>
      <c r="E229">
        <v>4170</v>
      </c>
      <c r="F229">
        <v>4170</v>
      </c>
      <c r="G229">
        <v>287838100</v>
      </c>
      <c r="H229" s="8">
        <f t="shared" si="12"/>
        <v>-2.1126760563380281E-2</v>
      </c>
      <c r="I229" s="8">
        <f t="shared" si="13"/>
        <v>-0.26519823788546254</v>
      </c>
      <c r="J229" s="13">
        <f t="shared" si="14"/>
        <v>4325</v>
      </c>
      <c r="K229" s="13">
        <f t="shared" si="11"/>
        <v>4594.8</v>
      </c>
    </row>
    <row r="230" spans="1:11" x14ac:dyDescent="0.2">
      <c r="A230" s="2">
        <f ca="1">IFERROR(__xludf.DUMMYFUNCTION("""COMPUTED_VALUE"""),45642.6666666666)</f>
        <v>45642.666666666599</v>
      </c>
      <c r="B230" s="10"/>
      <c r="C230">
        <v>4150</v>
      </c>
      <c r="D230">
        <v>4280</v>
      </c>
      <c r="E230">
        <v>4150</v>
      </c>
      <c r="F230">
        <v>4250</v>
      </c>
      <c r="G230">
        <v>325441900</v>
      </c>
      <c r="H230" s="8">
        <f t="shared" si="12"/>
        <v>1.9184652278177457E-2</v>
      </c>
      <c r="I230" s="8">
        <f t="shared" si="13"/>
        <v>-0.25110132158590309</v>
      </c>
      <c r="J230" s="13">
        <f t="shared" si="14"/>
        <v>4314</v>
      </c>
      <c r="K230" s="13">
        <f t="shared" si="11"/>
        <v>4582.6000000000004</v>
      </c>
    </row>
    <row r="231" spans="1:11" x14ac:dyDescent="0.2">
      <c r="A231" s="2">
        <f ca="1">IFERROR(__xludf.DUMMYFUNCTION("""COMPUTED_VALUE"""),45643.6666666666)</f>
        <v>45643.666666666599</v>
      </c>
      <c r="B231" s="10"/>
      <c r="C231">
        <v>4250</v>
      </c>
      <c r="D231">
        <v>4290</v>
      </c>
      <c r="E231">
        <v>4150</v>
      </c>
      <c r="F231">
        <v>4150</v>
      </c>
      <c r="G231">
        <v>327919000</v>
      </c>
      <c r="H231" s="8">
        <f t="shared" si="12"/>
        <v>-2.3529411764705882E-2</v>
      </c>
      <c r="I231" s="8">
        <f t="shared" si="13"/>
        <v>-0.2687224669603524</v>
      </c>
      <c r="J231" s="13">
        <f t="shared" si="14"/>
        <v>4304</v>
      </c>
      <c r="K231" s="13">
        <f t="shared" si="11"/>
        <v>4569.2</v>
      </c>
    </row>
    <row r="232" spans="1:11" x14ac:dyDescent="0.2">
      <c r="A232" s="2">
        <f ca="1">IFERROR(__xludf.DUMMYFUNCTION("""COMPUTED_VALUE"""),45644.6666666666)</f>
        <v>45644.666666666599</v>
      </c>
      <c r="B232" s="10"/>
      <c r="C232">
        <v>4170</v>
      </c>
      <c r="D232">
        <v>4210</v>
      </c>
      <c r="E232">
        <v>4130</v>
      </c>
      <c r="F232">
        <v>4150</v>
      </c>
      <c r="G232">
        <v>205055500</v>
      </c>
      <c r="H232" s="8">
        <f t="shared" si="12"/>
        <v>0</v>
      </c>
      <c r="I232" s="8">
        <f t="shared" si="13"/>
        <v>-0.2687224669603524</v>
      </c>
      <c r="J232" s="13">
        <f t="shared" si="14"/>
        <v>4293.5</v>
      </c>
      <c r="K232" s="13">
        <f t="shared" si="11"/>
        <v>4552.2</v>
      </c>
    </row>
    <row r="233" spans="1:11" x14ac:dyDescent="0.2">
      <c r="A233" s="2">
        <f ca="1">IFERROR(__xludf.DUMMYFUNCTION("""COMPUTED_VALUE"""),45645.6666666666)</f>
        <v>45645.666666666599</v>
      </c>
      <c r="B233" s="10"/>
      <c r="C233">
        <v>4090</v>
      </c>
      <c r="D233">
        <v>4110</v>
      </c>
      <c r="E233">
        <v>4050</v>
      </c>
      <c r="F233">
        <v>4090</v>
      </c>
      <c r="G233">
        <v>381986300</v>
      </c>
      <c r="H233" s="8">
        <f t="shared" si="12"/>
        <v>-1.4457831325301205E-2</v>
      </c>
      <c r="I233" s="8">
        <f t="shared" si="13"/>
        <v>-0.27929515418502204</v>
      </c>
      <c r="J233" s="13">
        <f t="shared" si="14"/>
        <v>4281.5</v>
      </c>
      <c r="K233" s="13">
        <f t="shared" si="11"/>
        <v>4535.3999999999996</v>
      </c>
    </row>
    <row r="234" spans="1:11" x14ac:dyDescent="0.2">
      <c r="A234" s="2">
        <f ca="1">IFERROR(__xludf.DUMMYFUNCTION("""COMPUTED_VALUE"""),45646.6666666666)</f>
        <v>45646.666666666599</v>
      </c>
      <c r="B234" s="10"/>
      <c r="C234">
        <v>4070</v>
      </c>
      <c r="D234">
        <v>4120</v>
      </c>
      <c r="E234">
        <v>4050</v>
      </c>
      <c r="F234">
        <v>4060</v>
      </c>
      <c r="G234">
        <v>252689600</v>
      </c>
      <c r="H234" s="8">
        <f t="shared" si="12"/>
        <v>-7.3349633251833741E-3</v>
      </c>
      <c r="I234" s="8">
        <f t="shared" si="13"/>
        <v>-0.28458149779735681</v>
      </c>
      <c r="J234" s="13">
        <f t="shared" si="14"/>
        <v>4272</v>
      </c>
      <c r="K234" s="13">
        <f t="shared" si="11"/>
        <v>4519.3999999999996</v>
      </c>
    </row>
    <row r="235" spans="1:11" x14ac:dyDescent="0.2">
      <c r="A235" s="2">
        <f ca="1">IFERROR(__xludf.DUMMYFUNCTION("""COMPUTED_VALUE"""),45649.6666666666)</f>
        <v>45649.666666666599</v>
      </c>
      <c r="B235" s="10"/>
      <c r="C235">
        <v>4130</v>
      </c>
      <c r="D235">
        <v>4210</v>
      </c>
      <c r="E235">
        <v>4110</v>
      </c>
      <c r="F235">
        <v>4210</v>
      </c>
      <c r="G235">
        <v>167689800</v>
      </c>
      <c r="H235" s="8">
        <f t="shared" si="12"/>
        <v>3.6945812807881777E-2</v>
      </c>
      <c r="I235" s="8">
        <f t="shared" si="13"/>
        <v>-0.25814977973568282</v>
      </c>
      <c r="J235" s="13">
        <f t="shared" si="14"/>
        <v>4262.5</v>
      </c>
      <c r="K235" s="13">
        <f t="shared" si="11"/>
        <v>4505.6000000000004</v>
      </c>
    </row>
    <row r="236" spans="1:11" x14ac:dyDescent="0.2">
      <c r="A236" s="2">
        <f ca="1">IFERROR(__xludf.DUMMYFUNCTION("""COMPUTED_VALUE"""),45650.6666666666)</f>
        <v>45650.666666666599</v>
      </c>
      <c r="B236" s="10"/>
      <c r="C236">
        <v>4220</v>
      </c>
      <c r="D236">
        <v>4250</v>
      </c>
      <c r="E236">
        <v>4170</v>
      </c>
      <c r="F236">
        <v>4200</v>
      </c>
      <c r="G236">
        <v>199536100</v>
      </c>
      <c r="H236" s="8">
        <f t="shared" si="12"/>
        <v>-2.3752969121140144E-3</v>
      </c>
      <c r="I236" s="8">
        <f t="shared" si="13"/>
        <v>-0.25991189427312777</v>
      </c>
      <c r="J236" s="13">
        <f t="shared" si="14"/>
        <v>4249</v>
      </c>
      <c r="K236" s="13">
        <f t="shared" si="11"/>
        <v>4491.6000000000004</v>
      </c>
    </row>
    <row r="237" spans="1:11" x14ac:dyDescent="0.2">
      <c r="A237" s="2">
        <f ca="1">IFERROR(__xludf.DUMMYFUNCTION("""COMPUTED_VALUE"""),45653.6666666666)</f>
        <v>45653.666666666599</v>
      </c>
      <c r="B237" s="10"/>
      <c r="C237">
        <v>4100</v>
      </c>
      <c r="D237">
        <v>4120</v>
      </c>
      <c r="E237">
        <v>4080</v>
      </c>
      <c r="F237">
        <v>4100</v>
      </c>
      <c r="G237">
        <v>143104400</v>
      </c>
      <c r="H237" s="8">
        <f t="shared" si="12"/>
        <v>-2.3809523809523808E-2</v>
      </c>
      <c r="I237" s="8">
        <f t="shared" si="13"/>
        <v>-0.27753303964757708</v>
      </c>
      <c r="J237" s="13">
        <f t="shared" si="14"/>
        <v>4234</v>
      </c>
      <c r="K237" s="13">
        <f t="shared" si="11"/>
        <v>4475.2</v>
      </c>
    </row>
    <row r="238" spans="1:11" x14ac:dyDescent="0.2">
      <c r="A238" s="2">
        <f ca="1">IFERROR(__xludf.DUMMYFUNCTION("""COMPUTED_VALUE"""),45656.6666666666)</f>
        <v>45656.666666666599</v>
      </c>
      <c r="B238" s="10"/>
      <c r="C238">
        <v>4080</v>
      </c>
      <c r="D238">
        <v>4120</v>
      </c>
      <c r="E238">
        <v>4070</v>
      </c>
      <c r="F238">
        <v>4080</v>
      </c>
      <c r="G238">
        <v>153934700</v>
      </c>
      <c r="H238" s="8">
        <f t="shared" si="12"/>
        <v>-4.8780487804878049E-3</v>
      </c>
      <c r="I238" s="8">
        <f t="shared" si="13"/>
        <v>-0.28105726872246695</v>
      </c>
      <c r="J238" s="13">
        <f t="shared" si="14"/>
        <v>4221.5</v>
      </c>
      <c r="K238" s="13">
        <f t="shared" si="11"/>
        <v>4457.8</v>
      </c>
    </row>
    <row r="239" spans="1:11" x14ac:dyDescent="0.2">
      <c r="A239" s="2">
        <f ca="1">IFERROR(__xludf.DUMMYFUNCTION("""COMPUTED_VALUE"""),45659.6666666666)</f>
        <v>45659.666666666599</v>
      </c>
      <c r="B239" s="10"/>
      <c r="C239">
        <v>4100</v>
      </c>
      <c r="D239">
        <v>4220</v>
      </c>
      <c r="E239">
        <v>4090</v>
      </c>
      <c r="F239">
        <v>4210</v>
      </c>
      <c r="G239">
        <v>181361700</v>
      </c>
      <c r="H239" s="8">
        <f>(F239-F238)/F238</f>
        <v>3.1862745098039214E-2</v>
      </c>
      <c r="I239" s="8">
        <f t="shared" si="13"/>
        <v>-0.25814977973568282</v>
      </c>
      <c r="J239" s="13">
        <f>AVERAGE(F220:F239)</f>
        <v>4219.5</v>
      </c>
      <c r="K239" s="13">
        <f>AVERAGE(F190:F239)</f>
        <v>4442.3999999999996</v>
      </c>
    </row>
    <row r="240" spans="1:11" x14ac:dyDescent="0.2">
      <c r="A240" s="2">
        <f ca="1">IFERROR(__xludf.DUMMYFUNCTION("""COMPUTED_VALUE"""),45660.6666666666)</f>
        <v>45660.666666666599</v>
      </c>
      <c r="B240" s="10"/>
      <c r="C240">
        <v>4220</v>
      </c>
      <c r="D240">
        <v>4240</v>
      </c>
      <c r="E240">
        <v>4150</v>
      </c>
      <c r="F240">
        <v>4150</v>
      </c>
      <c r="G240">
        <v>134632300</v>
      </c>
      <c r="H240" s="8">
        <f t="shared" si="12"/>
        <v>-1.4251781472684086E-2</v>
      </c>
      <c r="I240" s="8">
        <f t="shared" si="13"/>
        <v>-0.2687224669603524</v>
      </c>
      <c r="J240" s="13">
        <f>AVERAGE(F221:F240)</f>
        <v>4218.5</v>
      </c>
      <c r="K240" s="13">
        <f>AVERAGE(F191:F240)</f>
        <v>4426</v>
      </c>
    </row>
    <row r="241" spans="1:11" x14ac:dyDescent="0.2">
      <c r="A241" s="2">
        <f ca="1">IFERROR(__xludf.DUMMYFUNCTION("""COMPUTED_VALUE"""),45663.6666666666)</f>
        <v>45663.666666666599</v>
      </c>
      <c r="B241" s="10"/>
      <c r="C241">
        <v>4180</v>
      </c>
      <c r="D241">
        <v>4180</v>
      </c>
      <c r="E241">
        <v>4100</v>
      </c>
      <c r="F241">
        <v>4100</v>
      </c>
      <c r="G241">
        <v>153048700</v>
      </c>
      <c r="H241" s="8">
        <f t="shared" si="12"/>
        <v>-1.2048192771084338E-2</v>
      </c>
      <c r="I241" s="8">
        <f t="shared" si="13"/>
        <v>-0.27753303964757708</v>
      </c>
      <c r="J241" s="13">
        <f>AVERAGE(F222:F241)</f>
        <v>4211.5</v>
      </c>
      <c r="K241" s="13">
        <f>AVERAGE(F192:F241)</f>
        <v>4408.2</v>
      </c>
    </row>
    <row r="242" spans="1:11" x14ac:dyDescent="0.2">
      <c r="A242" s="2">
        <f ca="1">IFERROR(__xludf.DUMMYFUNCTION("""COMPUTED_VALUE"""),45664.6666666666)</f>
        <v>45664.666666666599</v>
      </c>
      <c r="B242" s="10"/>
      <c r="C242">
        <v>4080</v>
      </c>
      <c r="D242">
        <v>4090</v>
      </c>
      <c r="E242">
        <v>4030</v>
      </c>
      <c r="F242">
        <v>4030</v>
      </c>
      <c r="G242">
        <v>171997400</v>
      </c>
      <c r="H242" s="8">
        <f t="shared" si="12"/>
        <v>-1.7073170731707318E-2</v>
      </c>
      <c r="I242" s="8">
        <f t="shared" si="13"/>
        <v>-0.28986784140969163</v>
      </c>
      <c r="J242" s="13">
        <f>AVERAGE(F223:F242)</f>
        <v>4195.5</v>
      </c>
      <c r="K242" s="13">
        <f>AVERAGE(F193:F242)</f>
        <v>4390.8</v>
      </c>
    </row>
    <row r="243" spans="1:11" x14ac:dyDescent="0.2">
      <c r="A243" s="2">
        <f ca="1">IFERROR(__xludf.DUMMYFUNCTION("""COMPUTED_VALUE"""),45665.6666666666)</f>
        <v>45665.666666666599</v>
      </c>
      <c r="B243" s="10"/>
      <c r="C243">
        <v>4030</v>
      </c>
      <c r="D243">
        <v>4100</v>
      </c>
      <c r="E243">
        <v>4030</v>
      </c>
      <c r="F243">
        <v>4080</v>
      </c>
      <c r="G243">
        <v>133655700</v>
      </c>
      <c r="H243" s="8">
        <f t="shared" si="12"/>
        <v>1.2406947890818859E-2</v>
      </c>
      <c r="I243" s="8">
        <f t="shared" si="13"/>
        <v>-0.28105726872246695</v>
      </c>
      <c r="J243" s="13">
        <f>AVERAGE(F224:F243)</f>
        <v>4186.5</v>
      </c>
      <c r="K243" s="13">
        <f>AVERAGE(F194:F243)</f>
        <v>4375.2</v>
      </c>
    </row>
    <row r="244" spans="1:11" x14ac:dyDescent="0.2">
      <c r="A244" s="2">
        <f ca="1">IFERROR(__xludf.DUMMYFUNCTION("""COMPUTED_VALUE"""),45666.6666666666)</f>
        <v>45666.666666666599</v>
      </c>
      <c r="B244" s="10"/>
      <c r="C244">
        <v>4070</v>
      </c>
      <c r="D244">
        <v>4100</v>
      </c>
      <c r="E244">
        <v>4030</v>
      </c>
      <c r="F244">
        <v>4030</v>
      </c>
      <c r="G244">
        <v>99300400</v>
      </c>
      <c r="H244" s="8">
        <f t="shared" si="12"/>
        <v>-1.2254901960784314E-2</v>
      </c>
      <c r="I244" s="8">
        <f t="shared" si="13"/>
        <v>-0.28986784140969163</v>
      </c>
      <c r="J244" s="13">
        <f>AVERAGE(F225:F244)</f>
        <v>4172.5</v>
      </c>
      <c r="K244" s="13">
        <f>AVERAGE(F195:F244)</f>
        <v>4359.3999999999996</v>
      </c>
    </row>
    <row r="245" spans="1:11" x14ac:dyDescent="0.2">
      <c r="A245" s="2">
        <f ca="1">IFERROR(__xludf.DUMMYFUNCTION("""COMPUTED_VALUE"""),45667.6666666666)</f>
        <v>45667.666666666599</v>
      </c>
      <c r="B245" s="10"/>
      <c r="C245">
        <v>4030</v>
      </c>
      <c r="D245">
        <v>4060</v>
      </c>
      <c r="E245">
        <v>4010</v>
      </c>
      <c r="F245">
        <v>4010</v>
      </c>
      <c r="G245">
        <v>132774300</v>
      </c>
      <c r="H245" s="8">
        <f t="shared" si="12"/>
        <v>-4.9627791563275434E-3</v>
      </c>
      <c r="I245" s="8">
        <f t="shared" si="13"/>
        <v>-0.29339207048458149</v>
      </c>
      <c r="J245" s="13">
        <f>AVERAGE(F226:F245)</f>
        <v>4153.5</v>
      </c>
      <c r="K245" s="13">
        <f>AVERAGE(F196:F245)</f>
        <v>4344.2</v>
      </c>
    </row>
    <row r="246" spans="1:11" x14ac:dyDescent="0.2">
      <c r="A246" s="2">
        <f ca="1">IFERROR(__xludf.DUMMYFUNCTION("""COMPUTED_VALUE"""),45670.6666666666)</f>
        <v>45670.666666666599</v>
      </c>
      <c r="B246" s="10"/>
      <c r="C246">
        <v>3990</v>
      </c>
      <c r="D246">
        <v>3990</v>
      </c>
      <c r="E246">
        <v>3850</v>
      </c>
      <c r="F246">
        <v>3850</v>
      </c>
      <c r="G246">
        <v>413408100</v>
      </c>
      <c r="H246" s="8">
        <f t="shared" si="12"/>
        <v>-3.9900249376558602E-2</v>
      </c>
      <c r="I246" s="8">
        <f t="shared" si="13"/>
        <v>-0.32158590308370044</v>
      </c>
      <c r="J246" s="13">
        <f>AVERAGE(F227:F246)</f>
        <v>4128</v>
      </c>
      <c r="K246" s="13">
        <f>AVERAGE(F197:F246)</f>
        <v>4326</v>
      </c>
    </row>
    <row r="247" spans="1:11" x14ac:dyDescent="0.2">
      <c r="A247" s="2">
        <f ca="1">IFERROR(__xludf.DUMMYFUNCTION("""COMPUTED_VALUE"""),45671.6666666666)</f>
        <v>45671.666666666599</v>
      </c>
      <c r="B247" s="10"/>
      <c r="C247">
        <v>3820</v>
      </c>
      <c r="D247">
        <v>3920</v>
      </c>
      <c r="E247">
        <v>3800</v>
      </c>
      <c r="F247">
        <v>3800</v>
      </c>
      <c r="G247">
        <v>293621700</v>
      </c>
      <c r="H247" s="8">
        <f t="shared" si="12"/>
        <v>-1.2987012987012988E-2</v>
      </c>
      <c r="I247" s="8">
        <f t="shared" si="13"/>
        <v>-0.33039647577092512</v>
      </c>
      <c r="J247" s="13">
        <f>AVERAGE(F228:F247)</f>
        <v>4099</v>
      </c>
      <c r="K247" s="13">
        <f>AVERAGE(F198:F247)</f>
        <v>4308</v>
      </c>
    </row>
    <row r="248" spans="1:11" x14ac:dyDescent="0.2">
      <c r="A248" s="2">
        <f ca="1">IFERROR(__xludf.DUMMYFUNCTION("""COMPUTED_VALUE"""),45672.6666666666)</f>
        <v>45672.666666666599</v>
      </c>
      <c r="B248" s="10"/>
      <c r="C248">
        <v>3840</v>
      </c>
      <c r="D248">
        <v>4090</v>
      </c>
      <c r="E248">
        <v>3840</v>
      </c>
      <c r="F248">
        <v>4090</v>
      </c>
      <c r="G248">
        <v>407813500</v>
      </c>
      <c r="H248" s="8">
        <f t="shared" si="12"/>
        <v>7.6315789473684212E-2</v>
      </c>
      <c r="I248" s="8">
        <f t="shared" si="13"/>
        <v>-0.27929515418502204</v>
      </c>
      <c r="J248" s="13">
        <f>AVERAGE(F229:F248)</f>
        <v>4090.5</v>
      </c>
      <c r="K248" s="13">
        <f>AVERAGE(F199:F248)</f>
        <v>4295.6000000000004</v>
      </c>
    </row>
    <row r="249" spans="1:11" x14ac:dyDescent="0.2">
      <c r="A249" s="2">
        <f ca="1">IFERROR(__xludf.DUMMYFUNCTION("""COMPUTED_VALUE"""),45673.6666666666)</f>
        <v>45673.666666666599</v>
      </c>
      <c r="B249" s="10"/>
      <c r="C249">
        <v>4210</v>
      </c>
      <c r="D249">
        <v>4240</v>
      </c>
      <c r="E249">
        <v>4130</v>
      </c>
      <c r="F249">
        <v>4160</v>
      </c>
      <c r="G249">
        <v>349387500</v>
      </c>
      <c r="H249" s="8">
        <f t="shared" si="12"/>
        <v>1.7114914425427872E-2</v>
      </c>
      <c r="I249" s="8">
        <f t="shared" si="13"/>
        <v>-0.2669603524229075</v>
      </c>
      <c r="J249" s="13">
        <f>AVERAGE(F230:F249)</f>
        <v>4090</v>
      </c>
      <c r="K249" s="13">
        <f>AVERAGE(F200:F249)</f>
        <v>4282.8</v>
      </c>
    </row>
    <row r="250" spans="1:11" x14ac:dyDescent="0.2">
      <c r="A250" s="2">
        <f ca="1">IFERROR(__xludf.DUMMYFUNCTION("""COMPUTED_VALUE"""),45674.6666666666)</f>
        <v>45674.666666666599</v>
      </c>
      <c r="B250" s="10"/>
      <c r="C250">
        <v>4150</v>
      </c>
      <c r="D250">
        <v>4190</v>
      </c>
      <c r="E250">
        <v>4080</v>
      </c>
      <c r="F250">
        <v>4090</v>
      </c>
      <c r="G250">
        <v>268758600</v>
      </c>
      <c r="H250" s="8">
        <f t="shared" si="12"/>
        <v>-1.6826923076923076E-2</v>
      </c>
      <c r="I250" s="8">
        <f t="shared" si="13"/>
        <v>-0.27929515418502204</v>
      </c>
      <c r="J250" s="13">
        <f>AVERAGE(F231:F250)</f>
        <v>4082</v>
      </c>
      <c r="K250" s="13">
        <f>AVERAGE(F201:F250)</f>
        <v>4270.6000000000004</v>
      </c>
    </row>
    <row r="251" spans="1:11" x14ac:dyDescent="0.2">
      <c r="A251" s="2">
        <f ca="1">IFERROR(__xludf.DUMMYFUNCTION("""COMPUTED_VALUE"""),45677.6666666666)</f>
        <v>45677.666666666599</v>
      </c>
      <c r="B251" s="10"/>
      <c r="C251">
        <v>4130</v>
      </c>
      <c r="D251">
        <v>4220</v>
      </c>
      <c r="E251">
        <v>4130</v>
      </c>
      <c r="F251">
        <v>4220</v>
      </c>
      <c r="G251">
        <v>167348600</v>
      </c>
      <c r="H251" s="8">
        <f t="shared" si="12"/>
        <v>3.1784841075794622E-2</v>
      </c>
      <c r="I251" s="8">
        <f t="shared" si="13"/>
        <v>-0.25638766519823791</v>
      </c>
      <c r="J251" s="13">
        <f>AVERAGE(F232:F251)</f>
        <v>4085.5</v>
      </c>
      <c r="K251" s="13">
        <f>AVERAGE(F202:F251)</f>
        <v>4260.6000000000004</v>
      </c>
    </row>
    <row r="252" spans="1:11" x14ac:dyDescent="0.2">
      <c r="A252" s="2">
        <f ca="1">IFERROR(__xludf.DUMMYFUNCTION("""COMPUTED_VALUE"""),45678.6666666666)</f>
        <v>45678.666666666599</v>
      </c>
      <c r="B252" s="10"/>
      <c r="C252">
        <v>4270</v>
      </c>
      <c r="D252">
        <v>4380</v>
      </c>
      <c r="E252">
        <v>4250</v>
      </c>
      <c r="F252">
        <v>4260</v>
      </c>
      <c r="G252">
        <v>345223800</v>
      </c>
      <c r="H252" s="8">
        <f t="shared" si="12"/>
        <v>9.4786729857819912E-3</v>
      </c>
      <c r="I252" s="8">
        <f t="shared" si="13"/>
        <v>-0.24933920704845816</v>
      </c>
      <c r="J252" s="13">
        <f>AVERAGE(F233:F252)</f>
        <v>4091</v>
      </c>
      <c r="K252" s="13">
        <f>AVERAGE(F203:F252)</f>
        <v>4251.6000000000004</v>
      </c>
    </row>
    <row r="253" spans="1:11" x14ac:dyDescent="0.2">
      <c r="A253" s="2">
        <f ca="1">IFERROR(__xludf.DUMMYFUNCTION("""COMPUTED_VALUE"""),45679.6666666666)</f>
        <v>45679.666666666599</v>
      </c>
      <c r="B253" s="10"/>
      <c r="C253">
        <v>4310</v>
      </c>
      <c r="D253">
        <v>4320</v>
      </c>
      <c r="E253">
        <v>4230</v>
      </c>
      <c r="F253">
        <v>4260</v>
      </c>
      <c r="G253">
        <v>193218900</v>
      </c>
      <c r="H253" s="8">
        <f t="shared" si="12"/>
        <v>0</v>
      </c>
      <c r="I253" s="8">
        <f t="shared" si="13"/>
        <v>-0.24933920704845816</v>
      </c>
      <c r="J253" s="13">
        <f>AVERAGE(F234:F253)</f>
        <v>4099.5</v>
      </c>
      <c r="K253" s="13">
        <f>AVERAGE(F204:F253)</f>
        <v>4244.8</v>
      </c>
    </row>
    <row r="254" spans="1:11" x14ac:dyDescent="0.2">
      <c r="A254" s="2">
        <f ca="1">IFERROR(__xludf.DUMMYFUNCTION("""COMPUTED_VALUE"""),45680.6666666666)</f>
        <v>45680.666666666599</v>
      </c>
      <c r="B254" s="10"/>
      <c r="C254">
        <v>4260</v>
      </c>
      <c r="D254">
        <v>4340</v>
      </c>
      <c r="E254">
        <v>4260</v>
      </c>
      <c r="F254">
        <v>4300</v>
      </c>
      <c r="G254">
        <v>216018100</v>
      </c>
      <c r="H254" s="8">
        <f t="shared" si="12"/>
        <v>9.3896713615023476E-3</v>
      </c>
      <c r="I254" s="8">
        <f t="shared" si="13"/>
        <v>-0.24229074889867841</v>
      </c>
      <c r="J254" s="13">
        <f>AVERAGE(F235:F254)</f>
        <v>4111.5</v>
      </c>
      <c r="K254" s="13">
        <f>AVERAGE(F205:F254)</f>
        <v>4239.8</v>
      </c>
    </row>
    <row r="255" spans="1:11" x14ac:dyDescent="0.2">
      <c r="A255" s="2">
        <f ca="1">IFERROR(__xludf.DUMMYFUNCTION("""COMPUTED_VALUE"""),45681.6666666666)</f>
        <v>45681.666666666599</v>
      </c>
      <c r="B255" s="10"/>
      <c r="C255">
        <v>4350</v>
      </c>
      <c r="D255">
        <v>4350</v>
      </c>
      <c r="E255">
        <v>4190</v>
      </c>
      <c r="F255">
        <v>4190</v>
      </c>
      <c r="G255">
        <v>276421900</v>
      </c>
      <c r="H255" s="8">
        <f t="shared" si="12"/>
        <v>-2.5581395348837209E-2</v>
      </c>
      <c r="I255" s="8">
        <f t="shared" si="13"/>
        <v>-0.26167400881057268</v>
      </c>
      <c r="J255" s="13">
        <f>AVERAGE(F236:F255)</f>
        <v>4110.5</v>
      </c>
      <c r="K255" s="13">
        <f>AVERAGE(F206:F255)</f>
        <v>4233.2</v>
      </c>
    </row>
    <row r="256" spans="1:11" x14ac:dyDescent="0.2">
      <c r="A256" s="2">
        <f ca="1">IFERROR(__xludf.DUMMYFUNCTION("""COMPUTED_VALUE"""),45687.6666666666)</f>
        <v>45687.666666666599</v>
      </c>
      <c r="B256" s="10"/>
      <c r="C256">
        <v>4130</v>
      </c>
      <c r="D256">
        <v>4170</v>
      </c>
      <c r="E256">
        <v>4090</v>
      </c>
      <c r="F256">
        <v>4120</v>
      </c>
      <c r="G256">
        <v>220222400</v>
      </c>
      <c r="H256" s="8">
        <f t="shared" si="12"/>
        <v>-1.6706443914081145E-2</v>
      </c>
      <c r="I256" s="8">
        <f t="shared" si="13"/>
        <v>-0.27400881057268722</v>
      </c>
      <c r="J256" s="13">
        <f>AVERAGE(F237:F256)</f>
        <v>4106.5</v>
      </c>
      <c r="K256" s="13">
        <f>AVERAGE(F207:F256)</f>
        <v>4226.3999999999996</v>
      </c>
    </row>
    <row r="257" spans="1:11" x14ac:dyDescent="0.2">
      <c r="A257" s="2">
        <f ca="1">IFERROR(__xludf.DUMMYFUNCTION("""COMPUTED_VALUE"""),45688.6666666666)</f>
        <v>45688.666666666599</v>
      </c>
      <c r="B257" s="10"/>
      <c r="C257">
        <v>4170</v>
      </c>
      <c r="D257">
        <v>4280</v>
      </c>
      <c r="E257">
        <v>4150</v>
      </c>
      <c r="F257">
        <v>4220</v>
      </c>
      <c r="G257">
        <v>192622700</v>
      </c>
      <c r="H257" s="8">
        <f t="shared" si="12"/>
        <v>2.4271844660194174E-2</v>
      </c>
      <c r="I257" s="8">
        <f t="shared" si="13"/>
        <v>-0.25638766519823791</v>
      </c>
      <c r="J257" s="13">
        <f>AVERAGE(F238:F257)</f>
        <v>4112.5</v>
      </c>
      <c r="K257" s="13">
        <f>AVERAGE(F208:F257)</f>
        <v>4220.8</v>
      </c>
    </row>
    <row r="258" spans="1:11" x14ac:dyDescent="0.2">
      <c r="A258" s="2">
        <f ca="1">IFERROR(__xludf.DUMMYFUNCTION("""COMPUTED_VALUE"""),45691.6666666666)</f>
        <v>45691.666666666599</v>
      </c>
      <c r="B258" s="10"/>
      <c r="C258">
        <v>4200</v>
      </c>
      <c r="D258">
        <v>4270</v>
      </c>
      <c r="E258">
        <v>4150</v>
      </c>
      <c r="F258">
        <v>4250</v>
      </c>
      <c r="G258">
        <v>220285800</v>
      </c>
      <c r="H258" s="8">
        <f t="shared" si="12"/>
        <v>7.1090047393364926E-3</v>
      </c>
      <c r="I258" s="8">
        <f t="shared" si="13"/>
        <v>-0.25110132158590309</v>
      </c>
      <c r="J258" s="13">
        <f t="shared" si="14"/>
        <v>4121</v>
      </c>
      <c r="K258" s="13">
        <f>AVERAGE(F209:F258)</f>
        <v>4214.2</v>
      </c>
    </row>
    <row r="259" spans="1:11" x14ac:dyDescent="0.2">
      <c r="A259" s="2">
        <f ca="1">IFERROR(__xludf.DUMMYFUNCTION("""COMPUTED_VALUE"""),45692.6666666666)</f>
        <v>45692.666666666599</v>
      </c>
      <c r="B259" s="10"/>
      <c r="C259">
        <v>4260</v>
      </c>
      <c r="D259">
        <v>4300</v>
      </c>
      <c r="E259">
        <v>4200</v>
      </c>
      <c r="F259">
        <v>4260</v>
      </c>
      <c r="G259">
        <v>231917500</v>
      </c>
      <c r="H259" s="8">
        <f t="shared" si="12"/>
        <v>2.352941176470588E-3</v>
      </c>
      <c r="I259" s="8">
        <f t="shared" si="13"/>
        <v>-0.24933920704845816</v>
      </c>
      <c r="J259" s="13">
        <f t="shared" si="14"/>
        <v>4123.5</v>
      </c>
      <c r="K259" s="13">
        <f>AVERAGE(F210:F259)</f>
        <v>4209.3999999999996</v>
      </c>
    </row>
    <row r="260" spans="1:11" x14ac:dyDescent="0.2">
      <c r="A260" s="2">
        <f ca="1">IFERROR(__xludf.DUMMYFUNCTION("""COMPUTED_VALUE"""),45693.6666666666)</f>
        <v>45693.666666666599</v>
      </c>
      <c r="B260" s="10"/>
      <c r="C260">
        <v>4250</v>
      </c>
      <c r="D260">
        <v>4250</v>
      </c>
      <c r="E260">
        <v>4140</v>
      </c>
      <c r="F260">
        <v>4140</v>
      </c>
      <c r="G260">
        <v>209834400</v>
      </c>
      <c r="H260" s="8">
        <f t="shared" ref="H260:H323" si="15">(F260-F259)/F259</f>
        <v>-2.8169014084507043E-2</v>
      </c>
      <c r="I260" s="8">
        <f t="shared" ref="I260:I323" si="16">(F260-$F$2)/$F$2</f>
        <v>-0.27048458149779736</v>
      </c>
      <c r="J260" s="13">
        <f t="shared" si="14"/>
        <v>4123</v>
      </c>
      <c r="K260" s="13">
        <f>AVERAGE(F211:F260)</f>
        <v>4202.8</v>
      </c>
    </row>
    <row r="261" spans="1:11" x14ac:dyDescent="0.2">
      <c r="A261" s="2">
        <f ca="1">IFERROR(__xludf.DUMMYFUNCTION("""COMPUTED_VALUE"""),45694.6666666666)</f>
        <v>45694.666666666599</v>
      </c>
      <c r="B261" s="10"/>
      <c r="C261">
        <v>4120</v>
      </c>
      <c r="D261">
        <v>4160</v>
      </c>
      <c r="E261">
        <v>3940</v>
      </c>
      <c r="F261">
        <v>3970</v>
      </c>
      <c r="G261">
        <v>378545500</v>
      </c>
      <c r="H261" s="8">
        <f t="shared" si="15"/>
        <v>-4.1062801932367152E-2</v>
      </c>
      <c r="I261" s="8">
        <f t="shared" si="16"/>
        <v>-0.30044052863436121</v>
      </c>
      <c r="J261" s="13">
        <f t="shared" si="14"/>
        <v>4116.5</v>
      </c>
      <c r="K261" s="13">
        <f>AVERAGE(F212:F261)</f>
        <v>4195.2</v>
      </c>
    </row>
    <row r="262" spans="1:11" x14ac:dyDescent="0.2">
      <c r="A262" s="2">
        <f ca="1">IFERROR(__xludf.DUMMYFUNCTION("""COMPUTED_VALUE"""),45695.6666666666)</f>
        <v>45695.666666666599</v>
      </c>
      <c r="B262" s="10"/>
      <c r="C262">
        <v>3970</v>
      </c>
      <c r="D262">
        <v>4030</v>
      </c>
      <c r="E262">
        <v>3940</v>
      </c>
      <c r="F262">
        <v>4030</v>
      </c>
      <c r="G262">
        <v>259636200</v>
      </c>
      <c r="H262" s="8">
        <f t="shared" si="15"/>
        <v>1.5113350125944584E-2</v>
      </c>
      <c r="I262" s="8">
        <f t="shared" si="16"/>
        <v>-0.28986784140969163</v>
      </c>
      <c r="J262" s="13">
        <f t="shared" si="14"/>
        <v>4116.5</v>
      </c>
      <c r="K262" s="13">
        <f>AVERAGE(F213:F262)</f>
        <v>4188.6000000000004</v>
      </c>
    </row>
    <row r="263" spans="1:11" x14ac:dyDescent="0.2">
      <c r="A263" s="2">
        <f ca="1">IFERROR(__xludf.DUMMYFUNCTION("""COMPUTED_VALUE"""),45698.6666666666)</f>
        <v>45698.666666666599</v>
      </c>
      <c r="B263" s="10"/>
      <c r="C263">
        <v>4000</v>
      </c>
      <c r="D263">
        <v>4050</v>
      </c>
      <c r="E263">
        <v>3950</v>
      </c>
      <c r="F263">
        <v>3970</v>
      </c>
      <c r="G263">
        <v>201999400</v>
      </c>
      <c r="H263" s="8">
        <f t="shared" si="15"/>
        <v>-1.488833746898263E-2</v>
      </c>
      <c r="I263" s="8">
        <f t="shared" si="16"/>
        <v>-0.30044052863436121</v>
      </c>
      <c r="J263" s="13">
        <f t="shared" si="14"/>
        <v>4111</v>
      </c>
      <c r="K263" s="13">
        <f>AVERAGE(F214:F263)</f>
        <v>4181.3999999999996</v>
      </c>
    </row>
    <row r="264" spans="1:11" x14ac:dyDescent="0.2">
      <c r="A264" s="2">
        <f ca="1">IFERROR(__xludf.DUMMYFUNCTION("""COMPUTED_VALUE"""),45699.6666666666)</f>
        <v>45699.666666666599</v>
      </c>
      <c r="B264" s="10"/>
      <c r="C264">
        <v>3970</v>
      </c>
      <c r="D264">
        <v>4040</v>
      </c>
      <c r="E264">
        <v>3900</v>
      </c>
      <c r="F264">
        <v>4010</v>
      </c>
      <c r="G264">
        <v>276382800</v>
      </c>
      <c r="H264" s="8">
        <f t="shared" si="15"/>
        <v>1.0075566750629723E-2</v>
      </c>
      <c r="I264" s="8">
        <f t="shared" si="16"/>
        <v>-0.29339207048458149</v>
      </c>
      <c r="J264" s="13">
        <f t="shared" si="14"/>
        <v>4110</v>
      </c>
      <c r="K264" s="13">
        <f>AVERAGE(F215:F264)</f>
        <v>4176.6000000000004</v>
      </c>
    </row>
    <row r="265" spans="1:11" x14ac:dyDescent="0.2">
      <c r="A265" s="2">
        <f ca="1">IFERROR(__xludf.DUMMYFUNCTION("""COMPUTED_VALUE"""),45700.6666666666)</f>
        <v>45700.666666666599</v>
      </c>
      <c r="B265" s="10"/>
      <c r="C265">
        <v>3960</v>
      </c>
      <c r="D265">
        <v>4060</v>
      </c>
      <c r="E265">
        <v>3950</v>
      </c>
      <c r="F265">
        <v>4030</v>
      </c>
      <c r="G265">
        <v>362571900</v>
      </c>
      <c r="H265" s="8">
        <f t="shared" si="15"/>
        <v>4.9875311720698253E-3</v>
      </c>
      <c r="I265" s="8">
        <f t="shared" si="16"/>
        <v>-0.28986784140969163</v>
      </c>
      <c r="J265" s="13">
        <f t="shared" si="14"/>
        <v>4111</v>
      </c>
      <c r="K265" s="13">
        <f>AVERAGE(F216:F265)</f>
        <v>4169.2</v>
      </c>
    </row>
    <row r="266" spans="1:11" x14ac:dyDescent="0.2">
      <c r="A266" s="2">
        <f ca="1">IFERROR(__xludf.DUMMYFUNCTION("""COMPUTED_VALUE"""),45701.6666666666)</f>
        <v>45701.666666666599</v>
      </c>
      <c r="B266" s="10"/>
      <c r="C266">
        <v>4000</v>
      </c>
      <c r="D266">
        <v>4030</v>
      </c>
      <c r="E266">
        <v>3960</v>
      </c>
      <c r="F266">
        <v>3990</v>
      </c>
      <c r="G266">
        <v>341640600</v>
      </c>
      <c r="H266" s="8">
        <f t="shared" si="15"/>
        <v>-9.9255583126550868E-3</v>
      </c>
      <c r="I266" s="8">
        <f t="shared" si="16"/>
        <v>-0.29691629955947135</v>
      </c>
      <c r="J266" s="13">
        <f t="shared" si="14"/>
        <v>4118</v>
      </c>
      <c r="K266" s="13">
        <f>AVERAGE(F217:F266)</f>
        <v>4159.6000000000004</v>
      </c>
    </row>
    <row r="267" spans="1:11" x14ac:dyDescent="0.2">
      <c r="A267" s="2">
        <f ca="1">IFERROR(__xludf.DUMMYFUNCTION("""COMPUTED_VALUE"""),45702.6666666666)</f>
        <v>45702.666666666599</v>
      </c>
      <c r="B267" s="10"/>
      <c r="C267">
        <v>4000</v>
      </c>
      <c r="D267">
        <v>4010</v>
      </c>
      <c r="E267">
        <v>3850</v>
      </c>
      <c r="F267">
        <v>3860</v>
      </c>
      <c r="G267">
        <v>524909600</v>
      </c>
      <c r="H267" s="8">
        <f t="shared" si="15"/>
        <v>-3.2581453634085211E-2</v>
      </c>
      <c r="I267" s="8">
        <f t="shared" si="16"/>
        <v>-0.31982378854625548</v>
      </c>
      <c r="J267" s="13">
        <f t="shared" si="14"/>
        <v>4121</v>
      </c>
      <c r="K267" s="13">
        <f>AVERAGE(F218:F267)</f>
        <v>4148.8</v>
      </c>
    </row>
    <row r="268" spans="1:11" x14ac:dyDescent="0.2">
      <c r="A268" s="2">
        <f ca="1">IFERROR(__xludf.DUMMYFUNCTION("""COMPUTED_VALUE"""),45705.6666666666)</f>
        <v>45705.666666666599</v>
      </c>
      <c r="B268" s="10"/>
      <c r="C268">
        <v>3870</v>
      </c>
      <c r="D268">
        <v>4030</v>
      </c>
      <c r="E268">
        <v>3870</v>
      </c>
      <c r="F268">
        <v>4030</v>
      </c>
      <c r="G268">
        <v>265737100</v>
      </c>
      <c r="H268" s="8">
        <f t="shared" si="15"/>
        <v>4.4041450777202069E-2</v>
      </c>
      <c r="I268" s="8">
        <f t="shared" si="16"/>
        <v>-0.28986784140969163</v>
      </c>
      <c r="J268" s="13">
        <f t="shared" si="14"/>
        <v>4118</v>
      </c>
      <c r="K268" s="13">
        <f>AVERAGE(F219:F268)</f>
        <v>4142.8</v>
      </c>
    </row>
    <row r="269" spans="1:11" x14ac:dyDescent="0.2">
      <c r="A269" s="2">
        <f ca="1">IFERROR(__xludf.DUMMYFUNCTION("""COMPUTED_VALUE"""),45706.6666666666)</f>
        <v>45706.666666666599</v>
      </c>
      <c r="B269" s="10"/>
      <c r="C269">
        <v>4030</v>
      </c>
      <c r="D269">
        <v>4180</v>
      </c>
      <c r="E269">
        <v>4030</v>
      </c>
      <c r="F269">
        <v>4150</v>
      </c>
      <c r="G269">
        <v>374350700</v>
      </c>
      <c r="H269" s="8">
        <f t="shared" si="15"/>
        <v>2.9776674937965261E-2</v>
      </c>
      <c r="I269" s="8">
        <f t="shared" si="16"/>
        <v>-0.2687224669603524</v>
      </c>
      <c r="J269" s="13">
        <f t="shared" si="14"/>
        <v>4117.5</v>
      </c>
      <c r="K269" s="13">
        <f>AVERAGE(F220:F269)</f>
        <v>4140.8</v>
      </c>
    </row>
    <row r="270" spans="1:11" x14ac:dyDescent="0.2">
      <c r="A270" s="2">
        <f ca="1">IFERROR(__xludf.DUMMYFUNCTION("""COMPUTED_VALUE"""),45707.6666666666)</f>
        <v>45707.666666666599</v>
      </c>
      <c r="B270" s="10"/>
      <c r="C270">
        <v>4160</v>
      </c>
      <c r="D270">
        <v>4180</v>
      </c>
      <c r="E270">
        <v>4010</v>
      </c>
      <c r="F270">
        <v>4020</v>
      </c>
      <c r="G270">
        <v>346072800</v>
      </c>
      <c r="H270" s="8">
        <f t="shared" si="15"/>
        <v>-3.1325301204819279E-2</v>
      </c>
      <c r="I270" s="8">
        <f t="shared" si="16"/>
        <v>-0.29162995594713659</v>
      </c>
      <c r="J270" s="13">
        <f t="shared" si="14"/>
        <v>4114</v>
      </c>
      <c r="K270" s="13">
        <f>AVERAGE(F221:F270)</f>
        <v>4137.8</v>
      </c>
    </row>
    <row r="271" spans="1:11" x14ac:dyDescent="0.2">
      <c r="A271" s="2">
        <f ca="1">IFERROR(__xludf.DUMMYFUNCTION("""COMPUTED_VALUE"""),45708.6666666666)</f>
        <v>45708.666666666599</v>
      </c>
      <c r="B271" s="10"/>
      <c r="C271">
        <v>3970</v>
      </c>
      <c r="D271">
        <v>4020</v>
      </c>
      <c r="E271">
        <v>3910</v>
      </c>
      <c r="F271">
        <v>3910</v>
      </c>
      <c r="G271">
        <v>312753300</v>
      </c>
      <c r="H271" s="8">
        <f t="shared" si="15"/>
        <v>-2.736318407960199E-2</v>
      </c>
      <c r="I271" s="8">
        <f t="shared" si="16"/>
        <v>-0.31101321585903086</v>
      </c>
      <c r="J271" s="13">
        <f t="shared" si="14"/>
        <v>4098.5</v>
      </c>
      <c r="K271" s="13">
        <f>AVERAGE(F222:F271)</f>
        <v>4131.2</v>
      </c>
    </row>
    <row r="272" spans="1:11" x14ac:dyDescent="0.2">
      <c r="A272" s="2">
        <f ca="1">IFERROR(__xludf.DUMMYFUNCTION("""COMPUTED_VALUE"""),45709.6666666666)</f>
        <v>45709.666666666599</v>
      </c>
      <c r="B272" s="10"/>
      <c r="C272">
        <v>3910</v>
      </c>
      <c r="D272">
        <v>3930</v>
      </c>
      <c r="E272">
        <v>3870</v>
      </c>
      <c r="F272">
        <v>3890</v>
      </c>
      <c r="G272">
        <v>205268800</v>
      </c>
      <c r="H272" s="8">
        <f t="shared" si="15"/>
        <v>-5.1150895140664966E-3</v>
      </c>
      <c r="I272" s="8">
        <f t="shared" si="16"/>
        <v>-0.31453744493392072</v>
      </c>
      <c r="J272" s="13">
        <f t="shared" si="14"/>
        <v>4080</v>
      </c>
      <c r="K272" s="13">
        <f>AVERAGE(F223:F272)</f>
        <v>4122</v>
      </c>
    </row>
    <row r="273" spans="1:11" x14ac:dyDescent="0.2">
      <c r="A273" s="2">
        <f ca="1">IFERROR(__xludf.DUMMYFUNCTION("""COMPUTED_VALUE"""),45712.6666666666)</f>
        <v>45712.666666666599</v>
      </c>
      <c r="B273" s="10"/>
      <c r="C273">
        <v>3900</v>
      </c>
      <c r="D273">
        <v>3940</v>
      </c>
      <c r="E273">
        <v>3870</v>
      </c>
      <c r="F273">
        <v>3920</v>
      </c>
      <c r="G273">
        <v>138610800</v>
      </c>
      <c r="H273" s="8">
        <f t="shared" si="15"/>
        <v>7.7120822622107968E-3</v>
      </c>
      <c r="I273" s="8">
        <f t="shared" si="16"/>
        <v>-0.3092511013215859</v>
      </c>
      <c r="J273" s="13">
        <f t="shared" si="14"/>
        <v>4063</v>
      </c>
      <c r="K273" s="13">
        <f>AVERAGE(F224:F273)</f>
        <v>4115.2</v>
      </c>
    </row>
    <row r="274" spans="1:11" x14ac:dyDescent="0.2">
      <c r="A274" s="2">
        <f ca="1">IFERROR(__xludf.DUMMYFUNCTION("""COMPUTED_VALUE"""),45713.6666666666)</f>
        <v>45713.666666666599</v>
      </c>
      <c r="B274" s="10"/>
      <c r="C274">
        <v>3880</v>
      </c>
      <c r="D274">
        <v>3920</v>
      </c>
      <c r="E274">
        <v>3800</v>
      </c>
      <c r="F274">
        <v>3800</v>
      </c>
      <c r="G274">
        <v>404555100</v>
      </c>
      <c r="H274" s="8">
        <f t="shared" si="15"/>
        <v>-3.0612244897959183E-2</v>
      </c>
      <c r="I274" s="8">
        <f t="shared" si="16"/>
        <v>-0.33039647577092512</v>
      </c>
      <c r="J274" s="13">
        <f t="shared" si="14"/>
        <v>4038</v>
      </c>
      <c r="K274" s="13">
        <f>AVERAGE(F225:F274)</f>
        <v>4105</v>
      </c>
    </row>
    <row r="275" spans="1:11" x14ac:dyDescent="0.2">
      <c r="A275" s="2">
        <f ca="1">IFERROR(__xludf.DUMMYFUNCTION("""COMPUTED_VALUE"""),45714.6666666666)</f>
        <v>45714.666666666599</v>
      </c>
      <c r="B275" s="10"/>
      <c r="C275">
        <v>3800</v>
      </c>
      <c r="D275">
        <v>3860</v>
      </c>
      <c r="E275">
        <v>3760</v>
      </c>
      <c r="F275">
        <v>3820</v>
      </c>
      <c r="G275">
        <v>242834100</v>
      </c>
      <c r="H275" s="8">
        <f t="shared" si="15"/>
        <v>5.263157894736842E-3</v>
      </c>
      <c r="I275" s="8">
        <f t="shared" si="16"/>
        <v>-0.32687224669603526</v>
      </c>
      <c r="J275" s="13">
        <f t="shared" si="14"/>
        <v>4019.5</v>
      </c>
      <c r="K275" s="13">
        <f>AVERAGE(F226:F275)</f>
        <v>4093.6</v>
      </c>
    </row>
    <row r="276" spans="1:11" x14ac:dyDescent="0.2">
      <c r="A276" s="2">
        <f ca="1">IFERROR(__xludf.DUMMYFUNCTION("""COMPUTED_VALUE"""),45715.6666666666)</f>
        <v>45715.666666666599</v>
      </c>
      <c r="B276" s="10"/>
      <c r="C276">
        <v>3790</v>
      </c>
      <c r="D276">
        <v>3800</v>
      </c>
      <c r="E276">
        <v>3610</v>
      </c>
      <c r="F276">
        <v>3630</v>
      </c>
      <c r="G276">
        <v>410928000</v>
      </c>
      <c r="H276" s="8">
        <f t="shared" si="15"/>
        <v>-4.9738219895287955E-2</v>
      </c>
      <c r="I276" s="8">
        <f t="shared" si="16"/>
        <v>-0.36035242290748898</v>
      </c>
      <c r="J276" s="13">
        <f t="shared" si="14"/>
        <v>3995</v>
      </c>
      <c r="K276" s="13">
        <f>AVERAGE(F227:F276)</f>
        <v>4079</v>
      </c>
    </row>
    <row r="277" spans="1:11" x14ac:dyDescent="0.2">
      <c r="A277" s="2">
        <f ca="1">IFERROR(__xludf.DUMMYFUNCTION("""COMPUTED_VALUE"""),45716.6666666666)</f>
        <v>45716.666666666599</v>
      </c>
      <c r="B277" s="10"/>
      <c r="C277">
        <v>3500</v>
      </c>
      <c r="D277">
        <v>3540</v>
      </c>
      <c r="E277">
        <v>3360</v>
      </c>
      <c r="F277">
        <v>3360</v>
      </c>
      <c r="G277">
        <v>1000597600</v>
      </c>
      <c r="H277" s="8">
        <f t="shared" si="15"/>
        <v>-7.43801652892562E-2</v>
      </c>
      <c r="I277" s="8">
        <f t="shared" si="16"/>
        <v>-0.4079295154185022</v>
      </c>
      <c r="J277" s="13">
        <f t="shared" si="14"/>
        <v>3952</v>
      </c>
      <c r="K277" s="13">
        <f>AVERAGE(F228:F277)</f>
        <v>4058.6</v>
      </c>
    </row>
    <row r="278" spans="1:11" x14ac:dyDescent="0.2">
      <c r="A278" s="2">
        <f ca="1">IFERROR(__xludf.DUMMYFUNCTION("""COMPUTED_VALUE"""),45719.6666666666)</f>
        <v>45719.666666666599</v>
      </c>
      <c r="B278" s="10"/>
      <c r="C278">
        <v>3520</v>
      </c>
      <c r="D278">
        <v>3740</v>
      </c>
      <c r="E278">
        <v>3470</v>
      </c>
      <c r="F278">
        <v>3670</v>
      </c>
      <c r="G278">
        <v>744626800</v>
      </c>
      <c r="H278" s="8">
        <f t="shared" si="15"/>
        <v>9.2261904761904767E-2</v>
      </c>
      <c r="I278" s="8">
        <f t="shared" si="16"/>
        <v>-0.35330396475770925</v>
      </c>
      <c r="J278" s="13">
        <f t="shared" ref="J278:J341" si="17">AVERAGE(F259:F278)</f>
        <v>3923</v>
      </c>
      <c r="K278" s="13">
        <f>AVERAGE(F229:F278)</f>
        <v>4046.8</v>
      </c>
    </row>
    <row r="279" spans="1:11" x14ac:dyDescent="0.2">
      <c r="A279" s="2">
        <f ca="1">IFERROR(__xludf.DUMMYFUNCTION("""COMPUTED_VALUE"""),45720.6666666666)</f>
        <v>45720.666666666599</v>
      </c>
      <c r="B279" s="10"/>
      <c r="C279">
        <v>3680</v>
      </c>
      <c r="D279">
        <v>3720</v>
      </c>
      <c r="E279">
        <v>3600</v>
      </c>
      <c r="F279">
        <v>3670</v>
      </c>
      <c r="G279">
        <v>338434700</v>
      </c>
      <c r="H279" s="8">
        <f t="shared" si="15"/>
        <v>0</v>
      </c>
      <c r="I279" s="8">
        <f t="shared" si="16"/>
        <v>-0.35330396475770925</v>
      </c>
      <c r="J279" s="13">
        <f t="shared" si="17"/>
        <v>3893.5</v>
      </c>
      <c r="K279" s="13">
        <f>AVERAGE(F230:F279)</f>
        <v>4036.8</v>
      </c>
    </row>
    <row r="280" spans="1:11" x14ac:dyDescent="0.2">
      <c r="A280" s="2">
        <f ca="1">IFERROR(__xludf.DUMMYFUNCTION("""COMPUTED_VALUE"""),45721.6666666666)</f>
        <v>45721.666666666599</v>
      </c>
      <c r="B280" s="10"/>
      <c r="C280">
        <v>3710</v>
      </c>
      <c r="D280">
        <v>3900</v>
      </c>
      <c r="E280">
        <v>3710</v>
      </c>
      <c r="F280">
        <v>3840</v>
      </c>
      <c r="G280">
        <v>441151000</v>
      </c>
      <c r="H280" s="8">
        <f t="shared" si="15"/>
        <v>4.632152588555858E-2</v>
      </c>
      <c r="I280" s="8">
        <f t="shared" si="16"/>
        <v>-0.3233480176211454</v>
      </c>
      <c r="J280" s="13">
        <f t="shared" si="17"/>
        <v>3878.5</v>
      </c>
      <c r="K280" s="13">
        <f>AVERAGE(F231:F280)</f>
        <v>4028.6</v>
      </c>
    </row>
    <row r="281" spans="1:11" x14ac:dyDescent="0.2">
      <c r="A281" s="2">
        <f ca="1">IFERROR(__xludf.DUMMYFUNCTION("""COMPUTED_VALUE"""),45722.6666666666)</f>
        <v>45722.666666666599</v>
      </c>
      <c r="B281" s="10"/>
      <c r="C281">
        <v>3870</v>
      </c>
      <c r="D281">
        <v>3990</v>
      </c>
      <c r="E281">
        <v>3870</v>
      </c>
      <c r="F281">
        <v>3950</v>
      </c>
      <c r="G281">
        <v>434485100</v>
      </c>
      <c r="H281" s="8">
        <f t="shared" si="15"/>
        <v>2.8645833333333332E-2</v>
      </c>
      <c r="I281" s="8">
        <f t="shared" si="16"/>
        <v>-0.30396475770925108</v>
      </c>
      <c r="J281" s="13">
        <f t="shared" si="17"/>
        <v>3877.5</v>
      </c>
      <c r="K281" s="13">
        <f>AVERAGE(F232:F281)</f>
        <v>4024.6</v>
      </c>
    </row>
    <row r="282" spans="1:11" x14ac:dyDescent="0.2">
      <c r="A282" s="2">
        <f ca="1">IFERROR(__xludf.DUMMYFUNCTION("""COMPUTED_VALUE"""),45723.6666666666)</f>
        <v>45723.666666666599</v>
      </c>
      <c r="B282" s="10"/>
      <c r="C282">
        <v>3930</v>
      </c>
      <c r="D282">
        <v>3930</v>
      </c>
      <c r="E282">
        <v>3810</v>
      </c>
      <c r="F282">
        <v>3810</v>
      </c>
      <c r="G282">
        <v>243793600</v>
      </c>
      <c r="H282" s="8">
        <f t="shared" si="15"/>
        <v>-3.5443037974683546E-2</v>
      </c>
      <c r="I282" s="8">
        <f t="shared" si="16"/>
        <v>-0.32863436123348017</v>
      </c>
      <c r="J282" s="13">
        <f t="shared" si="17"/>
        <v>3866.5</v>
      </c>
      <c r="K282" s="13">
        <f>AVERAGE(F233:F282)</f>
        <v>4017.8</v>
      </c>
    </row>
    <row r="283" spans="1:11" x14ac:dyDescent="0.2">
      <c r="A283" s="2">
        <f ca="1">IFERROR(__xludf.DUMMYFUNCTION("""COMPUTED_VALUE"""),45726.6666666666)</f>
        <v>45726.666666666599</v>
      </c>
      <c r="B283" s="10"/>
      <c r="C283">
        <v>3790</v>
      </c>
      <c r="D283">
        <v>3810</v>
      </c>
      <c r="E283">
        <v>3730</v>
      </c>
      <c r="F283">
        <v>3760</v>
      </c>
      <c r="G283">
        <v>232192200</v>
      </c>
      <c r="H283" s="8">
        <f t="shared" si="15"/>
        <v>-1.3123359580052493E-2</v>
      </c>
      <c r="I283" s="8">
        <f t="shared" si="16"/>
        <v>-0.33744493392070485</v>
      </c>
      <c r="J283" s="13">
        <f t="shared" si="17"/>
        <v>3856</v>
      </c>
      <c r="K283" s="13">
        <f>AVERAGE(F234:F283)</f>
        <v>4011.2</v>
      </c>
    </row>
    <row r="284" spans="1:11" x14ac:dyDescent="0.2">
      <c r="A284" s="2">
        <f ca="1">IFERROR(__xludf.DUMMYFUNCTION("""COMPUTED_VALUE"""),45727.6666666666)</f>
        <v>45727.666666666599</v>
      </c>
      <c r="B284" s="10"/>
      <c r="C284">
        <v>3700</v>
      </c>
      <c r="D284">
        <v>3790</v>
      </c>
      <c r="E284">
        <v>3660</v>
      </c>
      <c r="F284">
        <v>3790</v>
      </c>
      <c r="G284">
        <v>273961800</v>
      </c>
      <c r="H284" s="8">
        <f t="shared" si="15"/>
        <v>7.9787234042553185E-3</v>
      </c>
      <c r="I284" s="8">
        <f t="shared" si="16"/>
        <v>-0.33215859030837003</v>
      </c>
      <c r="J284" s="13">
        <f t="shared" si="17"/>
        <v>3845</v>
      </c>
      <c r="K284" s="13">
        <f>AVERAGE(F235:F284)</f>
        <v>4005.8</v>
      </c>
    </row>
    <row r="285" spans="1:11" x14ac:dyDescent="0.2">
      <c r="A285" s="2">
        <f ca="1">IFERROR(__xludf.DUMMYFUNCTION("""COMPUTED_VALUE"""),45728.6666666666)</f>
        <v>45728.666666666599</v>
      </c>
      <c r="B285" s="10"/>
      <c r="C285">
        <v>3810</v>
      </c>
      <c r="D285">
        <v>3920</v>
      </c>
      <c r="E285">
        <v>3810</v>
      </c>
      <c r="F285">
        <v>3890</v>
      </c>
      <c r="G285">
        <v>271631200</v>
      </c>
      <c r="H285" s="8">
        <f t="shared" si="15"/>
        <v>2.6385224274406333E-2</v>
      </c>
      <c r="I285" s="8">
        <f t="shared" si="16"/>
        <v>-0.31453744493392072</v>
      </c>
      <c r="J285" s="13">
        <f t="shared" si="17"/>
        <v>3838</v>
      </c>
      <c r="K285" s="13">
        <f>AVERAGE(F236:F285)</f>
        <v>3999.4</v>
      </c>
    </row>
    <row r="286" spans="1:11" x14ac:dyDescent="0.2">
      <c r="A286" s="2">
        <f ca="1">IFERROR(__xludf.DUMMYFUNCTION("""COMPUTED_VALUE"""),45729.6666666666)</f>
        <v>45729.666666666599</v>
      </c>
      <c r="B286" s="10"/>
      <c r="C286">
        <v>3960</v>
      </c>
      <c r="D286">
        <v>3970</v>
      </c>
      <c r="E286">
        <v>3800</v>
      </c>
      <c r="F286">
        <v>3800</v>
      </c>
      <c r="G286">
        <v>209225700</v>
      </c>
      <c r="H286" s="8">
        <f t="shared" si="15"/>
        <v>-2.313624678663239E-2</v>
      </c>
      <c r="I286" s="8">
        <f t="shared" si="16"/>
        <v>-0.33039647577092512</v>
      </c>
      <c r="J286" s="13">
        <f t="shared" si="17"/>
        <v>3828.5</v>
      </c>
      <c r="K286" s="13">
        <f>AVERAGE(F237:F286)</f>
        <v>3991.4</v>
      </c>
    </row>
    <row r="287" spans="1:11" x14ac:dyDescent="0.2">
      <c r="A287" s="2">
        <f ca="1">IFERROR(__xludf.DUMMYFUNCTION("""COMPUTED_VALUE"""),45730.6666666666)</f>
        <v>45730.666666666599</v>
      </c>
      <c r="B287" s="10"/>
      <c r="C287">
        <v>3750</v>
      </c>
      <c r="D287">
        <v>3840</v>
      </c>
      <c r="E287">
        <v>3750</v>
      </c>
      <c r="F287">
        <v>3750</v>
      </c>
      <c r="G287">
        <v>156131900</v>
      </c>
      <c r="H287" s="8">
        <f t="shared" si="15"/>
        <v>-1.3157894736842105E-2</v>
      </c>
      <c r="I287" s="8">
        <f t="shared" si="16"/>
        <v>-0.33920704845814981</v>
      </c>
      <c r="J287" s="13">
        <f t="shared" si="17"/>
        <v>3823</v>
      </c>
      <c r="K287" s="13">
        <f>AVERAGE(F238:F287)</f>
        <v>3984.4</v>
      </c>
    </row>
    <row r="288" spans="1:11" x14ac:dyDescent="0.2">
      <c r="A288" s="2">
        <f ca="1">IFERROR(__xludf.DUMMYFUNCTION("""COMPUTED_VALUE"""),45733.6666666666)</f>
        <v>45733.666666666599</v>
      </c>
      <c r="B288" s="10"/>
      <c r="C288">
        <v>3780</v>
      </c>
      <c r="D288">
        <v>3840</v>
      </c>
      <c r="E288">
        <v>3730</v>
      </c>
      <c r="F288">
        <v>3830</v>
      </c>
      <c r="G288">
        <v>162467700</v>
      </c>
      <c r="H288" s="8">
        <f t="shared" si="15"/>
        <v>2.1333333333333333E-2</v>
      </c>
      <c r="I288" s="8">
        <f t="shared" si="16"/>
        <v>-0.3251101321585903</v>
      </c>
      <c r="J288" s="13">
        <f t="shared" si="17"/>
        <v>3813</v>
      </c>
      <c r="K288" s="13">
        <f t="shared" ref="K288:K307" si="18">AVERAGE(F239:F288)</f>
        <v>3979.4</v>
      </c>
    </row>
    <row r="289" spans="1:11" x14ac:dyDescent="0.2">
      <c r="A289" s="2">
        <f ca="1">IFERROR(__xludf.DUMMYFUNCTION("""COMPUTED_VALUE"""),45734.6666666666)</f>
        <v>45734.666666666599</v>
      </c>
      <c r="B289" s="10"/>
      <c r="C289">
        <v>3840</v>
      </c>
      <c r="D289">
        <v>3860</v>
      </c>
      <c r="E289">
        <v>3500</v>
      </c>
      <c r="F289">
        <v>3680</v>
      </c>
      <c r="G289">
        <v>416894600</v>
      </c>
      <c r="H289" s="8">
        <f t="shared" si="15"/>
        <v>-3.91644908616188E-2</v>
      </c>
      <c r="I289" s="8">
        <f t="shared" si="16"/>
        <v>-0.3515418502202643</v>
      </c>
      <c r="J289" s="13">
        <f t="shared" si="17"/>
        <v>3789.5</v>
      </c>
      <c r="K289" s="13">
        <f t="shared" si="18"/>
        <v>3968.8</v>
      </c>
    </row>
    <row r="290" spans="1:11" x14ac:dyDescent="0.2">
      <c r="A290" s="2">
        <f ca="1">IFERROR(__xludf.DUMMYFUNCTION("""COMPUTED_VALUE"""),45735.6666666666)</f>
        <v>45735.666666666599</v>
      </c>
      <c r="B290" s="10"/>
      <c r="C290">
        <v>3710</v>
      </c>
      <c r="D290">
        <v>3780</v>
      </c>
      <c r="E290">
        <v>3680</v>
      </c>
      <c r="F290">
        <v>3710</v>
      </c>
      <c r="G290">
        <v>352217700</v>
      </c>
      <c r="H290" s="8">
        <f t="shared" si="15"/>
        <v>8.152173913043478E-3</v>
      </c>
      <c r="I290" s="8">
        <f t="shared" si="16"/>
        <v>-0.34625550660792953</v>
      </c>
      <c r="J290" s="13">
        <f t="shared" si="17"/>
        <v>3774</v>
      </c>
      <c r="K290" s="13">
        <f t="shared" si="18"/>
        <v>3960</v>
      </c>
    </row>
    <row r="291" spans="1:11" x14ac:dyDescent="0.2">
      <c r="A291" s="2">
        <f ca="1">IFERROR(__xludf.DUMMYFUNCTION("""COMPUTED_VALUE"""),45736.6666666666)</f>
        <v>45736.666666666599</v>
      </c>
      <c r="B291" s="10"/>
      <c r="C291">
        <v>3730</v>
      </c>
      <c r="D291">
        <v>3760</v>
      </c>
      <c r="E291">
        <v>3640</v>
      </c>
      <c r="F291">
        <v>3660</v>
      </c>
      <c r="G291">
        <v>313033000</v>
      </c>
      <c r="H291" s="8">
        <f t="shared" si="15"/>
        <v>-1.3477088948787063E-2</v>
      </c>
      <c r="I291" s="8">
        <f t="shared" si="16"/>
        <v>-0.35506607929515416</v>
      </c>
      <c r="J291" s="13">
        <f t="shared" si="17"/>
        <v>3761.5</v>
      </c>
      <c r="K291" s="13">
        <f t="shared" si="18"/>
        <v>3951.2</v>
      </c>
    </row>
    <row r="292" spans="1:11" x14ac:dyDescent="0.2">
      <c r="A292" s="2">
        <f ca="1">IFERROR(__xludf.DUMMYFUNCTION("""COMPUTED_VALUE"""),45737.6666666666)</f>
        <v>45737.666666666599</v>
      </c>
      <c r="B292" s="10"/>
      <c r="C292">
        <v>3600</v>
      </c>
      <c r="D292">
        <v>3700</v>
      </c>
      <c r="E292">
        <v>3550</v>
      </c>
      <c r="F292">
        <v>3700</v>
      </c>
      <c r="G292">
        <v>627645600</v>
      </c>
      <c r="H292" s="8">
        <f t="shared" si="15"/>
        <v>1.092896174863388E-2</v>
      </c>
      <c r="I292" s="8">
        <f t="shared" si="16"/>
        <v>-0.34801762114537443</v>
      </c>
      <c r="J292" s="13">
        <f t="shared" si="17"/>
        <v>3752</v>
      </c>
      <c r="K292" s="13">
        <f t="shared" si="18"/>
        <v>3944.6</v>
      </c>
    </row>
    <row r="293" spans="1:11" x14ac:dyDescent="0.2">
      <c r="A293" s="2">
        <f ca="1">IFERROR(__xludf.DUMMYFUNCTION("""COMPUTED_VALUE"""),45740.6666666666)</f>
        <v>45740.666666666599</v>
      </c>
      <c r="B293" s="10"/>
      <c r="C293">
        <v>3650</v>
      </c>
      <c r="D293">
        <v>3740</v>
      </c>
      <c r="E293">
        <v>3520</v>
      </c>
      <c r="F293">
        <v>3610</v>
      </c>
      <c r="G293">
        <v>342883200</v>
      </c>
      <c r="H293" s="8">
        <f t="shared" si="15"/>
        <v>-2.4324324324324326E-2</v>
      </c>
      <c r="I293" s="8">
        <f t="shared" si="16"/>
        <v>-0.36387665198237884</v>
      </c>
      <c r="J293" s="13">
        <f t="shared" si="17"/>
        <v>3736.5</v>
      </c>
      <c r="K293" s="13">
        <f t="shared" si="18"/>
        <v>3935.2</v>
      </c>
    </row>
    <row r="294" spans="1:11" x14ac:dyDescent="0.2">
      <c r="A294" s="2">
        <f ca="1">IFERROR(__xludf.DUMMYFUNCTION("""COMPUTED_VALUE"""),45741.6666666666)</f>
        <v>45741.666666666599</v>
      </c>
      <c r="B294" s="10"/>
      <c r="C294">
        <v>3660</v>
      </c>
      <c r="D294">
        <v>3840</v>
      </c>
      <c r="E294">
        <v>3660</v>
      </c>
      <c r="F294">
        <v>3800</v>
      </c>
      <c r="G294">
        <v>331285900</v>
      </c>
      <c r="H294" s="8">
        <f t="shared" si="15"/>
        <v>5.2631578947368418E-2</v>
      </c>
      <c r="I294" s="8">
        <f t="shared" si="16"/>
        <v>-0.33039647577092512</v>
      </c>
      <c r="J294" s="13">
        <f t="shared" si="17"/>
        <v>3736.5</v>
      </c>
      <c r="K294" s="13">
        <f t="shared" si="18"/>
        <v>3930.6</v>
      </c>
    </row>
    <row r="295" spans="1:11" x14ac:dyDescent="0.2">
      <c r="A295" s="2">
        <f ca="1">IFERROR(__xludf.DUMMYFUNCTION("""COMPUTED_VALUE"""),45742.6666666666)</f>
        <v>45742.666666666599</v>
      </c>
      <c r="B295" s="10"/>
      <c r="C295">
        <v>3870</v>
      </c>
      <c r="D295">
        <v>4020</v>
      </c>
      <c r="E295">
        <v>3860</v>
      </c>
      <c r="F295">
        <v>4000</v>
      </c>
      <c r="G295">
        <v>540888800</v>
      </c>
      <c r="H295" s="8">
        <f t="shared" si="15"/>
        <v>5.2631578947368418E-2</v>
      </c>
      <c r="I295" s="8">
        <f t="shared" si="16"/>
        <v>-0.29515418502202645</v>
      </c>
      <c r="J295" s="13">
        <f t="shared" si="17"/>
        <v>3745.5</v>
      </c>
      <c r="K295" s="13">
        <f t="shared" si="18"/>
        <v>3930.4</v>
      </c>
    </row>
    <row r="296" spans="1:11" x14ac:dyDescent="0.2">
      <c r="A296" s="2">
        <f ca="1">IFERROR(__xludf.DUMMYFUNCTION("""COMPUTED_VALUE"""),45743.6666666666)</f>
        <v>45743.666666666599</v>
      </c>
      <c r="B296" s="10"/>
      <c r="C296">
        <v>4000</v>
      </c>
      <c r="D296">
        <v>4050</v>
      </c>
      <c r="E296">
        <v>3930</v>
      </c>
      <c r="F296">
        <v>4050</v>
      </c>
      <c r="G296">
        <v>322553200</v>
      </c>
      <c r="H296" s="8">
        <f t="shared" si="15"/>
        <v>1.2500000000000001E-2</v>
      </c>
      <c r="I296" s="8">
        <f t="shared" si="16"/>
        <v>-0.28634361233480177</v>
      </c>
      <c r="J296" s="13">
        <f t="shared" si="17"/>
        <v>3766.5</v>
      </c>
      <c r="K296" s="13">
        <f t="shared" si="18"/>
        <v>3934.4</v>
      </c>
    </row>
    <row r="297" spans="1:11" x14ac:dyDescent="0.2">
      <c r="A297" s="2">
        <f ca="1">IFERROR(__xludf.DUMMYFUNCTION("""COMPUTED_VALUE"""),45755.6666666666)</f>
        <v>45755.666666666599</v>
      </c>
      <c r="B297" s="10"/>
      <c r="C297">
        <v>3460</v>
      </c>
      <c r="D297">
        <v>3750</v>
      </c>
      <c r="E297">
        <v>3450</v>
      </c>
      <c r="F297">
        <v>3640</v>
      </c>
      <c r="G297">
        <v>734807100</v>
      </c>
      <c r="H297" s="8">
        <f t="shared" si="15"/>
        <v>-0.10123456790123457</v>
      </c>
      <c r="I297" s="8">
        <f t="shared" si="16"/>
        <v>-0.35859030837004408</v>
      </c>
      <c r="J297" s="13">
        <f t="shared" si="17"/>
        <v>3780.5</v>
      </c>
      <c r="K297" s="13">
        <f t="shared" si="18"/>
        <v>3931.2</v>
      </c>
    </row>
    <row r="298" spans="1:11" x14ac:dyDescent="0.2">
      <c r="A298" s="2">
        <f ca="1">IFERROR(__xludf.DUMMYFUNCTION("""COMPUTED_VALUE"""),45756.6666666666)</f>
        <v>45756.666666666599</v>
      </c>
      <c r="B298" s="10"/>
      <c r="C298">
        <v>3610</v>
      </c>
      <c r="D298">
        <v>3710</v>
      </c>
      <c r="E298">
        <v>3600</v>
      </c>
      <c r="F298">
        <v>3630</v>
      </c>
      <c r="G298">
        <v>366649900</v>
      </c>
      <c r="H298" s="8">
        <f t="shared" si="15"/>
        <v>-2.7472527472527475E-3</v>
      </c>
      <c r="I298" s="8">
        <f t="shared" si="16"/>
        <v>-0.36035242290748898</v>
      </c>
      <c r="J298" s="13">
        <f t="shared" si="17"/>
        <v>3778.5</v>
      </c>
      <c r="K298" s="13">
        <f t="shared" si="18"/>
        <v>3922</v>
      </c>
    </row>
    <row r="299" spans="1:11" x14ac:dyDescent="0.2">
      <c r="A299" s="2">
        <f ca="1">IFERROR(__xludf.DUMMYFUNCTION("""COMPUTED_VALUE"""),45757.6666666666)</f>
        <v>45757.666666666599</v>
      </c>
      <c r="B299" s="10"/>
      <c r="C299">
        <v>3920</v>
      </c>
      <c r="D299">
        <v>3930</v>
      </c>
      <c r="E299">
        <v>3770</v>
      </c>
      <c r="F299">
        <v>3800</v>
      </c>
      <c r="G299">
        <v>417562900</v>
      </c>
      <c r="H299" s="8">
        <f t="shared" si="15"/>
        <v>4.6831955922865015E-2</v>
      </c>
      <c r="I299" s="8">
        <f t="shared" si="16"/>
        <v>-0.33039647577092512</v>
      </c>
      <c r="J299" s="13">
        <f t="shared" si="17"/>
        <v>3785</v>
      </c>
      <c r="K299" s="13">
        <f t="shared" si="18"/>
        <v>3914.8</v>
      </c>
    </row>
    <row r="300" spans="1:11" x14ac:dyDescent="0.2">
      <c r="A300" s="2">
        <f ca="1">IFERROR(__xludf.DUMMYFUNCTION("""COMPUTED_VALUE"""),45758.6666666666)</f>
        <v>45758.666666666599</v>
      </c>
      <c r="B300" s="10"/>
      <c r="C300">
        <v>3600</v>
      </c>
      <c r="D300">
        <v>3650</v>
      </c>
      <c r="E300">
        <v>3590</v>
      </c>
      <c r="F300">
        <v>3630</v>
      </c>
      <c r="G300">
        <v>301200600</v>
      </c>
      <c r="H300" s="8">
        <f t="shared" si="15"/>
        <v>-4.4736842105263158E-2</v>
      </c>
      <c r="I300" s="8">
        <f t="shared" si="16"/>
        <v>-0.36035242290748898</v>
      </c>
      <c r="J300" s="13">
        <f t="shared" si="17"/>
        <v>3774.5</v>
      </c>
      <c r="K300" s="13">
        <f t="shared" si="18"/>
        <v>3905.6</v>
      </c>
    </row>
    <row r="301" spans="1:11" x14ac:dyDescent="0.2">
      <c r="A301" s="2">
        <f ca="1">IFERROR(__xludf.DUMMYFUNCTION("""COMPUTED_VALUE"""),45761.6666666666)</f>
        <v>45761.666666666599</v>
      </c>
      <c r="B301" s="10"/>
      <c r="C301">
        <v>3630</v>
      </c>
      <c r="D301">
        <v>3690</v>
      </c>
      <c r="E301">
        <v>3620</v>
      </c>
      <c r="F301">
        <v>3690</v>
      </c>
      <c r="G301">
        <v>169458300</v>
      </c>
      <c r="H301" s="8">
        <f t="shared" si="15"/>
        <v>1.6528925619834711E-2</v>
      </c>
      <c r="I301" s="8">
        <f t="shared" si="16"/>
        <v>-0.34977973568281939</v>
      </c>
      <c r="J301" s="13">
        <f t="shared" si="17"/>
        <v>3761.5</v>
      </c>
      <c r="K301" s="13">
        <f t="shared" si="18"/>
        <v>3895</v>
      </c>
    </row>
    <row r="302" spans="1:11" x14ac:dyDescent="0.2">
      <c r="A302" s="2">
        <f ca="1">IFERROR(__xludf.DUMMYFUNCTION("""COMPUTED_VALUE"""),45762.6666666666)</f>
        <v>45762.666666666599</v>
      </c>
      <c r="B302" s="10"/>
      <c r="C302">
        <v>3730</v>
      </c>
      <c r="D302">
        <v>3780</v>
      </c>
      <c r="E302">
        <v>3680</v>
      </c>
      <c r="F302">
        <v>3690</v>
      </c>
      <c r="G302">
        <v>254224400</v>
      </c>
      <c r="H302" s="8">
        <f t="shared" si="15"/>
        <v>0</v>
      </c>
      <c r="I302" s="8">
        <f t="shared" si="16"/>
        <v>-0.34977973568281939</v>
      </c>
      <c r="J302" s="13">
        <f t="shared" si="17"/>
        <v>3755.5</v>
      </c>
      <c r="K302" s="13">
        <f t="shared" si="18"/>
        <v>3883.6</v>
      </c>
    </row>
    <row r="303" spans="1:11" x14ac:dyDescent="0.2">
      <c r="A303" s="2">
        <f ca="1">IFERROR(__xludf.DUMMYFUNCTION("""COMPUTED_VALUE"""),45763.6666666666)</f>
        <v>45763.666666666599</v>
      </c>
      <c r="B303" s="10"/>
      <c r="C303">
        <v>3690</v>
      </c>
      <c r="D303">
        <v>3700</v>
      </c>
      <c r="E303">
        <v>3600</v>
      </c>
      <c r="F303">
        <v>3650</v>
      </c>
      <c r="G303">
        <v>233772400</v>
      </c>
      <c r="H303" s="8">
        <f t="shared" si="15"/>
        <v>-1.0840108401084011E-2</v>
      </c>
      <c r="I303" s="8">
        <f t="shared" si="16"/>
        <v>-0.35682819383259912</v>
      </c>
      <c r="J303" s="13">
        <f t="shared" si="17"/>
        <v>3750</v>
      </c>
      <c r="K303" s="13">
        <f t="shared" si="18"/>
        <v>3871.4</v>
      </c>
    </row>
    <row r="304" spans="1:11" x14ac:dyDescent="0.2">
      <c r="A304" s="2">
        <f ca="1">IFERROR(__xludf.DUMMYFUNCTION("""COMPUTED_VALUE"""),45764.6666666666)</f>
        <v>45764.666666666599</v>
      </c>
      <c r="B304" s="10"/>
      <c r="C304">
        <v>3670</v>
      </c>
      <c r="D304">
        <v>3670</v>
      </c>
      <c r="E304">
        <v>3610</v>
      </c>
      <c r="F304">
        <v>3640</v>
      </c>
      <c r="G304">
        <v>121059300</v>
      </c>
      <c r="H304" s="8">
        <f t="shared" si="15"/>
        <v>-2.7397260273972603E-3</v>
      </c>
      <c r="I304" s="8">
        <f t="shared" si="16"/>
        <v>-0.35859030837004408</v>
      </c>
      <c r="J304" s="13">
        <f t="shared" si="17"/>
        <v>3742.5</v>
      </c>
      <c r="K304" s="13">
        <f t="shared" si="18"/>
        <v>3858.2</v>
      </c>
    </row>
    <row r="305" spans="1:11" x14ac:dyDescent="0.2">
      <c r="A305" s="2">
        <f ca="1">IFERROR(__xludf.DUMMYFUNCTION("""COMPUTED_VALUE"""),45768.6666666666)</f>
        <v>45768.666666666599</v>
      </c>
      <c r="B305" s="10"/>
      <c r="C305">
        <v>3620</v>
      </c>
      <c r="D305">
        <v>3660</v>
      </c>
      <c r="E305">
        <v>3570</v>
      </c>
      <c r="F305">
        <v>3620</v>
      </c>
      <c r="G305">
        <v>107470200</v>
      </c>
      <c r="H305" s="8">
        <f t="shared" si="15"/>
        <v>-5.4945054945054949E-3</v>
      </c>
      <c r="I305" s="8">
        <f t="shared" si="16"/>
        <v>-0.36211453744493394</v>
      </c>
      <c r="J305" s="13">
        <f t="shared" si="17"/>
        <v>3729</v>
      </c>
      <c r="K305" s="13">
        <f t="shared" si="18"/>
        <v>3846.8</v>
      </c>
    </row>
    <row r="306" spans="1:11" x14ac:dyDescent="0.2">
      <c r="A306" s="2">
        <f ca="1">IFERROR(__xludf.DUMMYFUNCTION("""COMPUTED_VALUE"""),45769.6666666666)</f>
        <v>45769.666666666599</v>
      </c>
      <c r="B306" s="10"/>
      <c r="C306">
        <v>3600</v>
      </c>
      <c r="D306">
        <v>3650</v>
      </c>
      <c r="E306">
        <v>3600</v>
      </c>
      <c r="F306">
        <v>3630</v>
      </c>
      <c r="G306">
        <v>147116900</v>
      </c>
      <c r="H306" s="8">
        <f t="shared" si="15"/>
        <v>2.7624309392265192E-3</v>
      </c>
      <c r="I306" s="8">
        <f t="shared" si="16"/>
        <v>-0.36035242290748898</v>
      </c>
      <c r="J306" s="13">
        <f t="shared" si="17"/>
        <v>3720.5</v>
      </c>
      <c r="K306" s="13">
        <f t="shared" si="18"/>
        <v>3837</v>
      </c>
    </row>
    <row r="307" spans="1:11" x14ac:dyDescent="0.2">
      <c r="A307" s="2">
        <f ca="1">IFERROR(__xludf.DUMMYFUNCTION("""COMPUTED_VALUE"""),45770.6666666666)</f>
        <v>45770.666666666599</v>
      </c>
      <c r="B307" s="10"/>
      <c r="C307">
        <v>3660</v>
      </c>
      <c r="D307">
        <v>3790</v>
      </c>
      <c r="E307">
        <v>3640</v>
      </c>
      <c r="F307">
        <v>3760</v>
      </c>
      <c r="G307">
        <v>432999900</v>
      </c>
      <c r="H307" s="8">
        <f t="shared" si="15"/>
        <v>3.5812672176308541E-2</v>
      </c>
      <c r="I307" s="8">
        <f t="shared" si="16"/>
        <v>-0.33744493392070485</v>
      </c>
      <c r="J307" s="13">
        <f t="shared" si="17"/>
        <v>3721</v>
      </c>
      <c r="K307" s="13">
        <f t="shared" si="18"/>
        <v>3827.8</v>
      </c>
    </row>
    <row r="308" spans="1:11" x14ac:dyDescent="0.2">
      <c r="A308" s="2">
        <f ca="1">IFERROR(__xludf.DUMMYFUNCTION("""COMPUTED_VALUE"""),45771.6666666666)</f>
        <v>45771.666666666599</v>
      </c>
      <c r="B308" s="10"/>
      <c r="C308">
        <v>3790</v>
      </c>
      <c r="D308">
        <v>3840</v>
      </c>
      <c r="E308">
        <v>3720</v>
      </c>
      <c r="F308">
        <v>3730</v>
      </c>
      <c r="G308">
        <v>272537300</v>
      </c>
      <c r="H308" s="8">
        <f t="shared" si="15"/>
        <v>-7.9787234042553185E-3</v>
      </c>
      <c r="I308" s="8">
        <f t="shared" si="16"/>
        <v>-0.34273127753303967</v>
      </c>
      <c r="J308" s="13">
        <f t="shared" si="17"/>
        <v>3716</v>
      </c>
      <c r="K308" s="13">
        <f t="shared" ref="K308:K371" si="19">AVERAGE(F259:F308)</f>
        <v>3817.4</v>
      </c>
    </row>
    <row r="309" spans="1:11" x14ac:dyDescent="0.2">
      <c r="A309" s="2">
        <f ca="1">IFERROR(__xludf.DUMMYFUNCTION("""COMPUTED_VALUE"""),45772.6666666666)</f>
        <v>45772.666666666599</v>
      </c>
      <c r="B309" s="10"/>
      <c r="C309">
        <v>3770</v>
      </c>
      <c r="D309">
        <v>3790</v>
      </c>
      <c r="E309">
        <v>3730</v>
      </c>
      <c r="F309">
        <v>3740</v>
      </c>
      <c r="G309">
        <v>136517100</v>
      </c>
      <c r="H309" s="8">
        <f t="shared" si="15"/>
        <v>2.6809651474530832E-3</v>
      </c>
      <c r="I309" s="8">
        <f t="shared" si="16"/>
        <v>-0.34096916299559471</v>
      </c>
      <c r="J309" s="13">
        <f t="shared" si="17"/>
        <v>3719</v>
      </c>
      <c r="K309" s="13">
        <f t="shared" si="19"/>
        <v>3807</v>
      </c>
    </row>
    <row r="310" spans="1:11" x14ac:dyDescent="0.2">
      <c r="A310" s="2">
        <f ca="1">IFERROR(__xludf.DUMMYFUNCTION("""COMPUTED_VALUE"""),45775.6666666666)</f>
        <v>45775.666666666599</v>
      </c>
      <c r="B310" s="10"/>
      <c r="C310">
        <v>3790</v>
      </c>
      <c r="D310">
        <v>3850</v>
      </c>
      <c r="E310">
        <v>3780</v>
      </c>
      <c r="F310">
        <v>3840</v>
      </c>
      <c r="G310">
        <v>212945800</v>
      </c>
      <c r="H310" s="8">
        <f t="shared" si="15"/>
        <v>2.6737967914438502E-2</v>
      </c>
      <c r="I310" s="8">
        <f t="shared" si="16"/>
        <v>-0.3233480176211454</v>
      </c>
      <c r="J310" s="13">
        <f t="shared" si="17"/>
        <v>3725.5</v>
      </c>
      <c r="K310" s="13">
        <f t="shared" si="19"/>
        <v>3801</v>
      </c>
    </row>
    <row r="311" spans="1:11" x14ac:dyDescent="0.2">
      <c r="A311" s="2">
        <f ca="1">IFERROR(__xludf.DUMMYFUNCTION("""COMPUTED_VALUE"""),45776.6666666666)</f>
        <v>45776.666666666599</v>
      </c>
      <c r="B311" s="10"/>
      <c r="C311">
        <v>3860</v>
      </c>
      <c r="D311">
        <v>3870</v>
      </c>
      <c r="E311">
        <v>3820</v>
      </c>
      <c r="F311">
        <v>3850</v>
      </c>
      <c r="G311">
        <v>160631400</v>
      </c>
      <c r="H311" s="8">
        <f t="shared" si="15"/>
        <v>2.6041666666666665E-3</v>
      </c>
      <c r="I311" s="8">
        <f t="shared" si="16"/>
        <v>-0.32158590308370044</v>
      </c>
      <c r="J311" s="13">
        <f t="shared" si="17"/>
        <v>3735</v>
      </c>
      <c r="K311" s="13">
        <f t="shared" si="19"/>
        <v>3798.6</v>
      </c>
    </row>
    <row r="312" spans="1:11" x14ac:dyDescent="0.2">
      <c r="A312" s="2">
        <f ca="1">IFERROR(__xludf.DUMMYFUNCTION("""COMPUTED_VALUE"""),45777.6666666666)</f>
        <v>45777.666666666599</v>
      </c>
      <c r="B312" s="10"/>
      <c r="C312">
        <v>3810</v>
      </c>
      <c r="D312">
        <v>3850</v>
      </c>
      <c r="E312">
        <v>3770</v>
      </c>
      <c r="F312">
        <v>3850</v>
      </c>
      <c r="G312">
        <v>226832200</v>
      </c>
      <c r="H312" s="8">
        <f t="shared" si="15"/>
        <v>0</v>
      </c>
      <c r="I312" s="8">
        <f t="shared" si="16"/>
        <v>-0.32158590308370044</v>
      </c>
      <c r="J312" s="13">
        <f t="shared" si="17"/>
        <v>3742.5</v>
      </c>
      <c r="K312" s="13">
        <f t="shared" si="19"/>
        <v>3795</v>
      </c>
    </row>
    <row r="313" spans="1:11" x14ac:dyDescent="0.2">
      <c r="A313" s="2">
        <f ca="1">IFERROR(__xludf.DUMMYFUNCTION("""COMPUTED_VALUE"""),45779.6666666666)</f>
        <v>45779.666666666599</v>
      </c>
      <c r="B313" s="10"/>
      <c r="C313">
        <v>3920</v>
      </c>
      <c r="D313">
        <v>3920</v>
      </c>
      <c r="E313">
        <v>3850</v>
      </c>
      <c r="F313">
        <v>3880</v>
      </c>
      <c r="G313">
        <v>205628100</v>
      </c>
      <c r="H313" s="8">
        <f t="shared" si="15"/>
        <v>7.7922077922077922E-3</v>
      </c>
      <c r="I313" s="8">
        <f t="shared" si="16"/>
        <v>-0.31629955947136562</v>
      </c>
      <c r="J313" s="13">
        <f t="shared" si="17"/>
        <v>3756</v>
      </c>
      <c r="K313" s="13">
        <f t="shared" si="19"/>
        <v>3793.2</v>
      </c>
    </row>
    <row r="314" spans="1:11" x14ac:dyDescent="0.2">
      <c r="A314" s="2">
        <f ca="1">IFERROR(__xludf.DUMMYFUNCTION("""COMPUTED_VALUE"""),45782.6666666666)</f>
        <v>45782.666666666599</v>
      </c>
      <c r="B314" s="10"/>
      <c r="C314">
        <v>3900</v>
      </c>
      <c r="D314">
        <v>3920</v>
      </c>
      <c r="E314">
        <v>3860</v>
      </c>
      <c r="F314">
        <v>3860</v>
      </c>
      <c r="G314">
        <v>196917100</v>
      </c>
      <c r="H314" s="8">
        <f t="shared" si="15"/>
        <v>-5.1546391752577319E-3</v>
      </c>
      <c r="I314" s="8">
        <f t="shared" si="16"/>
        <v>-0.31982378854625548</v>
      </c>
      <c r="J314" s="13">
        <f t="shared" si="17"/>
        <v>3759</v>
      </c>
      <c r="K314" s="13">
        <f t="shared" si="19"/>
        <v>3790.2</v>
      </c>
    </row>
    <row r="315" spans="1:11" x14ac:dyDescent="0.2">
      <c r="A315" s="2">
        <f ca="1">IFERROR(__xludf.DUMMYFUNCTION("""COMPUTED_VALUE"""),45783.6666666666)</f>
        <v>45783.666666666599</v>
      </c>
      <c r="B315" s="10"/>
      <c r="C315">
        <v>3840</v>
      </c>
      <c r="D315">
        <v>3900</v>
      </c>
      <c r="E315">
        <v>3840</v>
      </c>
      <c r="F315">
        <v>3880</v>
      </c>
      <c r="G315">
        <v>111333800</v>
      </c>
      <c r="H315" s="8">
        <f t="shared" si="15"/>
        <v>5.1813471502590676E-3</v>
      </c>
      <c r="I315" s="8">
        <f t="shared" si="16"/>
        <v>-0.31629955947136562</v>
      </c>
      <c r="J315" s="13">
        <f t="shared" si="17"/>
        <v>3753</v>
      </c>
      <c r="K315" s="13">
        <f t="shared" si="19"/>
        <v>3787.2</v>
      </c>
    </row>
    <row r="316" spans="1:11" x14ac:dyDescent="0.2">
      <c r="A316" s="2">
        <f ca="1">IFERROR(__xludf.DUMMYFUNCTION("""COMPUTED_VALUE"""),45784.6666666666)</f>
        <v>45784.666666666599</v>
      </c>
      <c r="B316" s="10"/>
      <c r="C316">
        <v>3900</v>
      </c>
      <c r="D316">
        <v>3910</v>
      </c>
      <c r="E316">
        <v>3870</v>
      </c>
      <c r="F316">
        <v>3910</v>
      </c>
      <c r="G316">
        <v>119763100</v>
      </c>
      <c r="H316" s="8">
        <f t="shared" si="15"/>
        <v>7.7319587628865982E-3</v>
      </c>
      <c r="I316" s="8">
        <f t="shared" si="16"/>
        <v>-0.31101321585903086</v>
      </c>
      <c r="J316" s="13">
        <f t="shared" si="17"/>
        <v>3746</v>
      </c>
      <c r="K316" s="13">
        <f t="shared" si="19"/>
        <v>3785.6</v>
      </c>
    </row>
    <row r="317" spans="1:11" x14ac:dyDescent="0.2">
      <c r="A317" s="2">
        <f ca="1">IFERROR(__xludf.DUMMYFUNCTION("""COMPUTED_VALUE"""),45785.6666666666)</f>
        <v>45785.666666666599</v>
      </c>
      <c r="B317" s="10"/>
      <c r="C317">
        <v>3910</v>
      </c>
      <c r="D317">
        <v>3960</v>
      </c>
      <c r="E317">
        <v>3780</v>
      </c>
      <c r="F317">
        <v>3790</v>
      </c>
      <c r="G317">
        <v>224121900</v>
      </c>
      <c r="H317" s="8">
        <f t="shared" si="15"/>
        <v>-3.0690537084398978E-2</v>
      </c>
      <c r="I317" s="8">
        <f t="shared" si="16"/>
        <v>-0.33215859030837003</v>
      </c>
      <c r="J317" s="13">
        <f t="shared" si="17"/>
        <v>3753.5</v>
      </c>
      <c r="K317" s="13">
        <f t="shared" si="19"/>
        <v>3784.2</v>
      </c>
    </row>
    <row r="318" spans="1:11" x14ac:dyDescent="0.2">
      <c r="A318" s="2">
        <f ca="1">IFERROR(__xludf.DUMMYFUNCTION("""COMPUTED_VALUE"""),45786.6666666666)</f>
        <v>45786.666666666599</v>
      </c>
      <c r="B318" s="10"/>
      <c r="C318">
        <v>3810</v>
      </c>
      <c r="D318">
        <v>3840</v>
      </c>
      <c r="E318">
        <v>3760</v>
      </c>
      <c r="F318">
        <v>3840</v>
      </c>
      <c r="G318">
        <v>147638100</v>
      </c>
      <c r="H318" s="8">
        <f t="shared" si="15"/>
        <v>1.3192612137203167E-2</v>
      </c>
      <c r="I318" s="8">
        <f t="shared" si="16"/>
        <v>-0.3233480176211454</v>
      </c>
      <c r="J318" s="13">
        <f t="shared" si="17"/>
        <v>3764</v>
      </c>
      <c r="K318" s="13">
        <f t="shared" si="19"/>
        <v>3780.4</v>
      </c>
    </row>
    <row r="319" spans="1:11" x14ac:dyDescent="0.2">
      <c r="A319" s="2">
        <f ca="1">IFERROR(__xludf.DUMMYFUNCTION("""COMPUTED_VALUE"""),45791.6666666666)</f>
        <v>45791.666666666599</v>
      </c>
      <c r="B319" s="10"/>
      <c r="C319">
        <v>4000</v>
      </c>
      <c r="D319">
        <v>4090</v>
      </c>
      <c r="E319">
        <v>3960</v>
      </c>
      <c r="F319">
        <v>4090</v>
      </c>
      <c r="G319">
        <v>461642400</v>
      </c>
      <c r="H319" s="8">
        <f t="shared" si="15"/>
        <v>6.5104166666666671E-2</v>
      </c>
      <c r="I319" s="8">
        <f t="shared" si="16"/>
        <v>-0.27929515418502204</v>
      </c>
      <c r="J319" s="13">
        <f t="shared" si="17"/>
        <v>3778.5</v>
      </c>
      <c r="K319" s="13">
        <f t="shared" si="19"/>
        <v>3779.2</v>
      </c>
    </row>
    <row r="320" spans="1:11" x14ac:dyDescent="0.2">
      <c r="A320" s="2">
        <f ca="1">IFERROR(__xludf.DUMMYFUNCTION("""COMPUTED_VALUE"""),45792.6666666666)</f>
        <v>45792.666666666599</v>
      </c>
      <c r="B320" s="10"/>
      <c r="C320">
        <v>4140</v>
      </c>
      <c r="D320">
        <v>4310</v>
      </c>
      <c r="E320">
        <v>4130</v>
      </c>
      <c r="F320">
        <v>4270</v>
      </c>
      <c r="G320">
        <v>537151700</v>
      </c>
      <c r="H320" s="8">
        <f t="shared" si="15"/>
        <v>4.4009779951100246E-2</v>
      </c>
      <c r="I320" s="8">
        <f t="shared" si="16"/>
        <v>-0.2475770925110132</v>
      </c>
      <c r="J320" s="13">
        <f t="shared" si="17"/>
        <v>3810.5</v>
      </c>
      <c r="K320" s="13">
        <f t="shared" si="19"/>
        <v>3784.2</v>
      </c>
    </row>
    <row r="321" spans="1:11" x14ac:dyDescent="0.2">
      <c r="A321" s="2">
        <f ca="1">IFERROR(__xludf.DUMMYFUNCTION("""COMPUTED_VALUE"""),45793.6666666666)</f>
        <v>45793.666666666599</v>
      </c>
      <c r="B321" s="10"/>
      <c r="C321">
        <v>4310</v>
      </c>
      <c r="D321">
        <v>4330</v>
      </c>
      <c r="E321">
        <v>4160</v>
      </c>
      <c r="F321">
        <v>4250</v>
      </c>
      <c r="G321">
        <v>289337600</v>
      </c>
      <c r="H321" s="8">
        <f t="shared" si="15"/>
        <v>-4.6838407494145199E-3</v>
      </c>
      <c r="I321" s="8">
        <f t="shared" si="16"/>
        <v>-0.25110132158590309</v>
      </c>
      <c r="J321" s="13">
        <f t="shared" si="17"/>
        <v>3838.5</v>
      </c>
      <c r="K321" s="13">
        <f t="shared" si="19"/>
        <v>3791</v>
      </c>
    </row>
    <row r="322" spans="1:11" x14ac:dyDescent="0.2">
      <c r="A322" s="2">
        <f ca="1">IFERROR(__xludf.DUMMYFUNCTION("""COMPUTED_VALUE"""),45796.6666666666)</f>
        <v>45796.666666666599</v>
      </c>
      <c r="B322" s="10"/>
      <c r="C322">
        <v>4230</v>
      </c>
      <c r="D322">
        <v>4260</v>
      </c>
      <c r="E322">
        <v>4200</v>
      </c>
      <c r="F322">
        <v>4230</v>
      </c>
      <c r="G322">
        <v>145935500</v>
      </c>
      <c r="H322" s="8">
        <f t="shared" si="15"/>
        <v>-4.7058823529411761E-3</v>
      </c>
      <c r="I322" s="8">
        <f t="shared" si="16"/>
        <v>-0.25462555066079295</v>
      </c>
      <c r="J322" s="13">
        <f t="shared" si="17"/>
        <v>3865.5</v>
      </c>
      <c r="K322" s="13">
        <f t="shared" si="19"/>
        <v>3797.8</v>
      </c>
    </row>
    <row r="323" spans="1:11" x14ac:dyDescent="0.2">
      <c r="A323" s="2">
        <f ca="1">IFERROR(__xludf.DUMMYFUNCTION("""COMPUTED_VALUE"""),45797.6666666666)</f>
        <v>45797.666666666599</v>
      </c>
      <c r="B323" s="10"/>
      <c r="C323">
        <v>4230</v>
      </c>
      <c r="D323">
        <v>4280</v>
      </c>
      <c r="E323">
        <v>4170</v>
      </c>
      <c r="F323">
        <v>4210</v>
      </c>
      <c r="G323">
        <v>209576900</v>
      </c>
      <c r="H323" s="8">
        <f t="shared" si="15"/>
        <v>-4.7281323877068557E-3</v>
      </c>
      <c r="I323" s="8">
        <f t="shared" si="16"/>
        <v>-0.25814977973568282</v>
      </c>
      <c r="J323" s="13">
        <f t="shared" si="17"/>
        <v>3893.5</v>
      </c>
      <c r="K323" s="13">
        <f t="shared" si="19"/>
        <v>3803.6</v>
      </c>
    </row>
    <row r="324" spans="1:11" x14ac:dyDescent="0.2">
      <c r="A324" s="2">
        <f ca="1">IFERROR(__xludf.DUMMYFUNCTION("""COMPUTED_VALUE"""),45798.6666666666)</f>
        <v>45798.666666666599</v>
      </c>
      <c r="B324" s="10"/>
      <c r="C324">
        <v>4210</v>
      </c>
      <c r="D324">
        <v>4310</v>
      </c>
      <c r="E324">
        <v>4210</v>
      </c>
      <c r="F324">
        <v>4260</v>
      </c>
      <c r="G324">
        <v>256020200</v>
      </c>
      <c r="H324" s="8">
        <f t="shared" ref="H324:H387" si="20">(F324-F323)/F323</f>
        <v>1.1876484560570071E-2</v>
      </c>
      <c r="I324" s="8">
        <f t="shared" ref="I324:I387" si="21">(F324-$F$2)/$F$2</f>
        <v>-0.24933920704845816</v>
      </c>
      <c r="J324" s="13">
        <f t="shared" si="17"/>
        <v>3924.5</v>
      </c>
      <c r="K324" s="13">
        <f t="shared" si="19"/>
        <v>3812.8</v>
      </c>
    </row>
    <row r="325" spans="1:11" x14ac:dyDescent="0.2">
      <c r="A325" s="2">
        <f ca="1">IFERROR(__xludf.DUMMYFUNCTION("""COMPUTED_VALUE"""),45799.6666666666)</f>
        <v>45799.666666666599</v>
      </c>
      <c r="B325" s="10"/>
      <c r="C325">
        <v>4280</v>
      </c>
      <c r="D325">
        <v>4310</v>
      </c>
      <c r="E325">
        <v>4240</v>
      </c>
      <c r="F325">
        <v>4300</v>
      </c>
      <c r="G325">
        <v>208291800</v>
      </c>
      <c r="H325" s="8">
        <f t="shared" si="20"/>
        <v>9.3896713615023476E-3</v>
      </c>
      <c r="I325" s="8">
        <f t="shared" si="21"/>
        <v>-0.24229074889867841</v>
      </c>
      <c r="J325" s="13">
        <f t="shared" si="17"/>
        <v>3958.5</v>
      </c>
      <c r="K325" s="13">
        <f t="shared" si="19"/>
        <v>3822.4</v>
      </c>
    </row>
    <row r="326" spans="1:11" x14ac:dyDescent="0.2">
      <c r="A326" s="2">
        <f ca="1">IFERROR(__xludf.DUMMYFUNCTION("""COMPUTED_VALUE"""),45800.6666666666)</f>
        <v>45800.666666666599</v>
      </c>
      <c r="B326" s="10"/>
      <c r="C326">
        <v>4350</v>
      </c>
      <c r="D326">
        <v>4370</v>
      </c>
      <c r="E326">
        <v>4330</v>
      </c>
      <c r="F326">
        <v>4350</v>
      </c>
      <c r="G326">
        <v>108182800</v>
      </c>
      <c r="H326" s="8">
        <f t="shared" si="20"/>
        <v>1.1627906976744186E-2</v>
      </c>
      <c r="I326" s="8">
        <f t="shared" si="21"/>
        <v>-0.23348017621145375</v>
      </c>
      <c r="J326" s="13">
        <f t="shared" si="17"/>
        <v>3994.5</v>
      </c>
      <c r="K326" s="13">
        <f t="shared" si="19"/>
        <v>3836.8</v>
      </c>
    </row>
    <row r="327" spans="1:11" x14ac:dyDescent="0.2">
      <c r="A327" s="2">
        <f ca="1">IFERROR(__xludf.DUMMYFUNCTION("""COMPUTED_VALUE"""),45803.6666666666)</f>
        <v>45803.666666666599</v>
      </c>
      <c r="B327" s="10"/>
      <c r="C327">
        <v>4350</v>
      </c>
      <c r="D327">
        <v>4350</v>
      </c>
      <c r="E327">
        <v>4260</v>
      </c>
      <c r="F327">
        <v>4320</v>
      </c>
      <c r="G327">
        <v>149418600</v>
      </c>
      <c r="H327" s="8">
        <f t="shared" si="20"/>
        <v>-6.8965517241379309E-3</v>
      </c>
      <c r="I327" s="8">
        <f t="shared" si="21"/>
        <v>-0.23876651982378855</v>
      </c>
      <c r="J327" s="13">
        <f t="shared" si="17"/>
        <v>4022.5</v>
      </c>
      <c r="K327" s="13">
        <f t="shared" si="19"/>
        <v>3856</v>
      </c>
    </row>
    <row r="328" spans="1:11" x14ac:dyDescent="0.2">
      <c r="A328" s="2">
        <f ca="1">IFERROR(__xludf.DUMMYFUNCTION("""COMPUTED_VALUE"""),45804.6666666666)</f>
        <v>45804.666666666599</v>
      </c>
      <c r="B328" s="10"/>
      <c r="C328">
        <v>4320</v>
      </c>
      <c r="D328">
        <v>4370</v>
      </c>
      <c r="E328">
        <v>4280</v>
      </c>
      <c r="F328">
        <v>4370</v>
      </c>
      <c r="G328">
        <v>180028000</v>
      </c>
      <c r="H328" s="8">
        <f t="shared" si="20"/>
        <v>1.1574074074074073E-2</v>
      </c>
      <c r="I328" s="8">
        <f t="shared" si="21"/>
        <v>-0.22995594713656387</v>
      </c>
      <c r="J328" s="13">
        <f t="shared" si="17"/>
        <v>4054.5</v>
      </c>
      <c r="K328" s="13">
        <f t="shared" si="19"/>
        <v>3870</v>
      </c>
    </row>
    <row r="329" spans="1:11" x14ac:dyDescent="0.2">
      <c r="A329" s="2">
        <f ca="1">IFERROR(__xludf.DUMMYFUNCTION("""COMPUTED_VALUE"""),45805.6666666666)</f>
        <v>45805.666666666599</v>
      </c>
      <c r="B329" s="10"/>
      <c r="C329">
        <v>4360</v>
      </c>
      <c r="D329">
        <v>4450</v>
      </c>
      <c r="E329">
        <v>4320</v>
      </c>
      <c r="F329">
        <v>4450</v>
      </c>
      <c r="G329">
        <v>466133500</v>
      </c>
      <c r="H329" s="8">
        <f t="shared" si="20"/>
        <v>1.8306636155606407E-2</v>
      </c>
      <c r="I329" s="8">
        <f t="shared" si="21"/>
        <v>-0.21585903083700442</v>
      </c>
      <c r="J329" s="13">
        <f t="shared" si="17"/>
        <v>4090</v>
      </c>
      <c r="K329" s="13">
        <f t="shared" si="19"/>
        <v>3885.6</v>
      </c>
    </row>
    <row r="330" spans="1:11" x14ac:dyDescent="0.2">
      <c r="A330" s="2">
        <f ca="1">IFERROR(__xludf.DUMMYFUNCTION("""COMPUTED_VALUE"""),45810.6666666666)</f>
        <v>45810.666666666599</v>
      </c>
      <c r="B330" s="10"/>
      <c r="C330">
        <v>4360</v>
      </c>
      <c r="D330">
        <v>4390</v>
      </c>
      <c r="E330">
        <v>4200</v>
      </c>
      <c r="F330">
        <v>4200</v>
      </c>
      <c r="G330">
        <v>389541100</v>
      </c>
      <c r="H330" s="8">
        <f t="shared" si="20"/>
        <v>-5.6179775280898875E-2</v>
      </c>
      <c r="I330" s="8">
        <f t="shared" si="21"/>
        <v>-0.25991189427312777</v>
      </c>
      <c r="J330" s="13">
        <f t="shared" si="17"/>
        <v>4108</v>
      </c>
      <c r="K330" s="13">
        <f t="shared" si="19"/>
        <v>3892.8</v>
      </c>
    </row>
    <row r="331" spans="1:11" x14ac:dyDescent="0.2">
      <c r="A331" s="2">
        <f ca="1">IFERROR(__xludf.DUMMYFUNCTION("""COMPUTED_VALUE"""),45811.6666666666)</f>
        <v>45811.666666666599</v>
      </c>
      <c r="B331" s="10"/>
      <c r="C331">
        <v>4210</v>
      </c>
      <c r="D331">
        <v>4230</v>
      </c>
      <c r="E331">
        <v>4120</v>
      </c>
      <c r="F331">
        <v>4200</v>
      </c>
      <c r="G331">
        <v>277902300</v>
      </c>
      <c r="H331" s="8">
        <f t="shared" si="20"/>
        <v>0</v>
      </c>
      <c r="I331" s="8">
        <f t="shared" si="21"/>
        <v>-0.25991189427312777</v>
      </c>
      <c r="J331" s="13">
        <f t="shared" si="17"/>
        <v>4125.5</v>
      </c>
      <c r="K331" s="13">
        <f t="shared" si="19"/>
        <v>3897.8</v>
      </c>
    </row>
    <row r="332" spans="1:11" x14ac:dyDescent="0.2">
      <c r="A332" s="2">
        <f ca="1">IFERROR(__xludf.DUMMYFUNCTION("""COMPUTED_VALUE"""),45812.6666666666)</f>
        <v>45812.666666666599</v>
      </c>
      <c r="B332" s="10"/>
      <c r="C332">
        <v>4230</v>
      </c>
      <c r="D332">
        <v>4230</v>
      </c>
      <c r="E332">
        <v>4080</v>
      </c>
      <c r="F332">
        <v>4080</v>
      </c>
      <c r="G332">
        <v>279755300</v>
      </c>
      <c r="H332" s="8">
        <f t="shared" si="20"/>
        <v>-2.8571428571428571E-2</v>
      </c>
      <c r="I332" s="8">
        <f t="shared" si="21"/>
        <v>-0.28105726872246695</v>
      </c>
      <c r="J332" s="13">
        <f t="shared" si="17"/>
        <v>4137</v>
      </c>
      <c r="K332" s="13">
        <f t="shared" si="19"/>
        <v>3903.2</v>
      </c>
    </row>
    <row r="333" spans="1:11" x14ac:dyDescent="0.2">
      <c r="A333" s="2">
        <f ca="1">IFERROR(__xludf.DUMMYFUNCTION("""COMPUTED_VALUE"""),45813.6666666666)</f>
        <v>45813.666666666599</v>
      </c>
      <c r="B333" s="10"/>
      <c r="C333">
        <v>4110</v>
      </c>
      <c r="D333">
        <v>4140</v>
      </c>
      <c r="E333">
        <v>4050</v>
      </c>
      <c r="F333">
        <v>4100</v>
      </c>
      <c r="G333">
        <v>230129500</v>
      </c>
      <c r="H333" s="8">
        <f t="shared" si="20"/>
        <v>4.9019607843137254E-3</v>
      </c>
      <c r="I333" s="8">
        <f t="shared" si="21"/>
        <v>-0.27753303964757708</v>
      </c>
      <c r="J333" s="13">
        <f t="shared" si="17"/>
        <v>4148</v>
      </c>
      <c r="K333" s="13">
        <f t="shared" si="19"/>
        <v>3910</v>
      </c>
    </row>
    <row r="334" spans="1:11" x14ac:dyDescent="0.2">
      <c r="A334" s="2">
        <f ca="1">IFERROR(__xludf.DUMMYFUNCTION("""COMPUTED_VALUE"""),45818.6666666666)</f>
        <v>45818.666666666599</v>
      </c>
      <c r="B334" s="10"/>
      <c r="C334">
        <v>4100</v>
      </c>
      <c r="D334">
        <v>4160</v>
      </c>
      <c r="E334">
        <v>4100</v>
      </c>
      <c r="F334">
        <v>4150</v>
      </c>
      <c r="G334">
        <v>179827500</v>
      </c>
      <c r="H334" s="8">
        <f t="shared" si="20"/>
        <v>1.2195121951219513E-2</v>
      </c>
      <c r="I334" s="8">
        <f t="shared" si="21"/>
        <v>-0.2687224669603524</v>
      </c>
      <c r="J334" s="13">
        <f t="shared" si="17"/>
        <v>4162.5</v>
      </c>
      <c r="K334" s="13">
        <f t="shared" si="19"/>
        <v>3917.2</v>
      </c>
    </row>
    <row r="335" spans="1:11" x14ac:dyDescent="0.2">
      <c r="A335" s="2">
        <f ca="1">IFERROR(__xludf.DUMMYFUNCTION("""COMPUTED_VALUE"""),45819.6666666666)</f>
        <v>45819.666666666599</v>
      </c>
      <c r="B335" s="10"/>
      <c r="C335">
        <v>4130</v>
      </c>
      <c r="D335">
        <v>4140</v>
      </c>
      <c r="E335">
        <v>4060</v>
      </c>
      <c r="F335">
        <v>4070</v>
      </c>
      <c r="G335">
        <v>196558700</v>
      </c>
      <c r="H335" s="8">
        <f t="shared" si="20"/>
        <v>-1.9277108433734941E-2</v>
      </c>
      <c r="I335" s="8">
        <f t="shared" si="21"/>
        <v>-0.28281938325991191</v>
      </c>
      <c r="J335" s="13">
        <f t="shared" si="17"/>
        <v>4172</v>
      </c>
      <c r="K335" s="13">
        <f t="shared" si="19"/>
        <v>3920.8</v>
      </c>
    </row>
    <row r="336" spans="1:11" x14ac:dyDescent="0.2">
      <c r="A336" s="2">
        <f ca="1">IFERROR(__xludf.DUMMYFUNCTION("""COMPUTED_VALUE"""),45820.6666666666)</f>
        <v>45820.666666666599</v>
      </c>
      <c r="B336" s="10"/>
      <c r="C336">
        <v>4070</v>
      </c>
      <c r="D336">
        <v>4100</v>
      </c>
      <c r="E336">
        <v>4060</v>
      </c>
      <c r="F336">
        <v>4070</v>
      </c>
      <c r="G336">
        <v>113850500</v>
      </c>
      <c r="H336" s="8">
        <f t="shared" si="20"/>
        <v>0</v>
      </c>
      <c r="I336" s="8">
        <f t="shared" si="21"/>
        <v>-0.28281938325991191</v>
      </c>
      <c r="J336" s="13">
        <f t="shared" si="17"/>
        <v>4180</v>
      </c>
      <c r="K336" s="13">
        <f t="shared" si="19"/>
        <v>3926.2</v>
      </c>
    </row>
    <row r="337" spans="1:11" x14ac:dyDescent="0.2">
      <c r="A337" s="2">
        <f ca="1">IFERROR(__xludf.DUMMYFUNCTION("""COMPUTED_VALUE"""),45821.6666666666)</f>
        <v>45821.666666666599</v>
      </c>
      <c r="B337" s="10"/>
      <c r="C337">
        <v>4020</v>
      </c>
      <c r="D337">
        <v>4050</v>
      </c>
      <c r="E337">
        <v>3980</v>
      </c>
      <c r="F337">
        <v>4000</v>
      </c>
      <c r="G337">
        <v>283826000</v>
      </c>
      <c r="H337" s="8">
        <f t="shared" si="20"/>
        <v>-1.7199017199017199E-2</v>
      </c>
      <c r="I337" s="8">
        <f t="shared" si="21"/>
        <v>-0.29515418502202645</v>
      </c>
      <c r="J337" s="13">
        <f t="shared" si="17"/>
        <v>4190.5</v>
      </c>
      <c r="K337" s="13">
        <f t="shared" si="19"/>
        <v>3931.2</v>
      </c>
    </row>
    <row r="338" spans="1:11" x14ac:dyDescent="0.2">
      <c r="A338" s="2">
        <f ca="1">IFERROR(__xludf.DUMMYFUNCTION("""COMPUTED_VALUE"""),45824.6666666666)</f>
        <v>45824.666666666599</v>
      </c>
      <c r="B338" s="10"/>
      <c r="C338">
        <v>3980</v>
      </c>
      <c r="D338">
        <v>4010</v>
      </c>
      <c r="E338">
        <v>3960</v>
      </c>
      <c r="F338">
        <v>3990</v>
      </c>
      <c r="G338">
        <v>155450700</v>
      </c>
      <c r="H338" s="8">
        <f t="shared" si="20"/>
        <v>-2.5000000000000001E-3</v>
      </c>
      <c r="I338" s="8">
        <f t="shared" si="21"/>
        <v>-0.29691629955947135</v>
      </c>
      <c r="J338" s="13">
        <f t="shared" si="17"/>
        <v>4198</v>
      </c>
      <c r="K338" s="13">
        <f t="shared" si="19"/>
        <v>3934.4</v>
      </c>
    </row>
    <row r="339" spans="1:11" x14ac:dyDescent="0.2">
      <c r="A339" s="2">
        <f ca="1">IFERROR(__xludf.DUMMYFUNCTION("""COMPUTED_VALUE"""),45825.6666666666)</f>
        <v>45825.666666666599</v>
      </c>
      <c r="B339" s="10"/>
      <c r="C339">
        <v>4010</v>
      </c>
      <c r="D339">
        <v>4030</v>
      </c>
      <c r="E339">
        <v>3960</v>
      </c>
      <c r="F339">
        <v>3960</v>
      </c>
      <c r="G339">
        <v>125769400</v>
      </c>
      <c r="H339" s="8">
        <f t="shared" si="20"/>
        <v>-7.5187969924812026E-3</v>
      </c>
      <c r="I339" s="8">
        <f t="shared" si="21"/>
        <v>-0.30220264317180617</v>
      </c>
      <c r="J339" s="13">
        <f t="shared" si="17"/>
        <v>4191.5</v>
      </c>
      <c r="K339" s="13">
        <f t="shared" si="19"/>
        <v>3940</v>
      </c>
    </row>
    <row r="340" spans="1:11" x14ac:dyDescent="0.2">
      <c r="A340" s="2">
        <f ca="1">IFERROR(__xludf.DUMMYFUNCTION("""COMPUTED_VALUE"""),45826.6666666666)</f>
        <v>45826.666666666599</v>
      </c>
      <c r="B340" s="10"/>
      <c r="C340">
        <v>3950</v>
      </c>
      <c r="D340">
        <v>3960</v>
      </c>
      <c r="E340">
        <v>3900</v>
      </c>
      <c r="F340">
        <v>3940</v>
      </c>
      <c r="G340">
        <v>140882100</v>
      </c>
      <c r="H340" s="8">
        <f t="shared" si="20"/>
        <v>-5.0505050505050509E-3</v>
      </c>
      <c r="I340" s="8">
        <f t="shared" si="21"/>
        <v>-0.30572687224669604</v>
      </c>
      <c r="J340" s="13">
        <f t="shared" si="17"/>
        <v>4175</v>
      </c>
      <c r="K340" s="13">
        <f t="shared" si="19"/>
        <v>3944.6</v>
      </c>
    </row>
    <row r="341" spans="1:11" x14ac:dyDescent="0.2">
      <c r="A341" s="2">
        <f ca="1">IFERROR(__xludf.DUMMYFUNCTION("""COMPUTED_VALUE"""),45827.6666666666)</f>
        <v>45827.666666666599</v>
      </c>
      <c r="B341" s="10"/>
      <c r="C341">
        <v>3900</v>
      </c>
      <c r="D341">
        <v>3920</v>
      </c>
      <c r="E341">
        <v>3800</v>
      </c>
      <c r="F341">
        <v>3800</v>
      </c>
      <c r="G341">
        <v>355413000</v>
      </c>
      <c r="H341" s="8">
        <f t="shared" si="20"/>
        <v>-3.553299492385787E-2</v>
      </c>
      <c r="I341" s="8">
        <f t="shared" si="21"/>
        <v>-0.33039647577092512</v>
      </c>
      <c r="J341" s="13">
        <f t="shared" si="17"/>
        <v>4152.5</v>
      </c>
      <c r="K341" s="13">
        <f t="shared" si="19"/>
        <v>3947.4</v>
      </c>
    </row>
    <row r="342" spans="1:11" x14ac:dyDescent="0.2">
      <c r="A342" s="2">
        <f ca="1">IFERROR(__xludf.DUMMYFUNCTION("""COMPUTED_VALUE"""),45828.6666666666)</f>
        <v>45828.666666666599</v>
      </c>
      <c r="B342" s="10"/>
      <c r="C342">
        <v>3740</v>
      </c>
      <c r="D342">
        <v>3840</v>
      </c>
      <c r="E342">
        <v>3740</v>
      </c>
      <c r="F342">
        <v>3790</v>
      </c>
      <c r="G342">
        <v>516177900</v>
      </c>
      <c r="H342" s="8">
        <f t="shared" si="20"/>
        <v>-2.631578947368421E-3</v>
      </c>
      <c r="I342" s="8">
        <f t="shared" si="21"/>
        <v>-0.33215859030837003</v>
      </c>
      <c r="J342" s="13">
        <f t="shared" ref="J342:J405" si="22">AVERAGE(F323:F342)</f>
        <v>4130.5</v>
      </c>
      <c r="K342" s="13">
        <f t="shared" si="19"/>
        <v>3949.2</v>
      </c>
    </row>
    <row r="343" spans="1:11" x14ac:dyDescent="0.2">
      <c r="A343" s="2">
        <f ca="1">IFERROR(__xludf.DUMMYFUNCTION("""COMPUTED_VALUE"""),45831.6666666666)</f>
        <v>45831.666666666599</v>
      </c>
      <c r="B343" s="10"/>
      <c r="C343">
        <v>3730</v>
      </c>
      <c r="D343">
        <v>3750</v>
      </c>
      <c r="E343">
        <v>3660</v>
      </c>
      <c r="F343">
        <v>3720</v>
      </c>
      <c r="G343">
        <v>222067700</v>
      </c>
      <c r="H343" s="8">
        <f t="shared" si="20"/>
        <v>-1.8469656992084433E-2</v>
      </c>
      <c r="I343" s="8">
        <f t="shared" si="21"/>
        <v>-0.34449339207048457</v>
      </c>
      <c r="J343" s="13">
        <f t="shared" si="22"/>
        <v>4106</v>
      </c>
      <c r="K343" s="13">
        <f t="shared" si="19"/>
        <v>3951.4</v>
      </c>
    </row>
    <row r="344" spans="1:11" x14ac:dyDescent="0.2">
      <c r="A344" s="2">
        <f ca="1">IFERROR(__xludf.DUMMYFUNCTION("""COMPUTED_VALUE"""),45832.6666666666)</f>
        <v>45832.666666666599</v>
      </c>
      <c r="B344" s="10"/>
      <c r="C344">
        <v>3820</v>
      </c>
      <c r="D344">
        <v>3900</v>
      </c>
      <c r="E344">
        <v>3770</v>
      </c>
      <c r="F344">
        <v>3780</v>
      </c>
      <c r="G344">
        <v>281594300</v>
      </c>
      <c r="H344" s="8">
        <f t="shared" si="20"/>
        <v>1.6129032258064516E-2</v>
      </c>
      <c r="I344" s="8">
        <f t="shared" si="21"/>
        <v>-0.33392070484581499</v>
      </c>
      <c r="J344" s="13">
        <f t="shared" si="22"/>
        <v>4082</v>
      </c>
      <c r="K344" s="13">
        <f t="shared" si="19"/>
        <v>3951</v>
      </c>
    </row>
    <row r="345" spans="1:11" x14ac:dyDescent="0.2">
      <c r="A345" s="2">
        <f ca="1">IFERROR(__xludf.DUMMYFUNCTION("""COMPUTED_VALUE"""),45833.6666666666)</f>
        <v>45833.666666666599</v>
      </c>
      <c r="B345" s="10"/>
      <c r="C345">
        <v>3830</v>
      </c>
      <c r="D345">
        <v>3830</v>
      </c>
      <c r="E345">
        <v>3730</v>
      </c>
      <c r="F345">
        <v>3760</v>
      </c>
      <c r="G345">
        <v>164257700</v>
      </c>
      <c r="H345" s="8">
        <f t="shared" si="20"/>
        <v>-5.2910052910052907E-3</v>
      </c>
      <c r="I345" s="8">
        <f t="shared" si="21"/>
        <v>-0.33744493392070485</v>
      </c>
      <c r="J345" s="13">
        <f t="shared" si="22"/>
        <v>4055</v>
      </c>
      <c r="K345" s="13">
        <f t="shared" si="19"/>
        <v>3946.2</v>
      </c>
    </row>
    <row r="346" spans="1:11" x14ac:dyDescent="0.2">
      <c r="A346" s="2">
        <f ca="1">IFERROR(__xludf.DUMMYFUNCTION("""COMPUTED_VALUE"""),45834.6666666666)</f>
        <v>45834.666666666599</v>
      </c>
      <c r="B346" s="10"/>
      <c r="C346">
        <v>3780</v>
      </c>
      <c r="D346">
        <v>3830</v>
      </c>
      <c r="E346">
        <v>3750</v>
      </c>
      <c r="F346">
        <v>3830</v>
      </c>
      <c r="G346">
        <v>171427000</v>
      </c>
      <c r="H346" s="8">
        <f t="shared" si="20"/>
        <v>1.8617021276595744E-2</v>
      </c>
      <c r="I346" s="8">
        <f t="shared" si="21"/>
        <v>-0.3251101321585903</v>
      </c>
      <c r="J346" s="13">
        <f t="shared" si="22"/>
        <v>4029</v>
      </c>
      <c r="K346" s="13">
        <f t="shared" si="19"/>
        <v>3941.8</v>
      </c>
    </row>
    <row r="347" spans="1:11" x14ac:dyDescent="0.2">
      <c r="A347" s="2">
        <f ca="1">IFERROR(__xludf.DUMMYFUNCTION("""COMPUTED_VALUE"""),45838.6666666666)</f>
        <v>45838.666666666599</v>
      </c>
      <c r="B347" s="10"/>
      <c r="C347">
        <v>3840</v>
      </c>
      <c r="D347">
        <v>3840</v>
      </c>
      <c r="E347">
        <v>3730</v>
      </c>
      <c r="F347">
        <v>3740</v>
      </c>
      <c r="G347">
        <v>271933200</v>
      </c>
      <c r="H347" s="8">
        <f t="shared" si="20"/>
        <v>-2.3498694516971279E-2</v>
      </c>
      <c r="I347" s="8">
        <f t="shared" si="21"/>
        <v>-0.34096916299559471</v>
      </c>
      <c r="J347" s="13">
        <f t="shared" si="22"/>
        <v>4000</v>
      </c>
      <c r="K347" s="13">
        <f t="shared" si="19"/>
        <v>3943.8</v>
      </c>
    </row>
    <row r="348" spans="1:11" x14ac:dyDescent="0.2">
      <c r="A348" s="2">
        <f ca="1">IFERROR(__xludf.DUMMYFUNCTION("""COMPUTED_VALUE"""),45839.6666666666)</f>
        <v>45839.666666666599</v>
      </c>
      <c r="B348" s="10"/>
      <c r="C348">
        <v>3780</v>
      </c>
      <c r="D348">
        <v>3790</v>
      </c>
      <c r="E348">
        <v>3670</v>
      </c>
      <c r="F348">
        <v>3700</v>
      </c>
      <c r="G348">
        <v>212369000</v>
      </c>
      <c r="H348" s="8">
        <f t="shared" si="20"/>
        <v>-1.06951871657754E-2</v>
      </c>
      <c r="I348" s="8">
        <f t="shared" si="21"/>
        <v>-0.34801762114537443</v>
      </c>
      <c r="J348" s="13">
        <f t="shared" si="22"/>
        <v>3966.5</v>
      </c>
      <c r="K348" s="13">
        <f t="shared" si="19"/>
        <v>3945.2</v>
      </c>
    </row>
    <row r="349" spans="1:11" x14ac:dyDescent="0.2">
      <c r="A349" s="2">
        <f ca="1">IFERROR(__xludf.DUMMYFUNCTION("""COMPUTED_VALUE"""),45840.6666666666)</f>
        <v>45840.666666666599</v>
      </c>
      <c r="B349" s="10"/>
      <c r="C349">
        <v>3650</v>
      </c>
      <c r="D349">
        <v>3700</v>
      </c>
      <c r="E349">
        <v>3640</v>
      </c>
      <c r="F349">
        <v>3680</v>
      </c>
      <c r="G349">
        <v>220273500</v>
      </c>
      <c r="H349" s="8">
        <f t="shared" si="20"/>
        <v>-5.4054054054054057E-3</v>
      </c>
      <c r="I349" s="8">
        <f t="shared" si="21"/>
        <v>-0.3515418502202643</v>
      </c>
      <c r="J349" s="13">
        <f t="shared" si="22"/>
        <v>3928</v>
      </c>
      <c r="K349" s="13">
        <f t="shared" si="19"/>
        <v>3942.8</v>
      </c>
    </row>
    <row r="350" spans="1:11" x14ac:dyDescent="0.2">
      <c r="A350" s="2">
        <f ca="1">IFERROR(__xludf.DUMMYFUNCTION("""COMPUTED_VALUE"""),45841.6666666666)</f>
        <v>45841.666666666599</v>
      </c>
      <c r="B350" s="10"/>
      <c r="C350">
        <v>3710</v>
      </c>
      <c r="D350">
        <v>3730</v>
      </c>
      <c r="E350">
        <v>3680</v>
      </c>
      <c r="F350">
        <v>3680</v>
      </c>
      <c r="G350">
        <v>119674300</v>
      </c>
      <c r="H350" s="8">
        <f t="shared" si="20"/>
        <v>0</v>
      </c>
      <c r="I350" s="8">
        <f t="shared" si="21"/>
        <v>-0.3515418502202643</v>
      </c>
      <c r="J350" s="13">
        <f t="shared" si="22"/>
        <v>3902</v>
      </c>
      <c r="K350" s="13">
        <f t="shared" si="19"/>
        <v>3943.8</v>
      </c>
    </row>
    <row r="351" spans="1:11" x14ac:dyDescent="0.2">
      <c r="A351" s="2">
        <f ca="1">IFERROR(__xludf.DUMMYFUNCTION("""COMPUTED_VALUE"""),45842.6666666666)</f>
        <v>45842.666666666599</v>
      </c>
      <c r="B351" s="10"/>
      <c r="C351">
        <v>3680</v>
      </c>
      <c r="D351">
        <v>3710</v>
      </c>
      <c r="E351">
        <v>3650</v>
      </c>
      <c r="F351">
        <v>3670</v>
      </c>
      <c r="G351">
        <v>91141200</v>
      </c>
      <c r="H351" s="8">
        <f t="shared" si="20"/>
        <v>-2.717391304347826E-3</v>
      </c>
      <c r="I351" s="8">
        <f t="shared" si="21"/>
        <v>-0.35330396475770925</v>
      </c>
      <c r="J351" s="13">
        <f t="shared" si="22"/>
        <v>3875.5</v>
      </c>
      <c r="K351" s="13">
        <f t="shared" si="19"/>
        <v>3943.4</v>
      </c>
    </row>
    <row r="352" spans="1:11" x14ac:dyDescent="0.2">
      <c r="A352" s="2">
        <f ca="1">IFERROR(__xludf.DUMMYFUNCTION("""COMPUTED_VALUE"""),45845.6666666666)</f>
        <v>45845.666666666599</v>
      </c>
      <c r="B352" s="10"/>
      <c r="C352">
        <v>3670</v>
      </c>
      <c r="D352">
        <v>3700</v>
      </c>
      <c r="E352">
        <v>3650</v>
      </c>
      <c r="F352">
        <v>3700</v>
      </c>
      <c r="G352">
        <v>78783800</v>
      </c>
      <c r="H352" s="8">
        <f t="shared" si="20"/>
        <v>8.1743869209809257E-3</v>
      </c>
      <c r="I352" s="8">
        <f t="shared" si="21"/>
        <v>-0.34801762114537443</v>
      </c>
      <c r="J352" s="13">
        <f t="shared" si="22"/>
        <v>3856.5</v>
      </c>
      <c r="K352" s="13">
        <f t="shared" si="19"/>
        <v>3943.6</v>
      </c>
    </row>
    <row r="353" spans="1:11" x14ac:dyDescent="0.2">
      <c r="A353" s="2">
        <f ca="1">IFERROR(__xludf.DUMMYFUNCTION("""COMPUTED_VALUE"""),45846.6666666666)</f>
        <v>45846.666666666599</v>
      </c>
      <c r="B353" s="10"/>
      <c r="C353">
        <v>3690</v>
      </c>
      <c r="D353">
        <v>3700</v>
      </c>
      <c r="E353">
        <v>3650</v>
      </c>
      <c r="F353">
        <v>3670</v>
      </c>
      <c r="G353">
        <v>115551200</v>
      </c>
      <c r="H353" s="8">
        <f t="shared" si="20"/>
        <v>-8.1081081081081086E-3</v>
      </c>
      <c r="I353" s="8">
        <f t="shared" si="21"/>
        <v>-0.35330396475770925</v>
      </c>
      <c r="J353" s="13">
        <f t="shared" si="22"/>
        <v>3835</v>
      </c>
      <c r="K353" s="13">
        <f t="shared" si="19"/>
        <v>3944</v>
      </c>
    </row>
    <row r="354" spans="1:11" x14ac:dyDescent="0.2">
      <c r="A354" s="2">
        <f ca="1">IFERROR(__xludf.DUMMYFUNCTION("""COMPUTED_VALUE"""),45847.6666666666)</f>
        <v>45847.666666666599</v>
      </c>
      <c r="B354" s="10"/>
      <c r="C354">
        <v>3650</v>
      </c>
      <c r="D354">
        <v>3700</v>
      </c>
      <c r="E354">
        <v>3650</v>
      </c>
      <c r="F354">
        <v>3680</v>
      </c>
      <c r="G354">
        <v>92437900</v>
      </c>
      <c r="H354" s="8">
        <f t="shared" si="20"/>
        <v>2.7247956403269754E-3</v>
      </c>
      <c r="I354" s="8">
        <f t="shared" si="21"/>
        <v>-0.3515418502202643</v>
      </c>
      <c r="J354" s="13">
        <f t="shared" si="22"/>
        <v>3811.5</v>
      </c>
      <c r="K354" s="13">
        <f t="shared" si="19"/>
        <v>3944.8</v>
      </c>
    </row>
    <row r="355" spans="1:11" x14ac:dyDescent="0.2">
      <c r="A355" s="2">
        <f ca="1">IFERROR(__xludf.DUMMYFUNCTION("""COMPUTED_VALUE"""),45848.6666666666)</f>
        <v>45848.666666666599</v>
      </c>
      <c r="B355" s="10"/>
      <c r="C355">
        <v>3690</v>
      </c>
      <c r="D355">
        <v>3880</v>
      </c>
      <c r="E355">
        <v>3680</v>
      </c>
      <c r="F355">
        <v>3870</v>
      </c>
      <c r="G355">
        <v>290117200</v>
      </c>
      <c r="H355" s="8">
        <f t="shared" si="20"/>
        <v>5.1630434782608696E-2</v>
      </c>
      <c r="I355" s="8">
        <f t="shared" si="21"/>
        <v>-0.31806167400881058</v>
      </c>
      <c r="J355" s="13">
        <f t="shared" si="22"/>
        <v>3801.5</v>
      </c>
      <c r="K355" s="13">
        <f t="shared" si="19"/>
        <v>3949.8</v>
      </c>
    </row>
    <row r="356" spans="1:11" x14ac:dyDescent="0.2">
      <c r="A356" s="2">
        <f ca="1">IFERROR(__xludf.DUMMYFUNCTION("""COMPUTED_VALUE"""),45849.6666666666)</f>
        <v>45849.666666666599</v>
      </c>
      <c r="B356" s="10"/>
      <c r="C356">
        <v>3920</v>
      </c>
      <c r="D356">
        <v>3920</v>
      </c>
      <c r="E356">
        <v>3870</v>
      </c>
      <c r="F356">
        <v>3880</v>
      </c>
      <c r="G356">
        <v>255634700</v>
      </c>
      <c r="H356" s="8">
        <f t="shared" si="20"/>
        <v>2.5839793281653748E-3</v>
      </c>
      <c r="I356" s="8">
        <f t="shared" si="21"/>
        <v>-0.31629955947136562</v>
      </c>
      <c r="J356" s="13">
        <f t="shared" si="22"/>
        <v>3792</v>
      </c>
      <c r="K356" s="13">
        <f t="shared" si="19"/>
        <v>3954.8</v>
      </c>
    </row>
    <row r="357" spans="1:11" x14ac:dyDescent="0.2">
      <c r="A357" s="2">
        <f ca="1">IFERROR(__xludf.DUMMYFUNCTION("""COMPUTED_VALUE"""),45852.6666666666)</f>
        <v>45852.666666666599</v>
      </c>
      <c r="B357" s="10"/>
      <c r="C357">
        <v>3880</v>
      </c>
      <c r="D357">
        <v>3890</v>
      </c>
      <c r="E357">
        <v>3750</v>
      </c>
      <c r="F357">
        <v>3780</v>
      </c>
      <c r="G357">
        <v>167151400</v>
      </c>
      <c r="H357" s="8">
        <f t="shared" si="20"/>
        <v>-2.5773195876288658E-2</v>
      </c>
      <c r="I357" s="8">
        <f t="shared" si="21"/>
        <v>-0.33392070484581499</v>
      </c>
      <c r="J357" s="13">
        <f t="shared" si="22"/>
        <v>3781</v>
      </c>
      <c r="K357" s="13">
        <f t="shared" si="19"/>
        <v>3955.2</v>
      </c>
    </row>
    <row r="358" spans="1:11" x14ac:dyDescent="0.2">
      <c r="A358" s="2">
        <f ca="1">IFERROR(__xludf.DUMMYFUNCTION("""COMPUTED_VALUE"""),45853.6666666666)</f>
        <v>45853.666666666599</v>
      </c>
      <c r="B358" s="10"/>
      <c r="C358">
        <v>3800</v>
      </c>
      <c r="D358">
        <v>3880</v>
      </c>
      <c r="E358">
        <v>3780</v>
      </c>
      <c r="F358">
        <v>3880</v>
      </c>
      <c r="G358">
        <v>183209300</v>
      </c>
      <c r="H358" s="8">
        <f t="shared" si="20"/>
        <v>2.6455026455026454E-2</v>
      </c>
      <c r="I358" s="8">
        <f t="shared" si="21"/>
        <v>-0.31629955947136562</v>
      </c>
      <c r="J358" s="13">
        <f t="shared" si="22"/>
        <v>3775.5</v>
      </c>
      <c r="K358" s="13">
        <f t="shared" si="19"/>
        <v>3958.2</v>
      </c>
    </row>
    <row r="359" spans="1:11" x14ac:dyDescent="0.2">
      <c r="A359" s="2">
        <f ca="1">IFERROR(__xludf.DUMMYFUNCTION("""COMPUTED_VALUE"""),45854.6666666666)</f>
        <v>45854.666666666599</v>
      </c>
      <c r="B359" s="10"/>
      <c r="C359">
        <v>3950</v>
      </c>
      <c r="D359">
        <v>3960</v>
      </c>
      <c r="E359">
        <v>3880</v>
      </c>
      <c r="F359">
        <v>3880</v>
      </c>
      <c r="G359">
        <v>241966800</v>
      </c>
      <c r="H359" s="8">
        <f t="shared" si="20"/>
        <v>0</v>
      </c>
      <c r="I359" s="8">
        <f t="shared" si="21"/>
        <v>-0.31629955947136562</v>
      </c>
      <c r="J359" s="13">
        <f t="shared" si="22"/>
        <v>3771.5</v>
      </c>
      <c r="K359" s="13">
        <f t="shared" si="19"/>
        <v>3961</v>
      </c>
    </row>
    <row r="360" spans="1:11" x14ac:dyDescent="0.2">
      <c r="A360" s="2">
        <f ca="1">IFERROR(__xludf.DUMMYFUNCTION("""COMPUTED_VALUE"""),45855.6666666666)</f>
        <v>45855.666666666599</v>
      </c>
      <c r="B360" s="10"/>
      <c r="C360">
        <v>3930</v>
      </c>
      <c r="D360">
        <v>3930</v>
      </c>
      <c r="E360">
        <v>3880</v>
      </c>
      <c r="F360">
        <v>3890</v>
      </c>
      <c r="G360">
        <v>111359500</v>
      </c>
      <c r="H360" s="8">
        <f t="shared" si="20"/>
        <v>2.5773195876288659E-3</v>
      </c>
      <c r="I360" s="8">
        <f t="shared" si="21"/>
        <v>-0.31453744493392072</v>
      </c>
      <c r="J360" s="13">
        <f t="shared" si="22"/>
        <v>3769</v>
      </c>
      <c r="K360" s="13">
        <f t="shared" si="19"/>
        <v>3962</v>
      </c>
    </row>
    <row r="361" spans="1:11" x14ac:dyDescent="0.2">
      <c r="A361" s="2">
        <f ca="1">IFERROR(__xludf.DUMMYFUNCTION("""COMPUTED_VALUE"""),45856.6666666666)</f>
        <v>45856.666666666599</v>
      </c>
      <c r="B361" s="10"/>
      <c r="C361">
        <v>3910</v>
      </c>
      <c r="D361">
        <v>3940</v>
      </c>
      <c r="E361">
        <v>3860</v>
      </c>
      <c r="F361">
        <v>3860</v>
      </c>
      <c r="G361">
        <v>111030000</v>
      </c>
      <c r="H361" s="8">
        <f t="shared" si="20"/>
        <v>-7.7120822622107968E-3</v>
      </c>
      <c r="I361" s="8">
        <f t="shared" si="21"/>
        <v>-0.31982378854625548</v>
      </c>
      <c r="J361" s="13">
        <f t="shared" si="22"/>
        <v>3772</v>
      </c>
      <c r="K361" s="13">
        <f t="shared" si="19"/>
        <v>3962.2</v>
      </c>
    </row>
    <row r="362" spans="1:11" x14ac:dyDescent="0.2">
      <c r="A362" s="2">
        <f ca="1">IFERROR(__xludf.DUMMYFUNCTION("""COMPUTED_VALUE"""),45859.6666666666)</f>
        <v>45859.666666666599</v>
      </c>
      <c r="B362" s="10"/>
      <c r="C362">
        <v>3890</v>
      </c>
      <c r="D362">
        <v>3900</v>
      </c>
      <c r="E362">
        <v>3830</v>
      </c>
      <c r="F362">
        <v>3830</v>
      </c>
      <c r="G362">
        <v>89765800</v>
      </c>
      <c r="H362" s="8">
        <f t="shared" si="20"/>
        <v>-7.7720207253886009E-3</v>
      </c>
      <c r="I362" s="8">
        <f t="shared" si="21"/>
        <v>-0.3251101321585903</v>
      </c>
      <c r="J362" s="13">
        <f t="shared" si="22"/>
        <v>3774</v>
      </c>
      <c r="K362" s="13">
        <f t="shared" si="19"/>
        <v>3961.8</v>
      </c>
    </row>
    <row r="363" spans="1:11" x14ac:dyDescent="0.2">
      <c r="A363" s="2">
        <f ca="1">IFERROR(__xludf.DUMMYFUNCTION("""COMPUTED_VALUE"""),45860.6666666666)</f>
        <v>45860.666666666599</v>
      </c>
      <c r="B363" s="10"/>
      <c r="C363">
        <v>3860</v>
      </c>
      <c r="D363">
        <v>3880</v>
      </c>
      <c r="E363">
        <v>3830</v>
      </c>
      <c r="F363">
        <v>3840</v>
      </c>
      <c r="G363">
        <v>84902800</v>
      </c>
      <c r="H363" s="8">
        <f t="shared" si="20"/>
        <v>2.6109660574412533E-3</v>
      </c>
      <c r="I363" s="8">
        <f t="shared" si="21"/>
        <v>-0.3233480176211454</v>
      </c>
      <c r="J363" s="13">
        <f t="shared" si="22"/>
        <v>3780</v>
      </c>
      <c r="K363" s="13">
        <f t="shared" si="19"/>
        <v>3961</v>
      </c>
    </row>
    <row r="364" spans="1:11" x14ac:dyDescent="0.2">
      <c r="A364" s="2">
        <f ca="1">IFERROR(__xludf.DUMMYFUNCTION("""COMPUTED_VALUE"""),45861.6666666666)</f>
        <v>45861.666666666599</v>
      </c>
      <c r="B364" s="10"/>
      <c r="C364">
        <v>3840</v>
      </c>
      <c r="D364">
        <v>3860</v>
      </c>
      <c r="E364">
        <v>3790</v>
      </c>
      <c r="F364">
        <v>3800</v>
      </c>
      <c r="G364">
        <v>132305000</v>
      </c>
      <c r="H364" s="8">
        <f t="shared" si="20"/>
        <v>-1.0416666666666666E-2</v>
      </c>
      <c r="I364" s="8">
        <f t="shared" si="21"/>
        <v>-0.33039647577092512</v>
      </c>
      <c r="J364" s="13">
        <f t="shared" si="22"/>
        <v>3781</v>
      </c>
      <c r="K364" s="13">
        <f t="shared" si="19"/>
        <v>3959.8</v>
      </c>
    </row>
    <row r="365" spans="1:11" x14ac:dyDescent="0.2">
      <c r="A365" s="2">
        <f ca="1">IFERROR(__xludf.DUMMYFUNCTION("""COMPUTED_VALUE"""),45862.6666666666)</f>
        <v>45862.666666666599</v>
      </c>
      <c r="B365" s="10"/>
      <c r="C365">
        <v>3830</v>
      </c>
      <c r="D365">
        <v>3950</v>
      </c>
      <c r="E365">
        <v>3820</v>
      </c>
      <c r="F365">
        <v>3950</v>
      </c>
      <c r="G365">
        <v>206654200</v>
      </c>
      <c r="H365" s="8">
        <f t="shared" si="20"/>
        <v>3.9473684210526314E-2</v>
      </c>
      <c r="I365" s="8">
        <f t="shared" si="21"/>
        <v>-0.30396475770925108</v>
      </c>
      <c r="J365" s="13">
        <f t="shared" si="22"/>
        <v>3790.5</v>
      </c>
      <c r="K365" s="13">
        <f t="shared" si="19"/>
        <v>3961.2</v>
      </c>
    </row>
    <row r="366" spans="1:11" x14ac:dyDescent="0.2">
      <c r="A366" s="2">
        <f ca="1">IFERROR(__xludf.DUMMYFUNCTION("""COMPUTED_VALUE"""),45863.6666666666)</f>
        <v>45863.666666666599</v>
      </c>
      <c r="B366" s="10"/>
      <c r="C366">
        <v>3950</v>
      </c>
      <c r="D366">
        <v>3950</v>
      </c>
      <c r="E366">
        <v>3870</v>
      </c>
      <c r="F366">
        <v>3880</v>
      </c>
      <c r="G366">
        <v>86263700</v>
      </c>
      <c r="H366" s="8">
        <f t="shared" si="20"/>
        <v>-1.7721518987341773E-2</v>
      </c>
      <c r="I366" s="8">
        <f t="shared" si="21"/>
        <v>-0.31629955947136562</v>
      </c>
      <c r="J366" s="13">
        <f t="shared" si="22"/>
        <v>3793</v>
      </c>
      <c r="K366" s="13">
        <f t="shared" si="19"/>
        <v>3960.6</v>
      </c>
    </row>
    <row r="367" spans="1:11" x14ac:dyDescent="0.2">
      <c r="A367" s="2">
        <f ca="1">IFERROR(__xludf.DUMMYFUNCTION("""COMPUTED_VALUE"""),45866.6666666666)</f>
        <v>45866.666666666599</v>
      </c>
      <c r="B367" s="10"/>
      <c r="C367">
        <v>3940</v>
      </c>
      <c r="D367">
        <v>3950</v>
      </c>
      <c r="E367">
        <v>3920</v>
      </c>
      <c r="F367">
        <v>3940</v>
      </c>
      <c r="G367">
        <v>94898300</v>
      </c>
      <c r="H367" s="8">
        <f t="shared" si="20"/>
        <v>1.5463917525773196E-2</v>
      </c>
      <c r="I367" s="8">
        <f t="shared" si="21"/>
        <v>-0.30572687224669604</v>
      </c>
      <c r="J367" s="13">
        <f t="shared" si="22"/>
        <v>3803</v>
      </c>
      <c r="K367" s="13">
        <f t="shared" si="19"/>
        <v>3963.6</v>
      </c>
    </row>
    <row r="368" spans="1:11" x14ac:dyDescent="0.2">
      <c r="A368" s="2">
        <f ca="1">IFERROR(__xludf.DUMMYFUNCTION("""COMPUTED_VALUE"""),45867.6666666666)</f>
        <v>45867.666666666599</v>
      </c>
      <c r="B368" s="10"/>
      <c r="C368">
        <v>3930</v>
      </c>
      <c r="D368">
        <v>3930</v>
      </c>
      <c r="E368">
        <v>3900</v>
      </c>
      <c r="F368">
        <v>3920</v>
      </c>
      <c r="G368">
        <v>98887100</v>
      </c>
      <c r="H368" s="8">
        <f t="shared" si="20"/>
        <v>-5.076142131979695E-3</v>
      </c>
      <c r="I368" s="8">
        <f t="shared" si="21"/>
        <v>-0.3092511013215859</v>
      </c>
      <c r="J368" s="13">
        <f t="shared" si="22"/>
        <v>3814</v>
      </c>
      <c r="K368" s="13">
        <f t="shared" si="19"/>
        <v>3965.2</v>
      </c>
    </row>
    <row r="369" spans="1:11" x14ac:dyDescent="0.2">
      <c r="A369" s="2">
        <f ca="1">IFERROR(__xludf.DUMMYFUNCTION("""COMPUTED_VALUE"""),45868.6666666666)</f>
        <v>45868.666666666599</v>
      </c>
      <c r="B369" s="10"/>
      <c r="C369">
        <v>3910</v>
      </c>
      <c r="D369">
        <v>3910</v>
      </c>
      <c r="E369">
        <v>3770</v>
      </c>
      <c r="F369">
        <v>3780</v>
      </c>
      <c r="G369">
        <v>206358500</v>
      </c>
      <c r="H369" s="8">
        <f t="shared" si="20"/>
        <v>-3.5714285714285712E-2</v>
      </c>
      <c r="I369" s="8">
        <f t="shared" si="21"/>
        <v>-0.33392070484581499</v>
      </c>
      <c r="J369" s="13">
        <f t="shared" si="22"/>
        <v>3819</v>
      </c>
      <c r="K369" s="13">
        <f t="shared" si="19"/>
        <v>3959</v>
      </c>
    </row>
    <row r="370" spans="1:11" x14ac:dyDescent="0.2">
      <c r="A370" s="2">
        <f ca="1">IFERROR(__xludf.DUMMYFUNCTION("""COMPUTED_VALUE"""),45869.6666666666)</f>
        <v>45869.666666666599</v>
      </c>
      <c r="B370" s="10"/>
      <c r="C370">
        <v>3780</v>
      </c>
      <c r="D370">
        <v>3790</v>
      </c>
      <c r="E370">
        <v>3700</v>
      </c>
      <c r="F370">
        <v>3710</v>
      </c>
      <c r="G370">
        <v>163371700</v>
      </c>
      <c r="H370" s="8">
        <f t="shared" si="20"/>
        <v>-1.8518518518518517E-2</v>
      </c>
      <c r="I370" s="8">
        <f t="shared" si="21"/>
        <v>-0.34625550660792953</v>
      </c>
      <c r="J370" s="13">
        <f t="shared" si="22"/>
        <v>3820.5</v>
      </c>
      <c r="K370" s="13">
        <f t="shared" si="19"/>
        <v>3947.8</v>
      </c>
    </row>
    <row r="371" spans="1:11" x14ac:dyDescent="0.2">
      <c r="A371" s="2">
        <f ca="1">IFERROR(__xludf.DUMMYFUNCTION("""COMPUTED_VALUE"""),45870.6666666666)</f>
        <v>45870.666666666599</v>
      </c>
      <c r="B371" s="10"/>
      <c r="C371">
        <v>3800</v>
      </c>
      <c r="D371">
        <v>3800</v>
      </c>
      <c r="E371">
        <v>3740</v>
      </c>
      <c r="F371">
        <v>3740</v>
      </c>
      <c r="G371">
        <v>134100500</v>
      </c>
      <c r="H371" s="8">
        <f t="shared" si="20"/>
        <v>8.0862533692722376E-3</v>
      </c>
      <c r="I371" s="8">
        <f t="shared" si="21"/>
        <v>-0.34096916299559471</v>
      </c>
      <c r="J371" s="13">
        <f t="shared" si="22"/>
        <v>3824</v>
      </c>
      <c r="K371" s="13">
        <f t="shared" si="19"/>
        <v>3937.6</v>
      </c>
    </row>
    <row r="372" spans="1:11" x14ac:dyDescent="0.2">
      <c r="A372" s="2">
        <f ca="1">IFERROR(__xludf.DUMMYFUNCTION("""COMPUTED_VALUE"""),45873.6666666666)</f>
        <v>45873.666666666599</v>
      </c>
      <c r="B372" s="10"/>
      <c r="C372">
        <v>3720</v>
      </c>
      <c r="D372">
        <v>3740</v>
      </c>
      <c r="E372">
        <v>3690</v>
      </c>
      <c r="F372">
        <v>3710</v>
      </c>
      <c r="G372">
        <v>104446300</v>
      </c>
      <c r="H372" s="8">
        <f t="shared" si="20"/>
        <v>-8.0213903743315516E-3</v>
      </c>
      <c r="I372" s="8">
        <f t="shared" si="21"/>
        <v>-0.34625550660792953</v>
      </c>
      <c r="J372" s="13">
        <f t="shared" si="22"/>
        <v>3824.5</v>
      </c>
      <c r="K372" s="13">
        <f t="shared" ref="K372:K435" si="23">AVERAGE(F323:F372)</f>
        <v>3927.2</v>
      </c>
    </row>
    <row r="373" spans="1:11" x14ac:dyDescent="0.2">
      <c r="A373" s="2">
        <f ca="1">IFERROR(__xludf.DUMMYFUNCTION("""COMPUTED_VALUE"""),45874.6666666666)</f>
        <v>45874.666666666599</v>
      </c>
      <c r="B373" s="10"/>
      <c r="C373">
        <v>3700</v>
      </c>
      <c r="D373">
        <v>3790</v>
      </c>
      <c r="E373">
        <v>3700</v>
      </c>
      <c r="F373">
        <v>3740</v>
      </c>
      <c r="G373">
        <v>184822600</v>
      </c>
      <c r="H373" s="8">
        <f t="shared" si="20"/>
        <v>8.0862533692722376E-3</v>
      </c>
      <c r="I373" s="8">
        <f t="shared" si="21"/>
        <v>-0.34096916299559471</v>
      </c>
      <c r="J373" s="13">
        <f t="shared" si="22"/>
        <v>3828</v>
      </c>
      <c r="K373" s="13">
        <f t="shared" si="23"/>
        <v>3917.8</v>
      </c>
    </row>
    <row r="374" spans="1:11" x14ac:dyDescent="0.2">
      <c r="A374" s="2">
        <f ca="1">IFERROR(__xludf.DUMMYFUNCTION("""COMPUTED_VALUE"""),45875.6666666666)</f>
        <v>45875.666666666599</v>
      </c>
      <c r="B374" s="10"/>
      <c r="C374">
        <v>3770</v>
      </c>
      <c r="D374">
        <v>3780</v>
      </c>
      <c r="E374">
        <v>3710</v>
      </c>
      <c r="F374">
        <v>3710</v>
      </c>
      <c r="G374">
        <v>100168200</v>
      </c>
      <c r="H374" s="8">
        <f t="shared" si="20"/>
        <v>-8.0213903743315516E-3</v>
      </c>
      <c r="I374" s="8">
        <f t="shared" si="21"/>
        <v>-0.34625550660792953</v>
      </c>
      <c r="J374" s="13">
        <f t="shared" si="22"/>
        <v>3829.5</v>
      </c>
      <c r="K374" s="13">
        <f t="shared" si="23"/>
        <v>3906.8</v>
      </c>
    </row>
    <row r="375" spans="1:11" x14ac:dyDescent="0.2">
      <c r="A375" s="2">
        <f ca="1">IFERROR(__xludf.DUMMYFUNCTION("""COMPUTED_VALUE"""),45876.6666666666)</f>
        <v>45876.666666666599</v>
      </c>
      <c r="B375" s="10"/>
      <c r="C375">
        <v>3730</v>
      </c>
      <c r="D375">
        <v>3750</v>
      </c>
      <c r="E375">
        <v>3700</v>
      </c>
      <c r="F375">
        <v>3710</v>
      </c>
      <c r="G375">
        <v>92746000</v>
      </c>
      <c r="H375" s="8">
        <f t="shared" si="20"/>
        <v>0</v>
      </c>
      <c r="I375" s="8">
        <f t="shared" si="21"/>
        <v>-0.34625550660792953</v>
      </c>
      <c r="J375" s="13">
        <f t="shared" si="22"/>
        <v>3821.5</v>
      </c>
      <c r="K375" s="13">
        <f t="shared" si="23"/>
        <v>3895</v>
      </c>
    </row>
    <row r="376" spans="1:11" x14ac:dyDescent="0.2">
      <c r="A376" s="2">
        <f ca="1">IFERROR(__xludf.DUMMYFUNCTION("""COMPUTED_VALUE"""),45877.6666666666)</f>
        <v>45877.666666666599</v>
      </c>
      <c r="B376" s="10"/>
      <c r="C376">
        <v>3710</v>
      </c>
      <c r="D376">
        <v>3730</v>
      </c>
      <c r="E376">
        <v>3700</v>
      </c>
      <c r="F376">
        <v>3700</v>
      </c>
      <c r="G376">
        <v>133180100</v>
      </c>
      <c r="H376" s="8">
        <f t="shared" si="20"/>
        <v>-2.6954177897574125E-3</v>
      </c>
      <c r="I376" s="8">
        <f t="shared" si="21"/>
        <v>-0.34801762114537443</v>
      </c>
      <c r="J376" s="13">
        <f t="shared" si="22"/>
        <v>3812.5</v>
      </c>
      <c r="K376" s="13">
        <f t="shared" si="23"/>
        <v>3882</v>
      </c>
    </row>
    <row r="377" spans="1:11" x14ac:dyDescent="0.2">
      <c r="A377" s="2">
        <f ca="1">IFERROR(__xludf.DUMMYFUNCTION("""COMPUTED_VALUE"""),45880.6666666666)</f>
        <v>45880.666666666599</v>
      </c>
      <c r="B377" s="10"/>
      <c r="C377">
        <v>3720</v>
      </c>
      <c r="D377">
        <v>3810</v>
      </c>
      <c r="E377">
        <v>3720</v>
      </c>
      <c r="F377">
        <v>3810</v>
      </c>
      <c r="G377">
        <v>143167900</v>
      </c>
      <c r="H377" s="8">
        <f t="shared" si="20"/>
        <v>2.9729729729729731E-2</v>
      </c>
      <c r="I377" s="8">
        <f t="shared" si="21"/>
        <v>-0.32863436123348017</v>
      </c>
      <c r="J377" s="13">
        <f t="shared" si="22"/>
        <v>3814</v>
      </c>
      <c r="K377" s="13">
        <f t="shared" si="23"/>
        <v>3871.8</v>
      </c>
    </row>
    <row r="378" spans="1:11" x14ac:dyDescent="0.2">
      <c r="A378" s="2">
        <f ca="1">IFERROR(__xludf.DUMMYFUNCTION("""COMPUTED_VALUE"""),45881.6666666666)</f>
        <v>45881.666666666599</v>
      </c>
      <c r="B378" s="10"/>
      <c r="C378">
        <v>3860</v>
      </c>
      <c r="D378">
        <v>4050</v>
      </c>
      <c r="E378">
        <v>3830</v>
      </c>
      <c r="F378">
        <v>4050</v>
      </c>
      <c r="G378">
        <v>404797800</v>
      </c>
      <c r="H378" s="8">
        <f t="shared" si="20"/>
        <v>6.2992125984251968E-2</v>
      </c>
      <c r="I378" s="8">
        <f t="shared" si="21"/>
        <v>-0.28634361233480177</v>
      </c>
      <c r="J378" s="13">
        <f t="shared" si="22"/>
        <v>3822.5</v>
      </c>
      <c r="K378" s="13">
        <f t="shared" si="23"/>
        <v>3865.4</v>
      </c>
    </row>
    <row r="379" spans="1:11" x14ac:dyDescent="0.2">
      <c r="A379" s="2">
        <f ca="1">IFERROR(__xludf.DUMMYFUNCTION("""COMPUTED_VALUE"""),45882.6666666666)</f>
        <v>45882.666666666599</v>
      </c>
      <c r="B379" s="10"/>
      <c r="C379">
        <v>4060</v>
      </c>
      <c r="D379">
        <v>4100</v>
      </c>
      <c r="E379">
        <v>3990</v>
      </c>
      <c r="F379">
        <v>4080</v>
      </c>
      <c r="G379">
        <v>292104000</v>
      </c>
      <c r="H379" s="8">
        <f t="shared" si="20"/>
        <v>7.4074074074074077E-3</v>
      </c>
      <c r="I379" s="8">
        <f t="shared" si="21"/>
        <v>-0.28105726872246695</v>
      </c>
      <c r="J379" s="13">
        <f t="shared" si="22"/>
        <v>3832.5</v>
      </c>
      <c r="K379" s="13">
        <f t="shared" si="23"/>
        <v>3858</v>
      </c>
    </row>
    <row r="380" spans="1:11" x14ac:dyDescent="0.2">
      <c r="A380" s="2">
        <f ca="1">IFERROR(__xludf.DUMMYFUNCTION("""COMPUTED_VALUE"""),45883.6666666666)</f>
        <v>45883.666666666599</v>
      </c>
      <c r="B380" s="10"/>
      <c r="C380">
        <v>4080</v>
      </c>
      <c r="D380">
        <v>4100</v>
      </c>
      <c r="E380">
        <v>4040</v>
      </c>
      <c r="F380">
        <v>4060</v>
      </c>
      <c r="G380">
        <v>164408100</v>
      </c>
      <c r="H380" s="8">
        <f t="shared" si="20"/>
        <v>-4.9019607843137254E-3</v>
      </c>
      <c r="I380" s="8">
        <f t="shared" si="21"/>
        <v>-0.28458149779735681</v>
      </c>
      <c r="J380" s="13">
        <f t="shared" si="22"/>
        <v>3841</v>
      </c>
      <c r="K380" s="13">
        <f t="shared" si="23"/>
        <v>3855.2</v>
      </c>
    </row>
    <row r="381" spans="1:11" x14ac:dyDescent="0.2">
      <c r="A381" s="2">
        <f ca="1">IFERROR(__xludf.DUMMYFUNCTION("""COMPUTED_VALUE"""),45884.6666666666)</f>
        <v>45884.666666666599</v>
      </c>
      <c r="B381" s="10"/>
      <c r="C381">
        <v>4100</v>
      </c>
      <c r="D381">
        <v>4150</v>
      </c>
      <c r="E381">
        <v>4070</v>
      </c>
      <c r="F381">
        <v>4120</v>
      </c>
      <c r="G381">
        <v>269255400</v>
      </c>
      <c r="H381" s="8">
        <f t="shared" si="20"/>
        <v>1.4778325123152709E-2</v>
      </c>
      <c r="I381" s="8">
        <f t="shared" si="21"/>
        <v>-0.27400881057268722</v>
      </c>
      <c r="J381" s="13">
        <f t="shared" si="22"/>
        <v>3854</v>
      </c>
      <c r="K381" s="13">
        <f t="shared" si="23"/>
        <v>3853.6</v>
      </c>
    </row>
    <row r="382" spans="1:11" x14ac:dyDescent="0.2">
      <c r="A382" s="2">
        <f ca="1">IFERROR(__xludf.DUMMYFUNCTION("""COMPUTED_VALUE"""),45888.6666666666)</f>
        <v>45888.666666666599</v>
      </c>
      <c r="B382" s="10"/>
      <c r="C382">
        <v>4090</v>
      </c>
      <c r="D382">
        <v>4100</v>
      </c>
      <c r="E382">
        <v>4010</v>
      </c>
      <c r="F382">
        <v>4040</v>
      </c>
      <c r="G382">
        <v>208409700</v>
      </c>
      <c r="H382" s="8">
        <f t="shared" si="20"/>
        <v>-1.9417475728155338E-2</v>
      </c>
      <c r="I382" s="8">
        <f t="shared" si="21"/>
        <v>-0.28810572687224667</v>
      </c>
      <c r="J382" s="13">
        <f t="shared" si="22"/>
        <v>3864.5</v>
      </c>
      <c r="K382" s="13">
        <f t="shared" si="23"/>
        <v>3852.8</v>
      </c>
    </row>
    <row r="383" spans="1:11" x14ac:dyDescent="0.2">
      <c r="A383" s="2">
        <f ca="1">IFERROR(__xludf.DUMMYFUNCTION("""COMPUTED_VALUE"""),45889.6666666666)</f>
        <v>45889.666666666599</v>
      </c>
      <c r="B383" s="10"/>
      <c r="C383">
        <v>4050</v>
      </c>
      <c r="D383">
        <v>4150</v>
      </c>
      <c r="E383">
        <v>4050</v>
      </c>
      <c r="F383">
        <v>4150</v>
      </c>
      <c r="G383">
        <v>173260400</v>
      </c>
      <c r="H383" s="8">
        <f t="shared" si="20"/>
        <v>2.7227722772277228E-2</v>
      </c>
      <c r="I383" s="8">
        <f t="shared" si="21"/>
        <v>-0.2687224669603524</v>
      </c>
      <c r="J383" s="13">
        <f t="shared" si="22"/>
        <v>3880</v>
      </c>
      <c r="K383" s="13">
        <f t="shared" si="23"/>
        <v>3853.8</v>
      </c>
    </row>
    <row r="384" spans="1:11" x14ac:dyDescent="0.2">
      <c r="A384" s="2">
        <f ca="1">IFERROR(__xludf.DUMMYFUNCTION("""COMPUTED_VALUE"""),45890.6666666666)</f>
        <v>45890.666666666599</v>
      </c>
      <c r="B384" s="10"/>
      <c r="C384">
        <v>4160</v>
      </c>
      <c r="D384">
        <v>4170</v>
      </c>
      <c r="E384">
        <v>4090</v>
      </c>
      <c r="F384">
        <v>4150</v>
      </c>
      <c r="G384">
        <v>112477700</v>
      </c>
      <c r="H384" s="8">
        <f t="shared" si="20"/>
        <v>0</v>
      </c>
      <c r="I384" s="8">
        <f t="shared" si="21"/>
        <v>-0.2687224669603524</v>
      </c>
      <c r="J384" s="13">
        <f t="shared" si="22"/>
        <v>3897.5</v>
      </c>
      <c r="K384" s="13">
        <f t="shared" si="23"/>
        <v>3853.8</v>
      </c>
    </row>
    <row r="385" spans="1:11" x14ac:dyDescent="0.2">
      <c r="A385" s="2">
        <f ca="1">IFERROR(__xludf.DUMMYFUNCTION("""COMPUTED_VALUE"""),45891.6666666666)</f>
        <v>45891.666666666599</v>
      </c>
      <c r="B385" s="10"/>
      <c r="C385">
        <v>4170</v>
      </c>
      <c r="D385">
        <v>4170</v>
      </c>
      <c r="E385">
        <v>4100</v>
      </c>
      <c r="F385">
        <v>4100</v>
      </c>
      <c r="G385">
        <v>71971500</v>
      </c>
      <c r="H385" s="8">
        <f t="shared" si="20"/>
        <v>-1.2048192771084338E-2</v>
      </c>
      <c r="I385" s="8">
        <f t="shared" si="21"/>
        <v>-0.27753303964757708</v>
      </c>
      <c r="J385" s="13">
        <f t="shared" si="22"/>
        <v>3905</v>
      </c>
      <c r="K385" s="13">
        <f t="shared" si="23"/>
        <v>3854.4</v>
      </c>
    </row>
    <row r="386" spans="1:11" x14ac:dyDescent="0.2">
      <c r="A386" s="2">
        <f ca="1">IFERROR(__xludf.DUMMYFUNCTION("""COMPUTED_VALUE"""),45894.6666666666)</f>
        <v>45894.666666666599</v>
      </c>
      <c r="B386" s="10"/>
      <c r="C386">
        <v>4180</v>
      </c>
      <c r="D386">
        <v>4270</v>
      </c>
      <c r="E386">
        <v>4170</v>
      </c>
      <c r="F386">
        <v>4210</v>
      </c>
      <c r="G386">
        <v>195322200</v>
      </c>
      <c r="H386" s="8">
        <f t="shared" si="20"/>
        <v>2.6829268292682926E-2</v>
      </c>
      <c r="I386" s="8">
        <f t="shared" si="21"/>
        <v>-0.25814977973568282</v>
      </c>
      <c r="J386" s="13">
        <f t="shared" si="22"/>
        <v>3921.5</v>
      </c>
      <c r="K386" s="13">
        <f t="shared" si="23"/>
        <v>3857.2</v>
      </c>
    </row>
    <row r="387" spans="1:11" x14ac:dyDescent="0.2">
      <c r="A387" s="2">
        <f ca="1">IFERROR(__xludf.DUMMYFUNCTION("""COMPUTED_VALUE"""),45895.6666666666)</f>
        <v>45895.666666666599</v>
      </c>
      <c r="B387" s="10"/>
      <c r="C387">
        <v>4220</v>
      </c>
      <c r="D387">
        <v>4220</v>
      </c>
      <c r="E387">
        <v>4170</v>
      </c>
      <c r="F387">
        <v>4170</v>
      </c>
      <c r="G387">
        <v>267465600</v>
      </c>
      <c r="H387" s="8">
        <f t="shared" si="20"/>
        <v>-9.5011876484560574E-3</v>
      </c>
      <c r="I387" s="8">
        <f t="shared" si="21"/>
        <v>-0.26519823788546254</v>
      </c>
      <c r="J387" s="13">
        <f t="shared" si="22"/>
        <v>3933</v>
      </c>
      <c r="K387" s="13">
        <f t="shared" si="23"/>
        <v>3860.6</v>
      </c>
    </row>
    <row r="388" spans="1:11" x14ac:dyDescent="0.2">
      <c r="A388" s="2">
        <f ca="1">IFERROR(__xludf.DUMMYFUNCTION("""COMPUTED_VALUE"""),45896.6666666666)</f>
        <v>45896.666666666599</v>
      </c>
      <c r="B388" s="10"/>
      <c r="C388">
        <v>4130</v>
      </c>
      <c r="D388">
        <v>4150</v>
      </c>
      <c r="E388">
        <v>4070</v>
      </c>
      <c r="F388">
        <v>4130</v>
      </c>
      <c r="G388">
        <v>123874000</v>
      </c>
      <c r="H388" s="8">
        <f t="shared" ref="H388:H451" si="24">(F388-F387)/F387</f>
        <v>-9.5923261390887284E-3</v>
      </c>
      <c r="I388" s="8">
        <f t="shared" ref="I388:I451" si="25">(F388-$F$2)/$F$2</f>
        <v>-0.27224669603524226</v>
      </c>
      <c r="J388" s="13">
        <f t="shared" si="22"/>
        <v>3943.5</v>
      </c>
      <c r="K388" s="13">
        <f t="shared" si="23"/>
        <v>3863.4</v>
      </c>
    </row>
    <row r="389" spans="1:11" x14ac:dyDescent="0.2">
      <c r="A389" s="2">
        <f ca="1">IFERROR(__xludf.DUMMYFUNCTION("""COMPUTED_VALUE"""),45897.6666666666)</f>
        <v>45897.666666666599</v>
      </c>
      <c r="B389" s="10"/>
      <c r="C389">
        <v>4130</v>
      </c>
      <c r="D389">
        <v>4150</v>
      </c>
      <c r="E389">
        <v>4110</v>
      </c>
      <c r="F389">
        <v>4140</v>
      </c>
      <c r="G389">
        <v>60838200</v>
      </c>
      <c r="H389" s="8">
        <f t="shared" si="24"/>
        <v>2.4213075060532689E-3</v>
      </c>
      <c r="I389" s="8">
        <f t="shared" si="25"/>
        <v>-0.27048458149779736</v>
      </c>
      <c r="J389" s="13">
        <f t="shared" si="22"/>
        <v>3961.5</v>
      </c>
      <c r="K389" s="13">
        <f t="shared" si="23"/>
        <v>3867</v>
      </c>
    </row>
    <row r="390" spans="1:11" x14ac:dyDescent="0.2">
      <c r="A390" s="2">
        <f ca="1">IFERROR(__xludf.DUMMYFUNCTION("""COMPUTED_VALUE"""),45898.6666666666)</f>
        <v>45898.666666666599</v>
      </c>
      <c r="B390" s="10"/>
      <c r="C390">
        <v>4100</v>
      </c>
      <c r="D390">
        <v>4120</v>
      </c>
      <c r="E390">
        <v>4020</v>
      </c>
      <c r="F390">
        <v>4050</v>
      </c>
      <c r="G390">
        <v>217276600</v>
      </c>
      <c r="H390" s="8">
        <f t="shared" si="24"/>
        <v>-2.1739130434782608E-2</v>
      </c>
      <c r="I390" s="8">
        <f t="shared" si="25"/>
        <v>-0.28634361233480177</v>
      </c>
      <c r="J390" s="13">
        <f t="shared" si="22"/>
        <v>3978.5</v>
      </c>
      <c r="K390" s="13">
        <f t="shared" si="23"/>
        <v>3869.2</v>
      </c>
    </row>
    <row r="391" spans="1:11" x14ac:dyDescent="0.2">
      <c r="A391" s="2">
        <f ca="1">IFERROR(__xludf.DUMMYFUNCTION("""COMPUTED_VALUE"""),45901.6666666666)</f>
        <v>45901.666666666599</v>
      </c>
      <c r="B391" s="10"/>
      <c r="C391">
        <v>3930</v>
      </c>
      <c r="D391">
        <v>4010</v>
      </c>
      <c r="E391">
        <v>3860</v>
      </c>
      <c r="F391">
        <v>3980</v>
      </c>
      <c r="G391">
        <v>234206100</v>
      </c>
      <c r="H391" s="8">
        <f t="shared" si="24"/>
        <v>-1.7283950617283949E-2</v>
      </c>
      <c r="I391" s="8">
        <f t="shared" si="25"/>
        <v>-0.29867841409691631</v>
      </c>
      <c r="J391" s="13">
        <f t="shared" si="22"/>
        <v>3990.5</v>
      </c>
      <c r="K391" s="13">
        <f t="shared" si="23"/>
        <v>3872.8</v>
      </c>
    </row>
    <row r="392" spans="1:11" x14ac:dyDescent="0.2">
      <c r="A392" s="2">
        <f ca="1">IFERROR(__xludf.DUMMYFUNCTION("""COMPUTED_VALUE"""),45902.6666666666)</f>
        <v>45902.666666666599</v>
      </c>
      <c r="B392" s="10"/>
      <c r="C392">
        <v>3980</v>
      </c>
      <c r="D392">
        <v>4050</v>
      </c>
      <c r="E392">
        <v>3960</v>
      </c>
      <c r="F392">
        <v>3960</v>
      </c>
      <c r="G392">
        <v>111856000</v>
      </c>
      <c r="H392" s="8">
        <f t="shared" si="24"/>
        <v>-5.0251256281407036E-3</v>
      </c>
      <c r="I392" s="8">
        <f t="shared" si="25"/>
        <v>-0.30220264317180617</v>
      </c>
      <c r="J392" s="13">
        <f t="shared" si="22"/>
        <v>4003</v>
      </c>
      <c r="K392" s="13">
        <f t="shared" si="23"/>
        <v>3876.2</v>
      </c>
    </row>
    <row r="393" spans="1:11" x14ac:dyDescent="0.2">
      <c r="A393" s="2">
        <f ca="1">IFERROR(__xludf.DUMMYFUNCTION("""COMPUTED_VALUE"""),45903.6666666666)</f>
        <v>45903.666666666599</v>
      </c>
      <c r="B393" s="10"/>
      <c r="C393">
        <v>4020</v>
      </c>
      <c r="D393">
        <v>4030</v>
      </c>
      <c r="E393">
        <v>3950</v>
      </c>
      <c r="F393">
        <v>4030</v>
      </c>
      <c r="G393">
        <v>112507500</v>
      </c>
      <c r="H393" s="8">
        <f t="shared" si="24"/>
        <v>1.7676767676767676E-2</v>
      </c>
      <c r="I393" s="8">
        <f t="shared" si="25"/>
        <v>-0.28986784140969163</v>
      </c>
      <c r="J393" s="13">
        <f t="shared" si="22"/>
        <v>4017.5</v>
      </c>
      <c r="K393" s="13">
        <f t="shared" si="23"/>
        <v>3882.4</v>
      </c>
    </row>
    <row r="394" spans="1:11" x14ac:dyDescent="0.2">
      <c r="A394" s="2">
        <f ca="1">IFERROR(__xludf.DUMMYFUNCTION("""COMPUTED_VALUE"""),45904.6666666666)</f>
        <v>45904.666666666599</v>
      </c>
      <c r="B394" s="10"/>
      <c r="C394">
        <v>3980</v>
      </c>
      <c r="D394">
        <v>4010</v>
      </c>
      <c r="E394">
        <v>3960</v>
      </c>
      <c r="F394">
        <v>4000</v>
      </c>
      <c r="G394">
        <v>87402700</v>
      </c>
      <c r="H394" s="8">
        <f t="shared" si="24"/>
        <v>-7.4441687344913151E-3</v>
      </c>
      <c r="I394" s="8">
        <f t="shared" si="25"/>
        <v>-0.29515418502202645</v>
      </c>
      <c r="J394" s="13">
        <f t="shared" si="22"/>
        <v>4032</v>
      </c>
      <c r="K394" s="13">
        <f t="shared" si="23"/>
        <v>3886.8</v>
      </c>
    </row>
    <row r="395" spans="1:11" x14ac:dyDescent="0.2">
      <c r="A395" s="2">
        <f ca="1">IFERROR(__xludf.DUMMYFUNCTION("""COMPUTED_VALUE"""),45908.6666666666)</f>
        <v>45908.666666666599</v>
      </c>
      <c r="B395" s="10"/>
      <c r="C395">
        <v>4070</v>
      </c>
      <c r="D395">
        <v>4070</v>
      </c>
      <c r="E395">
        <v>3890</v>
      </c>
      <c r="F395">
        <v>3900</v>
      </c>
      <c r="G395">
        <v>143993900</v>
      </c>
      <c r="H395" s="8">
        <f t="shared" si="24"/>
        <v>-2.5000000000000001E-2</v>
      </c>
      <c r="I395" s="8">
        <f t="shared" si="25"/>
        <v>-0.31277533039647576</v>
      </c>
      <c r="J395" s="13">
        <f t="shared" si="22"/>
        <v>4041.5</v>
      </c>
      <c r="K395" s="13">
        <f t="shared" si="23"/>
        <v>3889.6</v>
      </c>
    </row>
    <row r="396" spans="1:11" x14ac:dyDescent="0.2">
      <c r="A396" s="2">
        <f ca="1">IFERROR(__xludf.DUMMYFUNCTION("""COMPUTED_VALUE"""),45909.6666666666)</f>
        <v>45909.666666666599</v>
      </c>
      <c r="B396" s="10"/>
      <c r="C396">
        <v>3870</v>
      </c>
      <c r="D396">
        <v>3890</v>
      </c>
      <c r="E396">
        <v>3750</v>
      </c>
      <c r="F396">
        <v>3790</v>
      </c>
      <c r="G396">
        <v>327167200</v>
      </c>
      <c r="H396" s="8">
        <f t="shared" si="24"/>
        <v>-2.8205128205128206E-2</v>
      </c>
      <c r="I396" s="8">
        <f t="shared" si="25"/>
        <v>-0.33215859030837003</v>
      </c>
      <c r="J396" s="13">
        <f t="shared" si="22"/>
        <v>4046</v>
      </c>
      <c r="K396" s="13">
        <f t="shared" si="23"/>
        <v>3888.8</v>
      </c>
    </row>
    <row r="397" spans="1:11" x14ac:dyDescent="0.2">
      <c r="A397" s="2">
        <f ca="1">IFERROR(__xludf.DUMMYFUNCTION("""COMPUTED_VALUE"""),45910.6666666666)</f>
        <v>45910.666666666599</v>
      </c>
      <c r="B397" s="10"/>
      <c r="C397">
        <v>3880</v>
      </c>
      <c r="D397">
        <v>3880</v>
      </c>
      <c r="E397">
        <v>3880</v>
      </c>
      <c r="F397">
        <v>3880</v>
      </c>
      <c r="G397">
        <v>1109200</v>
      </c>
      <c r="H397" s="8">
        <f t="shared" si="24"/>
        <v>2.3746701846965697E-2</v>
      </c>
      <c r="I397" s="8">
        <f t="shared" si="25"/>
        <v>-0.31629955947136562</v>
      </c>
      <c r="J397" s="13">
        <f t="shared" si="22"/>
        <v>4049.5</v>
      </c>
      <c r="K397" s="13">
        <f t="shared" si="23"/>
        <v>3891.6</v>
      </c>
    </row>
    <row r="398" spans="1:11" x14ac:dyDescent="0.2">
      <c r="A398" s="2">
        <f ca="1">IFERROR(__xludf.DUMMYFUNCTION("""COMPUTED_VALUE"""),45911.6666666666)</f>
        <v>45911.666666666599</v>
      </c>
      <c r="B398" s="10"/>
      <c r="C398">
        <v>4000</v>
      </c>
      <c r="D398">
        <v>4120</v>
      </c>
      <c r="E398">
        <v>3980</v>
      </c>
      <c r="F398">
        <v>4080</v>
      </c>
      <c r="G398">
        <v>281910400</v>
      </c>
      <c r="H398" s="8">
        <f t="shared" si="24"/>
        <v>5.1546391752577317E-2</v>
      </c>
      <c r="I398" s="8">
        <f t="shared" si="25"/>
        <v>-0.28105726872246695</v>
      </c>
      <c r="J398" s="13">
        <f t="shared" si="22"/>
        <v>4051</v>
      </c>
      <c r="K398" s="13">
        <f t="shared" si="23"/>
        <v>3899.2</v>
      </c>
    </row>
    <row r="399" spans="1:11" x14ac:dyDescent="0.2">
      <c r="A399" s="2">
        <f ca="1">IFERROR(__xludf.DUMMYFUNCTION("""COMPUTED_VALUE"""),45912.6666666666)</f>
        <v>45912.666666666599</v>
      </c>
      <c r="B399" s="10"/>
      <c r="C399">
        <v>4180</v>
      </c>
      <c r="D399">
        <v>4190</v>
      </c>
      <c r="E399">
        <v>4110</v>
      </c>
      <c r="F399">
        <v>4180</v>
      </c>
      <c r="G399">
        <v>235383800</v>
      </c>
      <c r="H399" s="8">
        <f t="shared" si="24"/>
        <v>2.4509803921568627E-2</v>
      </c>
      <c r="I399" s="8">
        <f t="shared" si="25"/>
        <v>-0.26343612334801764</v>
      </c>
      <c r="J399" s="13">
        <f t="shared" si="22"/>
        <v>4056</v>
      </c>
      <c r="K399" s="13">
        <f t="shared" si="23"/>
        <v>3909.2</v>
      </c>
    </row>
    <row r="400" spans="1:11" x14ac:dyDescent="0.2">
      <c r="A400" s="2">
        <f ca="1">IFERROR(__xludf.DUMMYFUNCTION("""COMPUTED_VALUE"""),45915.6666666666)</f>
        <v>45915.666666666599</v>
      </c>
      <c r="B400" s="10"/>
      <c r="C400">
        <v>4200</v>
      </c>
      <c r="D400">
        <v>4220</v>
      </c>
      <c r="E400">
        <v>4120</v>
      </c>
      <c r="F400">
        <v>4140</v>
      </c>
      <c r="G400">
        <v>157482000</v>
      </c>
      <c r="H400" s="8">
        <f t="shared" si="24"/>
        <v>-9.5693779904306216E-3</v>
      </c>
      <c r="I400" s="8">
        <f t="shared" si="25"/>
        <v>-0.27048458149779736</v>
      </c>
      <c r="J400" s="13">
        <f t="shared" si="22"/>
        <v>4060</v>
      </c>
      <c r="K400" s="13">
        <f t="shared" si="23"/>
        <v>3918.4</v>
      </c>
    </row>
    <row r="401" spans="1:11" x14ac:dyDescent="0.2">
      <c r="A401" s="2">
        <f ca="1">IFERROR(__xludf.DUMMYFUNCTION("""COMPUTED_VALUE"""),45916.6666666666)</f>
        <v>45916.666666666599</v>
      </c>
      <c r="B401" s="10"/>
      <c r="C401">
        <v>4160</v>
      </c>
      <c r="D401">
        <v>4170</v>
      </c>
      <c r="E401">
        <v>4080</v>
      </c>
      <c r="F401">
        <v>4130</v>
      </c>
      <c r="G401">
        <v>167511900</v>
      </c>
      <c r="H401" s="8">
        <f t="shared" si="24"/>
        <v>-2.4154589371980675E-3</v>
      </c>
      <c r="I401" s="8">
        <f t="shared" si="25"/>
        <v>-0.27224669603524226</v>
      </c>
      <c r="J401" s="13">
        <f t="shared" si="22"/>
        <v>4060.5</v>
      </c>
      <c r="K401" s="13">
        <f t="shared" si="23"/>
        <v>3927.6</v>
      </c>
    </row>
    <row r="402" spans="1:11" x14ac:dyDescent="0.2">
      <c r="A402" s="2">
        <f ca="1">IFERROR(__xludf.DUMMYFUNCTION("""COMPUTED_VALUE"""),45917.6666666666)</f>
        <v>45917.666666666599</v>
      </c>
      <c r="B402" s="10"/>
      <c r="C402">
        <v>4160</v>
      </c>
      <c r="D402">
        <v>4220</v>
      </c>
      <c r="E402">
        <v>4120</v>
      </c>
      <c r="F402">
        <v>4220</v>
      </c>
      <c r="G402">
        <v>245154800</v>
      </c>
      <c r="H402" s="8">
        <f t="shared" si="24"/>
        <v>2.1791767554479417E-2</v>
      </c>
      <c r="I402" s="8">
        <f t="shared" si="25"/>
        <v>-0.25638766519823791</v>
      </c>
      <c r="J402" s="13">
        <f t="shared" si="22"/>
        <v>4069.5</v>
      </c>
      <c r="K402" s="13">
        <f t="shared" si="23"/>
        <v>3938</v>
      </c>
    </row>
    <row r="403" spans="1:11" x14ac:dyDescent="0.2">
      <c r="A403" s="2">
        <f ca="1">IFERROR(__xludf.DUMMYFUNCTION("""COMPUTED_VALUE"""),45918.6666666666)</f>
        <v>45918.666666666599</v>
      </c>
      <c r="B403" s="10"/>
      <c r="C403">
        <v>4270</v>
      </c>
      <c r="D403">
        <v>4270</v>
      </c>
      <c r="E403">
        <v>4210</v>
      </c>
      <c r="F403">
        <v>4250</v>
      </c>
      <c r="G403">
        <v>332670300</v>
      </c>
      <c r="H403" s="8">
        <f t="shared" si="24"/>
        <v>7.1090047393364926E-3</v>
      </c>
      <c r="I403" s="8">
        <f t="shared" si="25"/>
        <v>-0.25110132158590309</v>
      </c>
      <c r="J403" s="13">
        <f t="shared" si="22"/>
        <v>4074.5</v>
      </c>
      <c r="K403" s="13">
        <f t="shared" si="23"/>
        <v>3949.6</v>
      </c>
    </row>
    <row r="404" spans="1:11" x14ac:dyDescent="0.2">
      <c r="A404" s="2">
        <f ca="1">IFERROR(__xludf.DUMMYFUNCTION("""COMPUTED_VALUE"""),45919.6666666666)</f>
        <v>45919.666666666599</v>
      </c>
      <c r="B404" s="10"/>
      <c r="C404">
        <v>4230</v>
      </c>
      <c r="D404">
        <v>4250</v>
      </c>
      <c r="E404">
        <v>4180</v>
      </c>
      <c r="F404">
        <v>4250</v>
      </c>
      <c r="G404">
        <v>211373200</v>
      </c>
      <c r="H404" s="8">
        <f t="shared" si="24"/>
        <v>0</v>
      </c>
      <c r="I404" s="8">
        <f t="shared" si="25"/>
        <v>-0.25110132158590309</v>
      </c>
      <c r="J404" s="13">
        <f t="shared" si="22"/>
        <v>4079.5</v>
      </c>
      <c r="K404" s="13">
        <f t="shared" si="23"/>
        <v>3961</v>
      </c>
    </row>
    <row r="405" spans="1:11" x14ac:dyDescent="0.2">
      <c r="A405" s="2">
        <f ca="1">IFERROR(__xludf.DUMMYFUNCTION("""COMPUTED_VALUE"""),45922.6666666666)</f>
        <v>45922.666666666599</v>
      </c>
      <c r="B405" s="10"/>
      <c r="C405">
        <v>4250</v>
      </c>
      <c r="D405">
        <v>4250</v>
      </c>
      <c r="E405">
        <v>4110</v>
      </c>
      <c r="F405">
        <v>4160</v>
      </c>
      <c r="G405">
        <v>157592800</v>
      </c>
      <c r="H405" s="8">
        <f t="shared" si="24"/>
        <v>-2.1176470588235293E-2</v>
      </c>
      <c r="I405" s="8">
        <f t="shared" si="25"/>
        <v>-0.2669603524229075</v>
      </c>
      <c r="J405" s="13">
        <f t="shared" si="22"/>
        <v>4082.5</v>
      </c>
      <c r="K405" s="13">
        <f t="shared" si="23"/>
        <v>3966.8</v>
      </c>
    </row>
    <row r="406" spans="1:11" x14ac:dyDescent="0.2">
      <c r="A406" s="2">
        <f ca="1">IFERROR(__xludf.DUMMYFUNCTION("""COMPUTED_VALUE"""),45923.6666666666)</f>
        <v>45923.666666666599</v>
      </c>
      <c r="B406" s="10"/>
      <c r="C406">
        <v>4120</v>
      </c>
      <c r="D406">
        <v>4170</v>
      </c>
      <c r="E406">
        <v>4110</v>
      </c>
      <c r="F406">
        <v>4140</v>
      </c>
      <c r="G406">
        <v>110771700</v>
      </c>
      <c r="H406" s="8">
        <f t="shared" si="24"/>
        <v>-4.807692307692308E-3</v>
      </c>
      <c r="I406" s="8">
        <f t="shared" si="25"/>
        <v>-0.27048458149779736</v>
      </c>
      <c r="J406" s="13">
        <f t="shared" ref="J406:J469" si="26">AVERAGE(F387:F406)</f>
        <v>4079</v>
      </c>
      <c r="K406" s="13">
        <f t="shared" si="23"/>
        <v>3972</v>
      </c>
    </row>
    <row r="407" spans="1:11" x14ac:dyDescent="0.2">
      <c r="A407" s="2">
        <f ca="1">IFERROR(__xludf.DUMMYFUNCTION("""COMPUTED_VALUE"""),45924.6666666666)</f>
        <v>45924.666666666599</v>
      </c>
      <c r="B407" s="10"/>
      <c r="C407">
        <v>4140</v>
      </c>
      <c r="D407">
        <v>4170</v>
      </c>
      <c r="E407">
        <v>4100</v>
      </c>
      <c r="F407">
        <v>4170</v>
      </c>
      <c r="G407">
        <v>124591600</v>
      </c>
      <c r="H407" s="8">
        <f t="shared" si="24"/>
        <v>7.246376811594203E-3</v>
      </c>
      <c r="I407" s="8">
        <f t="shared" si="25"/>
        <v>-0.26519823788546254</v>
      </c>
      <c r="J407" s="13">
        <f t="shared" si="26"/>
        <v>4079</v>
      </c>
      <c r="K407" s="13">
        <f t="shared" si="23"/>
        <v>3979.8</v>
      </c>
    </row>
    <row r="408" spans="1:11" x14ac:dyDescent="0.2">
      <c r="A408" s="2">
        <f ca="1">IFERROR(__xludf.DUMMYFUNCTION("""COMPUTED_VALUE"""),45925.6666666666)</f>
        <v>45925.666666666599</v>
      </c>
      <c r="B408" s="10"/>
      <c r="C408">
        <v>4170</v>
      </c>
      <c r="D408">
        <v>4170</v>
      </c>
      <c r="E408">
        <v>4050</v>
      </c>
      <c r="F408">
        <v>4070</v>
      </c>
      <c r="G408">
        <v>129656800</v>
      </c>
      <c r="H408" s="8">
        <f t="shared" si="24"/>
        <v>-2.3980815347721823E-2</v>
      </c>
      <c r="I408" s="8">
        <f t="shared" si="25"/>
        <v>-0.28281938325991191</v>
      </c>
      <c r="J408" s="13">
        <f t="shared" si="26"/>
        <v>4076</v>
      </c>
      <c r="K408" s="13">
        <f t="shared" si="23"/>
        <v>3983.6</v>
      </c>
    </row>
    <row r="409" spans="1:11" x14ac:dyDescent="0.2">
      <c r="A409" s="2">
        <f ca="1">IFERROR(__xludf.DUMMYFUNCTION("""COMPUTED_VALUE"""),45926.6666666666)</f>
        <v>45926.666666666599</v>
      </c>
      <c r="B409" s="10"/>
      <c r="C409">
        <v>4050</v>
      </c>
      <c r="D409">
        <v>4080</v>
      </c>
      <c r="E409">
        <v>4000</v>
      </c>
      <c r="F409">
        <v>4040</v>
      </c>
      <c r="G409">
        <v>146229200</v>
      </c>
      <c r="H409" s="8">
        <f t="shared" si="24"/>
        <v>-7.3710073710073713E-3</v>
      </c>
      <c r="I409" s="8">
        <f t="shared" si="25"/>
        <v>-0.28810572687224667</v>
      </c>
      <c r="J409" s="13">
        <f t="shared" si="26"/>
        <v>4071</v>
      </c>
      <c r="K409" s="13">
        <f t="shared" si="23"/>
        <v>3986.8</v>
      </c>
    </row>
    <row r="410" spans="1:11" x14ac:dyDescent="0.2">
      <c r="A410" s="2">
        <f ca="1">IFERROR(__xludf.DUMMYFUNCTION("""COMPUTED_VALUE"""),45929.6666666666)</f>
        <v>45929.666666666599</v>
      </c>
      <c r="B410" s="10"/>
      <c r="C410">
        <v>4040</v>
      </c>
      <c r="D410">
        <v>4040</v>
      </c>
      <c r="E410">
        <v>3960</v>
      </c>
      <c r="F410">
        <v>3980</v>
      </c>
      <c r="G410">
        <v>126611800</v>
      </c>
      <c r="H410" s="8">
        <f t="shared" si="24"/>
        <v>-1.4851485148514851E-2</v>
      </c>
      <c r="I410" s="8">
        <f t="shared" si="25"/>
        <v>-0.29867841409691631</v>
      </c>
      <c r="J410" s="13">
        <f t="shared" si="26"/>
        <v>4067.5</v>
      </c>
      <c r="K410" s="13">
        <f t="shared" si="23"/>
        <v>3988.6</v>
      </c>
    </row>
    <row r="411" spans="1:11" x14ac:dyDescent="0.2">
      <c r="A411" s="2">
        <f ca="1">IFERROR(__xludf.DUMMYFUNCTION("""COMPUTED_VALUE"""),45930.6666666666)</f>
        <v>45930.666666666599</v>
      </c>
      <c r="B411" s="10"/>
      <c r="C411">
        <v>3980</v>
      </c>
      <c r="D411">
        <v>3980</v>
      </c>
      <c r="E411">
        <v>3900</v>
      </c>
      <c r="F411">
        <v>3900</v>
      </c>
      <c r="G411">
        <v>217357100</v>
      </c>
      <c r="H411" s="8">
        <f t="shared" si="24"/>
        <v>-2.0100502512562814E-2</v>
      </c>
      <c r="I411" s="8">
        <f t="shared" si="25"/>
        <v>-0.31277533039647576</v>
      </c>
      <c r="J411" s="13">
        <f t="shared" si="26"/>
        <v>4063.5</v>
      </c>
      <c r="K411" s="13">
        <f t="shared" si="23"/>
        <v>3989.4</v>
      </c>
    </row>
    <row r="412" spans="1:11" x14ac:dyDescent="0.2">
      <c r="A412" s="2">
        <f ca="1">IFERROR(__xludf.DUMMYFUNCTION("""COMPUTED_VALUE"""),45931.6666666666)</f>
        <v>45931.666666666599</v>
      </c>
      <c r="B412" s="10"/>
      <c r="C412">
        <v>3860</v>
      </c>
      <c r="D412">
        <v>3940</v>
      </c>
      <c r="E412">
        <v>3800</v>
      </c>
      <c r="F412">
        <v>3810</v>
      </c>
      <c r="G412">
        <v>223133600</v>
      </c>
      <c r="H412" s="8">
        <f t="shared" si="24"/>
        <v>-2.3076923076923078E-2</v>
      </c>
      <c r="I412" s="8">
        <f t="shared" si="25"/>
        <v>-0.32863436123348017</v>
      </c>
      <c r="J412" s="13">
        <f t="shared" si="26"/>
        <v>4056</v>
      </c>
      <c r="K412" s="13">
        <f t="shared" si="23"/>
        <v>3989</v>
      </c>
    </row>
    <row r="413" spans="1:11" x14ac:dyDescent="0.2">
      <c r="A413" s="2">
        <f ca="1">IFERROR(__xludf.DUMMYFUNCTION("""COMPUTED_VALUE"""),45932.6666666666)</f>
        <v>45932.666666666599</v>
      </c>
      <c r="B413" s="10"/>
      <c r="C413">
        <v>3760</v>
      </c>
      <c r="D413">
        <v>3790</v>
      </c>
      <c r="E413">
        <v>3710</v>
      </c>
      <c r="F413">
        <v>3710</v>
      </c>
      <c r="G413">
        <v>379620000</v>
      </c>
      <c r="H413" s="8">
        <f t="shared" si="24"/>
        <v>-2.6246719160104987E-2</v>
      </c>
      <c r="I413" s="8">
        <f t="shared" si="25"/>
        <v>-0.34625550660792953</v>
      </c>
      <c r="J413" s="13">
        <f t="shared" si="26"/>
        <v>4040</v>
      </c>
      <c r="K413" s="13">
        <f t="shared" si="23"/>
        <v>3986.4</v>
      </c>
    </row>
    <row r="414" spans="1:11" x14ac:dyDescent="0.2">
      <c r="A414" s="2">
        <f ca="1">IFERROR(__xludf.DUMMYFUNCTION("""COMPUTED_VALUE"""),45933.6666666666)</f>
        <v>45933.666666666599</v>
      </c>
      <c r="B414" s="10"/>
      <c r="C414">
        <v>3710</v>
      </c>
      <c r="D414">
        <v>3750</v>
      </c>
      <c r="E414">
        <v>3680</v>
      </c>
      <c r="F414">
        <v>3690</v>
      </c>
      <c r="G414">
        <v>214737100</v>
      </c>
      <c r="H414" s="8">
        <f t="shared" si="24"/>
        <v>-5.3908355795148251E-3</v>
      </c>
      <c r="I414" s="8">
        <f t="shared" si="25"/>
        <v>-0.34977973568281939</v>
      </c>
      <c r="J414" s="13">
        <f t="shared" si="26"/>
        <v>4024.5</v>
      </c>
      <c r="K414" s="13">
        <f t="shared" si="23"/>
        <v>3984.2</v>
      </c>
    </row>
    <row r="415" spans="1:11" x14ac:dyDescent="0.2">
      <c r="A415" s="2">
        <f ca="1">IFERROR(__xludf.DUMMYFUNCTION("""COMPUTED_VALUE"""),45936.6666666666)</f>
        <v>45936.666666666599</v>
      </c>
      <c r="B415" s="10"/>
      <c r="C415">
        <v>3700</v>
      </c>
      <c r="D415">
        <v>3740</v>
      </c>
      <c r="E415">
        <v>3640</v>
      </c>
      <c r="F415">
        <v>3660</v>
      </c>
      <c r="G415">
        <v>190283900</v>
      </c>
      <c r="H415" s="8">
        <f t="shared" si="24"/>
        <v>-8.130081300813009E-3</v>
      </c>
      <c r="I415" s="8">
        <f t="shared" si="25"/>
        <v>-0.35506607929515416</v>
      </c>
      <c r="J415" s="13">
        <f t="shared" si="26"/>
        <v>4012.5</v>
      </c>
      <c r="K415" s="13">
        <f t="shared" si="23"/>
        <v>3978.4</v>
      </c>
    </row>
    <row r="416" spans="1:11" x14ac:dyDescent="0.2">
      <c r="A416" s="2">
        <f ca="1">IFERROR(__xludf.DUMMYFUNCTION("""COMPUTED_VALUE"""),45937.6666666666)</f>
        <v>45937.666666666599</v>
      </c>
      <c r="B416" s="10"/>
      <c r="C416">
        <v>3690</v>
      </c>
      <c r="D416">
        <v>3720</v>
      </c>
      <c r="E416">
        <v>3670</v>
      </c>
      <c r="F416">
        <v>3710</v>
      </c>
      <c r="G416">
        <v>155933000</v>
      </c>
      <c r="H416" s="8">
        <f t="shared" si="24"/>
        <v>1.3661202185792349E-2</v>
      </c>
      <c r="I416" s="8">
        <f t="shared" si="25"/>
        <v>-0.34625550660792953</v>
      </c>
      <c r="J416" s="13">
        <f t="shared" si="26"/>
        <v>4008.5</v>
      </c>
      <c r="K416" s="13">
        <f t="shared" si="23"/>
        <v>3975</v>
      </c>
    </row>
    <row r="417" spans="1:11" x14ac:dyDescent="0.2">
      <c r="A417" s="2">
        <f ca="1">IFERROR(__xludf.DUMMYFUNCTION("""COMPUTED_VALUE"""),45938.6666666666)</f>
        <v>45938.666666666599</v>
      </c>
      <c r="B417" s="10"/>
      <c r="C417">
        <v>3730</v>
      </c>
      <c r="D417">
        <v>3740</v>
      </c>
      <c r="E417">
        <v>3670</v>
      </c>
      <c r="F417">
        <v>3720</v>
      </c>
      <c r="G417">
        <v>148263700</v>
      </c>
      <c r="H417" s="8">
        <f t="shared" si="24"/>
        <v>2.6954177897574125E-3</v>
      </c>
      <c r="I417" s="8">
        <f t="shared" si="25"/>
        <v>-0.34449339207048457</v>
      </c>
      <c r="J417" s="13">
        <f t="shared" si="26"/>
        <v>4000.5</v>
      </c>
      <c r="K417" s="13">
        <f t="shared" si="23"/>
        <v>3970.6</v>
      </c>
    </row>
    <row r="418" spans="1:11" x14ac:dyDescent="0.2">
      <c r="A418" s="2">
        <f ca="1">IFERROR(__xludf.DUMMYFUNCTION("""COMPUTED_VALUE"""),45939.6666666666)</f>
        <v>45939.666666666599</v>
      </c>
      <c r="B418" s="10"/>
      <c r="C418">
        <v>3690</v>
      </c>
      <c r="D418">
        <v>3930</v>
      </c>
      <c r="E418">
        <v>3640</v>
      </c>
      <c r="F418">
        <v>3860</v>
      </c>
      <c r="G418">
        <v>479239500</v>
      </c>
      <c r="H418" s="8">
        <f t="shared" si="24"/>
        <v>3.7634408602150539E-2</v>
      </c>
      <c r="I418" s="8">
        <f t="shared" si="25"/>
        <v>-0.31982378854625548</v>
      </c>
      <c r="J418" s="13">
        <f t="shared" si="26"/>
        <v>3989.5</v>
      </c>
      <c r="K418" s="13">
        <f t="shared" si="23"/>
        <v>3969.4</v>
      </c>
    </row>
    <row r="419" spans="1:11" x14ac:dyDescent="0.2">
      <c r="A419" s="2">
        <f ca="1">IFERROR(__xludf.DUMMYFUNCTION("""COMPUTED_VALUE"""),45940.6666666666)</f>
        <v>45940.666666666599</v>
      </c>
      <c r="B419" s="10"/>
      <c r="C419">
        <v>3790</v>
      </c>
      <c r="D419">
        <v>3790</v>
      </c>
      <c r="E419">
        <v>3690</v>
      </c>
      <c r="F419">
        <v>3730</v>
      </c>
      <c r="G419">
        <v>277252300</v>
      </c>
      <c r="H419" s="8">
        <f t="shared" si="24"/>
        <v>-3.367875647668394E-2</v>
      </c>
      <c r="I419" s="8">
        <f t="shared" si="25"/>
        <v>-0.34273127753303967</v>
      </c>
      <c r="J419" s="13">
        <f t="shared" si="26"/>
        <v>3967</v>
      </c>
      <c r="K419" s="13">
        <f t="shared" si="23"/>
        <v>3968.4</v>
      </c>
    </row>
    <row r="420" spans="1:11" x14ac:dyDescent="0.2">
      <c r="A420" s="2">
        <f ca="1">IFERROR(__xludf.DUMMYFUNCTION("""COMPUTED_VALUE"""),45943.6666666666)</f>
        <v>45943.666666666599</v>
      </c>
      <c r="B420" s="10"/>
      <c r="C420">
        <v>3680</v>
      </c>
      <c r="D420">
        <v>3710</v>
      </c>
      <c r="E420">
        <v>3660</v>
      </c>
      <c r="F420">
        <v>3660</v>
      </c>
      <c r="G420">
        <v>181694400</v>
      </c>
      <c r="H420" s="8">
        <f t="shared" si="24"/>
        <v>-1.876675603217158E-2</v>
      </c>
      <c r="I420" s="8">
        <f t="shared" si="25"/>
        <v>-0.35506607929515416</v>
      </c>
      <c r="J420" s="13">
        <f t="shared" si="26"/>
        <v>3943</v>
      </c>
      <c r="K420" s="13">
        <f t="shared" si="23"/>
        <v>3967.4</v>
      </c>
    </row>
    <row r="421" spans="1:11" x14ac:dyDescent="0.2">
      <c r="A421" s="2">
        <f ca="1">IFERROR(__xludf.DUMMYFUNCTION("""COMPUTED_VALUE"""),45944.6666666666)</f>
        <v>45944.666666666599</v>
      </c>
      <c r="B421" s="10"/>
      <c r="C421">
        <v>3640</v>
      </c>
      <c r="D421">
        <v>3690</v>
      </c>
      <c r="E421">
        <v>3550</v>
      </c>
      <c r="F421">
        <v>3550</v>
      </c>
      <c r="G421">
        <v>278639100</v>
      </c>
      <c r="H421" s="8">
        <f t="shared" si="24"/>
        <v>-3.0054644808743168E-2</v>
      </c>
      <c r="I421" s="8">
        <f t="shared" si="25"/>
        <v>-0.37444933920704848</v>
      </c>
      <c r="J421" s="13">
        <f t="shared" si="26"/>
        <v>3914</v>
      </c>
      <c r="K421" s="13">
        <f t="shared" si="23"/>
        <v>3963.6</v>
      </c>
    </row>
    <row r="422" spans="1:11" x14ac:dyDescent="0.2">
      <c r="A422" s="2">
        <f ca="1">IFERROR(__xludf.DUMMYFUNCTION("""COMPUTED_VALUE"""),45945.6666666666)</f>
        <v>45945.666666666599</v>
      </c>
      <c r="B422" s="10"/>
      <c r="C422">
        <v>3570</v>
      </c>
      <c r="D422">
        <v>3590</v>
      </c>
      <c r="E422">
        <v>3450</v>
      </c>
      <c r="F422">
        <v>3500</v>
      </c>
      <c r="G422">
        <v>468733500</v>
      </c>
      <c r="H422" s="8">
        <f t="shared" si="24"/>
        <v>-1.4084507042253521E-2</v>
      </c>
      <c r="I422" s="8">
        <f t="shared" si="25"/>
        <v>-0.38325991189427311</v>
      </c>
      <c r="J422" s="13">
        <f t="shared" si="26"/>
        <v>3878</v>
      </c>
      <c r="K422" s="13">
        <f t="shared" si="23"/>
        <v>3959.4</v>
      </c>
    </row>
    <row r="423" spans="1:11" x14ac:dyDescent="0.2">
      <c r="A423" s="2">
        <f ca="1">IFERROR(__xludf.DUMMYFUNCTION("""COMPUTED_VALUE"""),45946.6666666666)</f>
        <v>45946.666666666599</v>
      </c>
      <c r="B423" s="10"/>
      <c r="C423">
        <v>3500</v>
      </c>
      <c r="D423">
        <v>3580</v>
      </c>
      <c r="E423">
        <v>3480</v>
      </c>
      <c r="F423">
        <v>3530</v>
      </c>
      <c r="G423">
        <v>227629500</v>
      </c>
      <c r="H423" s="8">
        <f t="shared" si="24"/>
        <v>8.5714285714285719E-3</v>
      </c>
      <c r="I423" s="8">
        <f t="shared" si="25"/>
        <v>-0.37797356828193834</v>
      </c>
      <c r="J423" s="13">
        <f t="shared" si="26"/>
        <v>3842</v>
      </c>
      <c r="K423" s="13">
        <f t="shared" si="23"/>
        <v>3955.2</v>
      </c>
    </row>
    <row r="424" spans="1:11" x14ac:dyDescent="0.2">
      <c r="A424" s="2">
        <f ca="1">IFERROR(__xludf.DUMMYFUNCTION("""COMPUTED_VALUE"""),45947.6666666666)</f>
        <v>45947.666666666599</v>
      </c>
      <c r="B424" s="10"/>
      <c r="C424">
        <v>3530</v>
      </c>
      <c r="D424">
        <v>3570</v>
      </c>
      <c r="E424">
        <v>3490</v>
      </c>
      <c r="F424">
        <v>3500</v>
      </c>
      <c r="G424">
        <v>244442400</v>
      </c>
      <c r="H424" s="8">
        <f t="shared" si="24"/>
        <v>-8.4985835694051E-3</v>
      </c>
      <c r="I424" s="8">
        <f t="shared" si="25"/>
        <v>-0.38325991189427311</v>
      </c>
      <c r="J424" s="13">
        <f t="shared" si="26"/>
        <v>3804.5</v>
      </c>
      <c r="K424" s="13">
        <f t="shared" si="23"/>
        <v>3951</v>
      </c>
    </row>
    <row r="425" spans="1:11" x14ac:dyDescent="0.2">
      <c r="A425" s="2">
        <f ca="1">IFERROR(__xludf.DUMMYFUNCTION("""COMPUTED_VALUE"""),45950.6666666666)</f>
        <v>45950.666666666599</v>
      </c>
      <c r="B425" s="10"/>
      <c r="C425">
        <v>3550</v>
      </c>
      <c r="D425">
        <v>3730</v>
      </c>
      <c r="E425">
        <v>3540</v>
      </c>
      <c r="F425">
        <v>3680</v>
      </c>
      <c r="G425">
        <v>391510300</v>
      </c>
      <c r="H425" s="8">
        <f t="shared" si="24"/>
        <v>5.1428571428571428E-2</v>
      </c>
      <c r="I425" s="8">
        <f t="shared" si="25"/>
        <v>-0.3515418502202643</v>
      </c>
      <c r="J425" s="13">
        <f t="shared" si="26"/>
        <v>3780.5</v>
      </c>
      <c r="K425" s="13">
        <f t="shared" si="23"/>
        <v>3950.4</v>
      </c>
    </row>
    <row r="426" spans="1:11" x14ac:dyDescent="0.2">
      <c r="A426" s="2">
        <f ca="1">IFERROR(__xludf.DUMMYFUNCTION("""COMPUTED_VALUE"""),45951.6666666666)</f>
        <v>45951.666666666599</v>
      </c>
      <c r="B426" s="10"/>
      <c r="C426">
        <v>3780</v>
      </c>
      <c r="D426">
        <v>3790</v>
      </c>
      <c r="E426">
        <v>3710</v>
      </c>
      <c r="F426">
        <v>3760</v>
      </c>
      <c r="G426">
        <v>293000200</v>
      </c>
      <c r="H426" s="8">
        <f t="shared" si="24"/>
        <v>2.1739130434782608E-2</v>
      </c>
      <c r="I426" s="8">
        <f t="shared" si="25"/>
        <v>-0.33744493392070485</v>
      </c>
      <c r="J426" s="13">
        <f t="shared" si="26"/>
        <v>3761.5</v>
      </c>
      <c r="K426" s="13">
        <f t="shared" si="23"/>
        <v>3951.6</v>
      </c>
    </row>
    <row r="427" spans="1:11" x14ac:dyDescent="0.2">
      <c r="A427" s="2">
        <f ca="1">IFERROR(__xludf.DUMMYFUNCTION("""COMPUTED_VALUE"""),45952.6666666666)</f>
        <v>45952.666666666599</v>
      </c>
      <c r="B427" s="10"/>
      <c r="C427">
        <v>3790</v>
      </c>
      <c r="D427">
        <v>3820</v>
      </c>
      <c r="E427">
        <v>3680</v>
      </c>
      <c r="F427">
        <v>3700</v>
      </c>
      <c r="G427">
        <v>329470700</v>
      </c>
      <c r="H427" s="8">
        <f t="shared" si="24"/>
        <v>-1.5957446808510637E-2</v>
      </c>
      <c r="I427" s="8">
        <f t="shared" si="25"/>
        <v>-0.34801762114537443</v>
      </c>
      <c r="J427" s="13">
        <f t="shared" si="26"/>
        <v>3738</v>
      </c>
      <c r="K427" s="13">
        <f t="shared" si="23"/>
        <v>3949.4</v>
      </c>
    </row>
    <row r="428" spans="1:11" x14ac:dyDescent="0.2">
      <c r="A428" s="2">
        <f ca="1">IFERROR(__xludf.DUMMYFUNCTION("""COMPUTED_VALUE"""),45953.6666666666)</f>
        <v>45953.666666666599</v>
      </c>
      <c r="B428" s="10"/>
      <c r="C428">
        <v>3720</v>
      </c>
      <c r="D428">
        <v>3820</v>
      </c>
      <c r="E428">
        <v>3700</v>
      </c>
      <c r="F428">
        <v>3820</v>
      </c>
      <c r="G428">
        <v>225902700</v>
      </c>
      <c r="H428" s="8">
        <f t="shared" si="24"/>
        <v>3.2432432432432434E-2</v>
      </c>
      <c r="I428" s="8">
        <f t="shared" si="25"/>
        <v>-0.32687224669603526</v>
      </c>
      <c r="J428" s="13">
        <f t="shared" si="26"/>
        <v>3725.5</v>
      </c>
      <c r="K428" s="13">
        <f t="shared" si="23"/>
        <v>3944.8</v>
      </c>
    </row>
    <row r="429" spans="1:11" x14ac:dyDescent="0.2">
      <c r="A429" s="2">
        <f ca="1">IFERROR(__xludf.DUMMYFUNCTION("""COMPUTED_VALUE"""),45954.6666666666)</f>
        <v>45954.666666666599</v>
      </c>
      <c r="B429" s="10"/>
      <c r="C429">
        <v>3820</v>
      </c>
      <c r="D429">
        <v>3910</v>
      </c>
      <c r="E429">
        <v>3820</v>
      </c>
      <c r="F429">
        <v>3850</v>
      </c>
      <c r="G429">
        <v>313903600</v>
      </c>
      <c r="H429" s="8">
        <f t="shared" si="24"/>
        <v>7.8534031413612562E-3</v>
      </c>
      <c r="I429" s="8">
        <f t="shared" si="25"/>
        <v>-0.32158590308370044</v>
      </c>
      <c r="J429" s="13">
        <f t="shared" si="26"/>
        <v>3716</v>
      </c>
      <c r="K429" s="13">
        <f t="shared" si="23"/>
        <v>3940.2</v>
      </c>
    </row>
    <row r="430" spans="1:11" x14ac:dyDescent="0.2">
      <c r="A430" s="2">
        <f ca="1">IFERROR(__xludf.DUMMYFUNCTION("""COMPUTED_VALUE"""),45957.6666666666)</f>
        <v>45957.666666666599</v>
      </c>
      <c r="B430" s="10"/>
      <c r="C430">
        <v>3880</v>
      </c>
      <c r="D430">
        <v>3930</v>
      </c>
      <c r="E430">
        <v>3750</v>
      </c>
      <c r="F430">
        <v>3860</v>
      </c>
      <c r="G430">
        <v>332539600</v>
      </c>
      <c r="H430" s="8">
        <f t="shared" si="24"/>
        <v>2.5974025974025974E-3</v>
      </c>
      <c r="I430" s="8">
        <f t="shared" si="25"/>
        <v>-0.31982378854625548</v>
      </c>
      <c r="J430" s="13">
        <f t="shared" si="26"/>
        <v>3710</v>
      </c>
      <c r="K430" s="13">
        <f t="shared" si="23"/>
        <v>3936.2</v>
      </c>
    </row>
    <row r="431" spans="1:11" x14ac:dyDescent="0.2">
      <c r="A431" s="2">
        <f ca="1">IFERROR(__xludf.DUMMYFUNCTION("""COMPUTED_VALUE"""),45958.6666666666)</f>
        <v>45958.666666666599</v>
      </c>
      <c r="B431" s="10"/>
      <c r="C431">
        <v>3850</v>
      </c>
      <c r="D431">
        <v>3860</v>
      </c>
      <c r="E431">
        <v>3780</v>
      </c>
      <c r="F431">
        <v>3850</v>
      </c>
      <c r="G431">
        <v>239026800</v>
      </c>
      <c r="H431" s="8">
        <f t="shared" si="24"/>
        <v>-2.5906735751295338E-3</v>
      </c>
      <c r="I431" s="8">
        <f t="shared" si="25"/>
        <v>-0.32158590308370044</v>
      </c>
      <c r="J431" s="13">
        <f t="shared" si="26"/>
        <v>3707.5</v>
      </c>
      <c r="K431" s="13">
        <f t="shared" si="23"/>
        <v>3930.8</v>
      </c>
    </row>
    <row r="432" spans="1:11" x14ac:dyDescent="0.2">
      <c r="A432" s="2">
        <f ca="1">IFERROR(__xludf.DUMMYFUNCTION("""COMPUTED_VALUE"""),45959.6666666666)</f>
        <v>45959.666666666599</v>
      </c>
      <c r="B432" s="10"/>
      <c r="C432">
        <v>3830</v>
      </c>
      <c r="D432">
        <v>3890</v>
      </c>
      <c r="E432">
        <v>3790</v>
      </c>
      <c r="F432">
        <v>3890</v>
      </c>
      <c r="G432">
        <v>215008600</v>
      </c>
      <c r="H432" s="8">
        <f t="shared" si="24"/>
        <v>1.038961038961039E-2</v>
      </c>
      <c r="I432" s="8">
        <f t="shared" si="25"/>
        <v>-0.31453744493392072</v>
      </c>
      <c r="J432" s="13">
        <f t="shared" si="26"/>
        <v>3711.5</v>
      </c>
      <c r="K432" s="13">
        <f t="shared" si="23"/>
        <v>3927.8</v>
      </c>
    </row>
    <row r="433" spans="1:11" x14ac:dyDescent="0.2">
      <c r="A433" s="2">
        <f ca="1">IFERROR(__xludf.DUMMYFUNCTION("""COMPUTED_VALUE"""),45960.6666666666)</f>
        <v>45960.666666666599</v>
      </c>
      <c r="B433" s="10"/>
      <c r="C433">
        <v>3900</v>
      </c>
      <c r="D433">
        <v>3990</v>
      </c>
      <c r="E433">
        <v>3870</v>
      </c>
      <c r="F433">
        <v>3910</v>
      </c>
      <c r="G433">
        <v>287905300</v>
      </c>
      <c r="H433" s="8">
        <f t="shared" si="24"/>
        <v>5.1413881748071976E-3</v>
      </c>
      <c r="I433" s="8">
        <f t="shared" si="25"/>
        <v>-0.31101321585903086</v>
      </c>
      <c r="J433" s="13">
        <f t="shared" si="26"/>
        <v>3721.5</v>
      </c>
      <c r="K433" s="13">
        <f t="shared" si="23"/>
        <v>3923</v>
      </c>
    </row>
    <row r="434" spans="1:11" x14ac:dyDescent="0.2">
      <c r="A434" s="2">
        <f ca="1">IFERROR(__xludf.DUMMYFUNCTION("""COMPUTED_VALUE"""),45961.6666666666)</f>
        <v>45961.666666666599</v>
      </c>
      <c r="B434" s="10"/>
      <c r="C434">
        <v>3930</v>
      </c>
      <c r="D434">
        <v>4020</v>
      </c>
      <c r="E434">
        <v>3920</v>
      </c>
      <c r="F434">
        <v>3980</v>
      </c>
      <c r="G434">
        <v>348755700</v>
      </c>
      <c r="H434" s="8">
        <f t="shared" si="24"/>
        <v>1.7902813299232736E-2</v>
      </c>
      <c r="I434" s="8">
        <f t="shared" si="25"/>
        <v>-0.29867841409691631</v>
      </c>
      <c r="J434" s="13">
        <f t="shared" si="26"/>
        <v>3736</v>
      </c>
      <c r="K434" s="13">
        <f t="shared" si="23"/>
        <v>3919.6</v>
      </c>
    </row>
    <row r="435" spans="1:11" x14ac:dyDescent="0.2">
      <c r="A435" s="2">
        <f ca="1">IFERROR(__xludf.DUMMYFUNCTION("""COMPUTED_VALUE"""),45964.6666666666)</f>
        <v>45964.666666666599</v>
      </c>
      <c r="B435" s="10"/>
      <c r="C435">
        <v>4050</v>
      </c>
      <c r="D435">
        <v>4050</v>
      </c>
      <c r="E435">
        <v>4010</v>
      </c>
      <c r="F435">
        <v>4040</v>
      </c>
      <c r="G435">
        <v>163770500</v>
      </c>
      <c r="H435" s="8">
        <f t="shared" si="24"/>
        <v>1.507537688442211E-2</v>
      </c>
      <c r="I435" s="8">
        <f t="shared" si="25"/>
        <v>-0.28810572687224667</v>
      </c>
      <c r="J435" s="13">
        <f t="shared" si="26"/>
        <v>3755</v>
      </c>
      <c r="K435" s="13">
        <f t="shared" si="23"/>
        <v>3918.4</v>
      </c>
    </row>
    <row r="436" spans="1:11" x14ac:dyDescent="0.2">
      <c r="A436" s="2">
        <f ca="1">IFERROR(__xludf.DUMMYFUNCTION("""COMPUTED_VALUE"""),45965.6666666666)</f>
        <v>45965.666666666599</v>
      </c>
      <c r="B436" s="10"/>
      <c r="C436">
        <v>4030</v>
      </c>
      <c r="D436">
        <v>4050</v>
      </c>
      <c r="E436">
        <v>3970</v>
      </c>
      <c r="F436">
        <v>3970</v>
      </c>
      <c r="G436">
        <v>241154700</v>
      </c>
      <c r="H436" s="8">
        <f t="shared" si="24"/>
        <v>-1.7326732673267328E-2</v>
      </c>
      <c r="I436" s="8">
        <f t="shared" si="25"/>
        <v>-0.30044052863436121</v>
      </c>
      <c r="J436" s="13">
        <f t="shared" si="26"/>
        <v>3768</v>
      </c>
      <c r="K436" s="13">
        <f t="shared" ref="K436:K474" si="27">AVERAGE(F387:F436)</f>
        <v>3913.6</v>
      </c>
    </row>
    <row r="437" spans="1:11" x14ac:dyDescent="0.2">
      <c r="A437" s="2">
        <f ca="1">IFERROR(__xludf.DUMMYFUNCTION("""COMPUTED_VALUE"""),45966.6666666666)</f>
        <v>45966.666666666599</v>
      </c>
      <c r="B437" s="10"/>
      <c r="C437">
        <v>3940</v>
      </c>
      <c r="D437">
        <v>3990</v>
      </c>
      <c r="E437">
        <v>3910</v>
      </c>
      <c r="F437">
        <v>3980</v>
      </c>
      <c r="G437">
        <v>139859100</v>
      </c>
      <c r="H437" s="8">
        <f t="shared" si="24"/>
        <v>2.5188916876574307E-3</v>
      </c>
      <c r="I437" s="8">
        <f t="shared" si="25"/>
        <v>-0.29867841409691631</v>
      </c>
      <c r="J437" s="13">
        <f t="shared" si="26"/>
        <v>3781</v>
      </c>
      <c r="K437" s="13">
        <f t="shared" si="27"/>
        <v>3909.8</v>
      </c>
    </row>
    <row r="438" spans="1:11" x14ac:dyDescent="0.2">
      <c r="A438" s="2">
        <f ca="1">IFERROR(__xludf.DUMMYFUNCTION("""COMPUTED_VALUE"""),45967.6666666666)</f>
        <v>45967.666666666599</v>
      </c>
      <c r="B438" s="10"/>
      <c r="C438">
        <v>3980</v>
      </c>
      <c r="D438">
        <v>4010</v>
      </c>
      <c r="E438">
        <v>3950</v>
      </c>
      <c r="F438">
        <v>4000</v>
      </c>
      <c r="G438">
        <v>130808100</v>
      </c>
      <c r="H438" s="8">
        <f t="shared" si="24"/>
        <v>5.0251256281407036E-3</v>
      </c>
      <c r="I438" s="8">
        <f t="shared" si="25"/>
        <v>-0.29515418502202645</v>
      </c>
      <c r="J438" s="13">
        <f t="shared" si="26"/>
        <v>3788</v>
      </c>
      <c r="K438" s="13">
        <f t="shared" si="27"/>
        <v>3907.2</v>
      </c>
    </row>
    <row r="439" spans="1:11" x14ac:dyDescent="0.2">
      <c r="A439" s="2">
        <f ca="1">IFERROR(__xludf.DUMMYFUNCTION("""COMPUTED_VALUE"""),45968.6666666666)</f>
        <v>45968.666666666599</v>
      </c>
      <c r="B439" s="10"/>
      <c r="C439">
        <v>4000</v>
      </c>
      <c r="D439">
        <v>4010</v>
      </c>
      <c r="E439">
        <v>3980</v>
      </c>
      <c r="F439">
        <v>3980</v>
      </c>
      <c r="G439">
        <v>87287600</v>
      </c>
      <c r="H439" s="8">
        <f t="shared" si="24"/>
        <v>-5.0000000000000001E-3</v>
      </c>
      <c r="I439" s="8">
        <f t="shared" si="25"/>
        <v>-0.29867841409691631</v>
      </c>
      <c r="J439" s="13">
        <f t="shared" si="26"/>
        <v>3800.5</v>
      </c>
      <c r="K439" s="13">
        <f t="shared" si="27"/>
        <v>3904</v>
      </c>
    </row>
    <row r="440" spans="1:11" x14ac:dyDescent="0.2">
      <c r="A440" s="2">
        <f ca="1">IFERROR(__xludf.DUMMYFUNCTION("""COMPUTED_VALUE"""),45971.6666666666)</f>
        <v>45971.666666666599</v>
      </c>
      <c r="B440" s="10"/>
      <c r="C440">
        <v>4010</v>
      </c>
      <c r="D440">
        <v>4020</v>
      </c>
      <c r="E440">
        <v>3930</v>
      </c>
      <c r="F440">
        <v>3930</v>
      </c>
      <c r="G440">
        <v>148552900</v>
      </c>
      <c r="H440" s="8">
        <f t="shared" si="24"/>
        <v>-1.2562814070351759E-2</v>
      </c>
      <c r="I440" s="8">
        <f t="shared" si="25"/>
        <v>-0.30748898678414099</v>
      </c>
      <c r="J440" s="13">
        <f t="shared" si="26"/>
        <v>3814</v>
      </c>
      <c r="K440" s="13">
        <f t="shared" si="27"/>
        <v>3901.6</v>
      </c>
    </row>
    <row r="441" spans="1:11" x14ac:dyDescent="0.2">
      <c r="A441" s="2">
        <f ca="1">IFERROR(__xludf.DUMMYFUNCTION("""COMPUTED_VALUE"""),45972.6666666666)</f>
        <v>45972.666666666599</v>
      </c>
      <c r="B441" s="10"/>
      <c r="C441">
        <v>3940</v>
      </c>
      <c r="D441">
        <v>3960</v>
      </c>
      <c r="E441">
        <v>3860</v>
      </c>
      <c r="F441">
        <v>3890</v>
      </c>
      <c r="G441">
        <v>179000200</v>
      </c>
      <c r="H441" s="8">
        <f t="shared" si="24"/>
        <v>-1.0178117048346057E-2</v>
      </c>
      <c r="I441" s="8">
        <f t="shared" si="25"/>
        <v>-0.31453744493392072</v>
      </c>
      <c r="J441" s="13">
        <f t="shared" si="26"/>
        <v>3831</v>
      </c>
      <c r="K441" s="13">
        <f t="shared" si="27"/>
        <v>3899.8</v>
      </c>
    </row>
    <row r="442" spans="1:11" x14ac:dyDescent="0.2">
      <c r="A442" s="2">
        <f ca="1">IFERROR(__xludf.DUMMYFUNCTION("""COMPUTED_VALUE"""),45973.6666666666)</f>
        <v>45973.666666666599</v>
      </c>
      <c r="B442" s="10"/>
      <c r="C442">
        <v>3890</v>
      </c>
      <c r="D442">
        <v>3950</v>
      </c>
      <c r="E442">
        <v>3890</v>
      </c>
      <c r="F442">
        <v>3900</v>
      </c>
      <c r="G442">
        <v>111115400</v>
      </c>
      <c r="H442" s="8">
        <f t="shared" si="24"/>
        <v>2.5706940874035988E-3</v>
      </c>
      <c r="I442" s="8">
        <f t="shared" si="25"/>
        <v>-0.31277533039647576</v>
      </c>
      <c r="J442" s="13">
        <f t="shared" si="26"/>
        <v>3851</v>
      </c>
      <c r="K442" s="13">
        <f t="shared" si="27"/>
        <v>3898.6</v>
      </c>
    </row>
    <row r="443" spans="1:11" x14ac:dyDescent="0.2">
      <c r="A443" s="2">
        <f ca="1">IFERROR(__xludf.DUMMYFUNCTION("""COMPUTED_VALUE"""),45974.6666666666)</f>
        <v>45974.666666666599</v>
      </c>
      <c r="B443" s="10"/>
      <c r="C443">
        <v>3900</v>
      </c>
      <c r="D443">
        <v>3910</v>
      </c>
      <c r="E443">
        <v>3870</v>
      </c>
      <c r="F443">
        <v>3870</v>
      </c>
      <c r="G443">
        <v>99373200</v>
      </c>
      <c r="H443" s="8">
        <f t="shared" si="24"/>
        <v>-7.6923076923076927E-3</v>
      </c>
      <c r="I443" s="8">
        <f t="shared" si="25"/>
        <v>-0.31806167400881058</v>
      </c>
      <c r="J443" s="13">
        <f t="shared" si="26"/>
        <v>3868</v>
      </c>
      <c r="K443" s="13">
        <f t="shared" si="27"/>
        <v>3895.4</v>
      </c>
    </row>
    <row r="444" spans="1:11" x14ac:dyDescent="0.2">
      <c r="A444" s="2">
        <f ca="1">IFERROR(__xludf.DUMMYFUNCTION("""COMPUTED_VALUE"""),45975.6666666666)</f>
        <v>45975.666666666599</v>
      </c>
      <c r="B444" s="10"/>
      <c r="C444">
        <v>3860</v>
      </c>
      <c r="D444">
        <v>3930</v>
      </c>
      <c r="E444">
        <v>3860</v>
      </c>
      <c r="F444">
        <v>3900</v>
      </c>
      <c r="G444">
        <v>100717300</v>
      </c>
      <c r="H444" s="8">
        <f t="shared" si="24"/>
        <v>7.7519379844961239E-3</v>
      </c>
      <c r="I444" s="8">
        <f t="shared" si="25"/>
        <v>-0.31277533039647576</v>
      </c>
      <c r="J444" s="13">
        <f t="shared" si="26"/>
        <v>3888</v>
      </c>
      <c r="K444" s="13">
        <f t="shared" si="27"/>
        <v>3893.4</v>
      </c>
    </row>
    <row r="445" spans="1:11" x14ac:dyDescent="0.2">
      <c r="A445" s="2">
        <f ca="1">IFERROR(__xludf.DUMMYFUNCTION("""COMPUTED_VALUE"""),45978.6666666666)</f>
        <v>45978.666666666599</v>
      </c>
      <c r="B445" s="10"/>
      <c r="C445">
        <v>3880</v>
      </c>
      <c r="D445">
        <v>3950</v>
      </c>
      <c r="E445">
        <v>3880</v>
      </c>
      <c r="F445">
        <v>3940</v>
      </c>
      <c r="G445">
        <v>140868100</v>
      </c>
      <c r="H445" s="8">
        <f t="shared" si="24"/>
        <v>1.0256410256410256E-2</v>
      </c>
      <c r="I445" s="8">
        <f t="shared" si="25"/>
        <v>-0.30572687224669604</v>
      </c>
      <c r="J445" s="13">
        <f t="shared" si="26"/>
        <v>3901</v>
      </c>
      <c r="K445" s="13">
        <f t="shared" si="27"/>
        <v>3894.2</v>
      </c>
    </row>
    <row r="446" spans="1:11" x14ac:dyDescent="0.2">
      <c r="A446" s="2">
        <f ca="1">IFERROR(__xludf.DUMMYFUNCTION("""COMPUTED_VALUE"""),45979.6666666666)</f>
        <v>45979.666666666599</v>
      </c>
      <c r="B446" s="10"/>
      <c r="C446">
        <v>3950</v>
      </c>
      <c r="D446">
        <v>3990</v>
      </c>
      <c r="E446">
        <v>3930</v>
      </c>
      <c r="F446">
        <v>3970</v>
      </c>
      <c r="G446">
        <v>205257700</v>
      </c>
      <c r="H446" s="8">
        <f t="shared" si="24"/>
        <v>7.6142131979695434E-3</v>
      </c>
      <c r="I446" s="8">
        <f t="shared" si="25"/>
        <v>-0.30044052863436121</v>
      </c>
      <c r="J446" s="13">
        <f t="shared" si="26"/>
        <v>3911.5</v>
      </c>
      <c r="K446" s="13">
        <f t="shared" si="27"/>
        <v>3897.8</v>
      </c>
    </row>
    <row r="447" spans="1:11" x14ac:dyDescent="0.2">
      <c r="A447" s="2">
        <f ca="1">IFERROR(__xludf.DUMMYFUNCTION("""COMPUTED_VALUE"""),45980.6666666666)</f>
        <v>45980.666666666599</v>
      </c>
      <c r="B447" s="10"/>
      <c r="C447">
        <v>3990</v>
      </c>
      <c r="D447">
        <v>4000</v>
      </c>
      <c r="E447">
        <v>3970</v>
      </c>
      <c r="F447">
        <v>4000</v>
      </c>
      <c r="G447">
        <v>107451000</v>
      </c>
      <c r="H447" s="8">
        <f t="shared" si="24"/>
        <v>7.556675062972292E-3</v>
      </c>
      <c r="I447" s="8">
        <f t="shared" si="25"/>
        <v>-0.29515418502202645</v>
      </c>
      <c r="J447" s="13">
        <f t="shared" si="26"/>
        <v>3926.5</v>
      </c>
      <c r="K447" s="13">
        <f t="shared" si="27"/>
        <v>3900.2</v>
      </c>
    </row>
    <row r="448" spans="1:11" x14ac:dyDescent="0.2">
      <c r="A448" s="2">
        <f ca="1">IFERROR(__xludf.DUMMYFUNCTION("""COMPUTED_VALUE"""),45981.6666666666)</f>
        <v>45981.666666666599</v>
      </c>
      <c r="B448" s="10"/>
      <c r="C448">
        <v>4020</v>
      </c>
      <c r="D448">
        <v>4050</v>
      </c>
      <c r="E448">
        <v>3990</v>
      </c>
      <c r="F448">
        <v>3990</v>
      </c>
      <c r="G448">
        <v>183008400</v>
      </c>
      <c r="H448" s="8">
        <f t="shared" si="24"/>
        <v>-2.5000000000000001E-3</v>
      </c>
      <c r="I448" s="8">
        <f t="shared" si="25"/>
        <v>-0.29691629955947135</v>
      </c>
      <c r="J448" s="13">
        <f t="shared" si="26"/>
        <v>3935</v>
      </c>
      <c r="K448" s="13">
        <f t="shared" si="27"/>
        <v>3898.4</v>
      </c>
    </row>
    <row r="449" spans="1:11" x14ac:dyDescent="0.2">
      <c r="A449" s="2">
        <f ca="1">IFERROR(__xludf.DUMMYFUNCTION("""COMPUTED_VALUE"""),45982.6666666666)</f>
        <v>45982.666666666599</v>
      </c>
      <c r="B449" s="10"/>
      <c r="C449">
        <v>3980</v>
      </c>
      <c r="D449">
        <v>4000</v>
      </c>
      <c r="E449">
        <v>3940</v>
      </c>
      <c r="F449">
        <v>3960</v>
      </c>
      <c r="G449">
        <v>112666100</v>
      </c>
      <c r="H449" s="8">
        <f t="shared" si="24"/>
        <v>-7.5187969924812026E-3</v>
      </c>
      <c r="I449" s="8">
        <f t="shared" si="25"/>
        <v>-0.30220264317180617</v>
      </c>
      <c r="J449" s="13">
        <f t="shared" si="26"/>
        <v>3940.5</v>
      </c>
      <c r="K449" s="13">
        <f t="shared" si="27"/>
        <v>3894</v>
      </c>
    </row>
    <row r="450" spans="1:11" x14ac:dyDescent="0.2">
      <c r="A450" s="2">
        <f ca="1">IFERROR(__xludf.DUMMYFUNCTION("""COMPUTED_VALUE"""),45985.6666666666)</f>
        <v>45985.666666666599</v>
      </c>
      <c r="B450" s="10"/>
      <c r="C450">
        <v>4000</v>
      </c>
      <c r="D450">
        <v>4000</v>
      </c>
      <c r="E450">
        <v>3940</v>
      </c>
      <c r="F450">
        <v>3980</v>
      </c>
      <c r="G450">
        <v>262302000</v>
      </c>
      <c r="H450" s="8">
        <f t="shared" si="24"/>
        <v>5.0505050505050509E-3</v>
      </c>
      <c r="I450" s="8">
        <f t="shared" si="25"/>
        <v>-0.29867841409691631</v>
      </c>
      <c r="J450" s="13">
        <f t="shared" si="26"/>
        <v>3946.5</v>
      </c>
      <c r="K450" s="13">
        <f t="shared" si="27"/>
        <v>3890.8</v>
      </c>
    </row>
    <row r="451" spans="1:11" x14ac:dyDescent="0.2">
      <c r="A451" s="2">
        <f ca="1">IFERROR(__xludf.DUMMYFUNCTION("""COMPUTED_VALUE"""),45986.6666666666)</f>
        <v>45986.666666666599</v>
      </c>
      <c r="B451" s="10"/>
      <c r="C451">
        <v>3980</v>
      </c>
      <c r="D451">
        <v>3980</v>
      </c>
      <c r="E451">
        <v>3830</v>
      </c>
      <c r="F451">
        <v>3830</v>
      </c>
      <c r="G451">
        <v>396959100</v>
      </c>
      <c r="H451" s="8">
        <f t="shared" si="24"/>
        <v>-3.7688442211055273E-2</v>
      </c>
      <c r="I451" s="8">
        <f t="shared" si="25"/>
        <v>-0.3251101321585903</v>
      </c>
      <c r="J451" s="13">
        <f t="shared" si="26"/>
        <v>3945.5</v>
      </c>
      <c r="K451" s="13">
        <f t="shared" si="27"/>
        <v>3884.8</v>
      </c>
    </row>
    <row r="452" spans="1:11" x14ac:dyDescent="0.2">
      <c r="A452" s="2">
        <f ca="1">IFERROR(__xludf.DUMMYFUNCTION("""COMPUTED_VALUE"""),45987.6666666666)</f>
        <v>45987.666666666599</v>
      </c>
      <c r="B452" s="10"/>
      <c r="C452">
        <v>3800</v>
      </c>
      <c r="D452">
        <v>3830</v>
      </c>
      <c r="E452">
        <v>3780</v>
      </c>
      <c r="F452">
        <v>3790</v>
      </c>
      <c r="G452">
        <v>288419400</v>
      </c>
      <c r="H452" s="8">
        <f t="shared" ref="H452:H474" si="28">(F452-F451)/F451</f>
        <v>-1.0443864229765013E-2</v>
      </c>
      <c r="I452" s="8">
        <f t="shared" ref="I452:I474" si="29">(F452-$F$2)/$F$2</f>
        <v>-0.33215859030837003</v>
      </c>
      <c r="J452" s="13">
        <f t="shared" si="26"/>
        <v>3940.5</v>
      </c>
      <c r="K452" s="13">
        <f t="shared" si="27"/>
        <v>3876.2</v>
      </c>
    </row>
    <row r="453" spans="1:11" x14ac:dyDescent="0.2">
      <c r="A453" s="2">
        <f ca="1">IFERROR(__xludf.DUMMYFUNCTION("""COMPUTED_VALUE"""),45988.6666666666)</f>
        <v>45988.666666666599</v>
      </c>
      <c r="B453" s="10"/>
      <c r="C453">
        <v>3800</v>
      </c>
      <c r="D453">
        <v>3810</v>
      </c>
      <c r="E453">
        <v>3720</v>
      </c>
      <c r="F453">
        <v>3740</v>
      </c>
      <c r="G453">
        <v>283451800</v>
      </c>
      <c r="H453" s="8">
        <f t="shared" si="28"/>
        <v>-1.3192612137203167E-2</v>
      </c>
      <c r="I453" s="8">
        <f t="shared" si="29"/>
        <v>-0.34096916299559471</v>
      </c>
      <c r="J453" s="13">
        <f t="shared" si="26"/>
        <v>3932</v>
      </c>
      <c r="K453" s="13">
        <f t="shared" si="27"/>
        <v>3866</v>
      </c>
    </row>
    <row r="454" spans="1:11" x14ac:dyDescent="0.2">
      <c r="A454" s="2">
        <f ca="1">IFERROR(__xludf.DUMMYFUNCTION("""COMPUTED_VALUE"""),45989.6666666666)</f>
        <v>45989.666666666599</v>
      </c>
      <c r="B454" s="10"/>
      <c r="C454">
        <v>3710</v>
      </c>
      <c r="D454">
        <v>3750</v>
      </c>
      <c r="E454">
        <v>3680</v>
      </c>
      <c r="F454">
        <v>3680</v>
      </c>
      <c r="G454">
        <v>353872800</v>
      </c>
      <c r="H454" s="8">
        <f t="shared" si="28"/>
        <v>-1.6042780748663103E-2</v>
      </c>
      <c r="I454" s="8">
        <f t="shared" si="29"/>
        <v>-0.3515418502202643</v>
      </c>
      <c r="J454" s="13">
        <f t="shared" si="26"/>
        <v>3917</v>
      </c>
      <c r="K454" s="13">
        <f t="shared" si="27"/>
        <v>3854.6</v>
      </c>
    </row>
    <row r="455" spans="1:11" x14ac:dyDescent="0.2">
      <c r="A455" s="2">
        <f ca="1">IFERROR(__xludf.DUMMYFUNCTION("""COMPUTED_VALUE"""),45992.6666666666)</f>
        <v>45992.666666666599</v>
      </c>
      <c r="B455" s="10"/>
      <c r="C455">
        <v>3680</v>
      </c>
      <c r="D455">
        <v>3730</v>
      </c>
      <c r="E455">
        <v>3660</v>
      </c>
      <c r="F455">
        <v>3670</v>
      </c>
      <c r="G455">
        <v>299669500</v>
      </c>
      <c r="H455" s="8">
        <f t="shared" si="28"/>
        <v>-2.717391304347826E-3</v>
      </c>
      <c r="I455" s="8">
        <f t="shared" si="29"/>
        <v>-0.35330396475770925</v>
      </c>
      <c r="J455" s="13">
        <f t="shared" si="26"/>
        <v>3898.5</v>
      </c>
      <c r="K455" s="13">
        <f t="shared" si="27"/>
        <v>3844.8</v>
      </c>
    </row>
    <row r="456" spans="1:11" x14ac:dyDescent="0.2">
      <c r="A456" s="2">
        <f ca="1">IFERROR(__xludf.DUMMYFUNCTION("""COMPUTED_VALUE"""),45993.6666666666)</f>
        <v>45993.666666666599</v>
      </c>
      <c r="B456" s="10"/>
      <c r="C456">
        <v>3690</v>
      </c>
      <c r="D456">
        <v>3730</v>
      </c>
      <c r="E456">
        <v>3670</v>
      </c>
      <c r="F456">
        <v>3710</v>
      </c>
      <c r="G456">
        <v>277714300</v>
      </c>
      <c r="H456" s="8">
        <f t="shared" si="28"/>
        <v>1.0899182561307902E-2</v>
      </c>
      <c r="I456" s="8">
        <f t="shared" si="29"/>
        <v>-0.34625550660792953</v>
      </c>
      <c r="J456" s="13">
        <f t="shared" si="26"/>
        <v>3885.5</v>
      </c>
      <c r="K456" s="13">
        <f t="shared" si="27"/>
        <v>3836.2</v>
      </c>
    </row>
    <row r="457" spans="1:11" x14ac:dyDescent="0.2">
      <c r="A457" s="2">
        <f ca="1">IFERROR(__xludf.DUMMYFUNCTION("""COMPUTED_VALUE"""),45994.6666666666)</f>
        <v>45994.666666666599</v>
      </c>
      <c r="B457" s="10"/>
      <c r="C457">
        <v>3690</v>
      </c>
      <c r="D457">
        <v>3700</v>
      </c>
      <c r="E457">
        <v>3660</v>
      </c>
      <c r="F457">
        <v>3660</v>
      </c>
      <c r="G457">
        <v>225357100</v>
      </c>
      <c r="H457" s="8">
        <f t="shared" si="28"/>
        <v>-1.3477088948787063E-2</v>
      </c>
      <c r="I457" s="8">
        <f t="shared" si="29"/>
        <v>-0.35506607929515416</v>
      </c>
      <c r="J457" s="13">
        <f t="shared" si="26"/>
        <v>3869.5</v>
      </c>
      <c r="K457" s="13">
        <f t="shared" si="27"/>
        <v>3826</v>
      </c>
    </row>
    <row r="458" spans="1:11" x14ac:dyDescent="0.2">
      <c r="A458" s="2">
        <f ca="1">IFERROR(__xludf.DUMMYFUNCTION("""COMPUTED_VALUE"""),45995.6666666666)</f>
        <v>45995.666666666599</v>
      </c>
      <c r="B458" s="10"/>
      <c r="C458">
        <v>3660</v>
      </c>
      <c r="D458">
        <v>3690</v>
      </c>
      <c r="E458">
        <v>3650</v>
      </c>
      <c r="F458">
        <v>3690</v>
      </c>
      <c r="G458">
        <v>221121100</v>
      </c>
      <c r="H458" s="8">
        <f t="shared" si="28"/>
        <v>8.1967213114754103E-3</v>
      </c>
      <c r="I458" s="8">
        <f t="shared" si="29"/>
        <v>-0.34977973568281939</v>
      </c>
      <c r="J458" s="13">
        <f t="shared" si="26"/>
        <v>3854</v>
      </c>
      <c r="K458" s="13">
        <f t="shared" si="27"/>
        <v>3818.4</v>
      </c>
    </row>
    <row r="459" spans="1:11" x14ac:dyDescent="0.2">
      <c r="A459" s="2">
        <f ca="1">IFERROR(__xludf.DUMMYFUNCTION("""COMPUTED_VALUE"""),45996.6666666666)</f>
        <v>45996.666666666599</v>
      </c>
      <c r="B459" s="10"/>
      <c r="C459">
        <v>3700</v>
      </c>
      <c r="D459">
        <v>3700</v>
      </c>
      <c r="E459">
        <v>3650</v>
      </c>
      <c r="F459">
        <v>3650</v>
      </c>
      <c r="G459">
        <v>156161100</v>
      </c>
      <c r="H459" s="8">
        <f t="shared" si="28"/>
        <v>-1.0840108401084011E-2</v>
      </c>
      <c r="I459" s="8">
        <f t="shared" si="29"/>
        <v>-0.35682819383259912</v>
      </c>
      <c r="J459" s="13">
        <f t="shared" si="26"/>
        <v>3837.5</v>
      </c>
      <c r="K459" s="13">
        <f t="shared" si="27"/>
        <v>3810.6</v>
      </c>
    </row>
    <row r="460" spans="1:11" x14ac:dyDescent="0.2">
      <c r="A460" s="2">
        <f ca="1">IFERROR(__xludf.DUMMYFUNCTION("""COMPUTED_VALUE"""),45999.6666666666)</f>
        <v>45999.666666666599</v>
      </c>
      <c r="B460" s="10"/>
      <c r="C460">
        <v>3680</v>
      </c>
      <c r="D460">
        <v>3690</v>
      </c>
      <c r="E460">
        <v>3660</v>
      </c>
      <c r="F460">
        <v>3670</v>
      </c>
      <c r="G460">
        <v>124094700</v>
      </c>
      <c r="H460" s="8">
        <f t="shared" si="28"/>
        <v>5.4794520547945206E-3</v>
      </c>
      <c r="I460" s="8">
        <f t="shared" si="29"/>
        <v>-0.35330396475770925</v>
      </c>
      <c r="J460" s="13">
        <f t="shared" si="26"/>
        <v>3824.5</v>
      </c>
      <c r="K460" s="13">
        <f t="shared" si="27"/>
        <v>3804.4</v>
      </c>
    </row>
    <row r="461" spans="1:11" x14ac:dyDescent="0.2">
      <c r="A461" s="2">
        <f ca="1">IFERROR(__xludf.DUMMYFUNCTION("""COMPUTED_VALUE"""),46000.6666666666)</f>
        <v>46000.666666666599</v>
      </c>
      <c r="B461" s="10"/>
      <c r="C461">
        <v>3700</v>
      </c>
      <c r="D461">
        <v>3700</v>
      </c>
      <c r="E461">
        <v>3650</v>
      </c>
      <c r="F461">
        <v>3680</v>
      </c>
      <c r="G461">
        <v>201089800</v>
      </c>
      <c r="H461" s="8">
        <f t="shared" si="28"/>
        <v>2.7247956403269754E-3</v>
      </c>
      <c r="I461" s="8">
        <f t="shared" si="29"/>
        <v>-0.3515418502202643</v>
      </c>
      <c r="J461" s="13">
        <f t="shared" si="26"/>
        <v>3814</v>
      </c>
      <c r="K461" s="13">
        <f t="shared" si="27"/>
        <v>3800</v>
      </c>
    </row>
    <row r="462" spans="1:11" x14ac:dyDescent="0.2">
      <c r="A462" s="2">
        <f ca="1">IFERROR(__xludf.DUMMYFUNCTION("""COMPUTED_VALUE"""),46001.6666666666)</f>
        <v>46001.666666666599</v>
      </c>
      <c r="B462" s="10"/>
      <c r="C462">
        <v>3680</v>
      </c>
      <c r="D462">
        <v>3680</v>
      </c>
      <c r="E462">
        <v>3650</v>
      </c>
      <c r="F462">
        <v>3660</v>
      </c>
      <c r="G462">
        <v>172677700</v>
      </c>
      <c r="H462" s="8">
        <f t="shared" si="28"/>
        <v>-5.434782608695652E-3</v>
      </c>
      <c r="I462" s="8">
        <f t="shared" si="29"/>
        <v>-0.35506607929515416</v>
      </c>
      <c r="J462" s="13">
        <f t="shared" si="26"/>
        <v>3802</v>
      </c>
      <c r="K462" s="13">
        <f t="shared" si="27"/>
        <v>3797</v>
      </c>
    </row>
    <row r="463" spans="1:11" x14ac:dyDescent="0.2">
      <c r="A463" s="2">
        <f ca="1">IFERROR(__xludf.DUMMYFUNCTION("""COMPUTED_VALUE"""),46002.6666666666)</f>
        <v>46002.666666666599</v>
      </c>
      <c r="B463" s="10"/>
      <c r="C463">
        <v>3680</v>
      </c>
      <c r="D463">
        <v>3700</v>
      </c>
      <c r="E463">
        <v>3580</v>
      </c>
      <c r="F463">
        <v>3620</v>
      </c>
      <c r="G463">
        <v>327591200</v>
      </c>
      <c r="H463" s="8">
        <f t="shared" si="28"/>
        <v>-1.092896174863388E-2</v>
      </c>
      <c r="I463" s="8">
        <f t="shared" si="29"/>
        <v>-0.36211453744493394</v>
      </c>
      <c r="J463" s="13">
        <f t="shared" si="26"/>
        <v>3789.5</v>
      </c>
      <c r="K463" s="13">
        <f t="shared" si="27"/>
        <v>3795.2</v>
      </c>
    </row>
    <row r="464" spans="1:11" x14ac:dyDescent="0.2">
      <c r="A464" s="2">
        <f ca="1">IFERROR(__xludf.DUMMYFUNCTION("""COMPUTED_VALUE"""),46003.6666666666)</f>
        <v>46003.666666666599</v>
      </c>
      <c r="B464" s="10"/>
      <c r="C464">
        <v>3640</v>
      </c>
      <c r="D464">
        <v>3640</v>
      </c>
      <c r="E464">
        <v>3580</v>
      </c>
      <c r="F464">
        <v>3630</v>
      </c>
      <c r="G464">
        <v>169747600</v>
      </c>
      <c r="H464" s="8">
        <f t="shared" si="28"/>
        <v>2.7624309392265192E-3</v>
      </c>
      <c r="I464" s="8">
        <f t="shared" si="29"/>
        <v>-0.36035242290748898</v>
      </c>
      <c r="J464" s="13">
        <f t="shared" si="26"/>
        <v>3776</v>
      </c>
      <c r="K464" s="13">
        <f t="shared" si="27"/>
        <v>3794</v>
      </c>
    </row>
    <row r="465" spans="1:11" x14ac:dyDescent="0.2">
      <c r="A465" s="2">
        <f ca="1">IFERROR(__xludf.DUMMYFUNCTION("""COMPUTED_VALUE"""),46006.6666666666)</f>
        <v>46006.666666666599</v>
      </c>
      <c r="B465" s="10"/>
      <c r="C465">
        <v>3650</v>
      </c>
      <c r="D465">
        <v>3810</v>
      </c>
      <c r="E465">
        <v>3630</v>
      </c>
      <c r="F465">
        <v>3780</v>
      </c>
      <c r="G465">
        <v>312694100</v>
      </c>
      <c r="H465" s="8">
        <f t="shared" si="28"/>
        <v>4.1322314049586778E-2</v>
      </c>
      <c r="I465" s="8">
        <f t="shared" si="29"/>
        <v>-0.33392070484581499</v>
      </c>
      <c r="J465" s="13">
        <f t="shared" si="26"/>
        <v>3768</v>
      </c>
      <c r="K465" s="13">
        <f t="shared" si="27"/>
        <v>3796.4</v>
      </c>
    </row>
    <row r="466" spans="1:11" x14ac:dyDescent="0.2">
      <c r="A466" s="2">
        <f ca="1">IFERROR(__xludf.DUMMYFUNCTION("""COMPUTED_VALUE"""),46007.6666666666)</f>
        <v>46007.666666666599</v>
      </c>
      <c r="B466" s="10"/>
      <c r="C466">
        <v>3800</v>
      </c>
      <c r="D466">
        <v>3810</v>
      </c>
      <c r="E466">
        <v>3680</v>
      </c>
      <c r="F466">
        <v>3690</v>
      </c>
      <c r="G466">
        <v>237949900</v>
      </c>
      <c r="H466" s="8">
        <f t="shared" si="28"/>
        <v>-2.3809523809523808E-2</v>
      </c>
      <c r="I466" s="8">
        <f t="shared" si="29"/>
        <v>-0.34977973568281939</v>
      </c>
      <c r="J466" s="13">
        <f t="shared" si="26"/>
        <v>3754</v>
      </c>
      <c r="K466" s="13">
        <f t="shared" si="27"/>
        <v>3796</v>
      </c>
    </row>
    <row r="467" spans="1:11" x14ac:dyDescent="0.2">
      <c r="A467" s="2">
        <f ca="1">IFERROR(__xludf.DUMMYFUNCTION("""COMPUTED_VALUE"""),46008.6666666666)</f>
        <v>46008.666666666599</v>
      </c>
      <c r="B467" s="10"/>
      <c r="C467">
        <v>3690</v>
      </c>
      <c r="D467">
        <v>3780</v>
      </c>
      <c r="E467">
        <v>3680</v>
      </c>
      <c r="F467">
        <v>3750</v>
      </c>
      <c r="G467">
        <v>273544100</v>
      </c>
      <c r="H467" s="8">
        <f t="shared" si="28"/>
        <v>1.6260162601626018E-2</v>
      </c>
      <c r="I467" s="8">
        <f t="shared" si="29"/>
        <v>-0.33920704845814981</v>
      </c>
      <c r="J467" s="13">
        <f t="shared" si="26"/>
        <v>3741.5</v>
      </c>
      <c r="K467" s="13">
        <f t="shared" si="27"/>
        <v>3796.6</v>
      </c>
    </row>
    <row r="468" spans="1:11" x14ac:dyDescent="0.2">
      <c r="A468" s="2">
        <f ca="1">IFERROR(__xludf.DUMMYFUNCTION("""COMPUTED_VALUE"""),46009.6666666666)</f>
        <v>46009.666666666599</v>
      </c>
      <c r="B468" s="10"/>
      <c r="C468">
        <v>3750</v>
      </c>
      <c r="D468">
        <v>3820</v>
      </c>
      <c r="E468">
        <v>3750</v>
      </c>
      <c r="F468">
        <v>3780</v>
      </c>
      <c r="G468">
        <v>262527300</v>
      </c>
      <c r="H468" s="8">
        <f t="shared" si="28"/>
        <v>8.0000000000000002E-3</v>
      </c>
      <c r="I468" s="8">
        <f t="shared" si="29"/>
        <v>-0.33392070484581499</v>
      </c>
      <c r="J468" s="13">
        <f t="shared" si="26"/>
        <v>3731</v>
      </c>
      <c r="K468" s="13">
        <f t="shared" si="27"/>
        <v>3795</v>
      </c>
    </row>
    <row r="469" spans="1:11" x14ac:dyDescent="0.2">
      <c r="A469" s="2">
        <f ca="1">IFERROR(__xludf.DUMMYFUNCTION("""COMPUTED_VALUE"""),46010.6666666666)</f>
        <v>46010.666666666599</v>
      </c>
      <c r="B469" s="10"/>
      <c r="C469">
        <v>3800</v>
      </c>
      <c r="D469">
        <v>3810</v>
      </c>
      <c r="E469">
        <v>3760</v>
      </c>
      <c r="F469">
        <v>3770</v>
      </c>
      <c r="G469">
        <v>228583500</v>
      </c>
      <c r="H469" s="8">
        <f t="shared" si="28"/>
        <v>-2.6455026455026454E-3</v>
      </c>
      <c r="I469" s="8">
        <f t="shared" si="29"/>
        <v>-0.33568281938325989</v>
      </c>
      <c r="J469" s="13">
        <f t="shared" si="26"/>
        <v>3721.5</v>
      </c>
      <c r="K469" s="13">
        <f t="shared" si="27"/>
        <v>3795.8</v>
      </c>
    </row>
    <row r="470" spans="1:11" x14ac:dyDescent="0.2">
      <c r="A470" s="2">
        <f ca="1">IFERROR(__xludf.DUMMYFUNCTION("""COMPUTED_VALUE"""),46013.6666666666)</f>
        <v>46013.666666666599</v>
      </c>
      <c r="B470" s="10"/>
      <c r="C470">
        <v>3770</v>
      </c>
      <c r="D470">
        <v>3780</v>
      </c>
      <c r="E470">
        <v>3750</v>
      </c>
      <c r="F470">
        <v>3760</v>
      </c>
      <c r="G470">
        <v>161680300</v>
      </c>
      <c r="H470" s="8">
        <f t="shared" si="28"/>
        <v>-2.6525198938992041E-3</v>
      </c>
      <c r="I470" s="8">
        <f t="shared" si="29"/>
        <v>-0.33744493392070485</v>
      </c>
      <c r="J470" s="13">
        <f t="shared" ref="J470:J474" si="30">AVERAGE(F451:F470)</f>
        <v>3710.5</v>
      </c>
      <c r="K470" s="13">
        <f t="shared" si="27"/>
        <v>3797.8</v>
      </c>
    </row>
    <row r="471" spans="1:11" x14ac:dyDescent="0.2">
      <c r="A471" s="2">
        <f ca="1">IFERROR(__xludf.DUMMYFUNCTION("""COMPUTED_VALUE"""),46014.6666666666)</f>
        <v>46014.666666666599</v>
      </c>
      <c r="B471" s="10"/>
      <c r="C471">
        <v>3760</v>
      </c>
      <c r="D471">
        <v>3780</v>
      </c>
      <c r="E471">
        <v>3730</v>
      </c>
      <c r="F471">
        <v>3770</v>
      </c>
      <c r="G471">
        <v>138427000</v>
      </c>
      <c r="H471" s="8">
        <f t="shared" si="28"/>
        <v>2.6595744680851063E-3</v>
      </c>
      <c r="I471" s="8">
        <f t="shared" si="29"/>
        <v>-0.33568281938325989</v>
      </c>
      <c r="J471" s="13">
        <f t="shared" si="30"/>
        <v>3707.5</v>
      </c>
      <c r="K471" s="13">
        <f t="shared" si="27"/>
        <v>3802.2</v>
      </c>
    </row>
    <row r="472" spans="1:11" x14ac:dyDescent="0.2">
      <c r="A472" s="2">
        <f ca="1">IFERROR(__xludf.DUMMYFUNCTION("""COMPUTED_VALUE"""),46015.6666666666)</f>
        <v>46015.666666666599</v>
      </c>
      <c r="B472" s="10"/>
      <c r="C472">
        <v>3770</v>
      </c>
      <c r="D472">
        <v>3790</v>
      </c>
      <c r="E472">
        <v>3750</v>
      </c>
      <c r="F472">
        <v>3770</v>
      </c>
      <c r="G472">
        <v>121073600</v>
      </c>
      <c r="H472" s="8">
        <f t="shared" si="28"/>
        <v>0</v>
      </c>
      <c r="I472" s="8">
        <f t="shared" si="29"/>
        <v>-0.33568281938325989</v>
      </c>
      <c r="J472" s="13">
        <f t="shared" si="30"/>
        <v>3706.5</v>
      </c>
      <c r="K472" s="13">
        <f t="shared" si="27"/>
        <v>3807.6</v>
      </c>
    </row>
    <row r="473" spans="1:11" x14ac:dyDescent="0.2">
      <c r="A473" s="2">
        <f ca="1">IFERROR(__xludf.DUMMYFUNCTION("""COMPUTED_VALUE"""),46020.6666666666)</f>
        <v>46020.666666666599</v>
      </c>
      <c r="B473" s="10"/>
      <c r="C473">
        <v>3780</v>
      </c>
      <c r="D473">
        <v>3790</v>
      </c>
      <c r="E473">
        <v>3760</v>
      </c>
      <c r="F473">
        <v>3780</v>
      </c>
      <c r="G473">
        <v>238061500</v>
      </c>
      <c r="H473" s="8">
        <f t="shared" si="28"/>
        <v>2.6525198938992041E-3</v>
      </c>
      <c r="I473" s="8">
        <f t="shared" si="29"/>
        <v>-0.33392070484581499</v>
      </c>
      <c r="J473" s="13">
        <f t="shared" si="30"/>
        <v>3708.5</v>
      </c>
      <c r="K473" s="13">
        <f t="shared" si="27"/>
        <v>3812.6</v>
      </c>
    </row>
    <row r="474" spans="1:11" x14ac:dyDescent="0.2">
      <c r="A474" s="2">
        <f ca="1">IFERROR(__xludf.DUMMYFUNCTION("""COMPUTED_VALUE"""),46021.6666666666)</f>
        <v>46021.666666666599</v>
      </c>
      <c r="B474" s="10"/>
      <c r="C474">
        <v>3690</v>
      </c>
      <c r="D474">
        <v>3690</v>
      </c>
      <c r="E474">
        <v>3650</v>
      </c>
      <c r="F474">
        <v>3660</v>
      </c>
      <c r="G474">
        <v>274402200</v>
      </c>
      <c r="H474" s="8">
        <f t="shared" si="28"/>
        <v>-3.1746031746031744E-2</v>
      </c>
      <c r="I474" s="8">
        <f t="shared" si="29"/>
        <v>-0.35506607929515416</v>
      </c>
      <c r="J474" s="13">
        <f t="shared" si="30"/>
        <v>3707.5</v>
      </c>
      <c r="K474" s="13">
        <f t="shared" si="27"/>
        <v>3815.8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74"/>
  <sheetViews>
    <sheetView workbookViewId="0">
      <selection activeCell="H2" sqref="H2:I3"/>
    </sheetView>
  </sheetViews>
  <sheetFormatPr defaultColWidth="12.5703125" defaultRowHeight="15.75" customHeight="1" x14ac:dyDescent="0.2"/>
  <cols>
    <col min="1" max="1" width="18.140625" bestFit="1" customWidth="1"/>
  </cols>
  <sheetData>
    <row r="1" spans="1:9" x14ac:dyDescent="0.2">
      <c r="A1" s="1" t="s">
        <v>44</v>
      </c>
      <c r="B1" s="1"/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0</v>
      </c>
    </row>
    <row r="2" spans="1:9" x14ac:dyDescent="0.2">
      <c r="A2" s="2">
        <f ca="1">IFERROR(__xludf.DUMMYFUNCTION("""COMPUTED_VALUE"""),45293.6666666666)</f>
        <v>45293.666666666599</v>
      </c>
      <c r="B2" s="2"/>
      <c r="C2" s="1">
        <v>9400</v>
      </c>
      <c r="D2" s="1">
        <v>9425</v>
      </c>
      <c r="E2" s="1">
        <v>9350</v>
      </c>
      <c r="F2" s="1">
        <v>9425</v>
      </c>
      <c r="G2" s="1">
        <v>30545200</v>
      </c>
      <c r="H2" s="8">
        <v>0</v>
      </c>
      <c r="I2" s="8">
        <v>0</v>
      </c>
    </row>
    <row r="3" spans="1:9" x14ac:dyDescent="0.2">
      <c r="A3" s="2">
        <f ca="1">IFERROR(__xludf.DUMMYFUNCTION("""COMPUTED_VALUE"""),45294.6666666666)</f>
        <v>45294.666666666599</v>
      </c>
      <c r="B3" s="2"/>
      <c r="C3" s="1">
        <v>9425</v>
      </c>
      <c r="D3" s="1">
        <v>9425</v>
      </c>
      <c r="E3" s="1">
        <v>9325</v>
      </c>
      <c r="F3" s="1">
        <v>9350</v>
      </c>
      <c r="G3" s="1">
        <v>34603300</v>
      </c>
      <c r="H3" s="8">
        <f>(F3-F2)/F2</f>
        <v>-7.9575596816976128E-3</v>
      </c>
      <c r="I3" s="8">
        <f>(F3-$F$2)/$F$2</f>
        <v>-7.9575596816976128E-3</v>
      </c>
    </row>
    <row r="4" spans="1:9" x14ac:dyDescent="0.2">
      <c r="A4" s="2">
        <f ca="1">IFERROR(__xludf.DUMMYFUNCTION("""COMPUTED_VALUE"""),45295.6666666666)</f>
        <v>45295.666666666599</v>
      </c>
      <c r="B4" s="2"/>
      <c r="C4" s="1">
        <v>9400</v>
      </c>
      <c r="D4" s="1">
        <v>9475</v>
      </c>
      <c r="E4" s="1">
        <v>9375</v>
      </c>
      <c r="F4" s="1">
        <v>9475</v>
      </c>
      <c r="G4" s="1">
        <v>56501800</v>
      </c>
      <c r="H4" s="8">
        <f t="shared" ref="H4:H67" si="0">(F4-F3)/F3</f>
        <v>1.3368983957219251E-2</v>
      </c>
      <c r="I4" s="8">
        <f t="shared" ref="I4:I67" si="1">(F4-$F$2)/$F$2</f>
        <v>5.3050397877984082E-3</v>
      </c>
    </row>
    <row r="5" spans="1:9" x14ac:dyDescent="0.2">
      <c r="A5" s="2">
        <f ca="1">IFERROR(__xludf.DUMMYFUNCTION("""COMPUTED_VALUE"""),45296.6666666666)</f>
        <v>45296.666666666599</v>
      </c>
      <c r="B5" s="2"/>
      <c r="C5" s="1">
        <v>9500</v>
      </c>
      <c r="D5" s="1">
        <v>9600</v>
      </c>
      <c r="E5" s="1">
        <v>9475</v>
      </c>
      <c r="F5" s="1">
        <v>9575</v>
      </c>
      <c r="G5" s="1">
        <v>85290100</v>
      </c>
      <c r="H5" s="8">
        <f t="shared" si="0"/>
        <v>1.0554089709762533E-2</v>
      </c>
      <c r="I5" s="8">
        <f t="shared" si="1"/>
        <v>1.5915119363395226E-2</v>
      </c>
    </row>
    <row r="6" spans="1:9" x14ac:dyDescent="0.2">
      <c r="A6" s="2">
        <f ca="1">IFERROR(__xludf.DUMMYFUNCTION("""COMPUTED_VALUE"""),45299.6666666666)</f>
        <v>45299.666666666599</v>
      </c>
      <c r="B6" s="2"/>
      <c r="C6" s="1">
        <v>9600</v>
      </c>
      <c r="D6" s="1">
        <v>9625</v>
      </c>
      <c r="E6" s="1">
        <v>9475</v>
      </c>
      <c r="F6" s="1">
        <v>9575</v>
      </c>
      <c r="G6" s="1">
        <v>50896000</v>
      </c>
      <c r="H6" s="8">
        <f t="shared" si="0"/>
        <v>0</v>
      </c>
      <c r="I6" s="8">
        <f t="shared" si="1"/>
        <v>1.5915119363395226E-2</v>
      </c>
    </row>
    <row r="7" spans="1:9" x14ac:dyDescent="0.2">
      <c r="A7" s="2">
        <f ca="1">IFERROR(__xludf.DUMMYFUNCTION("""COMPUTED_VALUE"""),45300.6666666666)</f>
        <v>45300.666666666599</v>
      </c>
      <c r="B7" s="2"/>
      <c r="C7" s="1">
        <v>9600</v>
      </c>
      <c r="D7" s="1">
        <v>9625</v>
      </c>
      <c r="E7" s="1">
        <v>9575</v>
      </c>
      <c r="F7" s="1">
        <v>9625</v>
      </c>
      <c r="G7" s="1">
        <v>59848600</v>
      </c>
      <c r="H7" s="8">
        <f t="shared" si="0"/>
        <v>5.2219321148825066E-3</v>
      </c>
      <c r="I7" s="8">
        <f t="shared" si="1"/>
        <v>2.1220159151193633E-2</v>
      </c>
    </row>
    <row r="8" spans="1:9" x14ac:dyDescent="0.2">
      <c r="A8" s="2">
        <f ca="1">IFERROR(__xludf.DUMMYFUNCTION("""COMPUTED_VALUE"""),45301.6666666666)</f>
        <v>45301.666666666599</v>
      </c>
      <c r="B8" s="2"/>
      <c r="C8" s="1">
        <v>9650</v>
      </c>
      <c r="D8" s="1">
        <v>9650</v>
      </c>
      <c r="E8" s="1">
        <v>9550</v>
      </c>
      <c r="F8" s="1">
        <v>9550</v>
      </c>
      <c r="G8" s="1">
        <v>52774900</v>
      </c>
      <c r="H8" s="8">
        <f t="shared" si="0"/>
        <v>-7.7922077922077922E-3</v>
      </c>
      <c r="I8" s="8">
        <f t="shared" si="1"/>
        <v>1.3262599469496022E-2</v>
      </c>
    </row>
    <row r="9" spans="1:9" x14ac:dyDescent="0.2">
      <c r="A9" s="2">
        <f ca="1">IFERROR(__xludf.DUMMYFUNCTION("""COMPUTED_VALUE"""),45302.6666666666)</f>
        <v>45302.666666666599</v>
      </c>
      <c r="B9" s="2"/>
      <c r="C9" s="1">
        <v>9625</v>
      </c>
      <c r="D9" s="1">
        <v>9650</v>
      </c>
      <c r="E9" s="1">
        <v>9575</v>
      </c>
      <c r="F9" s="1">
        <v>9575</v>
      </c>
      <c r="G9" s="1">
        <v>39381500</v>
      </c>
      <c r="H9" s="8">
        <f t="shared" si="0"/>
        <v>2.617801047120419E-3</v>
      </c>
      <c r="I9" s="8">
        <f t="shared" si="1"/>
        <v>1.5915119363395226E-2</v>
      </c>
    </row>
    <row r="10" spans="1:9" x14ac:dyDescent="0.2">
      <c r="A10" s="2">
        <f ca="1">IFERROR(__xludf.DUMMYFUNCTION("""COMPUTED_VALUE"""),45303.6666666666)</f>
        <v>45303.666666666599</v>
      </c>
      <c r="B10" s="2"/>
      <c r="C10" s="1">
        <v>9650</v>
      </c>
      <c r="D10" s="1">
        <v>9700</v>
      </c>
      <c r="E10" s="1">
        <v>9600</v>
      </c>
      <c r="F10" s="1">
        <v>9700</v>
      </c>
      <c r="G10" s="1">
        <v>68253400</v>
      </c>
      <c r="H10" s="8">
        <f t="shared" si="0"/>
        <v>1.3054830287206266E-2</v>
      </c>
      <c r="I10" s="8">
        <f t="shared" si="1"/>
        <v>2.9177718832891247E-2</v>
      </c>
    </row>
    <row r="11" spans="1:9" x14ac:dyDescent="0.2">
      <c r="A11" s="2">
        <f ca="1">IFERROR(__xludf.DUMMYFUNCTION("""COMPUTED_VALUE"""),45306.6666666666)</f>
        <v>45306.666666666599</v>
      </c>
      <c r="B11" s="2"/>
      <c r="C11" s="1">
        <v>9750</v>
      </c>
      <c r="D11" s="1">
        <v>9750</v>
      </c>
      <c r="E11" s="1">
        <v>9650</v>
      </c>
      <c r="F11" s="1">
        <v>9725</v>
      </c>
      <c r="G11" s="1">
        <v>88399500</v>
      </c>
      <c r="H11" s="8">
        <f t="shared" si="0"/>
        <v>2.5773195876288659E-3</v>
      </c>
      <c r="I11" s="8">
        <f t="shared" si="1"/>
        <v>3.1830238726790451E-2</v>
      </c>
    </row>
    <row r="12" spans="1:9" x14ac:dyDescent="0.2">
      <c r="A12" s="2">
        <f ca="1">IFERROR(__xludf.DUMMYFUNCTION("""COMPUTED_VALUE"""),45307.6666666666)</f>
        <v>45307.666666666599</v>
      </c>
      <c r="B12" s="2"/>
      <c r="C12" s="1">
        <v>9700</v>
      </c>
      <c r="D12" s="1">
        <v>9750</v>
      </c>
      <c r="E12" s="1">
        <v>9675</v>
      </c>
      <c r="F12" s="1">
        <v>9700</v>
      </c>
      <c r="G12" s="1">
        <v>44869200</v>
      </c>
      <c r="H12" s="8">
        <f t="shared" si="0"/>
        <v>-2.5706940874035988E-3</v>
      </c>
      <c r="I12" s="8">
        <f t="shared" si="1"/>
        <v>2.9177718832891247E-2</v>
      </c>
    </row>
    <row r="13" spans="1:9" x14ac:dyDescent="0.2">
      <c r="A13" s="2">
        <f ca="1">IFERROR(__xludf.DUMMYFUNCTION("""COMPUTED_VALUE"""),45308.6666666666)</f>
        <v>45308.666666666599</v>
      </c>
      <c r="B13" s="2"/>
      <c r="C13" s="1">
        <v>9750</v>
      </c>
      <c r="D13" s="1">
        <v>9750</v>
      </c>
      <c r="E13" s="1">
        <v>9650</v>
      </c>
      <c r="F13" s="1">
        <v>9750</v>
      </c>
      <c r="G13" s="1">
        <v>107706100</v>
      </c>
      <c r="H13" s="8">
        <f t="shared" si="0"/>
        <v>5.1546391752577319E-3</v>
      </c>
      <c r="I13" s="8">
        <f t="shared" si="1"/>
        <v>3.4482758620689655E-2</v>
      </c>
    </row>
    <row r="14" spans="1:9" x14ac:dyDescent="0.2">
      <c r="A14" s="2">
        <f ca="1">IFERROR(__xludf.DUMMYFUNCTION("""COMPUTED_VALUE"""),45309.6666666666)</f>
        <v>45309.666666666599</v>
      </c>
      <c r="B14" s="2"/>
      <c r="C14" s="1">
        <v>9675</v>
      </c>
      <c r="D14" s="1">
        <v>9750</v>
      </c>
      <c r="E14" s="1">
        <v>9625</v>
      </c>
      <c r="F14" s="1">
        <v>9675</v>
      </c>
      <c r="G14" s="1">
        <v>71048900</v>
      </c>
      <c r="H14" s="8">
        <f t="shared" si="0"/>
        <v>-7.6923076923076927E-3</v>
      </c>
      <c r="I14" s="8">
        <f t="shared" si="1"/>
        <v>2.6525198938992044E-2</v>
      </c>
    </row>
    <row r="15" spans="1:9" x14ac:dyDescent="0.2">
      <c r="A15" s="2">
        <f ca="1">IFERROR(__xludf.DUMMYFUNCTION("""COMPUTED_VALUE"""),45310.6666666666)</f>
        <v>45310.666666666599</v>
      </c>
      <c r="B15" s="2"/>
      <c r="C15" s="1">
        <v>9775</v>
      </c>
      <c r="D15" s="1">
        <v>9775</v>
      </c>
      <c r="E15" s="1">
        <v>9600</v>
      </c>
      <c r="F15" s="1">
        <v>9625</v>
      </c>
      <c r="G15" s="1">
        <v>63176500</v>
      </c>
      <c r="H15" s="8">
        <f t="shared" si="0"/>
        <v>-5.1679586563307496E-3</v>
      </c>
      <c r="I15" s="8">
        <f t="shared" si="1"/>
        <v>2.1220159151193633E-2</v>
      </c>
    </row>
    <row r="16" spans="1:9" x14ac:dyDescent="0.2">
      <c r="A16" s="2">
        <f ca="1">IFERROR(__xludf.DUMMYFUNCTION("""COMPUTED_VALUE"""),45313.6666666666)</f>
        <v>45313.666666666599</v>
      </c>
      <c r="B16" s="2"/>
      <c r="C16" s="1">
        <v>9600</v>
      </c>
      <c r="D16" s="1">
        <v>9650</v>
      </c>
      <c r="E16" s="1">
        <v>9525</v>
      </c>
      <c r="F16" s="1">
        <v>9625</v>
      </c>
      <c r="G16" s="1">
        <v>52868300</v>
      </c>
      <c r="H16" s="8">
        <f t="shared" si="0"/>
        <v>0</v>
      </c>
      <c r="I16" s="8">
        <f t="shared" si="1"/>
        <v>2.1220159151193633E-2</v>
      </c>
    </row>
    <row r="17" spans="1:10" x14ac:dyDescent="0.2">
      <c r="A17" s="2">
        <f ca="1">IFERROR(__xludf.DUMMYFUNCTION("""COMPUTED_VALUE"""),45314.6666666666)</f>
        <v>45314.666666666599</v>
      </c>
      <c r="B17" s="2"/>
      <c r="C17" s="1">
        <v>9450</v>
      </c>
      <c r="D17" s="1">
        <v>9600</v>
      </c>
      <c r="E17" s="1">
        <v>9450</v>
      </c>
      <c r="F17" s="1">
        <v>9600</v>
      </c>
      <c r="G17" s="1">
        <v>92348600</v>
      </c>
      <c r="H17" s="8">
        <f t="shared" si="0"/>
        <v>-2.5974025974025974E-3</v>
      </c>
      <c r="I17" s="8">
        <f t="shared" si="1"/>
        <v>1.8567639257294429E-2</v>
      </c>
    </row>
    <row r="18" spans="1:10" x14ac:dyDescent="0.2">
      <c r="A18" s="2">
        <f ca="1">IFERROR(__xludf.DUMMYFUNCTION("""COMPUTED_VALUE"""),45315.6666666666)</f>
        <v>45315.666666666599</v>
      </c>
      <c r="B18" s="2"/>
      <c r="C18" s="1">
        <v>9600</v>
      </c>
      <c r="D18" s="1">
        <v>9600</v>
      </c>
      <c r="E18" s="1">
        <v>9475</v>
      </c>
      <c r="F18" s="1">
        <v>9525</v>
      </c>
      <c r="G18" s="1">
        <v>84906000</v>
      </c>
      <c r="H18" s="8">
        <f t="shared" si="0"/>
        <v>-7.8125E-3</v>
      </c>
      <c r="I18" s="8">
        <f t="shared" si="1"/>
        <v>1.0610079575596816E-2</v>
      </c>
    </row>
    <row r="19" spans="1:10" x14ac:dyDescent="0.2">
      <c r="A19" s="2">
        <f ca="1">IFERROR(__xludf.DUMMYFUNCTION("""COMPUTED_VALUE"""),45316.6666666666)</f>
        <v>45316.666666666599</v>
      </c>
      <c r="B19" s="2"/>
      <c r="C19" s="1">
        <v>9450</v>
      </c>
      <c r="D19" s="1">
        <v>9575</v>
      </c>
      <c r="E19" s="1">
        <v>9450</v>
      </c>
      <c r="F19" s="1">
        <v>9500</v>
      </c>
      <c r="G19" s="1">
        <v>63212700</v>
      </c>
      <c r="H19" s="8">
        <f t="shared" si="0"/>
        <v>-2.6246719160104987E-3</v>
      </c>
      <c r="I19" s="8">
        <f t="shared" si="1"/>
        <v>7.9575596816976128E-3</v>
      </c>
    </row>
    <row r="20" spans="1:10" x14ac:dyDescent="0.2">
      <c r="A20" s="2">
        <f ca="1">IFERROR(__xludf.DUMMYFUNCTION("""COMPUTED_VALUE"""),45317.6666666666)</f>
        <v>45317.666666666599</v>
      </c>
      <c r="B20" s="2"/>
      <c r="C20" s="1">
        <v>9400</v>
      </c>
      <c r="D20" s="1">
        <v>9450</v>
      </c>
      <c r="E20" s="1">
        <v>9300</v>
      </c>
      <c r="F20" s="1">
        <v>9350</v>
      </c>
      <c r="G20" s="1">
        <v>78977300</v>
      </c>
      <c r="H20" s="8">
        <f t="shared" si="0"/>
        <v>-1.5789473684210527E-2</v>
      </c>
      <c r="I20" s="8">
        <f t="shared" si="1"/>
        <v>-7.9575596816976128E-3</v>
      </c>
    </row>
    <row r="21" spans="1:10" s="21" customFormat="1" x14ac:dyDescent="0.2">
      <c r="A21" s="18">
        <f ca="1">IFERROR(__xludf.DUMMYFUNCTION("""COMPUTED_VALUE"""),45320.6666666666)</f>
        <v>45320.666666666599</v>
      </c>
      <c r="B21" s="18"/>
      <c r="C21" s="19">
        <v>9400</v>
      </c>
      <c r="D21" s="19">
        <v>9550</v>
      </c>
      <c r="E21" s="19">
        <v>9375</v>
      </c>
      <c r="F21" s="19">
        <v>9550</v>
      </c>
      <c r="G21" s="19">
        <v>73452800</v>
      </c>
      <c r="H21" s="20">
        <f t="shared" si="0"/>
        <v>2.1390374331550801E-2</v>
      </c>
      <c r="I21" s="20">
        <f t="shared" si="1"/>
        <v>1.3262599469496022E-2</v>
      </c>
      <c r="J21" s="22">
        <f>AVERAGE(F2:F21)</f>
        <v>9573.75</v>
      </c>
    </row>
    <row r="22" spans="1:10" x14ac:dyDescent="0.2">
      <c r="A22" s="2">
        <f ca="1">IFERROR(__xludf.DUMMYFUNCTION("""COMPUTED_VALUE"""),45321.6666666666)</f>
        <v>45321.666666666599</v>
      </c>
      <c r="B22" s="2"/>
      <c r="C22" s="1">
        <v>9500</v>
      </c>
      <c r="D22" s="1">
        <v>9650</v>
      </c>
      <c r="E22" s="1">
        <v>9475</v>
      </c>
      <c r="F22" s="1">
        <v>9650</v>
      </c>
      <c r="G22" s="1">
        <v>73136400</v>
      </c>
      <c r="H22" s="8">
        <f t="shared" si="0"/>
        <v>1.0471204188481676E-2</v>
      </c>
      <c r="I22" s="8">
        <f t="shared" si="1"/>
        <v>2.3872679045092837E-2</v>
      </c>
      <c r="J22" s="22">
        <f t="shared" ref="J22:J85" si="2">AVERAGE(F3:F22)</f>
        <v>9585</v>
      </c>
    </row>
    <row r="23" spans="1:10" x14ac:dyDescent="0.2">
      <c r="A23" s="2">
        <f ca="1">IFERROR(__xludf.DUMMYFUNCTION("""COMPUTED_VALUE"""),45322.6666666666)</f>
        <v>45322.666666666599</v>
      </c>
      <c r="B23" s="2"/>
      <c r="C23" s="1">
        <v>9700</v>
      </c>
      <c r="D23" s="1">
        <v>9700</v>
      </c>
      <c r="E23" s="1">
        <v>9550</v>
      </c>
      <c r="F23" s="1">
        <v>9550</v>
      </c>
      <c r="G23" s="1">
        <v>102581200</v>
      </c>
      <c r="H23" s="8">
        <f t="shared" si="0"/>
        <v>-1.0362694300518135E-2</v>
      </c>
      <c r="I23" s="8">
        <f t="shared" si="1"/>
        <v>1.3262599469496022E-2</v>
      </c>
      <c r="J23" s="22">
        <f t="shared" si="2"/>
        <v>9595</v>
      </c>
    </row>
    <row r="24" spans="1:10" x14ac:dyDescent="0.2">
      <c r="A24" s="2">
        <f ca="1">IFERROR(__xludf.DUMMYFUNCTION("""COMPUTED_VALUE"""),45323.6666666666)</f>
        <v>45323.666666666599</v>
      </c>
      <c r="B24" s="2"/>
      <c r="C24" s="1">
        <v>9650</v>
      </c>
      <c r="D24" s="1">
        <v>9725</v>
      </c>
      <c r="E24" s="1">
        <v>9575</v>
      </c>
      <c r="F24" s="1">
        <v>9700</v>
      </c>
      <c r="G24" s="1">
        <v>104208700</v>
      </c>
      <c r="H24" s="8">
        <f t="shared" si="0"/>
        <v>1.5706806282722512E-2</v>
      </c>
      <c r="I24" s="8">
        <f t="shared" si="1"/>
        <v>2.9177718832891247E-2</v>
      </c>
      <c r="J24" s="22">
        <f t="shared" si="2"/>
        <v>9606.25</v>
      </c>
    </row>
    <row r="25" spans="1:10" x14ac:dyDescent="0.2">
      <c r="A25" s="2">
        <f ca="1">IFERROR(__xludf.DUMMYFUNCTION("""COMPUTED_VALUE"""),45324.6666666666)</f>
        <v>45324.666666666599</v>
      </c>
      <c r="B25" s="2"/>
      <c r="C25" s="1">
        <v>9775</v>
      </c>
      <c r="D25" s="1">
        <v>9800</v>
      </c>
      <c r="E25" s="1">
        <v>9625</v>
      </c>
      <c r="F25" s="1">
        <v>9700</v>
      </c>
      <c r="G25" s="1">
        <v>99324000</v>
      </c>
      <c r="H25" s="8">
        <f t="shared" si="0"/>
        <v>0</v>
      </c>
      <c r="I25" s="8">
        <f t="shared" si="1"/>
        <v>2.9177718832891247E-2</v>
      </c>
      <c r="J25" s="22">
        <f t="shared" si="2"/>
        <v>9612.5</v>
      </c>
    </row>
    <row r="26" spans="1:10" x14ac:dyDescent="0.2">
      <c r="A26" s="2">
        <f ca="1">IFERROR(__xludf.DUMMYFUNCTION("""COMPUTED_VALUE"""),45327.6666666666)</f>
        <v>45327.666666666599</v>
      </c>
      <c r="B26" s="2"/>
      <c r="C26" s="1">
        <v>9675</v>
      </c>
      <c r="D26" s="1">
        <v>9675</v>
      </c>
      <c r="E26" s="1">
        <v>9525</v>
      </c>
      <c r="F26" s="1">
        <v>9575</v>
      </c>
      <c r="G26" s="1">
        <v>57983300</v>
      </c>
      <c r="H26" s="8">
        <f t="shared" si="0"/>
        <v>-1.2886597938144329E-2</v>
      </c>
      <c r="I26" s="8">
        <f t="shared" si="1"/>
        <v>1.5915119363395226E-2</v>
      </c>
      <c r="J26" s="22">
        <f t="shared" si="2"/>
        <v>9612.5</v>
      </c>
    </row>
    <row r="27" spans="1:10" x14ac:dyDescent="0.2">
      <c r="A27" s="2">
        <f ca="1">IFERROR(__xludf.DUMMYFUNCTION("""COMPUTED_VALUE"""),45328.6666666666)</f>
        <v>45328.666666666599</v>
      </c>
      <c r="B27" s="2"/>
      <c r="C27" s="1">
        <v>9750</v>
      </c>
      <c r="D27" s="1">
        <v>9750</v>
      </c>
      <c r="E27" s="1">
        <v>9625</v>
      </c>
      <c r="F27" s="1">
        <v>9625</v>
      </c>
      <c r="G27" s="1">
        <v>87651000</v>
      </c>
      <c r="H27" s="8">
        <f t="shared" si="0"/>
        <v>5.2219321148825066E-3</v>
      </c>
      <c r="I27" s="8">
        <f t="shared" si="1"/>
        <v>2.1220159151193633E-2</v>
      </c>
      <c r="J27" s="22">
        <f t="shared" si="2"/>
        <v>9612.5</v>
      </c>
    </row>
    <row r="28" spans="1:10" x14ac:dyDescent="0.2">
      <c r="A28" s="2">
        <f ca="1">IFERROR(__xludf.DUMMYFUNCTION("""COMPUTED_VALUE"""),45329.6666666666)</f>
        <v>45329.666666666599</v>
      </c>
      <c r="B28" s="2"/>
      <c r="C28" s="1">
        <v>9700</v>
      </c>
      <c r="D28" s="1">
        <v>9725</v>
      </c>
      <c r="E28" s="1">
        <v>9650</v>
      </c>
      <c r="F28" s="1">
        <v>9700</v>
      </c>
      <c r="G28" s="1">
        <v>92953500</v>
      </c>
      <c r="H28" s="8">
        <f t="shared" si="0"/>
        <v>7.7922077922077922E-3</v>
      </c>
      <c r="I28" s="8">
        <f t="shared" si="1"/>
        <v>2.9177718832891247E-2</v>
      </c>
      <c r="J28" s="22">
        <f t="shared" si="2"/>
        <v>9620</v>
      </c>
    </row>
    <row r="29" spans="1:10" x14ac:dyDescent="0.2">
      <c r="A29" s="2">
        <f ca="1">IFERROR(__xludf.DUMMYFUNCTION("""COMPUTED_VALUE"""),45334.6666666666)</f>
        <v>45334.666666666599</v>
      </c>
      <c r="B29" s="2"/>
      <c r="C29" s="1">
        <v>9750</v>
      </c>
      <c r="D29" s="1">
        <v>9800</v>
      </c>
      <c r="E29" s="1">
        <v>9700</v>
      </c>
      <c r="F29" s="1">
        <v>9800</v>
      </c>
      <c r="G29" s="1">
        <v>87949400</v>
      </c>
      <c r="H29" s="8">
        <f t="shared" si="0"/>
        <v>1.0309278350515464E-2</v>
      </c>
      <c r="I29" s="8">
        <f t="shared" si="1"/>
        <v>3.9787798408488062E-2</v>
      </c>
      <c r="J29" s="22">
        <f t="shared" si="2"/>
        <v>9631.25</v>
      </c>
    </row>
    <row r="30" spans="1:10" x14ac:dyDescent="0.2">
      <c r="A30" s="2">
        <f ca="1">IFERROR(__xludf.DUMMYFUNCTION("""COMPUTED_VALUE"""),45335.6666666666)</f>
        <v>45335.666666666599</v>
      </c>
      <c r="B30" s="2"/>
      <c r="C30" s="1">
        <v>9750</v>
      </c>
      <c r="D30" s="1">
        <v>9800</v>
      </c>
      <c r="E30" s="1">
        <v>9700</v>
      </c>
      <c r="F30" s="1">
        <v>9725</v>
      </c>
      <c r="G30" s="1">
        <v>66072400</v>
      </c>
      <c r="H30" s="8">
        <f t="shared" si="0"/>
        <v>-7.6530612244897957E-3</v>
      </c>
      <c r="I30" s="8">
        <f t="shared" si="1"/>
        <v>3.1830238726790451E-2</v>
      </c>
      <c r="J30" s="22">
        <f t="shared" si="2"/>
        <v>9632.5</v>
      </c>
    </row>
    <row r="31" spans="1:10" x14ac:dyDescent="0.2">
      <c r="A31" s="2">
        <f ca="1">IFERROR(__xludf.DUMMYFUNCTION("""COMPUTED_VALUE"""),45337.6666666666)</f>
        <v>45337.666666666599</v>
      </c>
      <c r="B31" s="2"/>
      <c r="C31" s="1">
        <v>9950</v>
      </c>
      <c r="D31" s="1">
        <v>9975</v>
      </c>
      <c r="E31" s="1">
        <v>9850</v>
      </c>
      <c r="F31" s="1">
        <v>9850</v>
      </c>
      <c r="G31" s="1">
        <v>164748900</v>
      </c>
      <c r="H31" s="8">
        <f t="shared" si="0"/>
        <v>1.2853470437017995E-2</v>
      </c>
      <c r="I31" s="8">
        <f t="shared" si="1"/>
        <v>4.5092838196286469E-2</v>
      </c>
      <c r="J31" s="22">
        <f t="shared" si="2"/>
        <v>9638.75</v>
      </c>
    </row>
    <row r="32" spans="1:10" x14ac:dyDescent="0.2">
      <c r="A32" s="2">
        <f ca="1">IFERROR(__xludf.DUMMYFUNCTION("""COMPUTED_VALUE"""),45338.6666666666)</f>
        <v>45338.666666666599</v>
      </c>
      <c r="B32" s="2"/>
      <c r="C32" s="1">
        <v>9975</v>
      </c>
      <c r="D32" s="1">
        <v>10000</v>
      </c>
      <c r="E32" s="1">
        <v>9875</v>
      </c>
      <c r="F32" s="1">
        <v>9950</v>
      </c>
      <c r="G32" s="1">
        <v>142277200</v>
      </c>
      <c r="H32" s="8">
        <f t="shared" si="0"/>
        <v>1.015228426395939E-2</v>
      </c>
      <c r="I32" s="8">
        <f t="shared" si="1"/>
        <v>5.5702917771883291E-2</v>
      </c>
      <c r="J32" s="22">
        <f t="shared" si="2"/>
        <v>9651.25</v>
      </c>
    </row>
    <row r="33" spans="1:10" x14ac:dyDescent="0.2">
      <c r="A33" s="2">
        <f ca="1">IFERROR(__xludf.DUMMYFUNCTION("""COMPUTED_VALUE"""),45341.6666666666)</f>
        <v>45341.666666666599</v>
      </c>
      <c r="B33" s="2"/>
      <c r="C33" s="1">
        <v>9900</v>
      </c>
      <c r="D33" s="1">
        <v>9975</v>
      </c>
      <c r="E33" s="1">
        <v>9825</v>
      </c>
      <c r="F33" s="1">
        <v>9875</v>
      </c>
      <c r="G33" s="1">
        <v>53341300</v>
      </c>
      <c r="H33" s="8">
        <f t="shared" si="0"/>
        <v>-7.537688442211055E-3</v>
      </c>
      <c r="I33" s="8">
        <f t="shared" si="1"/>
        <v>4.7745358090185673E-2</v>
      </c>
      <c r="J33" s="22">
        <f t="shared" si="2"/>
        <v>9657.5</v>
      </c>
    </row>
    <row r="34" spans="1:10" x14ac:dyDescent="0.2">
      <c r="A34" s="2">
        <f ca="1">IFERROR(__xludf.DUMMYFUNCTION("""COMPUTED_VALUE"""),45342.6666666666)</f>
        <v>45342.666666666599</v>
      </c>
      <c r="B34" s="2"/>
      <c r="C34" s="1">
        <v>9850</v>
      </c>
      <c r="D34" s="1">
        <v>10025</v>
      </c>
      <c r="E34" s="1">
        <v>9850</v>
      </c>
      <c r="F34" s="1">
        <v>10025</v>
      </c>
      <c r="G34" s="1">
        <v>63997700</v>
      </c>
      <c r="H34" s="8">
        <f t="shared" si="0"/>
        <v>1.5189873417721518E-2</v>
      </c>
      <c r="I34" s="8">
        <f t="shared" si="1"/>
        <v>6.3660477453580902E-2</v>
      </c>
      <c r="J34" s="22">
        <f t="shared" si="2"/>
        <v>9675</v>
      </c>
    </row>
    <row r="35" spans="1:10" x14ac:dyDescent="0.2">
      <c r="A35" s="2">
        <f ca="1">IFERROR(__xludf.DUMMYFUNCTION("""COMPUTED_VALUE"""),45343.6666666666)</f>
        <v>45343.666666666599</v>
      </c>
      <c r="B35" s="2"/>
      <c r="C35" s="1">
        <v>9950</v>
      </c>
      <c r="D35" s="1">
        <v>10000</v>
      </c>
      <c r="E35" s="1">
        <v>9850</v>
      </c>
      <c r="F35" s="1">
        <v>9975</v>
      </c>
      <c r="G35" s="1">
        <v>75371600</v>
      </c>
      <c r="H35" s="8">
        <f t="shared" si="0"/>
        <v>-4.9875311720698253E-3</v>
      </c>
      <c r="I35" s="8">
        <f t="shared" si="1"/>
        <v>5.8355437665782495E-2</v>
      </c>
      <c r="J35" s="22">
        <f t="shared" si="2"/>
        <v>9692.5</v>
      </c>
    </row>
    <row r="36" spans="1:10" x14ac:dyDescent="0.2">
      <c r="A36" s="2">
        <f ca="1">IFERROR(__xludf.DUMMYFUNCTION("""COMPUTED_VALUE"""),45344.6666666666)</f>
        <v>45344.666666666599</v>
      </c>
      <c r="B36" s="2"/>
      <c r="C36" s="1">
        <v>9975</v>
      </c>
      <c r="D36" s="1">
        <v>9975</v>
      </c>
      <c r="E36" s="1">
        <v>9875</v>
      </c>
      <c r="F36" s="1">
        <v>9875</v>
      </c>
      <c r="G36" s="1">
        <v>66913000</v>
      </c>
      <c r="H36" s="8">
        <f t="shared" si="0"/>
        <v>-1.0025062656641603E-2</v>
      </c>
      <c r="I36" s="8">
        <f t="shared" si="1"/>
        <v>4.7745358090185673E-2</v>
      </c>
      <c r="J36" s="22">
        <f t="shared" si="2"/>
        <v>9705</v>
      </c>
    </row>
    <row r="37" spans="1:10" x14ac:dyDescent="0.2">
      <c r="A37" s="2">
        <f ca="1">IFERROR(__xludf.DUMMYFUNCTION("""COMPUTED_VALUE"""),45345.6666666666)</f>
        <v>45345.666666666599</v>
      </c>
      <c r="B37" s="2"/>
      <c r="C37" s="1">
        <v>9900</v>
      </c>
      <c r="D37" s="1">
        <v>9925</v>
      </c>
      <c r="E37" s="1">
        <v>9800</v>
      </c>
      <c r="F37" s="1">
        <v>9825</v>
      </c>
      <c r="G37" s="1">
        <v>55192300</v>
      </c>
      <c r="H37" s="8">
        <f t="shared" si="0"/>
        <v>-5.0632911392405064E-3</v>
      </c>
      <c r="I37" s="8">
        <f t="shared" si="1"/>
        <v>4.2440318302387266E-2</v>
      </c>
      <c r="J37" s="22">
        <f t="shared" si="2"/>
        <v>9716.25</v>
      </c>
    </row>
    <row r="38" spans="1:10" x14ac:dyDescent="0.2">
      <c r="A38" s="2">
        <f ca="1">IFERROR(__xludf.DUMMYFUNCTION("""COMPUTED_VALUE"""),45348.6666666666)</f>
        <v>45348.666666666599</v>
      </c>
      <c r="B38" s="2"/>
      <c r="C38" s="1">
        <v>9750</v>
      </c>
      <c r="D38" s="1">
        <v>9875</v>
      </c>
      <c r="E38" s="1">
        <v>9725</v>
      </c>
      <c r="F38" s="1">
        <v>9800</v>
      </c>
      <c r="G38" s="1">
        <v>41356000</v>
      </c>
      <c r="H38" s="8">
        <f t="shared" si="0"/>
        <v>-2.5445292620865142E-3</v>
      </c>
      <c r="I38" s="8">
        <f t="shared" si="1"/>
        <v>3.9787798408488062E-2</v>
      </c>
      <c r="J38" s="22">
        <f t="shared" si="2"/>
        <v>9730</v>
      </c>
    </row>
    <row r="39" spans="1:10" x14ac:dyDescent="0.2">
      <c r="A39" s="2">
        <f ca="1">IFERROR(__xludf.DUMMYFUNCTION("""COMPUTED_VALUE"""),45349.6666666666)</f>
        <v>45349.666666666599</v>
      </c>
      <c r="B39" s="2"/>
      <c r="C39" s="1">
        <v>9750</v>
      </c>
      <c r="D39" s="1">
        <v>9900</v>
      </c>
      <c r="E39" s="1">
        <v>9750</v>
      </c>
      <c r="F39" s="1">
        <v>9875</v>
      </c>
      <c r="G39" s="1">
        <v>43735800</v>
      </c>
      <c r="H39" s="8">
        <f t="shared" si="0"/>
        <v>7.6530612244897957E-3</v>
      </c>
      <c r="I39" s="8">
        <f t="shared" si="1"/>
        <v>4.7745358090185673E-2</v>
      </c>
      <c r="J39" s="22">
        <f t="shared" si="2"/>
        <v>9748.75</v>
      </c>
    </row>
    <row r="40" spans="1:10" x14ac:dyDescent="0.2">
      <c r="A40" s="2">
        <f ca="1">IFERROR(__xludf.DUMMYFUNCTION("""COMPUTED_VALUE"""),45350.6666666666)</f>
        <v>45350.666666666599</v>
      </c>
      <c r="B40" s="2"/>
      <c r="C40" s="1">
        <v>9975</v>
      </c>
      <c r="D40" s="1">
        <v>10000</v>
      </c>
      <c r="E40" s="1">
        <v>9900</v>
      </c>
      <c r="F40" s="1">
        <v>10000</v>
      </c>
      <c r="G40" s="1">
        <v>54043100</v>
      </c>
      <c r="H40" s="8">
        <f t="shared" si="0"/>
        <v>1.2658227848101266E-2</v>
      </c>
      <c r="I40" s="8">
        <f t="shared" si="1"/>
        <v>6.1007957559681698E-2</v>
      </c>
      <c r="J40" s="22">
        <f t="shared" si="2"/>
        <v>9781.25</v>
      </c>
    </row>
    <row r="41" spans="1:10" x14ac:dyDescent="0.2">
      <c r="A41" s="2">
        <f ca="1">IFERROR(__xludf.DUMMYFUNCTION("""COMPUTED_VALUE"""),45351.6666666666)</f>
        <v>45351.666666666599</v>
      </c>
      <c r="B41" s="2"/>
      <c r="C41" s="1">
        <v>10000</v>
      </c>
      <c r="D41" s="1">
        <v>10000</v>
      </c>
      <c r="E41" s="1">
        <v>9850</v>
      </c>
      <c r="F41" s="1">
        <v>9875</v>
      </c>
      <c r="G41" s="1">
        <v>126671200</v>
      </c>
      <c r="H41" s="8">
        <f t="shared" si="0"/>
        <v>-1.2500000000000001E-2</v>
      </c>
      <c r="I41" s="8">
        <f t="shared" si="1"/>
        <v>4.7745358090185673E-2</v>
      </c>
      <c r="J41" s="22">
        <f t="shared" si="2"/>
        <v>9797.5</v>
      </c>
    </row>
    <row r="42" spans="1:10" x14ac:dyDescent="0.2">
      <c r="A42" s="2">
        <f ca="1">IFERROR(__xludf.DUMMYFUNCTION("""COMPUTED_VALUE"""),45352.6666666666)</f>
        <v>45352.666666666599</v>
      </c>
      <c r="B42" s="2"/>
      <c r="C42" s="1">
        <v>9900</v>
      </c>
      <c r="D42" s="1">
        <v>9925</v>
      </c>
      <c r="E42" s="1">
        <v>9800</v>
      </c>
      <c r="F42" s="1">
        <v>9825</v>
      </c>
      <c r="G42" s="1">
        <v>51520600</v>
      </c>
      <c r="H42" s="8">
        <f t="shared" si="0"/>
        <v>-5.0632911392405064E-3</v>
      </c>
      <c r="I42" s="8">
        <f t="shared" si="1"/>
        <v>4.2440318302387266E-2</v>
      </c>
      <c r="J42" s="22">
        <f t="shared" si="2"/>
        <v>9806.25</v>
      </c>
    </row>
    <row r="43" spans="1:10" x14ac:dyDescent="0.2">
      <c r="A43" s="2">
        <f ca="1">IFERROR(__xludf.DUMMYFUNCTION("""COMPUTED_VALUE"""),45355.6666666666)</f>
        <v>45355.666666666599</v>
      </c>
      <c r="B43" s="2"/>
      <c r="C43" s="1">
        <v>9800</v>
      </c>
      <c r="D43" s="1">
        <v>9825</v>
      </c>
      <c r="E43" s="1">
        <v>9750</v>
      </c>
      <c r="F43" s="1">
        <v>9750</v>
      </c>
      <c r="G43" s="1">
        <v>43822900</v>
      </c>
      <c r="H43" s="8">
        <f t="shared" si="0"/>
        <v>-7.6335877862595417E-3</v>
      </c>
      <c r="I43" s="8">
        <f t="shared" si="1"/>
        <v>3.4482758620689655E-2</v>
      </c>
      <c r="J43" s="22">
        <f t="shared" si="2"/>
        <v>9816.25</v>
      </c>
    </row>
    <row r="44" spans="1:10" x14ac:dyDescent="0.2">
      <c r="A44" s="2">
        <f ca="1">IFERROR(__xludf.DUMMYFUNCTION("""COMPUTED_VALUE"""),45356.6666666666)</f>
        <v>45356.666666666599</v>
      </c>
      <c r="B44" s="2"/>
      <c r="C44" s="1">
        <v>9900</v>
      </c>
      <c r="D44" s="1">
        <v>9900</v>
      </c>
      <c r="E44" s="1">
        <v>9775</v>
      </c>
      <c r="F44" s="1">
        <v>9800</v>
      </c>
      <c r="G44" s="1">
        <v>61952900</v>
      </c>
      <c r="H44" s="8">
        <f t="shared" si="0"/>
        <v>5.1282051282051282E-3</v>
      </c>
      <c r="I44" s="8">
        <f t="shared" si="1"/>
        <v>3.9787798408488062E-2</v>
      </c>
      <c r="J44" s="22">
        <f t="shared" si="2"/>
        <v>9821.25</v>
      </c>
    </row>
    <row r="45" spans="1:10" x14ac:dyDescent="0.2">
      <c r="A45" s="2">
        <f ca="1">IFERROR(__xludf.DUMMYFUNCTION("""COMPUTED_VALUE"""),45357.6666666666)</f>
        <v>45357.666666666599</v>
      </c>
      <c r="B45" s="2"/>
      <c r="C45" s="1">
        <v>9900</v>
      </c>
      <c r="D45" s="1">
        <v>10000</v>
      </c>
      <c r="E45" s="1">
        <v>9775</v>
      </c>
      <c r="F45" s="1">
        <v>9950</v>
      </c>
      <c r="G45" s="1">
        <v>70242200</v>
      </c>
      <c r="H45" s="8">
        <f t="shared" si="0"/>
        <v>1.5306122448979591E-2</v>
      </c>
      <c r="I45" s="8">
        <f t="shared" si="1"/>
        <v>5.5702917771883291E-2</v>
      </c>
      <c r="J45" s="22">
        <f t="shared" si="2"/>
        <v>9833.75</v>
      </c>
    </row>
    <row r="46" spans="1:10" x14ac:dyDescent="0.2">
      <c r="A46" s="2">
        <f ca="1">IFERROR(__xludf.DUMMYFUNCTION("""COMPUTED_VALUE"""),45358.6666666666)</f>
        <v>45358.666666666599</v>
      </c>
      <c r="B46" s="2"/>
      <c r="C46" s="1">
        <v>10050</v>
      </c>
      <c r="D46" s="1">
        <v>10175</v>
      </c>
      <c r="E46" s="1">
        <v>10000</v>
      </c>
      <c r="F46" s="1">
        <v>10125</v>
      </c>
      <c r="G46" s="1">
        <v>118369300</v>
      </c>
      <c r="H46" s="8">
        <f t="shared" si="0"/>
        <v>1.7587939698492462E-2</v>
      </c>
      <c r="I46" s="8">
        <f t="shared" si="1"/>
        <v>7.4270557029177717E-2</v>
      </c>
      <c r="J46" s="22">
        <f t="shared" si="2"/>
        <v>9861.25</v>
      </c>
    </row>
    <row r="47" spans="1:10" x14ac:dyDescent="0.2">
      <c r="A47" s="2">
        <f ca="1">IFERROR(__xludf.DUMMYFUNCTION("""COMPUTED_VALUE"""),45359.6666666666)</f>
        <v>45359.666666666599</v>
      </c>
      <c r="B47" s="2"/>
      <c r="C47" s="1">
        <v>10250</v>
      </c>
      <c r="D47" s="1">
        <v>10300</v>
      </c>
      <c r="E47" s="1">
        <v>10125</v>
      </c>
      <c r="F47" s="1">
        <v>10150</v>
      </c>
      <c r="G47" s="1">
        <v>100947200</v>
      </c>
      <c r="H47" s="8">
        <f t="shared" si="0"/>
        <v>2.4691358024691358E-3</v>
      </c>
      <c r="I47" s="8">
        <f t="shared" si="1"/>
        <v>7.6923076923076927E-2</v>
      </c>
      <c r="J47" s="22">
        <f t="shared" si="2"/>
        <v>9887.5</v>
      </c>
    </row>
    <row r="48" spans="1:10" x14ac:dyDescent="0.2">
      <c r="A48" s="2">
        <f ca="1">IFERROR(__xludf.DUMMYFUNCTION("""COMPUTED_VALUE"""),45364.6666666666)</f>
        <v>45364.666666666599</v>
      </c>
      <c r="B48" s="2"/>
      <c r="C48" s="1">
        <v>10400</v>
      </c>
      <c r="D48" s="1">
        <v>10400</v>
      </c>
      <c r="E48" s="1">
        <v>10000</v>
      </c>
      <c r="F48" s="1">
        <v>10000</v>
      </c>
      <c r="G48" s="1">
        <v>141622600</v>
      </c>
      <c r="H48" s="8">
        <f t="shared" si="0"/>
        <v>-1.4778325123152709E-2</v>
      </c>
      <c r="I48" s="8">
        <f t="shared" si="1"/>
        <v>6.1007957559681698E-2</v>
      </c>
      <c r="J48" s="22">
        <f t="shared" si="2"/>
        <v>9902.5</v>
      </c>
    </row>
    <row r="49" spans="1:11" x14ac:dyDescent="0.2">
      <c r="A49" s="2">
        <f ca="1">IFERROR(__xludf.DUMMYFUNCTION("""COMPUTED_VALUE"""),45365.6666666666)</f>
        <v>45365.666666666599</v>
      </c>
      <c r="B49" s="2"/>
      <c r="C49" s="1">
        <v>10050</v>
      </c>
      <c r="D49" s="1">
        <v>10325</v>
      </c>
      <c r="E49" s="1">
        <v>10025</v>
      </c>
      <c r="F49" s="1">
        <v>10325</v>
      </c>
      <c r="G49" s="1">
        <v>110681100</v>
      </c>
      <c r="H49" s="8">
        <f t="shared" si="0"/>
        <v>3.2500000000000001E-2</v>
      </c>
      <c r="I49" s="8">
        <f t="shared" si="1"/>
        <v>9.5490716180371346E-2</v>
      </c>
      <c r="J49" s="22">
        <f t="shared" si="2"/>
        <v>9928.75</v>
      </c>
    </row>
    <row r="50" spans="1:11" x14ac:dyDescent="0.2">
      <c r="A50" s="2">
        <f ca="1">IFERROR(__xludf.DUMMYFUNCTION("""COMPUTED_VALUE"""),45366.6666666666)</f>
        <v>45366.666666666599</v>
      </c>
      <c r="B50" s="2"/>
      <c r="C50" s="1">
        <v>10200</v>
      </c>
      <c r="D50" s="1">
        <v>10300</v>
      </c>
      <c r="E50" s="1">
        <v>10050</v>
      </c>
      <c r="F50" s="1">
        <v>10150</v>
      </c>
      <c r="G50" s="1">
        <v>154176800</v>
      </c>
      <c r="H50" s="8">
        <f t="shared" si="0"/>
        <v>-1.6949152542372881E-2</v>
      </c>
      <c r="I50" s="8">
        <f t="shared" si="1"/>
        <v>7.6923076923076927E-2</v>
      </c>
      <c r="J50" s="22">
        <f t="shared" si="2"/>
        <v>9950</v>
      </c>
    </row>
    <row r="51" spans="1:11" s="21" customFormat="1" x14ac:dyDescent="0.2">
      <c r="A51" s="18">
        <f ca="1">IFERROR(__xludf.DUMMYFUNCTION("""COMPUTED_VALUE"""),45369.6666666666)</f>
        <v>45369.666666666599</v>
      </c>
      <c r="B51" s="18"/>
      <c r="C51" s="19">
        <v>10175</v>
      </c>
      <c r="D51" s="19">
        <v>10275</v>
      </c>
      <c r="E51" s="19">
        <v>10150</v>
      </c>
      <c r="F51" s="19">
        <v>10150</v>
      </c>
      <c r="G51" s="19">
        <v>62444100</v>
      </c>
      <c r="H51" s="20">
        <f t="shared" si="0"/>
        <v>0</v>
      </c>
      <c r="I51" s="20">
        <f t="shared" si="1"/>
        <v>7.6923076923076927E-2</v>
      </c>
      <c r="J51" s="22">
        <f t="shared" si="2"/>
        <v>9965</v>
      </c>
      <c r="K51" s="22">
        <f>AVERAGE(F2:F51)</f>
        <v>9753</v>
      </c>
    </row>
    <row r="52" spans="1:11" x14ac:dyDescent="0.2">
      <c r="A52" s="2">
        <f ca="1">IFERROR(__xludf.DUMMYFUNCTION("""COMPUTED_VALUE"""),45370.6666666666)</f>
        <v>45370.666666666599</v>
      </c>
      <c r="B52" s="2"/>
      <c r="C52" s="1">
        <v>10150</v>
      </c>
      <c r="D52" s="1">
        <v>10250</v>
      </c>
      <c r="E52" s="1">
        <v>10150</v>
      </c>
      <c r="F52" s="1">
        <v>10175</v>
      </c>
      <c r="G52" s="1">
        <v>55004800</v>
      </c>
      <c r="H52" s="8">
        <f t="shared" si="0"/>
        <v>2.4630541871921183E-3</v>
      </c>
      <c r="I52" s="8">
        <f t="shared" si="1"/>
        <v>7.9575596816976124E-2</v>
      </c>
      <c r="J52" s="22">
        <f t="shared" si="2"/>
        <v>9976.25</v>
      </c>
      <c r="K52" s="22">
        <f t="shared" ref="K52:K115" si="3">AVERAGE(F3:F52)</f>
        <v>9768</v>
      </c>
    </row>
    <row r="53" spans="1:11" x14ac:dyDescent="0.2">
      <c r="A53" s="2">
        <f ca="1">IFERROR(__xludf.DUMMYFUNCTION("""COMPUTED_VALUE"""),45371.6666666666)</f>
        <v>45371.666666666599</v>
      </c>
      <c r="B53" s="2"/>
      <c r="C53" s="1">
        <v>10100</v>
      </c>
      <c r="D53" s="1">
        <v>10150</v>
      </c>
      <c r="E53" s="1">
        <v>10075</v>
      </c>
      <c r="F53" s="1">
        <v>10125</v>
      </c>
      <c r="G53" s="1">
        <v>66269700</v>
      </c>
      <c r="H53" s="8">
        <f t="shared" si="0"/>
        <v>-4.9140049140049139E-3</v>
      </c>
      <c r="I53" s="8">
        <f t="shared" si="1"/>
        <v>7.4270557029177717E-2</v>
      </c>
      <c r="J53" s="22">
        <f t="shared" si="2"/>
        <v>9988.75</v>
      </c>
      <c r="K53" s="22">
        <f t="shared" si="3"/>
        <v>9783.5</v>
      </c>
    </row>
    <row r="54" spans="1:11" x14ac:dyDescent="0.2">
      <c r="A54" s="2">
        <f ca="1">IFERROR(__xludf.DUMMYFUNCTION("""COMPUTED_VALUE"""),45372.6666666666)</f>
        <v>45372.666666666599</v>
      </c>
      <c r="B54" s="2"/>
      <c r="C54" s="1">
        <v>10175</v>
      </c>
      <c r="D54" s="1">
        <v>10225</v>
      </c>
      <c r="E54" s="1">
        <v>10050</v>
      </c>
      <c r="F54" s="1">
        <v>10125</v>
      </c>
      <c r="G54" s="1">
        <v>90279400</v>
      </c>
      <c r="H54" s="8">
        <f t="shared" si="0"/>
        <v>0</v>
      </c>
      <c r="I54" s="8">
        <f t="shared" si="1"/>
        <v>7.4270557029177717E-2</v>
      </c>
      <c r="J54" s="22">
        <f t="shared" si="2"/>
        <v>9993.75</v>
      </c>
      <c r="K54" s="22">
        <f t="shared" si="3"/>
        <v>9796.5</v>
      </c>
    </row>
    <row r="55" spans="1:11" x14ac:dyDescent="0.2">
      <c r="A55" s="2">
        <f ca="1">IFERROR(__xludf.DUMMYFUNCTION("""COMPUTED_VALUE"""),45373.6666666666)</f>
        <v>45373.666666666599</v>
      </c>
      <c r="B55" s="2"/>
      <c r="C55" s="1">
        <v>10000</v>
      </c>
      <c r="D55" s="1">
        <v>10125</v>
      </c>
      <c r="E55" s="1">
        <v>9950</v>
      </c>
      <c r="F55" s="1">
        <v>10100</v>
      </c>
      <c r="G55" s="1">
        <v>91968200</v>
      </c>
      <c r="H55" s="8">
        <f t="shared" si="0"/>
        <v>-2.4691358024691358E-3</v>
      </c>
      <c r="I55" s="8">
        <f t="shared" si="1"/>
        <v>7.161803713527852E-2</v>
      </c>
      <c r="J55" s="22">
        <f t="shared" si="2"/>
        <v>10000</v>
      </c>
      <c r="K55" s="22">
        <f t="shared" si="3"/>
        <v>9807</v>
      </c>
    </row>
    <row r="56" spans="1:11" x14ac:dyDescent="0.2">
      <c r="A56" s="2">
        <f ca="1">IFERROR(__xludf.DUMMYFUNCTION("""COMPUTED_VALUE"""),45376.6666666666)</f>
        <v>45376.666666666599</v>
      </c>
      <c r="B56" s="2"/>
      <c r="C56" s="1">
        <v>10075</v>
      </c>
      <c r="D56" s="1">
        <v>10075</v>
      </c>
      <c r="E56" s="1">
        <v>9925</v>
      </c>
      <c r="F56" s="1">
        <v>10075</v>
      </c>
      <c r="G56" s="1">
        <v>66971000</v>
      </c>
      <c r="H56" s="8">
        <f t="shared" si="0"/>
        <v>-2.4752475247524753E-3</v>
      </c>
      <c r="I56" s="8">
        <f t="shared" si="1"/>
        <v>6.8965517241379309E-2</v>
      </c>
      <c r="J56" s="22">
        <f t="shared" si="2"/>
        <v>10010</v>
      </c>
      <c r="K56" s="22">
        <f t="shared" si="3"/>
        <v>9817</v>
      </c>
    </row>
    <row r="57" spans="1:11" x14ac:dyDescent="0.2">
      <c r="A57" s="2">
        <f ca="1">IFERROR(__xludf.DUMMYFUNCTION("""COMPUTED_VALUE"""),45377.6666666666)</f>
        <v>45377.666666666599</v>
      </c>
      <c r="B57" s="2"/>
      <c r="C57" s="1">
        <v>10050</v>
      </c>
      <c r="D57" s="1">
        <v>10050</v>
      </c>
      <c r="E57" s="1">
        <v>9950</v>
      </c>
      <c r="F57" s="1">
        <v>10050</v>
      </c>
      <c r="G57" s="1">
        <v>65742700</v>
      </c>
      <c r="H57" s="8">
        <f t="shared" si="0"/>
        <v>-2.4813895781637717E-3</v>
      </c>
      <c r="I57" s="8">
        <f t="shared" si="1"/>
        <v>6.6312997347480113E-2</v>
      </c>
      <c r="J57" s="22">
        <f t="shared" si="2"/>
        <v>10021.25</v>
      </c>
      <c r="K57" s="22">
        <f t="shared" si="3"/>
        <v>9825.5</v>
      </c>
    </row>
    <row r="58" spans="1:11" x14ac:dyDescent="0.2">
      <c r="A58" s="2">
        <f ca="1">IFERROR(__xludf.DUMMYFUNCTION("""COMPUTED_VALUE"""),45378.6666666666)</f>
        <v>45378.666666666599</v>
      </c>
      <c r="B58" s="2"/>
      <c r="C58" s="1">
        <v>10025</v>
      </c>
      <c r="D58" s="1">
        <v>10075</v>
      </c>
      <c r="E58" s="1">
        <v>10000</v>
      </c>
      <c r="F58" s="1">
        <v>10075</v>
      </c>
      <c r="G58" s="1">
        <v>39514100</v>
      </c>
      <c r="H58" s="8">
        <f t="shared" si="0"/>
        <v>2.4875621890547263E-3</v>
      </c>
      <c r="I58" s="8">
        <f t="shared" si="1"/>
        <v>6.8965517241379309E-2</v>
      </c>
      <c r="J58" s="22">
        <f t="shared" si="2"/>
        <v>10035</v>
      </c>
      <c r="K58" s="22">
        <f t="shared" si="3"/>
        <v>9836</v>
      </c>
    </row>
    <row r="59" spans="1:11" x14ac:dyDescent="0.2">
      <c r="A59" s="2">
        <f ca="1">IFERROR(__xludf.DUMMYFUNCTION("""COMPUTED_VALUE"""),45379.6666666666)</f>
        <v>45379.666666666599</v>
      </c>
      <c r="B59" s="2"/>
      <c r="C59" s="1">
        <v>10025</v>
      </c>
      <c r="D59" s="1">
        <v>10100</v>
      </c>
      <c r="E59" s="1">
        <v>9975</v>
      </c>
      <c r="F59" s="1">
        <v>10075</v>
      </c>
      <c r="G59" s="1">
        <v>79229700</v>
      </c>
      <c r="H59" s="8">
        <f t="shared" si="0"/>
        <v>0</v>
      </c>
      <c r="I59" s="8">
        <f t="shared" si="1"/>
        <v>6.8965517241379309E-2</v>
      </c>
      <c r="J59" s="22">
        <f t="shared" si="2"/>
        <v>10045</v>
      </c>
      <c r="K59" s="22">
        <f t="shared" si="3"/>
        <v>9846</v>
      </c>
    </row>
    <row r="60" spans="1:11" x14ac:dyDescent="0.2">
      <c r="A60" s="2">
        <f ca="1">IFERROR(__xludf.DUMMYFUNCTION("""COMPUTED_VALUE"""),45383.6666666666)</f>
        <v>45383.666666666599</v>
      </c>
      <c r="B60" s="2"/>
      <c r="C60" s="1">
        <v>10075</v>
      </c>
      <c r="D60" s="1">
        <v>10100</v>
      </c>
      <c r="E60" s="1">
        <v>9825</v>
      </c>
      <c r="F60" s="1">
        <v>9850</v>
      </c>
      <c r="G60" s="1">
        <v>79248700</v>
      </c>
      <c r="H60" s="8">
        <f t="shared" si="0"/>
        <v>-2.2332506203473945E-2</v>
      </c>
      <c r="I60" s="8">
        <f t="shared" si="1"/>
        <v>4.5092838196286469E-2</v>
      </c>
      <c r="J60" s="22">
        <f t="shared" si="2"/>
        <v>10037.5</v>
      </c>
      <c r="K60" s="22">
        <f t="shared" si="3"/>
        <v>9849</v>
      </c>
    </row>
    <row r="61" spans="1:11" x14ac:dyDescent="0.2">
      <c r="A61" s="2">
        <f ca="1">IFERROR(__xludf.DUMMYFUNCTION("""COMPUTED_VALUE"""),45384.6666666666)</f>
        <v>45384.666666666599</v>
      </c>
      <c r="B61" s="2"/>
      <c r="C61" s="1">
        <v>9925</v>
      </c>
      <c r="D61" s="1">
        <v>9950</v>
      </c>
      <c r="E61" s="1">
        <v>9800</v>
      </c>
      <c r="F61" s="1">
        <v>9900</v>
      </c>
      <c r="G61" s="1">
        <v>76763100</v>
      </c>
      <c r="H61" s="8">
        <f t="shared" si="0"/>
        <v>5.076142131979695E-3</v>
      </c>
      <c r="I61" s="8">
        <f t="shared" si="1"/>
        <v>5.0397877984084884E-2</v>
      </c>
      <c r="J61" s="22">
        <f t="shared" si="2"/>
        <v>10038.75</v>
      </c>
      <c r="K61" s="22">
        <f t="shared" si="3"/>
        <v>9852.5</v>
      </c>
    </row>
    <row r="62" spans="1:11" x14ac:dyDescent="0.2">
      <c r="A62" s="2">
        <f ca="1">IFERROR(__xludf.DUMMYFUNCTION("""COMPUTED_VALUE"""),45385.6666666666)</f>
        <v>45385.666666666599</v>
      </c>
      <c r="B62" s="2"/>
      <c r="C62" s="1">
        <v>9750</v>
      </c>
      <c r="D62" s="1">
        <v>9800</v>
      </c>
      <c r="E62" s="1">
        <v>9525</v>
      </c>
      <c r="F62" s="1">
        <v>9525</v>
      </c>
      <c r="G62" s="1">
        <v>177418400</v>
      </c>
      <c r="H62" s="8">
        <f t="shared" si="0"/>
        <v>-3.787878787878788E-2</v>
      </c>
      <c r="I62" s="8">
        <f t="shared" si="1"/>
        <v>1.0610079575596816E-2</v>
      </c>
      <c r="J62" s="22">
        <f t="shared" si="2"/>
        <v>10023.75</v>
      </c>
      <c r="K62" s="22">
        <f t="shared" si="3"/>
        <v>9849</v>
      </c>
    </row>
    <row r="63" spans="1:11" x14ac:dyDescent="0.2">
      <c r="A63" s="2">
        <f ca="1">IFERROR(__xludf.DUMMYFUNCTION("""COMPUTED_VALUE"""),45386.6666666666)</f>
        <v>45386.666666666599</v>
      </c>
      <c r="B63" s="2"/>
      <c r="C63" s="1">
        <v>9575</v>
      </c>
      <c r="D63" s="1">
        <v>9850</v>
      </c>
      <c r="E63" s="1">
        <v>9575</v>
      </c>
      <c r="F63" s="1">
        <v>9850</v>
      </c>
      <c r="G63" s="1">
        <v>75993500</v>
      </c>
      <c r="H63" s="8">
        <f t="shared" si="0"/>
        <v>3.4120734908136482E-2</v>
      </c>
      <c r="I63" s="8">
        <f t="shared" si="1"/>
        <v>4.5092838196286469E-2</v>
      </c>
      <c r="J63" s="22">
        <f t="shared" si="2"/>
        <v>10028.75</v>
      </c>
      <c r="K63" s="22">
        <f t="shared" si="3"/>
        <v>9851</v>
      </c>
    </row>
    <row r="64" spans="1:11" x14ac:dyDescent="0.2">
      <c r="A64" s="2">
        <f ca="1">IFERROR(__xludf.DUMMYFUNCTION("""COMPUTED_VALUE"""),45387.6666666666)</f>
        <v>45387.666666666599</v>
      </c>
      <c r="B64" s="2"/>
      <c r="C64" s="1">
        <v>9950</v>
      </c>
      <c r="D64" s="1">
        <v>9950</v>
      </c>
      <c r="E64" s="1">
        <v>9825</v>
      </c>
      <c r="F64" s="1">
        <v>9825</v>
      </c>
      <c r="G64" s="1">
        <v>70428600</v>
      </c>
      <c r="H64" s="8">
        <f t="shared" si="0"/>
        <v>-2.5380710659898475E-3</v>
      </c>
      <c r="I64" s="8">
        <f t="shared" si="1"/>
        <v>4.2440318302387266E-2</v>
      </c>
      <c r="J64" s="22">
        <f t="shared" si="2"/>
        <v>10030</v>
      </c>
      <c r="K64" s="22">
        <f t="shared" si="3"/>
        <v>9854</v>
      </c>
    </row>
    <row r="65" spans="1:11" x14ac:dyDescent="0.2">
      <c r="A65" s="2">
        <f ca="1">IFERROR(__xludf.DUMMYFUNCTION("""COMPUTED_VALUE"""),45398.6666666666)</f>
        <v>45398.666666666599</v>
      </c>
      <c r="B65" s="2"/>
      <c r="C65" s="1">
        <v>9350</v>
      </c>
      <c r="D65" s="1">
        <v>9575</v>
      </c>
      <c r="E65" s="1">
        <v>9250</v>
      </c>
      <c r="F65" s="1">
        <v>9475</v>
      </c>
      <c r="G65" s="1">
        <v>283265900</v>
      </c>
      <c r="H65" s="8">
        <f t="shared" si="0"/>
        <v>-3.5623409669211195E-2</v>
      </c>
      <c r="I65" s="8">
        <f t="shared" si="1"/>
        <v>5.3050397877984082E-3</v>
      </c>
      <c r="J65" s="22">
        <f t="shared" si="2"/>
        <v>10006.25</v>
      </c>
      <c r="K65" s="22">
        <f t="shared" si="3"/>
        <v>9851</v>
      </c>
    </row>
    <row r="66" spans="1:11" x14ac:dyDescent="0.2">
      <c r="A66" s="2">
        <f ca="1">IFERROR(__xludf.DUMMYFUNCTION("""COMPUTED_VALUE"""),45399.6666666666)</f>
        <v>45399.666666666599</v>
      </c>
      <c r="B66" s="2"/>
      <c r="C66" s="1">
        <v>9550</v>
      </c>
      <c r="D66" s="1">
        <v>9675</v>
      </c>
      <c r="E66" s="1">
        <v>9525</v>
      </c>
      <c r="F66" s="1">
        <v>9525</v>
      </c>
      <c r="G66" s="1">
        <v>95620700</v>
      </c>
      <c r="H66" s="8">
        <f t="shared" si="0"/>
        <v>5.2770448548812663E-3</v>
      </c>
      <c r="I66" s="8">
        <f t="shared" si="1"/>
        <v>1.0610079575596816E-2</v>
      </c>
      <c r="J66" s="22">
        <f t="shared" si="2"/>
        <v>9976.25</v>
      </c>
      <c r="K66" s="22">
        <f t="shared" si="3"/>
        <v>9849</v>
      </c>
    </row>
    <row r="67" spans="1:11" x14ac:dyDescent="0.2">
      <c r="A67" s="2">
        <f ca="1">IFERROR(__xludf.DUMMYFUNCTION("""COMPUTED_VALUE"""),45400.6666666666)</f>
        <v>45400.666666666599</v>
      </c>
      <c r="B67" s="2"/>
      <c r="C67" s="1">
        <v>9525</v>
      </c>
      <c r="D67" s="1">
        <v>9575</v>
      </c>
      <c r="E67" s="1">
        <v>9450</v>
      </c>
      <c r="F67" s="1">
        <v>9475</v>
      </c>
      <c r="G67" s="1">
        <v>127134000</v>
      </c>
      <c r="H67" s="8">
        <f t="shared" si="0"/>
        <v>-5.2493438320209973E-3</v>
      </c>
      <c r="I67" s="8">
        <f t="shared" si="1"/>
        <v>5.3050397877984082E-3</v>
      </c>
      <c r="J67" s="22">
        <f t="shared" si="2"/>
        <v>9942.5</v>
      </c>
      <c r="K67" s="22">
        <f t="shared" si="3"/>
        <v>9846.5</v>
      </c>
    </row>
    <row r="68" spans="1:11" x14ac:dyDescent="0.2">
      <c r="A68" s="2">
        <f ca="1">IFERROR(__xludf.DUMMYFUNCTION("""COMPUTED_VALUE"""),45401.6666666666)</f>
        <v>45401.666666666599</v>
      </c>
      <c r="B68" s="2"/>
      <c r="C68" s="1">
        <v>9350</v>
      </c>
      <c r="D68" s="1">
        <v>9500</v>
      </c>
      <c r="E68" s="1">
        <v>9300</v>
      </c>
      <c r="F68" s="1">
        <v>9475</v>
      </c>
      <c r="G68" s="1">
        <v>147784300</v>
      </c>
      <c r="H68" s="8">
        <f t="shared" ref="H68:H131" si="4">(F68-F67)/F67</f>
        <v>0</v>
      </c>
      <c r="I68" s="8">
        <f t="shared" ref="I68:I131" si="5">(F68-$F$2)/$F$2</f>
        <v>5.3050397877984082E-3</v>
      </c>
      <c r="J68" s="22">
        <f t="shared" si="2"/>
        <v>9916.25</v>
      </c>
      <c r="K68" s="22">
        <f t="shared" si="3"/>
        <v>9845.5</v>
      </c>
    </row>
    <row r="69" spans="1:11" x14ac:dyDescent="0.2">
      <c r="A69" s="2">
        <f ca="1">IFERROR(__xludf.DUMMYFUNCTION("""COMPUTED_VALUE"""),45404.6666666666)</f>
        <v>45404.666666666599</v>
      </c>
      <c r="B69" s="2"/>
      <c r="C69" s="1">
        <v>9400</v>
      </c>
      <c r="D69" s="1">
        <v>9425</v>
      </c>
      <c r="E69" s="1">
        <v>9350</v>
      </c>
      <c r="F69" s="1">
        <v>9350</v>
      </c>
      <c r="G69" s="1">
        <v>128908000</v>
      </c>
      <c r="H69" s="8">
        <f t="shared" si="4"/>
        <v>-1.3192612137203167E-2</v>
      </c>
      <c r="I69" s="8">
        <f t="shared" si="5"/>
        <v>-7.9575596816976128E-3</v>
      </c>
      <c r="J69" s="22">
        <f t="shared" si="2"/>
        <v>9867.5</v>
      </c>
      <c r="K69" s="22">
        <f t="shared" si="3"/>
        <v>9842.5</v>
      </c>
    </row>
    <row r="70" spans="1:11" x14ac:dyDescent="0.2">
      <c r="A70" s="2">
        <f ca="1">IFERROR(__xludf.DUMMYFUNCTION("""COMPUTED_VALUE"""),45405.6666666666)</f>
        <v>45405.666666666599</v>
      </c>
      <c r="B70" s="2"/>
      <c r="C70" s="1">
        <v>9400</v>
      </c>
      <c r="D70" s="1">
        <v>9775</v>
      </c>
      <c r="E70" s="1">
        <v>9400</v>
      </c>
      <c r="F70" s="1">
        <v>9725</v>
      </c>
      <c r="G70" s="1">
        <v>178833000</v>
      </c>
      <c r="H70" s="8">
        <f t="shared" si="4"/>
        <v>4.0106951871657755E-2</v>
      </c>
      <c r="I70" s="8">
        <f t="shared" si="5"/>
        <v>3.1830238726790451E-2</v>
      </c>
      <c r="J70" s="22">
        <f t="shared" si="2"/>
        <v>9846.25</v>
      </c>
      <c r="K70" s="22">
        <f t="shared" si="3"/>
        <v>9850</v>
      </c>
    </row>
    <row r="71" spans="1:11" x14ac:dyDescent="0.2">
      <c r="A71" s="2">
        <f ca="1">IFERROR(__xludf.DUMMYFUNCTION("""COMPUTED_VALUE"""),45406.6666666666)</f>
        <v>45406.666666666599</v>
      </c>
      <c r="B71" s="2"/>
      <c r="C71" s="1">
        <v>9825</v>
      </c>
      <c r="D71" s="1">
        <v>9950</v>
      </c>
      <c r="E71" s="1">
        <v>9750</v>
      </c>
      <c r="F71" s="1">
        <v>9950</v>
      </c>
      <c r="G71" s="1">
        <v>132832700</v>
      </c>
      <c r="H71" s="8">
        <f t="shared" si="4"/>
        <v>2.313624678663239E-2</v>
      </c>
      <c r="I71" s="8">
        <f t="shared" si="5"/>
        <v>5.5702917771883291E-2</v>
      </c>
      <c r="J71" s="22">
        <f t="shared" si="2"/>
        <v>9836.25</v>
      </c>
      <c r="K71" s="22">
        <f t="shared" si="3"/>
        <v>9858</v>
      </c>
    </row>
    <row r="72" spans="1:11" x14ac:dyDescent="0.2">
      <c r="A72" s="2">
        <f ca="1">IFERROR(__xludf.DUMMYFUNCTION("""COMPUTED_VALUE"""),45407.6666666666)</f>
        <v>45407.666666666599</v>
      </c>
      <c r="B72" s="2"/>
      <c r="C72" s="1">
        <v>10000</v>
      </c>
      <c r="D72" s="1">
        <v>10000</v>
      </c>
      <c r="E72" s="1">
        <v>9700</v>
      </c>
      <c r="F72" s="1">
        <v>9775</v>
      </c>
      <c r="G72" s="1">
        <v>104874100</v>
      </c>
      <c r="H72" s="8">
        <f t="shared" si="4"/>
        <v>-1.7587939698492462E-2</v>
      </c>
      <c r="I72" s="8">
        <f t="shared" si="5"/>
        <v>3.7135278514588858E-2</v>
      </c>
      <c r="J72" s="22">
        <f t="shared" si="2"/>
        <v>9816.25</v>
      </c>
      <c r="K72" s="22">
        <f t="shared" si="3"/>
        <v>9860.5</v>
      </c>
    </row>
    <row r="73" spans="1:11" x14ac:dyDescent="0.2">
      <c r="A73" s="2">
        <f ca="1">IFERROR(__xludf.DUMMYFUNCTION("""COMPUTED_VALUE"""),45408.6666666666)</f>
        <v>45408.666666666599</v>
      </c>
      <c r="B73" s="2"/>
      <c r="C73" s="1">
        <v>9700</v>
      </c>
      <c r="D73" s="1">
        <v>9825</v>
      </c>
      <c r="E73" s="1">
        <v>9625</v>
      </c>
      <c r="F73" s="1">
        <v>9625</v>
      </c>
      <c r="G73" s="1">
        <v>100932900</v>
      </c>
      <c r="H73" s="8">
        <f t="shared" si="4"/>
        <v>-1.5345268542199489E-2</v>
      </c>
      <c r="I73" s="8">
        <f t="shared" si="5"/>
        <v>2.1220159151193633E-2</v>
      </c>
      <c r="J73" s="22">
        <f t="shared" si="2"/>
        <v>9791.25</v>
      </c>
      <c r="K73" s="22">
        <f t="shared" si="3"/>
        <v>9862</v>
      </c>
    </row>
    <row r="74" spans="1:11" x14ac:dyDescent="0.2">
      <c r="A74" s="2">
        <f ca="1">IFERROR(__xludf.DUMMYFUNCTION("""COMPUTED_VALUE"""),45411.6666666666)</f>
        <v>45411.666666666599</v>
      </c>
      <c r="B74" s="2"/>
      <c r="C74" s="1">
        <v>9525</v>
      </c>
      <c r="D74" s="1">
        <v>9850</v>
      </c>
      <c r="E74" s="1">
        <v>9525</v>
      </c>
      <c r="F74" s="1">
        <v>9800</v>
      </c>
      <c r="G74" s="1">
        <v>90063500</v>
      </c>
      <c r="H74" s="8">
        <f t="shared" si="4"/>
        <v>1.8181818181818181E-2</v>
      </c>
      <c r="I74" s="8">
        <f t="shared" si="5"/>
        <v>3.9787798408488062E-2</v>
      </c>
      <c r="J74" s="22">
        <f t="shared" si="2"/>
        <v>9775</v>
      </c>
      <c r="K74" s="22">
        <f t="shared" si="3"/>
        <v>9864</v>
      </c>
    </row>
    <row r="75" spans="1:11" x14ac:dyDescent="0.2">
      <c r="A75" s="2">
        <f ca="1">IFERROR(__xludf.DUMMYFUNCTION("""COMPUTED_VALUE"""),45412.6666666666)</f>
        <v>45412.666666666599</v>
      </c>
      <c r="B75" s="2"/>
      <c r="C75" s="1">
        <v>10050</v>
      </c>
      <c r="D75" s="1">
        <v>10050</v>
      </c>
      <c r="E75" s="1">
        <v>9800</v>
      </c>
      <c r="F75" s="1">
        <v>9800</v>
      </c>
      <c r="G75" s="1">
        <v>109623000</v>
      </c>
      <c r="H75" s="8">
        <f t="shared" si="4"/>
        <v>0</v>
      </c>
      <c r="I75" s="8">
        <f t="shared" si="5"/>
        <v>3.9787798408488062E-2</v>
      </c>
      <c r="J75" s="22">
        <f t="shared" si="2"/>
        <v>9760</v>
      </c>
      <c r="K75" s="22">
        <f t="shared" si="3"/>
        <v>9866</v>
      </c>
    </row>
    <row r="76" spans="1:11" x14ac:dyDescent="0.2">
      <c r="A76" s="2">
        <f ca="1">IFERROR(__xludf.DUMMYFUNCTION("""COMPUTED_VALUE"""),45414.6666666666)</f>
        <v>45414.666666666599</v>
      </c>
      <c r="B76" s="2"/>
      <c r="C76" s="1">
        <v>9900</v>
      </c>
      <c r="D76" s="1">
        <v>9900</v>
      </c>
      <c r="E76" s="1">
        <v>9500</v>
      </c>
      <c r="F76" s="1">
        <v>9550</v>
      </c>
      <c r="G76" s="1">
        <v>97079400</v>
      </c>
      <c r="H76" s="8">
        <f t="shared" si="4"/>
        <v>-2.5510204081632654E-2</v>
      </c>
      <c r="I76" s="8">
        <f t="shared" si="5"/>
        <v>1.3262599469496022E-2</v>
      </c>
      <c r="J76" s="22">
        <f t="shared" si="2"/>
        <v>9733.75</v>
      </c>
      <c r="K76" s="22">
        <f t="shared" si="3"/>
        <v>9865.5</v>
      </c>
    </row>
    <row r="77" spans="1:11" x14ac:dyDescent="0.2">
      <c r="A77" s="2">
        <f ca="1">IFERROR(__xludf.DUMMYFUNCTION("""COMPUTED_VALUE"""),45415.6666666666)</f>
        <v>45415.666666666599</v>
      </c>
      <c r="B77" s="2"/>
      <c r="C77" s="1">
        <v>9750</v>
      </c>
      <c r="D77" s="1">
        <v>9850</v>
      </c>
      <c r="E77" s="1">
        <v>9675</v>
      </c>
      <c r="F77" s="1">
        <v>9850</v>
      </c>
      <c r="G77" s="1">
        <v>81200400</v>
      </c>
      <c r="H77" s="8">
        <f t="shared" si="4"/>
        <v>3.1413612565445025E-2</v>
      </c>
      <c r="I77" s="8">
        <f t="shared" si="5"/>
        <v>4.5092838196286469E-2</v>
      </c>
      <c r="J77" s="22">
        <f t="shared" si="2"/>
        <v>9723.75</v>
      </c>
      <c r="K77" s="22">
        <f t="shared" si="3"/>
        <v>9870</v>
      </c>
    </row>
    <row r="78" spans="1:11" x14ac:dyDescent="0.2">
      <c r="A78" s="2">
        <f ca="1">IFERROR(__xludf.DUMMYFUNCTION("""COMPUTED_VALUE"""),45418.6666666666)</f>
        <v>45418.666666666599</v>
      </c>
      <c r="B78" s="2"/>
      <c r="C78" s="1">
        <v>9850</v>
      </c>
      <c r="D78" s="1">
        <v>9875</v>
      </c>
      <c r="E78" s="1">
        <v>9775</v>
      </c>
      <c r="F78" s="1">
        <v>9800</v>
      </c>
      <c r="G78" s="1">
        <v>53076200</v>
      </c>
      <c r="H78" s="8">
        <f t="shared" si="4"/>
        <v>-5.076142131979695E-3</v>
      </c>
      <c r="I78" s="8">
        <f t="shared" si="5"/>
        <v>3.9787798408488062E-2</v>
      </c>
      <c r="J78" s="22">
        <f t="shared" si="2"/>
        <v>9710</v>
      </c>
      <c r="K78" s="22">
        <f t="shared" si="3"/>
        <v>9872</v>
      </c>
    </row>
    <row r="79" spans="1:11" x14ac:dyDescent="0.2">
      <c r="A79" s="2">
        <f ca="1">IFERROR(__xludf.DUMMYFUNCTION("""COMPUTED_VALUE"""),45419.6666666666)</f>
        <v>45419.666666666599</v>
      </c>
      <c r="B79" s="2"/>
      <c r="C79" s="1">
        <v>9700</v>
      </c>
      <c r="D79" s="1">
        <v>9750</v>
      </c>
      <c r="E79" s="1">
        <v>9625</v>
      </c>
      <c r="F79" s="1">
        <v>9700</v>
      </c>
      <c r="G79" s="1">
        <v>66746800</v>
      </c>
      <c r="H79" s="8">
        <f t="shared" si="4"/>
        <v>-1.020408163265306E-2</v>
      </c>
      <c r="I79" s="8">
        <f t="shared" si="5"/>
        <v>2.9177718832891247E-2</v>
      </c>
      <c r="J79" s="22">
        <f t="shared" si="2"/>
        <v>9691.25</v>
      </c>
      <c r="K79" s="22">
        <f t="shared" si="3"/>
        <v>9870</v>
      </c>
    </row>
    <row r="80" spans="1:11" x14ac:dyDescent="0.2">
      <c r="A80" s="2">
        <f ca="1">IFERROR(__xludf.DUMMYFUNCTION("""COMPUTED_VALUE"""),45420.6666666666)</f>
        <v>45420.666666666599</v>
      </c>
      <c r="B80" s="2"/>
      <c r="C80" s="1">
        <v>9600</v>
      </c>
      <c r="D80" s="1">
        <v>9700</v>
      </c>
      <c r="E80" s="1">
        <v>9375</v>
      </c>
      <c r="F80" s="1">
        <v>9375</v>
      </c>
      <c r="G80" s="1">
        <v>112808900</v>
      </c>
      <c r="H80" s="8">
        <f t="shared" si="4"/>
        <v>-3.3505154639175257E-2</v>
      </c>
      <c r="I80" s="8">
        <f t="shared" si="5"/>
        <v>-5.3050397877984082E-3</v>
      </c>
      <c r="J80" s="22">
        <f t="shared" si="2"/>
        <v>9667.5</v>
      </c>
      <c r="K80" s="22">
        <f t="shared" si="3"/>
        <v>9863</v>
      </c>
    </row>
    <row r="81" spans="1:11" x14ac:dyDescent="0.2">
      <c r="A81" s="2">
        <f ca="1">IFERROR(__xludf.DUMMYFUNCTION("""COMPUTED_VALUE"""),45425.6666666666)</f>
        <v>45425.666666666599</v>
      </c>
      <c r="B81" s="2"/>
      <c r="C81" s="1">
        <v>9200</v>
      </c>
      <c r="D81" s="1">
        <v>9525</v>
      </c>
      <c r="E81" s="1">
        <v>9200</v>
      </c>
      <c r="F81" s="1">
        <v>9525</v>
      </c>
      <c r="G81" s="1">
        <v>145469900</v>
      </c>
      <c r="H81" s="8">
        <f t="shared" si="4"/>
        <v>1.6E-2</v>
      </c>
      <c r="I81" s="8">
        <f t="shared" si="5"/>
        <v>1.0610079575596816E-2</v>
      </c>
      <c r="J81" s="22">
        <f t="shared" si="2"/>
        <v>9648.75</v>
      </c>
      <c r="K81" s="22">
        <f t="shared" si="3"/>
        <v>9856.5</v>
      </c>
    </row>
    <row r="82" spans="1:11" x14ac:dyDescent="0.2">
      <c r="A82" s="2">
        <f ca="1">IFERROR(__xludf.DUMMYFUNCTION("""COMPUTED_VALUE"""),45426.6666666666)</f>
        <v>45426.666666666599</v>
      </c>
      <c r="B82" s="2"/>
      <c r="C82" s="1">
        <v>9625</v>
      </c>
      <c r="D82" s="1">
        <v>9675</v>
      </c>
      <c r="E82" s="1">
        <v>9525</v>
      </c>
      <c r="F82" s="1">
        <v>9550</v>
      </c>
      <c r="G82" s="1">
        <v>95363500</v>
      </c>
      <c r="H82" s="8">
        <f t="shared" si="4"/>
        <v>2.6246719160104987E-3</v>
      </c>
      <c r="I82" s="8">
        <f t="shared" si="5"/>
        <v>1.3262599469496022E-2</v>
      </c>
      <c r="J82" s="22">
        <f t="shared" si="2"/>
        <v>9650</v>
      </c>
      <c r="K82" s="22">
        <f t="shared" si="3"/>
        <v>9848.5</v>
      </c>
    </row>
    <row r="83" spans="1:11" x14ac:dyDescent="0.2">
      <c r="A83" s="2">
        <f ca="1">IFERROR(__xludf.DUMMYFUNCTION("""COMPUTED_VALUE"""),45427.6666666666)</f>
        <v>45427.666666666599</v>
      </c>
      <c r="B83" s="2"/>
      <c r="C83" s="1">
        <v>9500</v>
      </c>
      <c r="D83" s="1">
        <v>9600</v>
      </c>
      <c r="E83" s="1">
        <v>9425</v>
      </c>
      <c r="F83" s="1">
        <v>9500</v>
      </c>
      <c r="G83" s="1">
        <v>54741900</v>
      </c>
      <c r="H83" s="8">
        <f t="shared" si="4"/>
        <v>-5.235602094240838E-3</v>
      </c>
      <c r="I83" s="8">
        <f t="shared" si="5"/>
        <v>7.9575596816976128E-3</v>
      </c>
      <c r="J83" s="22">
        <f t="shared" si="2"/>
        <v>9632.5</v>
      </c>
      <c r="K83" s="22">
        <f t="shared" si="3"/>
        <v>9841</v>
      </c>
    </row>
    <row r="84" spans="1:11" x14ac:dyDescent="0.2">
      <c r="A84" s="2">
        <f ca="1">IFERROR(__xludf.DUMMYFUNCTION("""COMPUTED_VALUE"""),45428.6666666666)</f>
        <v>45428.666666666599</v>
      </c>
      <c r="B84" s="2"/>
      <c r="C84" s="1">
        <v>9575</v>
      </c>
      <c r="D84" s="1">
        <v>9675</v>
      </c>
      <c r="E84" s="1">
        <v>9525</v>
      </c>
      <c r="F84" s="1">
        <v>9600</v>
      </c>
      <c r="G84" s="1">
        <v>61126000</v>
      </c>
      <c r="H84" s="8">
        <f t="shared" si="4"/>
        <v>1.0526315789473684E-2</v>
      </c>
      <c r="I84" s="8">
        <f t="shared" si="5"/>
        <v>1.8567639257294429E-2</v>
      </c>
      <c r="J84" s="22">
        <f t="shared" si="2"/>
        <v>9621.25</v>
      </c>
      <c r="K84" s="22">
        <f t="shared" si="3"/>
        <v>9832.5</v>
      </c>
    </row>
    <row r="85" spans="1:11" x14ac:dyDescent="0.2">
      <c r="A85" s="2">
        <f ca="1">IFERROR(__xludf.DUMMYFUNCTION("""COMPUTED_VALUE"""),45429.6666666666)</f>
        <v>45429.666666666599</v>
      </c>
      <c r="B85" s="2"/>
      <c r="C85" s="1">
        <v>9600</v>
      </c>
      <c r="D85" s="1">
        <v>9850</v>
      </c>
      <c r="E85" s="1">
        <v>9575</v>
      </c>
      <c r="F85" s="1">
        <v>9750</v>
      </c>
      <c r="G85" s="1">
        <v>99848500</v>
      </c>
      <c r="H85" s="8">
        <f t="shared" si="4"/>
        <v>1.5625E-2</v>
      </c>
      <c r="I85" s="8">
        <f t="shared" si="5"/>
        <v>3.4482758620689655E-2</v>
      </c>
      <c r="J85" s="22">
        <f t="shared" si="2"/>
        <v>9635</v>
      </c>
      <c r="K85" s="22">
        <f t="shared" si="3"/>
        <v>9828</v>
      </c>
    </row>
    <row r="86" spans="1:11" x14ac:dyDescent="0.2">
      <c r="A86" s="2">
        <f ca="1">IFERROR(__xludf.DUMMYFUNCTION("""COMPUTED_VALUE"""),45432.6666666666)</f>
        <v>45432.666666666599</v>
      </c>
      <c r="B86" s="2"/>
      <c r="C86" s="1">
        <v>9700</v>
      </c>
      <c r="D86" s="1">
        <v>9800</v>
      </c>
      <c r="E86" s="1">
        <v>9475</v>
      </c>
      <c r="F86" s="1">
        <v>9475</v>
      </c>
      <c r="G86" s="1">
        <v>87890100</v>
      </c>
      <c r="H86" s="8">
        <f t="shared" si="4"/>
        <v>-2.8205128205128206E-2</v>
      </c>
      <c r="I86" s="8">
        <f t="shared" si="5"/>
        <v>5.3050397877984082E-3</v>
      </c>
      <c r="J86" s="22">
        <f t="shared" ref="J86:J149" si="6">AVERAGE(F67:F86)</f>
        <v>9632.5</v>
      </c>
      <c r="K86" s="22">
        <f t="shared" si="3"/>
        <v>9820</v>
      </c>
    </row>
    <row r="87" spans="1:11" x14ac:dyDescent="0.2">
      <c r="A87" s="2">
        <f ca="1">IFERROR(__xludf.DUMMYFUNCTION("""COMPUTED_VALUE"""),45433.6666666666)</f>
        <v>45433.666666666599</v>
      </c>
      <c r="B87" s="2"/>
      <c r="C87" s="1">
        <v>9450</v>
      </c>
      <c r="D87" s="1">
        <v>9575</v>
      </c>
      <c r="E87" s="1">
        <v>9375</v>
      </c>
      <c r="F87" s="1">
        <v>9375</v>
      </c>
      <c r="G87" s="1">
        <v>75311400</v>
      </c>
      <c r="H87" s="8">
        <f t="shared" si="4"/>
        <v>-1.0554089709762533E-2</v>
      </c>
      <c r="I87" s="8">
        <f t="shared" si="5"/>
        <v>-5.3050397877984082E-3</v>
      </c>
      <c r="J87" s="22">
        <f t="shared" si="6"/>
        <v>9627.5</v>
      </c>
      <c r="K87" s="22">
        <f t="shared" si="3"/>
        <v>9811</v>
      </c>
    </row>
    <row r="88" spans="1:11" x14ac:dyDescent="0.2">
      <c r="A88" s="2">
        <f ca="1">IFERROR(__xludf.DUMMYFUNCTION("""COMPUTED_VALUE"""),45434.6666666666)</f>
        <v>45434.666666666599</v>
      </c>
      <c r="B88" s="2"/>
      <c r="C88" s="1">
        <v>9475</v>
      </c>
      <c r="D88" s="1">
        <v>9575</v>
      </c>
      <c r="E88" s="1">
        <v>9325</v>
      </c>
      <c r="F88" s="1">
        <v>9425</v>
      </c>
      <c r="G88" s="1">
        <v>121712700</v>
      </c>
      <c r="H88" s="8">
        <f t="shared" si="4"/>
        <v>5.3333333333333332E-3</v>
      </c>
      <c r="I88" s="8">
        <f t="shared" si="5"/>
        <v>0</v>
      </c>
      <c r="J88" s="22">
        <f t="shared" si="6"/>
        <v>9625</v>
      </c>
      <c r="K88" s="22">
        <f t="shared" si="3"/>
        <v>9803.5</v>
      </c>
    </row>
    <row r="89" spans="1:11" x14ac:dyDescent="0.2">
      <c r="A89" s="2">
        <f ca="1">IFERROR(__xludf.DUMMYFUNCTION("""COMPUTED_VALUE"""),45439.6666666666)</f>
        <v>45439.666666666599</v>
      </c>
      <c r="B89" s="2"/>
      <c r="C89" s="1">
        <v>9300</v>
      </c>
      <c r="D89" s="1">
        <v>9375</v>
      </c>
      <c r="E89" s="1">
        <v>9275</v>
      </c>
      <c r="F89" s="1">
        <v>9300</v>
      </c>
      <c r="G89" s="1">
        <v>128578500</v>
      </c>
      <c r="H89" s="8">
        <f t="shared" si="4"/>
        <v>-1.3262599469496022E-2</v>
      </c>
      <c r="I89" s="8">
        <f t="shared" si="5"/>
        <v>-1.3262599469496022E-2</v>
      </c>
      <c r="J89" s="22">
        <f t="shared" si="6"/>
        <v>9622.5</v>
      </c>
      <c r="K89" s="22">
        <f t="shared" si="3"/>
        <v>9792</v>
      </c>
    </row>
    <row r="90" spans="1:11" x14ac:dyDescent="0.2">
      <c r="A90" s="2">
        <f ca="1">IFERROR(__xludf.DUMMYFUNCTION("""COMPUTED_VALUE"""),45440.6666666666)</f>
        <v>45440.666666666599</v>
      </c>
      <c r="B90" s="2"/>
      <c r="C90" s="1">
        <v>9300</v>
      </c>
      <c r="D90" s="1">
        <v>9400</v>
      </c>
      <c r="E90" s="1">
        <v>9300</v>
      </c>
      <c r="F90" s="1">
        <v>9300</v>
      </c>
      <c r="G90" s="1">
        <v>73945700</v>
      </c>
      <c r="H90" s="8">
        <f t="shared" si="4"/>
        <v>0</v>
      </c>
      <c r="I90" s="8">
        <f t="shared" si="5"/>
        <v>-1.3262599469496022E-2</v>
      </c>
      <c r="J90" s="22">
        <f t="shared" si="6"/>
        <v>9601.25</v>
      </c>
      <c r="K90" s="22">
        <f t="shared" si="3"/>
        <v>9778</v>
      </c>
    </row>
    <row r="91" spans="1:11" x14ac:dyDescent="0.2">
      <c r="A91" s="2">
        <f ca="1">IFERROR(__xludf.DUMMYFUNCTION("""COMPUTED_VALUE"""),45441.6666666666)</f>
        <v>45441.666666666599</v>
      </c>
      <c r="B91" s="2"/>
      <c r="C91" s="1">
        <v>9275</v>
      </c>
      <c r="D91" s="1">
        <v>9325</v>
      </c>
      <c r="E91" s="1">
        <v>9150</v>
      </c>
      <c r="F91" s="1">
        <v>9150</v>
      </c>
      <c r="G91" s="1">
        <v>117351600</v>
      </c>
      <c r="H91" s="8">
        <f t="shared" si="4"/>
        <v>-1.6129032258064516E-2</v>
      </c>
      <c r="I91" s="8">
        <f t="shared" si="5"/>
        <v>-2.9177718832891247E-2</v>
      </c>
      <c r="J91" s="22">
        <f t="shared" si="6"/>
        <v>9561.25</v>
      </c>
      <c r="K91" s="22">
        <f t="shared" si="3"/>
        <v>9763.5</v>
      </c>
    </row>
    <row r="92" spans="1:11" x14ac:dyDescent="0.2">
      <c r="A92" s="2">
        <f ca="1">IFERROR(__xludf.DUMMYFUNCTION("""COMPUTED_VALUE"""),45442.6666666666)</f>
        <v>45442.666666666599</v>
      </c>
      <c r="B92" s="2"/>
      <c r="C92" s="1">
        <v>9000</v>
      </c>
      <c r="D92" s="1">
        <v>9250</v>
      </c>
      <c r="E92" s="1">
        <v>8775</v>
      </c>
      <c r="F92" s="1">
        <v>9000</v>
      </c>
      <c r="G92" s="1">
        <v>207115100</v>
      </c>
      <c r="H92" s="8">
        <f t="shared" si="4"/>
        <v>-1.6393442622950821E-2</v>
      </c>
      <c r="I92" s="8">
        <f t="shared" si="5"/>
        <v>-4.5092838196286469E-2</v>
      </c>
      <c r="J92" s="22">
        <f t="shared" si="6"/>
        <v>9522.5</v>
      </c>
      <c r="K92" s="22">
        <f t="shared" si="3"/>
        <v>9747</v>
      </c>
    </row>
    <row r="93" spans="1:11" x14ac:dyDescent="0.2">
      <c r="A93" s="2">
        <f ca="1">IFERROR(__xludf.DUMMYFUNCTION("""COMPUTED_VALUE"""),45443.6666666666)</f>
        <v>45443.666666666599</v>
      </c>
      <c r="B93" s="2"/>
      <c r="C93" s="1">
        <v>9100</v>
      </c>
      <c r="D93" s="1">
        <v>9250</v>
      </c>
      <c r="E93" s="1">
        <v>9025</v>
      </c>
      <c r="F93" s="1">
        <v>9250</v>
      </c>
      <c r="G93" s="1">
        <v>756431600</v>
      </c>
      <c r="H93" s="8">
        <f t="shared" si="4"/>
        <v>2.7777777777777776E-2</v>
      </c>
      <c r="I93" s="8">
        <f t="shared" si="5"/>
        <v>-1.8567639257294429E-2</v>
      </c>
      <c r="J93" s="22">
        <f t="shared" si="6"/>
        <v>9503.75</v>
      </c>
      <c r="K93" s="22">
        <f t="shared" si="3"/>
        <v>9737</v>
      </c>
    </row>
    <row r="94" spans="1:11" x14ac:dyDescent="0.2">
      <c r="A94" s="2">
        <f ca="1">IFERROR(__xludf.DUMMYFUNCTION("""COMPUTED_VALUE"""),45446.6666666666)</f>
        <v>45446.666666666599</v>
      </c>
      <c r="B94" s="2"/>
      <c r="C94" s="1">
        <v>9350</v>
      </c>
      <c r="D94" s="1">
        <v>9350</v>
      </c>
      <c r="E94" s="1">
        <v>9225</v>
      </c>
      <c r="F94" s="1">
        <v>9275</v>
      </c>
      <c r="G94" s="1">
        <v>72197700</v>
      </c>
      <c r="H94" s="8">
        <f t="shared" si="4"/>
        <v>2.7027027027027029E-3</v>
      </c>
      <c r="I94" s="8">
        <f t="shared" si="5"/>
        <v>-1.5915119363395226E-2</v>
      </c>
      <c r="J94" s="22">
        <f t="shared" si="6"/>
        <v>9477.5</v>
      </c>
      <c r="K94" s="22">
        <f t="shared" si="3"/>
        <v>9726.5</v>
      </c>
    </row>
    <row r="95" spans="1:11" x14ac:dyDescent="0.2">
      <c r="A95" s="2">
        <f ca="1">IFERROR(__xludf.DUMMYFUNCTION("""COMPUTED_VALUE"""),45447.6666666666)</f>
        <v>45447.666666666599</v>
      </c>
      <c r="B95" s="2"/>
      <c r="C95" s="1">
        <v>9525</v>
      </c>
      <c r="D95" s="1">
        <v>9525</v>
      </c>
      <c r="E95" s="1">
        <v>9350</v>
      </c>
      <c r="F95" s="1">
        <v>9350</v>
      </c>
      <c r="G95" s="1">
        <v>75353100</v>
      </c>
      <c r="H95" s="8">
        <f t="shared" si="4"/>
        <v>8.0862533692722376E-3</v>
      </c>
      <c r="I95" s="8">
        <f t="shared" si="5"/>
        <v>-7.9575596816976128E-3</v>
      </c>
      <c r="J95" s="22">
        <f t="shared" si="6"/>
        <v>9455</v>
      </c>
      <c r="K95" s="22">
        <f t="shared" si="3"/>
        <v>9714.5</v>
      </c>
    </row>
    <row r="96" spans="1:11" x14ac:dyDescent="0.2">
      <c r="A96" s="2">
        <f ca="1">IFERROR(__xludf.DUMMYFUNCTION("""COMPUTED_VALUE"""),45448.6666666666)</f>
        <v>45448.666666666599</v>
      </c>
      <c r="B96" s="2"/>
      <c r="C96" s="1">
        <v>9500</v>
      </c>
      <c r="D96" s="1">
        <v>9500</v>
      </c>
      <c r="E96" s="1">
        <v>9300</v>
      </c>
      <c r="F96" s="1">
        <v>9450</v>
      </c>
      <c r="G96" s="1">
        <v>82087300</v>
      </c>
      <c r="H96" s="8">
        <f t="shared" si="4"/>
        <v>1.06951871657754E-2</v>
      </c>
      <c r="I96" s="8">
        <f t="shared" si="5"/>
        <v>2.6525198938992041E-3</v>
      </c>
      <c r="J96" s="22">
        <f t="shared" si="6"/>
        <v>9450</v>
      </c>
      <c r="K96" s="22">
        <f t="shared" si="3"/>
        <v>9701</v>
      </c>
    </row>
    <row r="97" spans="1:11" x14ac:dyDescent="0.2">
      <c r="A97" s="2">
        <f ca="1">IFERROR(__xludf.DUMMYFUNCTION("""COMPUTED_VALUE"""),45449.6666666666)</f>
        <v>45449.666666666599</v>
      </c>
      <c r="B97" s="2"/>
      <c r="C97" s="1">
        <v>9525</v>
      </c>
      <c r="D97" s="1">
        <v>9525</v>
      </c>
      <c r="E97" s="1">
        <v>9450</v>
      </c>
      <c r="F97" s="1">
        <v>9475</v>
      </c>
      <c r="G97" s="1">
        <v>44991300</v>
      </c>
      <c r="H97" s="8">
        <f t="shared" si="4"/>
        <v>2.6455026455026454E-3</v>
      </c>
      <c r="I97" s="8">
        <f t="shared" si="5"/>
        <v>5.3050397877984082E-3</v>
      </c>
      <c r="J97" s="22">
        <f t="shared" si="6"/>
        <v>9431.25</v>
      </c>
      <c r="K97" s="22">
        <f t="shared" si="3"/>
        <v>9687.5</v>
      </c>
    </row>
    <row r="98" spans="1:11" x14ac:dyDescent="0.2">
      <c r="A98" s="2">
        <f ca="1">IFERROR(__xludf.DUMMYFUNCTION("""COMPUTED_VALUE"""),45450.6666666666)</f>
        <v>45450.666666666599</v>
      </c>
      <c r="B98" s="2"/>
      <c r="C98" s="1">
        <v>9500</v>
      </c>
      <c r="D98" s="1">
        <v>9500</v>
      </c>
      <c r="E98" s="1">
        <v>9325</v>
      </c>
      <c r="F98" s="1">
        <v>9325</v>
      </c>
      <c r="G98" s="1">
        <v>51599800</v>
      </c>
      <c r="H98" s="8">
        <f t="shared" si="4"/>
        <v>-1.5831134564643801E-2</v>
      </c>
      <c r="I98" s="8">
        <f t="shared" si="5"/>
        <v>-1.0610079575596816E-2</v>
      </c>
      <c r="J98" s="22">
        <f t="shared" si="6"/>
        <v>9407.5</v>
      </c>
      <c r="K98" s="22">
        <f t="shared" si="3"/>
        <v>9674</v>
      </c>
    </row>
    <row r="99" spans="1:11" x14ac:dyDescent="0.2">
      <c r="A99" s="2">
        <f ca="1">IFERROR(__xludf.DUMMYFUNCTION("""COMPUTED_VALUE"""),45453.6666666666)</f>
        <v>45453.666666666599</v>
      </c>
      <c r="B99" s="2"/>
      <c r="C99" s="1">
        <v>9500</v>
      </c>
      <c r="D99" s="1">
        <v>9525</v>
      </c>
      <c r="E99" s="1">
        <v>9450</v>
      </c>
      <c r="F99" s="1">
        <v>9525</v>
      </c>
      <c r="G99" s="1">
        <v>45584700</v>
      </c>
      <c r="H99" s="8">
        <f t="shared" si="4"/>
        <v>2.1447721179624665E-2</v>
      </c>
      <c r="I99" s="8">
        <f t="shared" si="5"/>
        <v>1.0610079575596816E-2</v>
      </c>
      <c r="J99" s="22">
        <f t="shared" si="6"/>
        <v>9398.75</v>
      </c>
      <c r="K99" s="22">
        <f t="shared" si="3"/>
        <v>9658</v>
      </c>
    </row>
    <row r="100" spans="1:11" x14ac:dyDescent="0.2">
      <c r="A100" s="2">
        <f ca="1">IFERROR(__xludf.DUMMYFUNCTION("""COMPUTED_VALUE"""),45454.6666666666)</f>
        <v>45454.666666666599</v>
      </c>
      <c r="B100" s="2"/>
      <c r="C100" s="1">
        <v>9550</v>
      </c>
      <c r="D100" s="1">
        <v>9550</v>
      </c>
      <c r="E100" s="1">
        <v>9300</v>
      </c>
      <c r="F100" s="1">
        <v>9300</v>
      </c>
      <c r="G100" s="1">
        <v>68690900</v>
      </c>
      <c r="H100" s="8">
        <f t="shared" si="4"/>
        <v>-2.3622047244094488E-2</v>
      </c>
      <c r="I100" s="8">
        <f t="shared" si="5"/>
        <v>-1.3262599469496022E-2</v>
      </c>
      <c r="J100" s="22">
        <f t="shared" si="6"/>
        <v>9395</v>
      </c>
      <c r="K100" s="22">
        <f t="shared" si="3"/>
        <v>9641</v>
      </c>
    </row>
    <row r="101" spans="1:11" x14ac:dyDescent="0.2">
      <c r="A101" s="2">
        <f ca="1">IFERROR(__xludf.DUMMYFUNCTION("""COMPUTED_VALUE"""),45455.6666666666)</f>
        <v>45455.666666666599</v>
      </c>
      <c r="B101" s="2"/>
      <c r="C101" s="1">
        <v>9300</v>
      </c>
      <c r="D101" s="1">
        <v>9325</v>
      </c>
      <c r="E101" s="1">
        <v>9250</v>
      </c>
      <c r="F101" s="1">
        <v>9250</v>
      </c>
      <c r="G101" s="1">
        <v>49785700</v>
      </c>
      <c r="H101" s="8">
        <f t="shared" si="4"/>
        <v>-5.3763440860215058E-3</v>
      </c>
      <c r="I101" s="8">
        <f t="shared" si="5"/>
        <v>-1.8567639257294429E-2</v>
      </c>
      <c r="J101" s="22">
        <f t="shared" si="6"/>
        <v>9381.25</v>
      </c>
      <c r="K101" s="22">
        <f t="shared" si="3"/>
        <v>9623</v>
      </c>
    </row>
    <row r="102" spans="1:11" x14ac:dyDescent="0.2">
      <c r="A102" s="2">
        <f ca="1">IFERROR(__xludf.DUMMYFUNCTION("""COMPUTED_VALUE"""),45456.6666666666)</f>
        <v>45456.666666666599</v>
      </c>
      <c r="B102" s="2"/>
      <c r="C102" s="1">
        <v>9475</v>
      </c>
      <c r="D102" s="1">
        <v>9475</v>
      </c>
      <c r="E102" s="1">
        <v>9200</v>
      </c>
      <c r="F102" s="1">
        <v>9200</v>
      </c>
      <c r="G102" s="1">
        <v>84652200</v>
      </c>
      <c r="H102" s="8">
        <f t="shared" si="4"/>
        <v>-5.4054054054054057E-3</v>
      </c>
      <c r="I102" s="8">
        <f t="shared" si="5"/>
        <v>-2.3872679045092837E-2</v>
      </c>
      <c r="J102" s="22">
        <f t="shared" si="6"/>
        <v>9363.75</v>
      </c>
      <c r="K102" s="22">
        <f t="shared" si="3"/>
        <v>9603.5</v>
      </c>
    </row>
    <row r="103" spans="1:11" x14ac:dyDescent="0.2">
      <c r="A103" s="2">
        <f ca="1">IFERROR(__xludf.DUMMYFUNCTION("""COMPUTED_VALUE"""),45457.6666666666)</f>
        <v>45457.666666666599</v>
      </c>
      <c r="B103" s="2"/>
      <c r="C103" s="1">
        <v>9200</v>
      </c>
      <c r="D103" s="1">
        <v>9250</v>
      </c>
      <c r="E103" s="1">
        <v>9100</v>
      </c>
      <c r="F103" s="1">
        <v>9200</v>
      </c>
      <c r="G103" s="1">
        <v>52986300</v>
      </c>
      <c r="H103" s="8">
        <f t="shared" si="4"/>
        <v>0</v>
      </c>
      <c r="I103" s="8">
        <f t="shared" si="5"/>
        <v>-2.3872679045092837E-2</v>
      </c>
      <c r="J103" s="22">
        <f t="shared" si="6"/>
        <v>9348.75</v>
      </c>
      <c r="K103" s="22">
        <f t="shared" si="3"/>
        <v>9585</v>
      </c>
    </row>
    <row r="104" spans="1:11" x14ac:dyDescent="0.2">
      <c r="A104" s="2">
        <f ca="1">IFERROR(__xludf.DUMMYFUNCTION("""COMPUTED_VALUE"""),45462.6666666666)</f>
        <v>45462.666666666599</v>
      </c>
      <c r="B104" s="2"/>
      <c r="C104" s="1">
        <v>9250</v>
      </c>
      <c r="D104" s="1">
        <v>9250</v>
      </c>
      <c r="E104" s="1">
        <v>9050</v>
      </c>
      <c r="F104" s="1">
        <v>9050</v>
      </c>
      <c r="G104" s="1">
        <v>100051000</v>
      </c>
      <c r="H104" s="8">
        <f t="shared" si="4"/>
        <v>-1.6304347826086956E-2</v>
      </c>
      <c r="I104" s="8">
        <f t="shared" si="5"/>
        <v>-3.9787798408488062E-2</v>
      </c>
      <c r="J104" s="22">
        <f t="shared" si="6"/>
        <v>9321.25</v>
      </c>
      <c r="K104" s="22">
        <f t="shared" si="3"/>
        <v>9563.5</v>
      </c>
    </row>
    <row r="105" spans="1:11" x14ac:dyDescent="0.2">
      <c r="A105" s="2">
        <f ca="1">IFERROR(__xludf.DUMMYFUNCTION("""COMPUTED_VALUE"""),45463.6666666666)</f>
        <v>45463.666666666599</v>
      </c>
      <c r="B105" s="2"/>
      <c r="C105" s="1">
        <v>9150</v>
      </c>
      <c r="D105" s="1">
        <v>9425</v>
      </c>
      <c r="E105" s="1">
        <v>9100</v>
      </c>
      <c r="F105" s="1">
        <v>9425</v>
      </c>
      <c r="G105" s="1">
        <v>81474800</v>
      </c>
      <c r="H105" s="8">
        <f t="shared" si="4"/>
        <v>4.1436464088397788E-2</v>
      </c>
      <c r="I105" s="8">
        <f t="shared" si="5"/>
        <v>0</v>
      </c>
      <c r="J105" s="22">
        <f t="shared" si="6"/>
        <v>9305</v>
      </c>
      <c r="K105" s="22">
        <f t="shared" si="3"/>
        <v>9550</v>
      </c>
    </row>
    <row r="106" spans="1:11" x14ac:dyDescent="0.2">
      <c r="A106" s="2">
        <f ca="1">IFERROR(__xludf.DUMMYFUNCTION("""COMPUTED_VALUE"""),45464.6666666666)</f>
        <v>45464.666666666599</v>
      </c>
      <c r="B106" s="2"/>
      <c r="C106" s="1">
        <v>9475</v>
      </c>
      <c r="D106" s="1">
        <v>9675</v>
      </c>
      <c r="E106" s="1">
        <v>9400</v>
      </c>
      <c r="F106" s="1">
        <v>9600</v>
      </c>
      <c r="G106" s="1">
        <v>166841200</v>
      </c>
      <c r="H106" s="8">
        <f t="shared" si="4"/>
        <v>1.8567639257294429E-2</v>
      </c>
      <c r="I106" s="8">
        <f t="shared" si="5"/>
        <v>1.8567639257294429E-2</v>
      </c>
      <c r="J106" s="22">
        <f t="shared" si="6"/>
        <v>9311.25</v>
      </c>
      <c r="K106" s="22">
        <f t="shared" si="3"/>
        <v>9540.5</v>
      </c>
    </row>
    <row r="107" spans="1:11" x14ac:dyDescent="0.2">
      <c r="A107" s="2">
        <f ca="1">IFERROR(__xludf.DUMMYFUNCTION("""COMPUTED_VALUE"""),45467.6666666666)</f>
        <v>45467.666666666599</v>
      </c>
      <c r="B107" s="2"/>
      <c r="C107" s="1">
        <v>9600</v>
      </c>
      <c r="D107" s="1">
        <v>9750</v>
      </c>
      <c r="E107" s="1">
        <v>9575</v>
      </c>
      <c r="F107" s="1">
        <v>9600</v>
      </c>
      <c r="G107" s="1">
        <v>79592300</v>
      </c>
      <c r="H107" s="8">
        <f t="shared" si="4"/>
        <v>0</v>
      </c>
      <c r="I107" s="8">
        <f t="shared" si="5"/>
        <v>1.8567639257294429E-2</v>
      </c>
      <c r="J107" s="22">
        <f t="shared" si="6"/>
        <v>9322.5</v>
      </c>
      <c r="K107" s="22">
        <f t="shared" si="3"/>
        <v>9531.5</v>
      </c>
    </row>
    <row r="108" spans="1:11" x14ac:dyDescent="0.2">
      <c r="A108" s="2">
        <f ca="1">IFERROR(__xludf.DUMMYFUNCTION("""COMPUTED_VALUE"""),45468.6666666666)</f>
        <v>45468.666666666599</v>
      </c>
      <c r="B108" s="2"/>
      <c r="C108" s="1">
        <v>9600</v>
      </c>
      <c r="D108" s="1">
        <v>9600</v>
      </c>
      <c r="E108" s="1">
        <v>9450</v>
      </c>
      <c r="F108" s="1">
        <v>9600</v>
      </c>
      <c r="G108" s="1">
        <v>80029000</v>
      </c>
      <c r="H108" s="8">
        <f t="shared" si="4"/>
        <v>0</v>
      </c>
      <c r="I108" s="8">
        <f t="shared" si="5"/>
        <v>1.8567639257294429E-2</v>
      </c>
      <c r="J108" s="22">
        <f t="shared" si="6"/>
        <v>9331.25</v>
      </c>
      <c r="K108" s="22">
        <f t="shared" si="3"/>
        <v>9522</v>
      </c>
    </row>
    <row r="109" spans="1:11" x14ac:dyDescent="0.2">
      <c r="A109" s="2">
        <f ca="1">IFERROR(__xludf.DUMMYFUNCTION("""COMPUTED_VALUE"""),45469.6666666666)</f>
        <v>45469.666666666599</v>
      </c>
      <c r="B109" s="2"/>
      <c r="C109" s="1">
        <v>9525</v>
      </c>
      <c r="D109" s="1">
        <v>9650</v>
      </c>
      <c r="E109" s="1">
        <v>9450</v>
      </c>
      <c r="F109" s="1">
        <v>9500</v>
      </c>
      <c r="G109" s="1">
        <v>77913200</v>
      </c>
      <c r="H109" s="8">
        <f t="shared" si="4"/>
        <v>-1.0416666666666666E-2</v>
      </c>
      <c r="I109" s="8">
        <f t="shared" si="5"/>
        <v>7.9575596816976128E-3</v>
      </c>
      <c r="J109" s="22">
        <f t="shared" si="6"/>
        <v>9341.25</v>
      </c>
      <c r="K109" s="22">
        <f t="shared" si="3"/>
        <v>9510.5</v>
      </c>
    </row>
    <row r="110" spans="1:11" x14ac:dyDescent="0.2">
      <c r="A110" s="2">
        <f ca="1">IFERROR(__xludf.DUMMYFUNCTION("""COMPUTED_VALUE"""),45470.6666666666)</f>
        <v>45470.666666666599</v>
      </c>
      <c r="B110" s="2"/>
      <c r="C110" s="1">
        <v>9575</v>
      </c>
      <c r="D110" s="1">
        <v>9750</v>
      </c>
      <c r="E110" s="1">
        <v>9550</v>
      </c>
      <c r="F110" s="1">
        <v>9750</v>
      </c>
      <c r="G110" s="1">
        <v>89150700</v>
      </c>
      <c r="H110" s="8">
        <f t="shared" si="4"/>
        <v>2.6315789473684209E-2</v>
      </c>
      <c r="I110" s="8">
        <f t="shared" si="5"/>
        <v>3.4482758620689655E-2</v>
      </c>
      <c r="J110" s="22">
        <f t="shared" si="6"/>
        <v>9363.75</v>
      </c>
      <c r="K110" s="22">
        <f t="shared" si="3"/>
        <v>9508.5</v>
      </c>
    </row>
    <row r="111" spans="1:11" x14ac:dyDescent="0.2">
      <c r="A111" s="2">
        <f ca="1">IFERROR(__xludf.DUMMYFUNCTION("""COMPUTED_VALUE"""),45471.6666666666)</f>
        <v>45471.666666666599</v>
      </c>
      <c r="B111" s="2"/>
      <c r="C111" s="1">
        <v>9800</v>
      </c>
      <c r="D111" s="1">
        <v>9975</v>
      </c>
      <c r="E111" s="1">
        <v>9775</v>
      </c>
      <c r="F111" s="1">
        <v>9925</v>
      </c>
      <c r="G111" s="1">
        <v>166172300</v>
      </c>
      <c r="H111" s="8">
        <f t="shared" si="4"/>
        <v>1.7948717948717947E-2</v>
      </c>
      <c r="I111" s="8">
        <f t="shared" si="5"/>
        <v>5.3050397877984087E-2</v>
      </c>
      <c r="J111" s="22">
        <f t="shared" si="6"/>
        <v>9402.5</v>
      </c>
      <c r="K111" s="22">
        <f t="shared" si="3"/>
        <v>9509</v>
      </c>
    </row>
    <row r="112" spans="1:11" x14ac:dyDescent="0.2">
      <c r="A112" s="2">
        <f ca="1">IFERROR(__xludf.DUMMYFUNCTION("""COMPUTED_VALUE"""),45474.6666666666)</f>
        <v>45474.666666666599</v>
      </c>
      <c r="B112" s="2"/>
      <c r="C112" s="1">
        <v>9850</v>
      </c>
      <c r="D112" s="1">
        <v>9900</v>
      </c>
      <c r="E112" s="1">
        <v>9825</v>
      </c>
      <c r="F112" s="1">
        <v>9875</v>
      </c>
      <c r="G112" s="1">
        <v>68634600</v>
      </c>
      <c r="H112" s="8">
        <f t="shared" si="4"/>
        <v>-5.0377833753148613E-3</v>
      </c>
      <c r="I112" s="8">
        <f t="shared" si="5"/>
        <v>4.7745358090185673E-2</v>
      </c>
      <c r="J112" s="22">
        <f t="shared" si="6"/>
        <v>9446.25</v>
      </c>
      <c r="K112" s="22">
        <f t="shared" si="3"/>
        <v>9516</v>
      </c>
    </row>
    <row r="113" spans="1:11" x14ac:dyDescent="0.2">
      <c r="A113" s="2">
        <f ca="1">IFERROR(__xludf.DUMMYFUNCTION("""COMPUTED_VALUE"""),45475.6666666666)</f>
        <v>45475.666666666599</v>
      </c>
      <c r="B113" s="2"/>
      <c r="C113" s="1">
        <v>10000</v>
      </c>
      <c r="D113" s="1">
        <v>10000</v>
      </c>
      <c r="E113" s="1">
        <v>9850</v>
      </c>
      <c r="F113" s="1">
        <v>9900</v>
      </c>
      <c r="G113" s="1">
        <v>78848500</v>
      </c>
      <c r="H113" s="8">
        <f t="shared" si="4"/>
        <v>2.5316455696202532E-3</v>
      </c>
      <c r="I113" s="8">
        <f t="shared" si="5"/>
        <v>5.0397877984084884E-2</v>
      </c>
      <c r="J113" s="22">
        <f t="shared" si="6"/>
        <v>9478.75</v>
      </c>
      <c r="K113" s="22">
        <f t="shared" si="3"/>
        <v>9517</v>
      </c>
    </row>
    <row r="114" spans="1:11" x14ac:dyDescent="0.2">
      <c r="A114" s="2">
        <f ca="1">IFERROR(__xludf.DUMMYFUNCTION("""COMPUTED_VALUE"""),45476.6666666666)</f>
        <v>45476.666666666599</v>
      </c>
      <c r="B114" s="2"/>
      <c r="C114" s="1">
        <v>9975</v>
      </c>
      <c r="D114" s="1">
        <v>10000</v>
      </c>
      <c r="E114" s="1">
        <v>9925</v>
      </c>
      <c r="F114" s="1">
        <v>10000</v>
      </c>
      <c r="G114" s="1">
        <v>55860200</v>
      </c>
      <c r="H114" s="8">
        <f t="shared" si="4"/>
        <v>1.0101010101010102E-2</v>
      </c>
      <c r="I114" s="8">
        <f t="shared" si="5"/>
        <v>6.1007957559681698E-2</v>
      </c>
      <c r="J114" s="22">
        <f t="shared" si="6"/>
        <v>9515</v>
      </c>
      <c r="K114" s="22">
        <f t="shared" si="3"/>
        <v>9520.5</v>
      </c>
    </row>
    <row r="115" spans="1:11" x14ac:dyDescent="0.2">
      <c r="A115" s="2">
        <f ca="1">IFERROR(__xludf.DUMMYFUNCTION("""COMPUTED_VALUE"""),45477.6666666666)</f>
        <v>45477.666666666599</v>
      </c>
      <c r="B115" s="2"/>
      <c r="C115" s="1">
        <v>9975</v>
      </c>
      <c r="D115" s="1">
        <v>10000</v>
      </c>
      <c r="E115" s="1">
        <v>9825</v>
      </c>
      <c r="F115" s="1">
        <v>9825</v>
      </c>
      <c r="G115" s="1">
        <v>67054000</v>
      </c>
      <c r="H115" s="8">
        <f t="shared" si="4"/>
        <v>-1.7500000000000002E-2</v>
      </c>
      <c r="I115" s="8">
        <f t="shared" si="5"/>
        <v>4.2440318302387266E-2</v>
      </c>
      <c r="J115" s="22">
        <f t="shared" si="6"/>
        <v>9538.75</v>
      </c>
      <c r="K115" s="22">
        <f t="shared" si="3"/>
        <v>9527.5</v>
      </c>
    </row>
    <row r="116" spans="1:11" x14ac:dyDescent="0.2">
      <c r="A116" s="2">
        <f ca="1">IFERROR(__xludf.DUMMYFUNCTION("""COMPUTED_VALUE"""),45478.6666666666)</f>
        <v>45478.666666666599</v>
      </c>
      <c r="B116" s="2"/>
      <c r="C116" s="1">
        <v>9925</v>
      </c>
      <c r="D116" s="1">
        <v>9975</v>
      </c>
      <c r="E116" s="1">
        <v>9875</v>
      </c>
      <c r="F116" s="1">
        <v>9950</v>
      </c>
      <c r="G116" s="1">
        <v>36946900</v>
      </c>
      <c r="H116" s="8">
        <f t="shared" si="4"/>
        <v>1.2722646310432569E-2</v>
      </c>
      <c r="I116" s="8">
        <f t="shared" si="5"/>
        <v>5.5702917771883291E-2</v>
      </c>
      <c r="J116" s="22">
        <f t="shared" si="6"/>
        <v>9563.75</v>
      </c>
      <c r="K116" s="22">
        <f t="shared" ref="K116:K179" si="7">AVERAGE(F67:F116)</f>
        <v>9536</v>
      </c>
    </row>
    <row r="117" spans="1:11" x14ac:dyDescent="0.2">
      <c r="A117" s="2">
        <f ca="1">IFERROR(__xludf.DUMMYFUNCTION("""COMPUTED_VALUE"""),45481.6666666666)</f>
        <v>45481.666666666599</v>
      </c>
      <c r="B117" s="2"/>
      <c r="C117" s="1">
        <v>10000</v>
      </c>
      <c r="D117" s="1">
        <v>10050</v>
      </c>
      <c r="E117" s="1">
        <v>9950</v>
      </c>
      <c r="F117" s="1">
        <v>10050</v>
      </c>
      <c r="G117" s="1">
        <v>72903600</v>
      </c>
      <c r="H117" s="8">
        <f t="shared" si="4"/>
        <v>1.0050251256281407E-2</v>
      </c>
      <c r="I117" s="8">
        <f t="shared" si="5"/>
        <v>6.6312997347480113E-2</v>
      </c>
      <c r="J117" s="22">
        <f t="shared" si="6"/>
        <v>9592.5</v>
      </c>
      <c r="K117" s="22">
        <f t="shared" si="7"/>
        <v>9547.5</v>
      </c>
    </row>
    <row r="118" spans="1:11" x14ac:dyDescent="0.2">
      <c r="A118" s="2">
        <f ca="1">IFERROR(__xludf.DUMMYFUNCTION("""COMPUTED_VALUE"""),45482.6666666666)</f>
        <v>45482.666666666599</v>
      </c>
      <c r="B118" s="2"/>
      <c r="C118" s="1">
        <v>10100</v>
      </c>
      <c r="D118" s="1">
        <v>10150</v>
      </c>
      <c r="E118" s="1">
        <v>10075</v>
      </c>
      <c r="F118" s="1">
        <v>10075</v>
      </c>
      <c r="G118" s="1">
        <v>61853200</v>
      </c>
      <c r="H118" s="8">
        <f t="shared" si="4"/>
        <v>2.4875621890547263E-3</v>
      </c>
      <c r="I118" s="8">
        <f t="shared" si="5"/>
        <v>6.8965517241379309E-2</v>
      </c>
      <c r="J118" s="22">
        <f t="shared" si="6"/>
        <v>9630</v>
      </c>
      <c r="K118" s="22">
        <f t="shared" si="7"/>
        <v>9559.5</v>
      </c>
    </row>
    <row r="119" spans="1:11" x14ac:dyDescent="0.2">
      <c r="A119" s="2">
        <f ca="1">IFERROR(__xludf.DUMMYFUNCTION("""COMPUTED_VALUE"""),45483.6666666666)</f>
        <v>45483.666666666599</v>
      </c>
      <c r="B119" s="2"/>
      <c r="C119" s="1">
        <v>10175</v>
      </c>
      <c r="D119" s="1">
        <v>10225</v>
      </c>
      <c r="E119" s="1">
        <v>10050</v>
      </c>
      <c r="F119" s="1">
        <v>10100</v>
      </c>
      <c r="G119" s="1">
        <v>62325900</v>
      </c>
      <c r="H119" s="8">
        <f t="shared" si="4"/>
        <v>2.4813895781637717E-3</v>
      </c>
      <c r="I119" s="8">
        <f t="shared" si="5"/>
        <v>7.161803713527852E-2</v>
      </c>
      <c r="J119" s="22">
        <f t="shared" si="6"/>
        <v>9658.75</v>
      </c>
      <c r="K119" s="22">
        <f t="shared" si="7"/>
        <v>9574.5</v>
      </c>
    </row>
    <row r="120" spans="1:11" x14ac:dyDescent="0.2">
      <c r="A120" s="2">
        <f ca="1">IFERROR(__xludf.DUMMYFUNCTION("""COMPUTED_VALUE"""),45484.6666666666)</f>
        <v>45484.666666666599</v>
      </c>
      <c r="B120" s="2"/>
      <c r="C120" s="1">
        <v>10000</v>
      </c>
      <c r="D120" s="1">
        <v>10125</v>
      </c>
      <c r="E120" s="1">
        <v>10000</v>
      </c>
      <c r="F120" s="1">
        <v>10075</v>
      </c>
      <c r="G120" s="1">
        <v>55908400</v>
      </c>
      <c r="H120" s="8">
        <f t="shared" si="4"/>
        <v>-2.4752475247524753E-3</v>
      </c>
      <c r="I120" s="8">
        <f t="shared" si="5"/>
        <v>6.8965517241379309E-2</v>
      </c>
      <c r="J120" s="22">
        <f t="shared" si="6"/>
        <v>9697.5</v>
      </c>
      <c r="K120" s="22">
        <f t="shared" si="7"/>
        <v>9581.5</v>
      </c>
    </row>
    <row r="121" spans="1:11" x14ac:dyDescent="0.2">
      <c r="A121" s="2">
        <f ca="1">IFERROR(__xludf.DUMMYFUNCTION("""COMPUTED_VALUE"""),45485.6666666666)</f>
        <v>45485.666666666599</v>
      </c>
      <c r="B121" s="2"/>
      <c r="C121" s="1">
        <v>10050</v>
      </c>
      <c r="D121" s="1">
        <v>10100</v>
      </c>
      <c r="E121" s="1">
        <v>10025</v>
      </c>
      <c r="F121" s="1">
        <v>10075</v>
      </c>
      <c r="G121" s="1">
        <v>62646500</v>
      </c>
      <c r="H121" s="8">
        <f t="shared" si="4"/>
        <v>0</v>
      </c>
      <c r="I121" s="8">
        <f t="shared" si="5"/>
        <v>6.8965517241379309E-2</v>
      </c>
      <c r="J121" s="22">
        <f t="shared" si="6"/>
        <v>9738.75</v>
      </c>
      <c r="K121" s="22">
        <f t="shared" si="7"/>
        <v>9584</v>
      </c>
    </row>
    <row r="122" spans="1:11" x14ac:dyDescent="0.2">
      <c r="A122" s="2">
        <f ca="1">IFERROR(__xludf.DUMMYFUNCTION("""COMPUTED_VALUE"""),45488.6666666666)</f>
        <v>45488.666666666599</v>
      </c>
      <c r="B122" s="2"/>
      <c r="C122" s="1">
        <v>10050</v>
      </c>
      <c r="D122" s="1">
        <v>10075</v>
      </c>
      <c r="E122" s="1">
        <v>9950</v>
      </c>
      <c r="F122" s="1">
        <v>10050</v>
      </c>
      <c r="G122" s="1">
        <v>36682600</v>
      </c>
      <c r="H122" s="8">
        <f t="shared" si="4"/>
        <v>-2.4813895781637717E-3</v>
      </c>
      <c r="I122" s="8">
        <f t="shared" si="5"/>
        <v>6.6312997347480113E-2</v>
      </c>
      <c r="J122" s="22">
        <f t="shared" si="6"/>
        <v>9781.25</v>
      </c>
      <c r="K122" s="22">
        <f t="shared" si="7"/>
        <v>9589.5</v>
      </c>
    </row>
    <row r="123" spans="1:11" x14ac:dyDescent="0.2">
      <c r="A123" s="2">
        <f ca="1">IFERROR(__xludf.DUMMYFUNCTION("""COMPUTED_VALUE"""),45489.6666666666)</f>
        <v>45489.666666666599</v>
      </c>
      <c r="B123" s="2"/>
      <c r="C123" s="1">
        <v>9975</v>
      </c>
      <c r="D123" s="1">
        <v>10025</v>
      </c>
      <c r="E123" s="1">
        <v>9950</v>
      </c>
      <c r="F123" s="1">
        <v>9950</v>
      </c>
      <c r="G123" s="1">
        <v>37192700</v>
      </c>
      <c r="H123" s="8">
        <f t="shared" si="4"/>
        <v>-9.9502487562189053E-3</v>
      </c>
      <c r="I123" s="8">
        <f t="shared" si="5"/>
        <v>5.5702917771883291E-2</v>
      </c>
      <c r="J123" s="22">
        <f t="shared" si="6"/>
        <v>9818.75</v>
      </c>
      <c r="K123" s="22">
        <f t="shared" si="7"/>
        <v>9596</v>
      </c>
    </row>
    <row r="124" spans="1:11" x14ac:dyDescent="0.2">
      <c r="A124" s="2">
        <f ca="1">IFERROR(__xludf.DUMMYFUNCTION("""COMPUTED_VALUE"""),45490.6666666666)</f>
        <v>45490.666666666599</v>
      </c>
      <c r="B124" s="2"/>
      <c r="C124" s="1">
        <v>9900</v>
      </c>
      <c r="D124" s="1">
        <v>9950</v>
      </c>
      <c r="E124" s="1">
        <v>9800</v>
      </c>
      <c r="F124" s="1">
        <v>9800</v>
      </c>
      <c r="G124" s="1">
        <v>90666000</v>
      </c>
      <c r="H124" s="8">
        <f t="shared" si="4"/>
        <v>-1.507537688442211E-2</v>
      </c>
      <c r="I124" s="8">
        <f t="shared" si="5"/>
        <v>3.9787798408488062E-2</v>
      </c>
      <c r="J124" s="22">
        <f t="shared" si="6"/>
        <v>9856.25</v>
      </c>
      <c r="K124" s="22">
        <f t="shared" si="7"/>
        <v>9596</v>
      </c>
    </row>
    <row r="125" spans="1:11" x14ac:dyDescent="0.2">
      <c r="A125" s="2">
        <f ca="1">IFERROR(__xludf.DUMMYFUNCTION("""COMPUTED_VALUE"""),45491.6666666666)</f>
        <v>45491.666666666599</v>
      </c>
      <c r="B125" s="2"/>
      <c r="C125" s="1">
        <v>9800</v>
      </c>
      <c r="D125" s="1">
        <v>10100</v>
      </c>
      <c r="E125" s="1">
        <v>9800</v>
      </c>
      <c r="F125" s="1">
        <v>10100</v>
      </c>
      <c r="G125" s="1">
        <v>65383200</v>
      </c>
      <c r="H125" s="8">
        <f t="shared" si="4"/>
        <v>3.0612244897959183E-2</v>
      </c>
      <c r="I125" s="8">
        <f t="shared" si="5"/>
        <v>7.161803713527852E-2</v>
      </c>
      <c r="J125" s="22">
        <f t="shared" si="6"/>
        <v>9890</v>
      </c>
      <c r="K125" s="22">
        <f t="shared" si="7"/>
        <v>9602</v>
      </c>
    </row>
    <row r="126" spans="1:11" x14ac:dyDescent="0.2">
      <c r="A126" s="2">
        <f ca="1">IFERROR(__xludf.DUMMYFUNCTION("""COMPUTED_VALUE"""),45492.6666666666)</f>
        <v>45492.666666666599</v>
      </c>
      <c r="B126" s="2"/>
      <c r="C126" s="1">
        <v>10050</v>
      </c>
      <c r="D126" s="1">
        <v>10125</v>
      </c>
      <c r="E126" s="1">
        <v>9975</v>
      </c>
      <c r="F126" s="1">
        <v>10125</v>
      </c>
      <c r="G126" s="1">
        <v>53880300</v>
      </c>
      <c r="H126" s="8">
        <f t="shared" si="4"/>
        <v>2.4752475247524753E-3</v>
      </c>
      <c r="I126" s="8">
        <f t="shared" si="5"/>
        <v>7.4270557029177717E-2</v>
      </c>
      <c r="J126" s="22">
        <f t="shared" si="6"/>
        <v>9916.25</v>
      </c>
      <c r="K126" s="22">
        <f t="shared" si="7"/>
        <v>9613.5</v>
      </c>
    </row>
    <row r="127" spans="1:11" x14ac:dyDescent="0.2">
      <c r="A127" s="2">
        <f ca="1">IFERROR(__xludf.DUMMYFUNCTION("""COMPUTED_VALUE"""),45495.6666666666)</f>
        <v>45495.666666666599</v>
      </c>
      <c r="B127" s="2"/>
      <c r="C127" s="1">
        <v>10125</v>
      </c>
      <c r="D127" s="1">
        <v>10150</v>
      </c>
      <c r="E127" s="1">
        <v>10100</v>
      </c>
      <c r="F127" s="1">
        <v>10100</v>
      </c>
      <c r="G127" s="1">
        <v>31285300</v>
      </c>
      <c r="H127" s="8">
        <f t="shared" si="4"/>
        <v>-2.4691358024691358E-3</v>
      </c>
      <c r="I127" s="8">
        <f t="shared" si="5"/>
        <v>7.161803713527852E-2</v>
      </c>
      <c r="J127" s="22">
        <f t="shared" si="6"/>
        <v>9941.25</v>
      </c>
      <c r="K127" s="22">
        <f t="shared" si="7"/>
        <v>9618.5</v>
      </c>
    </row>
    <row r="128" spans="1:11" x14ac:dyDescent="0.2">
      <c r="A128" s="2">
        <f ca="1">IFERROR(__xludf.DUMMYFUNCTION("""COMPUTED_VALUE"""),45496.6666666666)</f>
        <v>45496.666666666599</v>
      </c>
      <c r="B128" s="2"/>
      <c r="C128" s="1">
        <v>10200</v>
      </c>
      <c r="D128" s="1">
        <v>10200</v>
      </c>
      <c r="E128" s="1">
        <v>10125</v>
      </c>
      <c r="F128" s="1">
        <v>10175</v>
      </c>
      <c r="G128" s="1">
        <v>39321100</v>
      </c>
      <c r="H128" s="8">
        <f t="shared" si="4"/>
        <v>7.4257425742574254E-3</v>
      </c>
      <c r="I128" s="8">
        <f t="shared" si="5"/>
        <v>7.9575596816976124E-2</v>
      </c>
      <c r="J128" s="22">
        <f t="shared" si="6"/>
        <v>9970</v>
      </c>
      <c r="K128" s="22">
        <f t="shared" si="7"/>
        <v>9626</v>
      </c>
    </row>
    <row r="129" spans="1:11" x14ac:dyDescent="0.2">
      <c r="A129" s="2">
        <f ca="1">IFERROR(__xludf.DUMMYFUNCTION("""COMPUTED_VALUE"""),45497.6666666666)</f>
        <v>45497.666666666599</v>
      </c>
      <c r="B129" s="2"/>
      <c r="C129" s="1">
        <v>10125</v>
      </c>
      <c r="D129" s="1">
        <v>10175</v>
      </c>
      <c r="E129" s="1">
        <v>10075</v>
      </c>
      <c r="F129" s="1">
        <v>10075</v>
      </c>
      <c r="G129" s="1">
        <v>24658000</v>
      </c>
      <c r="H129" s="8">
        <f t="shared" si="4"/>
        <v>-9.8280098280098278E-3</v>
      </c>
      <c r="I129" s="8">
        <f t="shared" si="5"/>
        <v>6.8965517241379309E-2</v>
      </c>
      <c r="J129" s="22">
        <f t="shared" si="6"/>
        <v>9998.75</v>
      </c>
      <c r="K129" s="22">
        <f t="shared" si="7"/>
        <v>9633.5</v>
      </c>
    </row>
    <row r="130" spans="1:11" x14ac:dyDescent="0.2">
      <c r="A130" s="2">
        <f ca="1">IFERROR(__xludf.DUMMYFUNCTION("""COMPUTED_VALUE"""),45498.6666666666)</f>
        <v>45498.666666666599</v>
      </c>
      <c r="B130" s="2"/>
      <c r="C130" s="1">
        <v>10225</v>
      </c>
      <c r="D130" s="1">
        <v>10300</v>
      </c>
      <c r="E130" s="1">
        <v>10200</v>
      </c>
      <c r="F130" s="1">
        <v>10300</v>
      </c>
      <c r="G130" s="1">
        <v>98088100</v>
      </c>
      <c r="H130" s="8">
        <f t="shared" si="4"/>
        <v>2.2332506203473945E-2</v>
      </c>
      <c r="I130" s="8">
        <f t="shared" si="5"/>
        <v>9.2838196286472149E-2</v>
      </c>
      <c r="J130" s="22">
        <f t="shared" si="6"/>
        <v>10026.25</v>
      </c>
      <c r="K130" s="22">
        <f t="shared" si="7"/>
        <v>9652</v>
      </c>
    </row>
    <row r="131" spans="1:11" x14ac:dyDescent="0.2">
      <c r="A131" s="2">
        <f ca="1">IFERROR(__xludf.DUMMYFUNCTION("""COMPUTED_VALUE"""),45499.6666666666)</f>
        <v>45499.666666666599</v>
      </c>
      <c r="B131" s="2"/>
      <c r="C131" s="1">
        <v>10375</v>
      </c>
      <c r="D131" s="1">
        <v>10400</v>
      </c>
      <c r="E131" s="1">
        <v>10300</v>
      </c>
      <c r="F131" s="1">
        <v>10325</v>
      </c>
      <c r="G131" s="1">
        <v>75565800</v>
      </c>
      <c r="H131" s="8">
        <f t="shared" si="4"/>
        <v>2.4271844660194173E-3</v>
      </c>
      <c r="I131" s="8">
        <f t="shared" si="5"/>
        <v>9.5490716180371346E-2</v>
      </c>
      <c r="J131" s="22">
        <f t="shared" si="6"/>
        <v>10046.25</v>
      </c>
      <c r="K131" s="22">
        <f t="shared" si="7"/>
        <v>9668</v>
      </c>
    </row>
    <row r="132" spans="1:11" x14ac:dyDescent="0.2">
      <c r="A132" s="2">
        <f ca="1">IFERROR(__xludf.DUMMYFUNCTION("""COMPUTED_VALUE"""),45502.6666666666)</f>
        <v>45502.666666666599</v>
      </c>
      <c r="B132" s="2"/>
      <c r="C132" s="1">
        <v>10400</v>
      </c>
      <c r="D132" s="1">
        <v>10425</v>
      </c>
      <c r="E132" s="1">
        <v>10175</v>
      </c>
      <c r="F132" s="1">
        <v>10250</v>
      </c>
      <c r="G132" s="1">
        <v>69092500</v>
      </c>
      <c r="H132" s="8">
        <f t="shared" ref="H132:H195" si="8">(F132-F131)/F131</f>
        <v>-7.2639225181598066E-3</v>
      </c>
      <c r="I132" s="8">
        <f t="shared" ref="I132:I195" si="9">(F132-$F$2)/$F$2</f>
        <v>8.7533156498673742E-2</v>
      </c>
      <c r="J132" s="22">
        <f t="shared" si="6"/>
        <v>10065</v>
      </c>
      <c r="K132" s="22">
        <f t="shared" si="7"/>
        <v>9682</v>
      </c>
    </row>
    <row r="133" spans="1:11" x14ac:dyDescent="0.2">
      <c r="A133" s="2">
        <f ca="1">IFERROR(__xludf.DUMMYFUNCTION("""COMPUTED_VALUE"""),45503.6666666666)</f>
        <v>45503.666666666599</v>
      </c>
      <c r="B133" s="2"/>
      <c r="C133" s="1">
        <v>10300</v>
      </c>
      <c r="D133" s="1">
        <v>10300</v>
      </c>
      <c r="E133" s="1">
        <v>10175</v>
      </c>
      <c r="F133" s="1">
        <v>10175</v>
      </c>
      <c r="G133" s="1">
        <v>32122900</v>
      </c>
      <c r="H133" s="8">
        <f t="shared" si="8"/>
        <v>-7.3170731707317077E-3</v>
      </c>
      <c r="I133" s="8">
        <f t="shared" si="9"/>
        <v>7.9575596816976124E-2</v>
      </c>
      <c r="J133" s="22">
        <f t="shared" si="6"/>
        <v>10078.75</v>
      </c>
      <c r="K133" s="22">
        <f t="shared" si="7"/>
        <v>9695.5</v>
      </c>
    </row>
    <row r="134" spans="1:11" x14ac:dyDescent="0.2">
      <c r="A134" s="2">
        <f ca="1">IFERROR(__xludf.DUMMYFUNCTION("""COMPUTED_VALUE"""),45504.6666666666)</f>
        <v>45504.666666666599</v>
      </c>
      <c r="B134" s="2"/>
      <c r="C134" s="1">
        <v>10350</v>
      </c>
      <c r="D134" s="1">
        <v>10350</v>
      </c>
      <c r="E134" s="1">
        <v>10225</v>
      </c>
      <c r="F134" s="1">
        <v>10275</v>
      </c>
      <c r="G134" s="1">
        <v>82519900</v>
      </c>
      <c r="H134" s="8">
        <f t="shared" si="8"/>
        <v>9.8280098280098278E-3</v>
      </c>
      <c r="I134" s="8">
        <f t="shared" si="9"/>
        <v>9.0185676392572939E-2</v>
      </c>
      <c r="J134" s="22">
        <f t="shared" si="6"/>
        <v>10092.5</v>
      </c>
      <c r="K134" s="22">
        <f t="shared" si="7"/>
        <v>9709</v>
      </c>
    </row>
    <row r="135" spans="1:11" x14ac:dyDescent="0.2">
      <c r="A135" s="2">
        <f ca="1">IFERROR(__xludf.DUMMYFUNCTION("""COMPUTED_VALUE"""),45505.6666666666)</f>
        <v>45505.666666666599</v>
      </c>
      <c r="B135" s="2"/>
      <c r="C135" s="1">
        <v>10200</v>
      </c>
      <c r="D135" s="1">
        <v>10375</v>
      </c>
      <c r="E135" s="1">
        <v>10200</v>
      </c>
      <c r="F135" s="1">
        <v>10375</v>
      </c>
      <c r="G135" s="1">
        <v>61176200</v>
      </c>
      <c r="H135" s="8">
        <f t="shared" si="8"/>
        <v>9.7323600973236012E-3</v>
      </c>
      <c r="I135" s="8">
        <f t="shared" si="9"/>
        <v>0.10079575596816977</v>
      </c>
      <c r="J135" s="22">
        <f t="shared" si="6"/>
        <v>10120</v>
      </c>
      <c r="K135" s="22">
        <f t="shared" si="7"/>
        <v>9721.5</v>
      </c>
    </row>
    <row r="136" spans="1:11" x14ac:dyDescent="0.2">
      <c r="A136" s="2">
        <f ca="1">IFERROR(__xludf.DUMMYFUNCTION("""COMPUTED_VALUE"""),45506.6666666666)</f>
        <v>45506.666666666599</v>
      </c>
      <c r="B136" s="2"/>
      <c r="C136" s="1">
        <v>10275</v>
      </c>
      <c r="D136" s="1">
        <v>10350</v>
      </c>
      <c r="E136" s="1">
        <v>10200</v>
      </c>
      <c r="F136" s="1">
        <v>10200</v>
      </c>
      <c r="G136" s="1">
        <v>55774800</v>
      </c>
      <c r="H136" s="8">
        <f t="shared" si="8"/>
        <v>-1.6867469879518072E-2</v>
      </c>
      <c r="I136" s="8">
        <f t="shared" si="9"/>
        <v>8.2228116710875335E-2</v>
      </c>
      <c r="J136" s="22">
        <f t="shared" si="6"/>
        <v>10132.5</v>
      </c>
      <c r="K136" s="22">
        <f t="shared" si="7"/>
        <v>9736</v>
      </c>
    </row>
    <row r="137" spans="1:11" x14ac:dyDescent="0.2">
      <c r="A137" s="2">
        <f ca="1">IFERROR(__xludf.DUMMYFUNCTION("""COMPUTED_VALUE"""),45509.6666666666)</f>
        <v>45509.666666666599</v>
      </c>
      <c r="B137" s="2"/>
      <c r="C137" s="1">
        <v>10000</v>
      </c>
      <c r="D137" s="1">
        <v>10150</v>
      </c>
      <c r="E137" s="1">
        <v>9875</v>
      </c>
      <c r="F137" s="1">
        <v>9875</v>
      </c>
      <c r="G137" s="1">
        <v>126328300</v>
      </c>
      <c r="H137" s="8">
        <f t="shared" si="8"/>
        <v>-3.1862745098039214E-2</v>
      </c>
      <c r="I137" s="8">
        <f t="shared" si="9"/>
        <v>4.7745358090185673E-2</v>
      </c>
      <c r="J137" s="22">
        <f t="shared" si="6"/>
        <v>10123.75</v>
      </c>
      <c r="K137" s="22">
        <f t="shared" si="7"/>
        <v>9746</v>
      </c>
    </row>
    <row r="138" spans="1:11" x14ac:dyDescent="0.2">
      <c r="A138" s="2">
        <f ca="1">IFERROR(__xludf.DUMMYFUNCTION("""COMPUTED_VALUE"""),45510.6666666666)</f>
        <v>45510.666666666599</v>
      </c>
      <c r="B138" s="2"/>
      <c r="C138" s="1">
        <v>10075</v>
      </c>
      <c r="D138" s="1">
        <v>10075</v>
      </c>
      <c r="E138" s="1">
        <v>9950</v>
      </c>
      <c r="F138" s="1">
        <v>10000</v>
      </c>
      <c r="G138" s="1">
        <v>78473900</v>
      </c>
      <c r="H138" s="8">
        <f t="shared" si="8"/>
        <v>1.2658227848101266E-2</v>
      </c>
      <c r="I138" s="8">
        <f t="shared" si="9"/>
        <v>6.1007957559681698E-2</v>
      </c>
      <c r="J138" s="22">
        <f t="shared" si="6"/>
        <v>10120</v>
      </c>
      <c r="K138" s="22">
        <f t="shared" si="7"/>
        <v>9757.5</v>
      </c>
    </row>
    <row r="139" spans="1:11" x14ac:dyDescent="0.2">
      <c r="A139" s="2">
        <f ca="1">IFERROR(__xludf.DUMMYFUNCTION("""COMPUTED_VALUE"""),45511.6666666666)</f>
        <v>45511.666666666599</v>
      </c>
      <c r="B139" s="2"/>
      <c r="C139" s="1">
        <v>10000</v>
      </c>
      <c r="D139" s="1">
        <v>10100</v>
      </c>
      <c r="E139" s="1">
        <v>10000</v>
      </c>
      <c r="F139" s="1">
        <v>10100</v>
      </c>
      <c r="G139" s="1">
        <v>52347100</v>
      </c>
      <c r="H139" s="8">
        <f t="shared" si="8"/>
        <v>0.01</v>
      </c>
      <c r="I139" s="8">
        <f t="shared" si="9"/>
        <v>7.161803713527852E-2</v>
      </c>
      <c r="J139" s="22">
        <f t="shared" si="6"/>
        <v>10120</v>
      </c>
      <c r="K139" s="22">
        <f t="shared" si="7"/>
        <v>9773.5</v>
      </c>
    </row>
    <row r="140" spans="1:11" x14ac:dyDescent="0.2">
      <c r="A140" s="2">
        <f ca="1">IFERROR(__xludf.DUMMYFUNCTION("""COMPUTED_VALUE"""),45512.6666666666)</f>
        <v>45512.666666666599</v>
      </c>
      <c r="B140" s="2"/>
      <c r="C140" s="1">
        <v>10150</v>
      </c>
      <c r="D140" s="1">
        <v>10225</v>
      </c>
      <c r="E140" s="1">
        <v>10075</v>
      </c>
      <c r="F140" s="1">
        <v>10225</v>
      </c>
      <c r="G140" s="1">
        <v>54162100</v>
      </c>
      <c r="H140" s="8">
        <f t="shared" si="8"/>
        <v>1.2376237623762377E-2</v>
      </c>
      <c r="I140" s="8">
        <f t="shared" si="9"/>
        <v>8.4880636604774531E-2</v>
      </c>
      <c r="J140" s="22">
        <f t="shared" si="6"/>
        <v>10127.5</v>
      </c>
      <c r="K140" s="22">
        <f t="shared" si="7"/>
        <v>9792</v>
      </c>
    </row>
    <row r="141" spans="1:11" x14ac:dyDescent="0.2">
      <c r="A141" s="2">
        <f ca="1">IFERROR(__xludf.DUMMYFUNCTION("""COMPUTED_VALUE"""),45513.6666666666)</f>
        <v>45513.666666666599</v>
      </c>
      <c r="B141" s="2"/>
      <c r="C141" s="1">
        <v>10225</v>
      </c>
      <c r="D141" s="1">
        <v>10250</v>
      </c>
      <c r="E141" s="1">
        <v>10100</v>
      </c>
      <c r="F141" s="1">
        <v>10150</v>
      </c>
      <c r="G141" s="1">
        <v>47062400</v>
      </c>
      <c r="H141" s="8">
        <f t="shared" si="8"/>
        <v>-7.3349633251833741E-3</v>
      </c>
      <c r="I141" s="8">
        <f t="shared" si="9"/>
        <v>7.6923076923076927E-2</v>
      </c>
      <c r="J141" s="22">
        <f t="shared" si="6"/>
        <v>10131.25</v>
      </c>
      <c r="K141" s="22">
        <f t="shared" si="7"/>
        <v>9812</v>
      </c>
    </row>
    <row r="142" spans="1:11" x14ac:dyDescent="0.2">
      <c r="A142" s="2">
        <f ca="1">IFERROR(__xludf.DUMMYFUNCTION("""COMPUTED_VALUE"""),45516.6666666666)</f>
        <v>45516.666666666599</v>
      </c>
      <c r="B142" s="2"/>
      <c r="C142" s="1">
        <v>10100</v>
      </c>
      <c r="D142" s="1">
        <v>10200</v>
      </c>
      <c r="E142" s="1">
        <v>10075</v>
      </c>
      <c r="F142" s="1">
        <v>10200</v>
      </c>
      <c r="G142" s="1">
        <v>40364100</v>
      </c>
      <c r="H142" s="8">
        <f t="shared" si="8"/>
        <v>4.9261083743842365E-3</v>
      </c>
      <c r="I142" s="8">
        <f t="shared" si="9"/>
        <v>8.2228116710875335E-2</v>
      </c>
      <c r="J142" s="22">
        <f t="shared" si="6"/>
        <v>10138.75</v>
      </c>
      <c r="K142" s="22">
        <f t="shared" si="7"/>
        <v>9836</v>
      </c>
    </row>
    <row r="143" spans="1:11" x14ac:dyDescent="0.2">
      <c r="A143" s="2">
        <f ca="1">IFERROR(__xludf.DUMMYFUNCTION("""COMPUTED_VALUE"""),45517.6666666666)</f>
        <v>45517.666666666599</v>
      </c>
      <c r="B143" s="2"/>
      <c r="C143" s="1">
        <v>10250</v>
      </c>
      <c r="D143" s="1">
        <v>10300</v>
      </c>
      <c r="E143" s="1">
        <v>10175</v>
      </c>
      <c r="F143" s="1">
        <v>10300</v>
      </c>
      <c r="G143" s="1">
        <v>55207100</v>
      </c>
      <c r="H143" s="8">
        <f t="shared" si="8"/>
        <v>9.8039215686274508E-3</v>
      </c>
      <c r="I143" s="8">
        <f t="shared" si="9"/>
        <v>9.2838196286472149E-2</v>
      </c>
      <c r="J143" s="22">
        <f t="shared" si="6"/>
        <v>10156.25</v>
      </c>
      <c r="K143" s="22">
        <f t="shared" si="7"/>
        <v>9857</v>
      </c>
    </row>
    <row r="144" spans="1:11" x14ac:dyDescent="0.2">
      <c r="A144" s="2">
        <f ca="1">IFERROR(__xludf.DUMMYFUNCTION("""COMPUTED_VALUE"""),45518.6666666666)</f>
        <v>45518.666666666599</v>
      </c>
      <c r="B144" s="2"/>
      <c r="C144" s="1">
        <v>10300</v>
      </c>
      <c r="D144" s="1">
        <v>10300</v>
      </c>
      <c r="E144" s="1">
        <v>10200</v>
      </c>
      <c r="F144" s="1">
        <v>10200</v>
      </c>
      <c r="G144" s="1">
        <v>47999100</v>
      </c>
      <c r="H144" s="8">
        <f t="shared" si="8"/>
        <v>-9.7087378640776691E-3</v>
      </c>
      <c r="I144" s="8">
        <f t="shared" si="9"/>
        <v>8.2228116710875335E-2</v>
      </c>
      <c r="J144" s="22">
        <f t="shared" si="6"/>
        <v>10176.25</v>
      </c>
      <c r="K144" s="22">
        <f t="shared" si="7"/>
        <v>9875.5</v>
      </c>
    </row>
    <row r="145" spans="1:11" x14ac:dyDescent="0.2">
      <c r="A145" s="2">
        <f ca="1">IFERROR(__xludf.DUMMYFUNCTION("""COMPUTED_VALUE"""),45519.6666666666)</f>
        <v>45519.666666666599</v>
      </c>
      <c r="B145" s="2"/>
      <c r="C145" s="1">
        <v>10200</v>
      </c>
      <c r="D145" s="1">
        <v>10300</v>
      </c>
      <c r="E145" s="1">
        <v>10175</v>
      </c>
      <c r="F145" s="1">
        <v>10225</v>
      </c>
      <c r="G145" s="1">
        <v>33396600</v>
      </c>
      <c r="H145" s="8">
        <f t="shared" si="8"/>
        <v>2.4509803921568627E-3</v>
      </c>
      <c r="I145" s="8">
        <f t="shared" si="9"/>
        <v>8.4880636604774531E-2</v>
      </c>
      <c r="J145" s="22">
        <f t="shared" si="6"/>
        <v>10182.5</v>
      </c>
      <c r="K145" s="22">
        <f t="shared" si="7"/>
        <v>9893</v>
      </c>
    </row>
    <row r="146" spans="1:11" x14ac:dyDescent="0.2">
      <c r="A146" s="2">
        <f ca="1">IFERROR(__xludf.DUMMYFUNCTION("""COMPUTED_VALUE"""),45520.6666666666)</f>
        <v>45520.666666666599</v>
      </c>
      <c r="B146" s="2"/>
      <c r="C146" s="1">
        <v>10300</v>
      </c>
      <c r="D146" s="1">
        <v>10325</v>
      </c>
      <c r="E146" s="1">
        <v>10250</v>
      </c>
      <c r="F146" s="1">
        <v>10325</v>
      </c>
      <c r="G146" s="1">
        <v>40731400</v>
      </c>
      <c r="H146" s="8">
        <f t="shared" si="8"/>
        <v>9.7799511002444987E-3</v>
      </c>
      <c r="I146" s="8">
        <f t="shared" si="9"/>
        <v>9.5490716180371346E-2</v>
      </c>
      <c r="J146" s="22">
        <f t="shared" si="6"/>
        <v>10192.5</v>
      </c>
      <c r="K146" s="22">
        <f t="shared" si="7"/>
        <v>9910.5</v>
      </c>
    </row>
    <row r="147" spans="1:11" x14ac:dyDescent="0.2">
      <c r="A147" s="2">
        <f ca="1">IFERROR(__xludf.DUMMYFUNCTION("""COMPUTED_VALUE"""),45523.6666666666)</f>
        <v>45523.666666666599</v>
      </c>
      <c r="B147" s="2"/>
      <c r="C147" s="1">
        <v>10325</v>
      </c>
      <c r="D147" s="1">
        <v>10425</v>
      </c>
      <c r="E147" s="1">
        <v>10275</v>
      </c>
      <c r="F147" s="1">
        <v>10375</v>
      </c>
      <c r="G147" s="1">
        <v>51054400</v>
      </c>
      <c r="H147" s="8">
        <f t="shared" si="8"/>
        <v>4.8426150121065378E-3</v>
      </c>
      <c r="I147" s="8">
        <f t="shared" si="9"/>
        <v>0.10079575596816977</v>
      </c>
      <c r="J147" s="22">
        <f t="shared" si="6"/>
        <v>10206.25</v>
      </c>
      <c r="K147" s="22">
        <f t="shared" si="7"/>
        <v>9928.5</v>
      </c>
    </row>
    <row r="148" spans="1:11" x14ac:dyDescent="0.2">
      <c r="A148" s="2">
        <f ca="1">IFERROR(__xludf.DUMMYFUNCTION("""COMPUTED_VALUE"""),45524.6666666666)</f>
        <v>45524.666666666599</v>
      </c>
      <c r="B148" s="2"/>
      <c r="C148" s="1">
        <v>10325</v>
      </c>
      <c r="D148" s="1">
        <v>10450</v>
      </c>
      <c r="E148" s="1">
        <v>10300</v>
      </c>
      <c r="F148" s="1">
        <v>10425</v>
      </c>
      <c r="G148" s="1">
        <v>60304400</v>
      </c>
      <c r="H148" s="8">
        <f t="shared" si="8"/>
        <v>4.8192771084337354E-3</v>
      </c>
      <c r="I148" s="8">
        <f t="shared" si="9"/>
        <v>0.10610079575596817</v>
      </c>
      <c r="J148" s="22">
        <f t="shared" si="6"/>
        <v>10218.75</v>
      </c>
      <c r="K148" s="22">
        <f t="shared" si="7"/>
        <v>9950.5</v>
      </c>
    </row>
    <row r="149" spans="1:11" x14ac:dyDescent="0.2">
      <c r="A149" s="2">
        <f ca="1">IFERROR(__xludf.DUMMYFUNCTION("""COMPUTED_VALUE"""),45525.6666666666)</f>
        <v>45525.666666666599</v>
      </c>
      <c r="B149" s="2"/>
      <c r="C149" s="1">
        <v>10500</v>
      </c>
      <c r="D149" s="1">
        <v>10500</v>
      </c>
      <c r="E149" s="1">
        <v>10425</v>
      </c>
      <c r="F149" s="1">
        <v>10425</v>
      </c>
      <c r="G149" s="1">
        <v>84848800</v>
      </c>
      <c r="H149" s="8">
        <f t="shared" si="8"/>
        <v>0</v>
      </c>
      <c r="I149" s="8">
        <f t="shared" si="9"/>
        <v>0.10610079575596817</v>
      </c>
      <c r="J149" s="22">
        <f t="shared" si="6"/>
        <v>10236.25</v>
      </c>
      <c r="K149" s="22">
        <f t="shared" si="7"/>
        <v>9968.5</v>
      </c>
    </row>
    <row r="150" spans="1:11" x14ac:dyDescent="0.2">
      <c r="A150" s="2">
        <f ca="1">IFERROR(__xludf.DUMMYFUNCTION("""COMPUTED_VALUE"""),45526.6666666666)</f>
        <v>45526.666666666599</v>
      </c>
      <c r="B150" s="2"/>
      <c r="C150" s="1">
        <v>10350</v>
      </c>
      <c r="D150" s="1">
        <v>10400</v>
      </c>
      <c r="E150" s="1">
        <v>10225</v>
      </c>
      <c r="F150" s="1">
        <v>10325</v>
      </c>
      <c r="G150" s="1">
        <v>56611600</v>
      </c>
      <c r="H150" s="8">
        <f t="shared" si="8"/>
        <v>-9.5923261390887284E-3</v>
      </c>
      <c r="I150" s="8">
        <f t="shared" si="9"/>
        <v>9.5490716180371346E-2</v>
      </c>
      <c r="J150" s="22">
        <f t="shared" ref="J150:J213" si="10">AVERAGE(F131:F150)</f>
        <v>10237.5</v>
      </c>
      <c r="K150" s="22">
        <f t="shared" si="7"/>
        <v>9989</v>
      </c>
    </row>
    <row r="151" spans="1:11" x14ac:dyDescent="0.2">
      <c r="A151" s="2">
        <f ca="1">IFERROR(__xludf.DUMMYFUNCTION("""COMPUTED_VALUE"""),45527.6666666666)</f>
        <v>45527.666666666599</v>
      </c>
      <c r="B151" s="2"/>
      <c r="C151" s="1">
        <v>10325</v>
      </c>
      <c r="D151" s="1">
        <v>10375</v>
      </c>
      <c r="E151" s="1">
        <v>10300</v>
      </c>
      <c r="F151" s="1">
        <v>10325</v>
      </c>
      <c r="G151" s="1">
        <v>46651600</v>
      </c>
      <c r="H151" s="8">
        <f t="shared" si="8"/>
        <v>0</v>
      </c>
      <c r="I151" s="8">
        <f t="shared" si="9"/>
        <v>9.5490716180371346E-2</v>
      </c>
      <c r="J151" s="22">
        <f t="shared" si="10"/>
        <v>10237.5</v>
      </c>
      <c r="K151" s="22">
        <f t="shared" si="7"/>
        <v>10010.5</v>
      </c>
    </row>
    <row r="152" spans="1:11" x14ac:dyDescent="0.2">
      <c r="A152" s="2">
        <f ca="1">IFERROR(__xludf.DUMMYFUNCTION("""COMPUTED_VALUE"""),45530.6666666666)</f>
        <v>45530.666666666599</v>
      </c>
      <c r="B152" s="2"/>
      <c r="C152" s="1">
        <v>10275</v>
      </c>
      <c r="D152" s="1">
        <v>10375</v>
      </c>
      <c r="E152" s="1">
        <v>10250</v>
      </c>
      <c r="F152" s="1">
        <v>10325</v>
      </c>
      <c r="G152" s="1">
        <v>35145600</v>
      </c>
      <c r="H152" s="8">
        <f t="shared" si="8"/>
        <v>0</v>
      </c>
      <c r="I152" s="8">
        <f t="shared" si="9"/>
        <v>9.5490716180371346E-2</v>
      </c>
      <c r="J152" s="22">
        <f t="shared" si="10"/>
        <v>10241.25</v>
      </c>
      <c r="K152" s="22">
        <f t="shared" si="7"/>
        <v>10033</v>
      </c>
    </row>
    <row r="153" spans="1:11" x14ac:dyDescent="0.2">
      <c r="A153" s="2">
        <f ca="1">IFERROR(__xludf.DUMMYFUNCTION("""COMPUTED_VALUE"""),45531.6666666666)</f>
        <v>45531.666666666599</v>
      </c>
      <c r="B153" s="2"/>
      <c r="C153" s="1">
        <v>10275</v>
      </c>
      <c r="D153" s="1">
        <v>10300</v>
      </c>
      <c r="E153" s="1">
        <v>10175</v>
      </c>
      <c r="F153" s="1">
        <v>10200</v>
      </c>
      <c r="G153" s="1">
        <v>60448400</v>
      </c>
      <c r="H153" s="8">
        <f t="shared" si="8"/>
        <v>-1.2106537530266344E-2</v>
      </c>
      <c r="I153" s="8">
        <f t="shared" si="9"/>
        <v>8.2228116710875335E-2</v>
      </c>
      <c r="J153" s="22">
        <f t="shared" si="10"/>
        <v>10242.5</v>
      </c>
      <c r="K153" s="22">
        <f t="shared" si="7"/>
        <v>10053</v>
      </c>
    </row>
    <row r="154" spans="1:11" x14ac:dyDescent="0.2">
      <c r="A154" s="2">
        <f ca="1">IFERROR(__xludf.DUMMYFUNCTION("""COMPUTED_VALUE"""),45532.6666666666)</f>
        <v>45532.666666666599</v>
      </c>
      <c r="B154" s="2"/>
      <c r="C154" s="1">
        <v>10300</v>
      </c>
      <c r="D154" s="1">
        <v>10350</v>
      </c>
      <c r="E154" s="1">
        <v>10250</v>
      </c>
      <c r="F154" s="1">
        <v>10350</v>
      </c>
      <c r="G154" s="1">
        <v>38489900</v>
      </c>
      <c r="H154" s="8">
        <f t="shared" si="8"/>
        <v>1.4705882352941176E-2</v>
      </c>
      <c r="I154" s="8">
        <f t="shared" si="9"/>
        <v>9.8143236074270557E-2</v>
      </c>
      <c r="J154" s="22">
        <f t="shared" si="10"/>
        <v>10246.25</v>
      </c>
      <c r="K154" s="22">
        <f t="shared" si="7"/>
        <v>10079</v>
      </c>
    </row>
    <row r="155" spans="1:11" x14ac:dyDescent="0.2">
      <c r="A155" s="2">
        <f ca="1">IFERROR(__xludf.DUMMYFUNCTION("""COMPUTED_VALUE"""),45533.6666666666)</f>
        <v>45533.666666666599</v>
      </c>
      <c r="B155" s="2"/>
      <c r="C155" s="1">
        <v>10500</v>
      </c>
      <c r="D155" s="1">
        <v>10500</v>
      </c>
      <c r="E155" s="1">
        <v>10225</v>
      </c>
      <c r="F155" s="1">
        <v>10225</v>
      </c>
      <c r="G155" s="1">
        <v>53004700</v>
      </c>
      <c r="H155" s="8">
        <f t="shared" si="8"/>
        <v>-1.2077294685990338E-2</v>
      </c>
      <c r="I155" s="8">
        <f t="shared" si="9"/>
        <v>8.4880636604774531E-2</v>
      </c>
      <c r="J155" s="22">
        <f t="shared" si="10"/>
        <v>10238.75</v>
      </c>
      <c r="K155" s="22">
        <f t="shared" si="7"/>
        <v>10095</v>
      </c>
    </row>
    <row r="156" spans="1:11" x14ac:dyDescent="0.2">
      <c r="A156" s="2">
        <f ca="1">IFERROR(__xludf.DUMMYFUNCTION("""COMPUTED_VALUE"""),45534.6666666666)</f>
        <v>45534.666666666599</v>
      </c>
      <c r="B156" s="2"/>
      <c r="C156" s="1">
        <v>10325</v>
      </c>
      <c r="D156" s="1">
        <v>10325</v>
      </c>
      <c r="E156" s="1">
        <v>10200</v>
      </c>
      <c r="F156" s="1">
        <v>10325</v>
      </c>
      <c r="G156" s="1">
        <v>158403700</v>
      </c>
      <c r="H156" s="8">
        <f t="shared" si="8"/>
        <v>9.7799511002444987E-3</v>
      </c>
      <c r="I156" s="8">
        <f t="shared" si="9"/>
        <v>9.5490716180371346E-2</v>
      </c>
      <c r="J156" s="22">
        <f t="shared" si="10"/>
        <v>10245</v>
      </c>
      <c r="K156" s="22">
        <f t="shared" si="7"/>
        <v>10109.5</v>
      </c>
    </row>
    <row r="157" spans="1:11" x14ac:dyDescent="0.2">
      <c r="A157" s="2">
        <f ca="1">IFERROR(__xludf.DUMMYFUNCTION("""COMPUTED_VALUE"""),45537.6666666666)</f>
        <v>45537.666666666599</v>
      </c>
      <c r="B157" s="2"/>
      <c r="C157" s="1">
        <v>10375</v>
      </c>
      <c r="D157" s="1">
        <v>10375</v>
      </c>
      <c r="E157" s="1">
        <v>10200</v>
      </c>
      <c r="F157" s="1">
        <v>10275</v>
      </c>
      <c r="G157" s="1">
        <v>72008600</v>
      </c>
      <c r="H157" s="8">
        <f t="shared" si="8"/>
        <v>-4.8426150121065378E-3</v>
      </c>
      <c r="I157" s="8">
        <f t="shared" si="9"/>
        <v>9.0185676392572939E-2</v>
      </c>
      <c r="J157" s="22">
        <f t="shared" si="10"/>
        <v>10265</v>
      </c>
      <c r="K157" s="22">
        <f t="shared" si="7"/>
        <v>10123</v>
      </c>
    </row>
    <row r="158" spans="1:11" x14ac:dyDescent="0.2">
      <c r="A158" s="2">
        <f ca="1">IFERROR(__xludf.DUMMYFUNCTION("""COMPUTED_VALUE"""),45538.6666666666)</f>
        <v>45538.666666666599</v>
      </c>
      <c r="B158" s="2"/>
      <c r="C158" s="1">
        <v>10325</v>
      </c>
      <c r="D158" s="1">
        <v>10325</v>
      </c>
      <c r="E158" s="1">
        <v>10150</v>
      </c>
      <c r="F158" s="1">
        <v>10175</v>
      </c>
      <c r="G158" s="1">
        <v>50950200</v>
      </c>
      <c r="H158" s="8">
        <f t="shared" si="8"/>
        <v>-9.7323600973236012E-3</v>
      </c>
      <c r="I158" s="8">
        <f t="shared" si="9"/>
        <v>7.9575596816976124E-2</v>
      </c>
      <c r="J158" s="22">
        <f t="shared" si="10"/>
        <v>10273.75</v>
      </c>
      <c r="K158" s="22">
        <f t="shared" si="7"/>
        <v>10134.5</v>
      </c>
    </row>
    <row r="159" spans="1:11" x14ac:dyDescent="0.2">
      <c r="A159" s="2">
        <f ca="1">IFERROR(__xludf.DUMMYFUNCTION("""COMPUTED_VALUE"""),45539.6666666666)</f>
        <v>45539.666666666599</v>
      </c>
      <c r="B159" s="2"/>
      <c r="C159" s="1">
        <v>10150</v>
      </c>
      <c r="D159" s="1">
        <v>10300</v>
      </c>
      <c r="E159" s="1">
        <v>10125</v>
      </c>
      <c r="F159" s="1">
        <v>10300</v>
      </c>
      <c r="G159" s="1">
        <v>44817000</v>
      </c>
      <c r="H159" s="8">
        <f t="shared" si="8"/>
        <v>1.2285012285012284E-2</v>
      </c>
      <c r="I159" s="8">
        <f t="shared" si="9"/>
        <v>9.2838196286472149E-2</v>
      </c>
      <c r="J159" s="22">
        <f t="shared" si="10"/>
        <v>10283.75</v>
      </c>
      <c r="K159" s="22">
        <f t="shared" si="7"/>
        <v>10150.5</v>
      </c>
    </row>
    <row r="160" spans="1:11" x14ac:dyDescent="0.2">
      <c r="A160" s="2">
        <f ca="1">IFERROR(__xludf.DUMMYFUNCTION("""COMPUTED_VALUE"""),45540.6666666666)</f>
        <v>45540.666666666599</v>
      </c>
      <c r="B160" s="2"/>
      <c r="C160" s="1">
        <v>10350</v>
      </c>
      <c r="D160" s="1">
        <v>10350</v>
      </c>
      <c r="E160" s="1">
        <v>10250</v>
      </c>
      <c r="F160" s="1">
        <v>10250</v>
      </c>
      <c r="G160" s="1">
        <v>39332900</v>
      </c>
      <c r="H160" s="8">
        <f t="shared" si="8"/>
        <v>-4.8543689320388345E-3</v>
      </c>
      <c r="I160" s="8">
        <f t="shared" si="9"/>
        <v>8.7533156498673742E-2</v>
      </c>
      <c r="J160" s="22">
        <f t="shared" si="10"/>
        <v>10285</v>
      </c>
      <c r="K160" s="22">
        <f t="shared" si="7"/>
        <v>10160.5</v>
      </c>
    </row>
    <row r="161" spans="1:11" x14ac:dyDescent="0.2">
      <c r="A161" s="2">
        <f ca="1">IFERROR(__xludf.DUMMYFUNCTION("""COMPUTED_VALUE"""),45541.6666666666)</f>
        <v>45541.666666666599</v>
      </c>
      <c r="B161" s="2"/>
      <c r="C161" s="1">
        <v>10225</v>
      </c>
      <c r="D161" s="1">
        <v>10300</v>
      </c>
      <c r="E161" s="1">
        <v>10225</v>
      </c>
      <c r="F161" s="1">
        <v>10300</v>
      </c>
      <c r="G161" s="1">
        <v>31541800</v>
      </c>
      <c r="H161" s="8">
        <f t="shared" si="8"/>
        <v>4.8780487804878049E-3</v>
      </c>
      <c r="I161" s="8">
        <f t="shared" si="9"/>
        <v>9.2838196286472149E-2</v>
      </c>
      <c r="J161" s="22">
        <f t="shared" si="10"/>
        <v>10292.5</v>
      </c>
      <c r="K161" s="22">
        <f t="shared" si="7"/>
        <v>10168</v>
      </c>
    </row>
    <row r="162" spans="1:11" x14ac:dyDescent="0.2">
      <c r="A162" s="2">
        <f ca="1">IFERROR(__xludf.DUMMYFUNCTION("""COMPUTED_VALUE"""),45544.6666666666)</f>
        <v>45544.666666666599</v>
      </c>
      <c r="B162" s="2"/>
      <c r="C162" s="1">
        <v>10300</v>
      </c>
      <c r="D162" s="1">
        <v>10350</v>
      </c>
      <c r="E162" s="1">
        <v>10200</v>
      </c>
      <c r="F162" s="1">
        <v>10275</v>
      </c>
      <c r="G162" s="1">
        <v>36185100</v>
      </c>
      <c r="H162" s="8">
        <f t="shared" si="8"/>
        <v>-2.4271844660194173E-3</v>
      </c>
      <c r="I162" s="8">
        <f t="shared" si="9"/>
        <v>9.0185676392572939E-2</v>
      </c>
      <c r="J162" s="22">
        <f t="shared" si="10"/>
        <v>10296.25</v>
      </c>
      <c r="K162" s="22">
        <f t="shared" si="7"/>
        <v>10176</v>
      </c>
    </row>
    <row r="163" spans="1:11" x14ac:dyDescent="0.2">
      <c r="A163" s="2">
        <f ca="1">IFERROR(__xludf.DUMMYFUNCTION("""COMPUTED_VALUE"""),45545.6666666666)</f>
        <v>45545.666666666599</v>
      </c>
      <c r="B163" s="2"/>
      <c r="C163" s="1">
        <v>10350</v>
      </c>
      <c r="D163" s="1">
        <v>10350</v>
      </c>
      <c r="E163" s="1">
        <v>10275</v>
      </c>
      <c r="F163" s="1">
        <v>10350</v>
      </c>
      <c r="G163" s="1">
        <v>55093100</v>
      </c>
      <c r="H163" s="8">
        <f t="shared" si="8"/>
        <v>7.2992700729927005E-3</v>
      </c>
      <c r="I163" s="8">
        <f t="shared" si="9"/>
        <v>9.8143236074270557E-2</v>
      </c>
      <c r="J163" s="22">
        <f t="shared" si="10"/>
        <v>10298.75</v>
      </c>
      <c r="K163" s="22">
        <f t="shared" si="7"/>
        <v>10185</v>
      </c>
    </row>
    <row r="164" spans="1:11" x14ac:dyDescent="0.2">
      <c r="A164" s="2">
        <f ca="1">IFERROR(__xludf.DUMMYFUNCTION("""COMPUTED_VALUE"""),45546.6666666666)</f>
        <v>45546.666666666599</v>
      </c>
      <c r="B164" s="2"/>
      <c r="C164" s="1">
        <v>10425</v>
      </c>
      <c r="D164" s="1">
        <v>10425</v>
      </c>
      <c r="E164" s="1">
        <v>10350</v>
      </c>
      <c r="F164" s="1">
        <v>10425</v>
      </c>
      <c r="G164" s="1">
        <v>64621300</v>
      </c>
      <c r="H164" s="8">
        <f t="shared" si="8"/>
        <v>7.246376811594203E-3</v>
      </c>
      <c r="I164" s="8">
        <f t="shared" si="9"/>
        <v>0.10610079575596817</v>
      </c>
      <c r="J164" s="22">
        <f t="shared" si="10"/>
        <v>10310</v>
      </c>
      <c r="K164" s="22">
        <f t="shared" si="7"/>
        <v>10193.5</v>
      </c>
    </row>
    <row r="165" spans="1:11" x14ac:dyDescent="0.2">
      <c r="A165" s="2">
        <f ca="1">IFERROR(__xludf.DUMMYFUNCTION("""COMPUTED_VALUE"""),45547.6666666666)</f>
        <v>45547.666666666599</v>
      </c>
      <c r="B165" s="2"/>
      <c r="C165" s="1">
        <v>10450</v>
      </c>
      <c r="D165" s="1">
        <v>10500</v>
      </c>
      <c r="E165" s="1">
        <v>10375</v>
      </c>
      <c r="F165" s="1">
        <v>10475</v>
      </c>
      <c r="G165" s="1">
        <v>70759100</v>
      </c>
      <c r="H165" s="8">
        <f t="shared" si="8"/>
        <v>4.7961630695443642E-3</v>
      </c>
      <c r="I165" s="8">
        <f t="shared" si="9"/>
        <v>0.11140583554376658</v>
      </c>
      <c r="J165" s="22">
        <f t="shared" si="10"/>
        <v>10322.5</v>
      </c>
      <c r="K165" s="22">
        <f t="shared" si="7"/>
        <v>10206.5</v>
      </c>
    </row>
    <row r="166" spans="1:11" x14ac:dyDescent="0.2">
      <c r="A166" s="2">
        <f ca="1">IFERROR(__xludf.DUMMYFUNCTION("""COMPUTED_VALUE"""),45548.6666666666)</f>
        <v>45548.666666666599</v>
      </c>
      <c r="B166" s="2"/>
      <c r="C166" s="1">
        <v>10400</v>
      </c>
      <c r="D166" s="1">
        <v>10425</v>
      </c>
      <c r="E166" s="1">
        <v>10325</v>
      </c>
      <c r="F166" s="1">
        <v>10425</v>
      </c>
      <c r="G166" s="1">
        <v>70057100</v>
      </c>
      <c r="H166" s="8">
        <f t="shared" si="8"/>
        <v>-4.7732696897374704E-3</v>
      </c>
      <c r="I166" s="8">
        <f t="shared" si="9"/>
        <v>0.10610079575596817</v>
      </c>
      <c r="J166" s="22">
        <f t="shared" si="10"/>
        <v>10327.5</v>
      </c>
      <c r="K166" s="22">
        <f t="shared" si="7"/>
        <v>10216</v>
      </c>
    </row>
    <row r="167" spans="1:11" x14ac:dyDescent="0.2">
      <c r="A167" s="2">
        <f ca="1">IFERROR(__xludf.DUMMYFUNCTION("""COMPUTED_VALUE"""),45552.6666666666)</f>
        <v>45552.666666666599</v>
      </c>
      <c r="B167" s="2"/>
      <c r="C167" s="1">
        <v>10450</v>
      </c>
      <c r="D167" s="1">
        <v>10500</v>
      </c>
      <c r="E167" s="1">
        <v>10350</v>
      </c>
      <c r="F167" s="1">
        <v>10500</v>
      </c>
      <c r="G167" s="1">
        <v>89745000</v>
      </c>
      <c r="H167" s="8">
        <f t="shared" si="8"/>
        <v>7.1942446043165471E-3</v>
      </c>
      <c r="I167" s="8">
        <f t="shared" si="9"/>
        <v>0.11405835543766578</v>
      </c>
      <c r="J167" s="22">
        <f t="shared" si="10"/>
        <v>10333.75</v>
      </c>
      <c r="K167" s="22">
        <f t="shared" si="7"/>
        <v>10225</v>
      </c>
    </row>
    <row r="168" spans="1:11" x14ac:dyDescent="0.2">
      <c r="A168" s="2">
        <f ca="1">IFERROR(__xludf.DUMMYFUNCTION("""COMPUTED_VALUE"""),45553.6666666666)</f>
        <v>45553.666666666599</v>
      </c>
      <c r="B168" s="2"/>
      <c r="C168" s="1">
        <v>10500</v>
      </c>
      <c r="D168" s="1">
        <v>10625</v>
      </c>
      <c r="E168" s="1">
        <v>10450</v>
      </c>
      <c r="F168" s="1">
        <v>10625</v>
      </c>
      <c r="G168" s="1">
        <v>65420200</v>
      </c>
      <c r="H168" s="8">
        <f t="shared" si="8"/>
        <v>1.1904761904761904E-2</v>
      </c>
      <c r="I168" s="8">
        <f t="shared" si="9"/>
        <v>0.1273209549071618</v>
      </c>
      <c r="J168" s="22">
        <f t="shared" si="10"/>
        <v>10343.75</v>
      </c>
      <c r="K168" s="22">
        <f t="shared" si="7"/>
        <v>10236</v>
      </c>
    </row>
    <row r="169" spans="1:11" x14ac:dyDescent="0.2">
      <c r="A169" s="2">
        <f ca="1">IFERROR(__xludf.DUMMYFUNCTION("""COMPUTED_VALUE"""),45554.6666666666)</f>
        <v>45554.666666666599</v>
      </c>
      <c r="B169" s="2"/>
      <c r="C169" s="1">
        <v>10700</v>
      </c>
      <c r="D169" s="1">
        <v>10900</v>
      </c>
      <c r="E169" s="1">
        <v>10650</v>
      </c>
      <c r="F169" s="1">
        <v>10900</v>
      </c>
      <c r="G169" s="1">
        <v>140886600</v>
      </c>
      <c r="H169" s="8">
        <f t="shared" si="8"/>
        <v>2.5882352941176471E-2</v>
      </c>
      <c r="I169" s="8">
        <f t="shared" si="9"/>
        <v>0.15649867374005305</v>
      </c>
      <c r="J169" s="22">
        <f t="shared" si="10"/>
        <v>10367.5</v>
      </c>
      <c r="K169" s="22">
        <f t="shared" si="7"/>
        <v>10252</v>
      </c>
    </row>
    <row r="170" spans="1:11" x14ac:dyDescent="0.2">
      <c r="A170" s="2">
        <f ca="1">IFERROR(__xludf.DUMMYFUNCTION("""COMPUTED_VALUE"""),45555.6666666666)</f>
        <v>45555.666666666599</v>
      </c>
      <c r="B170" s="2"/>
      <c r="C170" s="1">
        <v>10900</v>
      </c>
      <c r="D170" s="1">
        <v>10900</v>
      </c>
      <c r="E170" s="1">
        <v>10775</v>
      </c>
      <c r="F170" s="1">
        <v>10775</v>
      </c>
      <c r="G170" s="1">
        <v>142194600</v>
      </c>
      <c r="H170" s="8">
        <f t="shared" si="8"/>
        <v>-1.1467889908256881E-2</v>
      </c>
      <c r="I170" s="8">
        <f t="shared" si="9"/>
        <v>0.14323607427055704</v>
      </c>
      <c r="J170" s="22">
        <f t="shared" si="10"/>
        <v>10390</v>
      </c>
      <c r="K170" s="22">
        <f t="shared" si="7"/>
        <v>10266</v>
      </c>
    </row>
    <row r="171" spans="1:11" x14ac:dyDescent="0.2">
      <c r="A171" s="2">
        <f ca="1">IFERROR(__xludf.DUMMYFUNCTION("""COMPUTED_VALUE"""),45558.6666666666)</f>
        <v>45558.666666666599</v>
      </c>
      <c r="B171" s="2"/>
      <c r="C171" s="1">
        <v>10725</v>
      </c>
      <c r="D171" s="1">
        <v>10950</v>
      </c>
      <c r="E171" s="1">
        <v>10725</v>
      </c>
      <c r="F171" s="1">
        <v>10950</v>
      </c>
      <c r="G171" s="1">
        <v>72553800</v>
      </c>
      <c r="H171" s="8">
        <f t="shared" si="8"/>
        <v>1.6241299303944315E-2</v>
      </c>
      <c r="I171" s="8">
        <f t="shared" si="9"/>
        <v>0.16180371352785147</v>
      </c>
      <c r="J171" s="22">
        <f t="shared" si="10"/>
        <v>10421.25</v>
      </c>
      <c r="K171" s="22">
        <f t="shared" si="7"/>
        <v>10283.5</v>
      </c>
    </row>
    <row r="172" spans="1:11" x14ac:dyDescent="0.2">
      <c r="A172" s="2">
        <f ca="1">IFERROR(__xludf.DUMMYFUNCTION("""COMPUTED_VALUE"""),45559.6666666666)</f>
        <v>45559.666666666599</v>
      </c>
      <c r="B172" s="2"/>
      <c r="C172" s="1">
        <v>10775</v>
      </c>
      <c r="D172" s="1">
        <v>10950</v>
      </c>
      <c r="E172" s="1">
        <v>10775</v>
      </c>
      <c r="F172" s="1">
        <v>10800</v>
      </c>
      <c r="G172" s="1">
        <v>105191100</v>
      </c>
      <c r="H172" s="8">
        <f t="shared" si="8"/>
        <v>-1.3698630136986301E-2</v>
      </c>
      <c r="I172" s="8">
        <f t="shared" si="9"/>
        <v>0.14588859416445624</v>
      </c>
      <c r="J172" s="22">
        <f t="shared" si="10"/>
        <v>10445</v>
      </c>
      <c r="K172" s="22">
        <f t="shared" si="7"/>
        <v>10298.5</v>
      </c>
    </row>
    <row r="173" spans="1:11" x14ac:dyDescent="0.2">
      <c r="A173" s="2">
        <f ca="1">IFERROR(__xludf.DUMMYFUNCTION("""COMPUTED_VALUE"""),45560.6666666666)</f>
        <v>45560.666666666599</v>
      </c>
      <c r="B173" s="2"/>
      <c r="C173" s="1">
        <v>10675</v>
      </c>
      <c r="D173" s="1">
        <v>10850</v>
      </c>
      <c r="E173" s="1">
        <v>10525</v>
      </c>
      <c r="F173" s="1">
        <v>10850</v>
      </c>
      <c r="G173" s="1">
        <v>158369100</v>
      </c>
      <c r="H173" s="8">
        <f t="shared" si="8"/>
        <v>4.6296296296296294E-3</v>
      </c>
      <c r="I173" s="8">
        <f t="shared" si="9"/>
        <v>0.15119363395225463</v>
      </c>
      <c r="J173" s="22">
        <f t="shared" si="10"/>
        <v>10477.5</v>
      </c>
      <c r="K173" s="22">
        <f t="shared" si="7"/>
        <v>10316.5</v>
      </c>
    </row>
    <row r="174" spans="1:11" x14ac:dyDescent="0.2">
      <c r="A174" s="2">
        <f ca="1">IFERROR(__xludf.DUMMYFUNCTION("""COMPUTED_VALUE"""),45561.6666666666)</f>
        <v>45561.666666666599</v>
      </c>
      <c r="B174" s="2"/>
      <c r="C174" s="1">
        <v>10875</v>
      </c>
      <c r="D174" s="1">
        <v>10875</v>
      </c>
      <c r="E174" s="1">
        <v>10675</v>
      </c>
      <c r="F174" s="1">
        <v>10700</v>
      </c>
      <c r="G174" s="1">
        <v>84960100</v>
      </c>
      <c r="H174" s="8">
        <f t="shared" si="8"/>
        <v>-1.3824884792626729E-2</v>
      </c>
      <c r="I174" s="8">
        <f t="shared" si="9"/>
        <v>0.13527851458885942</v>
      </c>
      <c r="J174" s="22">
        <f t="shared" si="10"/>
        <v>10495</v>
      </c>
      <c r="K174" s="22">
        <f t="shared" si="7"/>
        <v>10334.5</v>
      </c>
    </row>
    <row r="175" spans="1:11" x14ac:dyDescent="0.2">
      <c r="A175" s="2">
        <f ca="1">IFERROR(__xludf.DUMMYFUNCTION("""COMPUTED_VALUE"""),45562.6666666666)</f>
        <v>45562.666666666599</v>
      </c>
      <c r="B175" s="2"/>
      <c r="C175" s="1">
        <v>10500</v>
      </c>
      <c r="D175" s="1">
        <v>10750</v>
      </c>
      <c r="E175" s="1">
        <v>10400</v>
      </c>
      <c r="F175" s="1">
        <v>10650</v>
      </c>
      <c r="G175" s="1">
        <v>93027400</v>
      </c>
      <c r="H175" s="8">
        <f t="shared" si="8"/>
        <v>-4.6728971962616819E-3</v>
      </c>
      <c r="I175" s="8">
        <f t="shared" si="9"/>
        <v>0.129973474801061</v>
      </c>
      <c r="J175" s="22">
        <f t="shared" si="10"/>
        <v>10516.25</v>
      </c>
      <c r="K175" s="22">
        <f t="shared" si="7"/>
        <v>10345.5</v>
      </c>
    </row>
    <row r="176" spans="1:11" x14ac:dyDescent="0.2">
      <c r="A176" s="2">
        <f ca="1">IFERROR(__xludf.DUMMYFUNCTION("""COMPUTED_VALUE"""),45565.6666666666)</f>
        <v>45565.666666666599</v>
      </c>
      <c r="B176" s="2"/>
      <c r="C176" s="1">
        <v>10475</v>
      </c>
      <c r="D176" s="1">
        <v>10550</v>
      </c>
      <c r="E176" s="1">
        <v>10325</v>
      </c>
      <c r="F176" s="1">
        <v>10325</v>
      </c>
      <c r="G176" s="1">
        <v>144692100</v>
      </c>
      <c r="H176" s="8">
        <f t="shared" si="8"/>
        <v>-3.0516431924882629E-2</v>
      </c>
      <c r="I176" s="8">
        <f t="shared" si="9"/>
        <v>9.5490716180371346E-2</v>
      </c>
      <c r="J176" s="22">
        <f t="shared" si="10"/>
        <v>10516.25</v>
      </c>
      <c r="K176" s="22">
        <f t="shared" si="7"/>
        <v>10349.5</v>
      </c>
    </row>
    <row r="177" spans="1:11" x14ac:dyDescent="0.2">
      <c r="A177" s="2">
        <f ca="1">IFERROR(__xludf.DUMMYFUNCTION("""COMPUTED_VALUE"""),45566.6666666666)</f>
        <v>45566.666666666599</v>
      </c>
      <c r="B177" s="2"/>
      <c r="C177" s="1">
        <v>10400</v>
      </c>
      <c r="D177" s="1">
        <v>10550</v>
      </c>
      <c r="E177" s="1">
        <v>10375</v>
      </c>
      <c r="F177" s="1">
        <v>10550</v>
      </c>
      <c r="G177" s="1">
        <v>59797700</v>
      </c>
      <c r="H177" s="8">
        <f t="shared" si="8"/>
        <v>2.1791767554479417E-2</v>
      </c>
      <c r="I177" s="8">
        <f t="shared" si="9"/>
        <v>0.11936339522546419</v>
      </c>
      <c r="J177" s="22">
        <f t="shared" si="10"/>
        <v>10530</v>
      </c>
      <c r="K177" s="22">
        <f t="shared" si="7"/>
        <v>10358.5</v>
      </c>
    </row>
    <row r="178" spans="1:11" x14ac:dyDescent="0.2">
      <c r="A178" s="2">
        <f ca="1">IFERROR(__xludf.DUMMYFUNCTION("""COMPUTED_VALUE"""),45567.6666666666)</f>
        <v>45567.666666666599</v>
      </c>
      <c r="B178" s="2"/>
      <c r="C178" s="1">
        <v>10325</v>
      </c>
      <c r="D178" s="1">
        <v>10550</v>
      </c>
      <c r="E178" s="1">
        <v>10325</v>
      </c>
      <c r="F178" s="1">
        <v>10500</v>
      </c>
      <c r="G178" s="1">
        <v>86746200</v>
      </c>
      <c r="H178" s="8">
        <f t="shared" si="8"/>
        <v>-4.7393364928909956E-3</v>
      </c>
      <c r="I178" s="8">
        <f t="shared" si="9"/>
        <v>0.11405835543766578</v>
      </c>
      <c r="J178" s="22">
        <f t="shared" si="10"/>
        <v>10546.25</v>
      </c>
      <c r="K178" s="22">
        <f t="shared" si="7"/>
        <v>10365</v>
      </c>
    </row>
    <row r="179" spans="1:11" x14ac:dyDescent="0.2">
      <c r="A179" s="2">
        <f ca="1">IFERROR(__xludf.DUMMYFUNCTION("""COMPUTED_VALUE"""),45568.6666666666)</f>
        <v>45568.666666666599</v>
      </c>
      <c r="B179" s="2"/>
      <c r="C179" s="1">
        <v>10450</v>
      </c>
      <c r="D179" s="1">
        <v>10525</v>
      </c>
      <c r="E179" s="1">
        <v>10400</v>
      </c>
      <c r="F179" s="1">
        <v>10450</v>
      </c>
      <c r="G179" s="1">
        <v>60887000</v>
      </c>
      <c r="H179" s="8">
        <f t="shared" si="8"/>
        <v>-4.7619047619047623E-3</v>
      </c>
      <c r="I179" s="8">
        <f t="shared" si="9"/>
        <v>0.10875331564986737</v>
      </c>
      <c r="J179" s="22">
        <f t="shared" si="10"/>
        <v>10553.75</v>
      </c>
      <c r="K179" s="22">
        <f t="shared" si="7"/>
        <v>10372.5</v>
      </c>
    </row>
    <row r="180" spans="1:11" x14ac:dyDescent="0.2">
      <c r="A180" s="2">
        <f ca="1">IFERROR(__xludf.DUMMYFUNCTION("""COMPUTED_VALUE"""),45569.6666666666)</f>
        <v>45569.666666666599</v>
      </c>
      <c r="B180" s="2"/>
      <c r="C180" s="1">
        <v>10400</v>
      </c>
      <c r="D180" s="1">
        <v>10475</v>
      </c>
      <c r="E180" s="1">
        <v>10350</v>
      </c>
      <c r="F180" s="1">
        <v>10475</v>
      </c>
      <c r="G180" s="1">
        <v>58500400</v>
      </c>
      <c r="H180" s="8">
        <f t="shared" si="8"/>
        <v>2.3923444976076554E-3</v>
      </c>
      <c r="I180" s="8">
        <f t="shared" si="9"/>
        <v>0.11140583554376658</v>
      </c>
      <c r="J180" s="22">
        <f t="shared" si="10"/>
        <v>10565</v>
      </c>
      <c r="K180" s="22">
        <f t="shared" ref="K180:K243" si="11">AVERAGE(F131:F180)</f>
        <v>10376</v>
      </c>
    </row>
    <row r="181" spans="1:11" x14ac:dyDescent="0.2">
      <c r="A181" s="2">
        <f ca="1">IFERROR(__xludf.DUMMYFUNCTION("""COMPUTED_VALUE"""),45572.6666666666)</f>
        <v>45572.666666666599</v>
      </c>
      <c r="B181" s="2"/>
      <c r="C181" s="1">
        <v>10350</v>
      </c>
      <c r="D181" s="1">
        <v>10375</v>
      </c>
      <c r="E181" s="1">
        <v>10250</v>
      </c>
      <c r="F181" s="1">
        <v>10300</v>
      </c>
      <c r="G181" s="1">
        <v>91867900</v>
      </c>
      <c r="H181" s="8">
        <f t="shared" si="8"/>
        <v>-1.6706443914081145E-2</v>
      </c>
      <c r="I181" s="8">
        <f t="shared" si="9"/>
        <v>9.2838196286472149E-2</v>
      </c>
      <c r="J181" s="22">
        <f t="shared" si="10"/>
        <v>10565</v>
      </c>
      <c r="K181" s="22">
        <f t="shared" si="11"/>
        <v>10375.5</v>
      </c>
    </row>
    <row r="182" spans="1:11" x14ac:dyDescent="0.2">
      <c r="A182" s="2">
        <f ca="1">IFERROR(__xludf.DUMMYFUNCTION("""COMPUTED_VALUE"""),45573.6666666666)</f>
        <v>45573.666666666599</v>
      </c>
      <c r="B182" s="2"/>
      <c r="C182" s="1">
        <v>10200</v>
      </c>
      <c r="D182" s="1">
        <v>10500</v>
      </c>
      <c r="E182" s="1">
        <v>10150</v>
      </c>
      <c r="F182" s="1">
        <v>10400</v>
      </c>
      <c r="G182" s="1">
        <v>99622900</v>
      </c>
      <c r="H182" s="8">
        <f t="shared" si="8"/>
        <v>9.7087378640776691E-3</v>
      </c>
      <c r="I182" s="8">
        <f t="shared" si="9"/>
        <v>0.10344827586206896</v>
      </c>
      <c r="J182" s="22">
        <f t="shared" si="10"/>
        <v>10571.25</v>
      </c>
      <c r="K182" s="22">
        <f t="shared" si="11"/>
        <v>10378.5</v>
      </c>
    </row>
    <row r="183" spans="1:11" x14ac:dyDescent="0.2">
      <c r="A183" s="2">
        <f ca="1">IFERROR(__xludf.DUMMYFUNCTION("""COMPUTED_VALUE"""),45574.6666666666)</f>
        <v>45574.666666666599</v>
      </c>
      <c r="B183" s="2"/>
      <c r="C183" s="1">
        <v>10400</v>
      </c>
      <c r="D183" s="1">
        <v>10525</v>
      </c>
      <c r="E183" s="1">
        <v>10400</v>
      </c>
      <c r="F183" s="1">
        <v>10425</v>
      </c>
      <c r="G183" s="1">
        <v>56835200</v>
      </c>
      <c r="H183" s="8">
        <f t="shared" si="8"/>
        <v>2.403846153846154E-3</v>
      </c>
      <c r="I183" s="8">
        <f t="shared" si="9"/>
        <v>0.10610079575596817</v>
      </c>
      <c r="J183" s="22">
        <f t="shared" si="10"/>
        <v>10575</v>
      </c>
      <c r="K183" s="22">
        <f t="shared" si="11"/>
        <v>10383.5</v>
      </c>
    </row>
    <row r="184" spans="1:11" x14ac:dyDescent="0.2">
      <c r="A184" s="2">
        <f ca="1">IFERROR(__xludf.DUMMYFUNCTION("""COMPUTED_VALUE"""),45575.6666666666)</f>
        <v>45575.666666666599</v>
      </c>
      <c r="B184" s="2"/>
      <c r="C184" s="1">
        <v>10425</v>
      </c>
      <c r="D184" s="1">
        <v>10500</v>
      </c>
      <c r="E184" s="1">
        <v>10400</v>
      </c>
      <c r="F184" s="1">
        <v>10500</v>
      </c>
      <c r="G184" s="1">
        <v>51080000</v>
      </c>
      <c r="H184" s="8">
        <f t="shared" si="8"/>
        <v>7.1942446043165471E-3</v>
      </c>
      <c r="I184" s="8">
        <f t="shared" si="9"/>
        <v>0.11405835543766578</v>
      </c>
      <c r="J184" s="22">
        <f t="shared" si="10"/>
        <v>10578.75</v>
      </c>
      <c r="K184" s="22">
        <f t="shared" si="11"/>
        <v>10388</v>
      </c>
    </row>
    <row r="185" spans="1:11" x14ac:dyDescent="0.2">
      <c r="A185" s="2">
        <f ca="1">IFERROR(__xludf.DUMMYFUNCTION("""COMPUTED_VALUE"""),45576.6666666666)</f>
        <v>45576.666666666599</v>
      </c>
      <c r="B185" s="2"/>
      <c r="C185" s="1">
        <v>10575</v>
      </c>
      <c r="D185" s="1">
        <v>10575</v>
      </c>
      <c r="E185" s="1">
        <v>10375</v>
      </c>
      <c r="F185" s="1">
        <v>10375</v>
      </c>
      <c r="G185" s="1">
        <v>44632100</v>
      </c>
      <c r="H185" s="8">
        <f t="shared" si="8"/>
        <v>-1.1904761904761904E-2</v>
      </c>
      <c r="I185" s="8">
        <f t="shared" si="9"/>
        <v>0.10079575596816977</v>
      </c>
      <c r="J185" s="22">
        <f t="shared" si="10"/>
        <v>10573.75</v>
      </c>
      <c r="K185" s="22">
        <f t="shared" si="11"/>
        <v>10388</v>
      </c>
    </row>
    <row r="186" spans="1:11" x14ac:dyDescent="0.2">
      <c r="A186" s="2">
        <f ca="1">IFERROR(__xludf.DUMMYFUNCTION("""COMPUTED_VALUE"""),45579.6666666666)</f>
        <v>45579.666666666599</v>
      </c>
      <c r="B186" s="2"/>
      <c r="C186" s="1">
        <v>10375</v>
      </c>
      <c r="D186" s="1">
        <v>10500</v>
      </c>
      <c r="E186" s="1">
        <v>10375</v>
      </c>
      <c r="F186" s="1">
        <v>10500</v>
      </c>
      <c r="G186" s="1">
        <v>31738600</v>
      </c>
      <c r="H186" s="8">
        <f t="shared" si="8"/>
        <v>1.2048192771084338E-2</v>
      </c>
      <c r="I186" s="8">
        <f t="shared" si="9"/>
        <v>0.11405835543766578</v>
      </c>
      <c r="J186" s="22">
        <f t="shared" si="10"/>
        <v>10577.5</v>
      </c>
      <c r="K186" s="22">
        <f t="shared" si="11"/>
        <v>10394</v>
      </c>
    </row>
    <row r="187" spans="1:11" x14ac:dyDescent="0.2">
      <c r="A187" s="2">
        <f ca="1">IFERROR(__xludf.DUMMYFUNCTION("""COMPUTED_VALUE"""),45580.6666666666)</f>
        <v>45580.666666666599</v>
      </c>
      <c r="B187" s="2"/>
      <c r="C187" s="1">
        <v>10550</v>
      </c>
      <c r="D187" s="1">
        <v>10625</v>
      </c>
      <c r="E187" s="1">
        <v>10450</v>
      </c>
      <c r="F187" s="1">
        <v>10625</v>
      </c>
      <c r="G187" s="1">
        <v>66635200</v>
      </c>
      <c r="H187" s="8">
        <f t="shared" si="8"/>
        <v>1.1904761904761904E-2</v>
      </c>
      <c r="I187" s="8">
        <f t="shared" si="9"/>
        <v>0.1273209549071618</v>
      </c>
      <c r="J187" s="22">
        <f t="shared" si="10"/>
        <v>10583.75</v>
      </c>
      <c r="K187" s="22">
        <f t="shared" si="11"/>
        <v>10409</v>
      </c>
    </row>
    <row r="188" spans="1:11" x14ac:dyDescent="0.2">
      <c r="A188" s="2">
        <f ca="1">IFERROR(__xludf.DUMMYFUNCTION("""COMPUTED_VALUE"""),45581.6666666666)</f>
        <v>45581.666666666599</v>
      </c>
      <c r="B188" s="2"/>
      <c r="C188" s="1">
        <v>10700</v>
      </c>
      <c r="D188" s="1">
        <v>10725</v>
      </c>
      <c r="E188" s="1">
        <v>10475</v>
      </c>
      <c r="F188" s="1">
        <v>10475</v>
      </c>
      <c r="G188" s="1">
        <v>63255900</v>
      </c>
      <c r="H188" s="8">
        <f t="shared" si="8"/>
        <v>-1.411764705882353E-2</v>
      </c>
      <c r="I188" s="8">
        <f t="shared" si="9"/>
        <v>0.11140583554376658</v>
      </c>
      <c r="J188" s="22">
        <f t="shared" si="10"/>
        <v>10576.25</v>
      </c>
      <c r="K188" s="22">
        <f t="shared" si="11"/>
        <v>10418.5</v>
      </c>
    </row>
    <row r="189" spans="1:11" x14ac:dyDescent="0.2">
      <c r="A189" s="2">
        <f ca="1">IFERROR(__xludf.DUMMYFUNCTION("""COMPUTED_VALUE"""),45582.6666666666)</f>
        <v>45582.666666666599</v>
      </c>
      <c r="B189" s="2"/>
      <c r="C189" s="1">
        <v>10550</v>
      </c>
      <c r="D189" s="1">
        <v>10800</v>
      </c>
      <c r="E189" s="1">
        <v>10500</v>
      </c>
      <c r="F189" s="1">
        <v>10725</v>
      </c>
      <c r="G189" s="1">
        <v>66993300</v>
      </c>
      <c r="H189" s="8">
        <f t="shared" si="8"/>
        <v>2.386634844868735E-2</v>
      </c>
      <c r="I189" s="8">
        <f t="shared" si="9"/>
        <v>0.13793103448275862</v>
      </c>
      <c r="J189" s="22">
        <f t="shared" si="10"/>
        <v>10567.5</v>
      </c>
      <c r="K189" s="22">
        <f t="shared" si="11"/>
        <v>10431</v>
      </c>
    </row>
    <row r="190" spans="1:11" x14ac:dyDescent="0.2">
      <c r="A190" s="2">
        <f ca="1">IFERROR(__xludf.DUMMYFUNCTION("""COMPUTED_VALUE"""),45583.6666666666)</f>
        <v>45583.666666666599</v>
      </c>
      <c r="B190" s="2"/>
      <c r="C190" s="1">
        <v>10875</v>
      </c>
      <c r="D190" s="1">
        <v>10875</v>
      </c>
      <c r="E190" s="1">
        <v>10725</v>
      </c>
      <c r="F190" s="1">
        <v>10750</v>
      </c>
      <c r="G190" s="1">
        <v>56299600</v>
      </c>
      <c r="H190" s="8">
        <f t="shared" si="8"/>
        <v>2.331002331002331E-3</v>
      </c>
      <c r="I190" s="8">
        <f t="shared" si="9"/>
        <v>0.14058355437665782</v>
      </c>
      <c r="J190" s="22">
        <f t="shared" si="10"/>
        <v>10566.25</v>
      </c>
      <c r="K190" s="22">
        <f t="shared" si="11"/>
        <v>10441.5</v>
      </c>
    </row>
    <row r="191" spans="1:11" x14ac:dyDescent="0.2">
      <c r="A191" s="2">
        <f ca="1">IFERROR(__xludf.DUMMYFUNCTION("""COMPUTED_VALUE"""),45586.6666666666)</f>
        <v>45586.666666666599</v>
      </c>
      <c r="B191" s="2"/>
      <c r="C191" s="1">
        <v>10850</v>
      </c>
      <c r="D191" s="1">
        <v>10850</v>
      </c>
      <c r="E191" s="1">
        <v>10675</v>
      </c>
      <c r="F191" s="1">
        <v>10675</v>
      </c>
      <c r="G191" s="1">
        <v>36472500</v>
      </c>
      <c r="H191" s="8">
        <f t="shared" si="8"/>
        <v>-6.9767441860465115E-3</v>
      </c>
      <c r="I191" s="8">
        <f t="shared" si="9"/>
        <v>0.13262599469496023</v>
      </c>
      <c r="J191" s="22">
        <f t="shared" si="10"/>
        <v>10552.5</v>
      </c>
      <c r="K191" s="22">
        <f t="shared" si="11"/>
        <v>10452</v>
      </c>
    </row>
    <row r="192" spans="1:11" x14ac:dyDescent="0.2">
      <c r="A192" s="2">
        <f ca="1">IFERROR(__xludf.DUMMYFUNCTION("""COMPUTED_VALUE"""),45587.6666666666)</f>
        <v>45587.666666666599</v>
      </c>
      <c r="B192" s="2"/>
      <c r="C192" s="1">
        <v>10475</v>
      </c>
      <c r="D192" s="1">
        <v>10600</v>
      </c>
      <c r="E192" s="1">
        <v>10475</v>
      </c>
      <c r="F192" s="1">
        <v>10500</v>
      </c>
      <c r="G192" s="1">
        <v>94799500</v>
      </c>
      <c r="H192" s="8">
        <f t="shared" si="8"/>
        <v>-1.6393442622950821E-2</v>
      </c>
      <c r="I192" s="8">
        <f t="shared" si="9"/>
        <v>0.11405835543766578</v>
      </c>
      <c r="J192" s="22">
        <f t="shared" si="10"/>
        <v>10537.5</v>
      </c>
      <c r="K192" s="22">
        <f t="shared" si="11"/>
        <v>10458</v>
      </c>
    </row>
    <row r="193" spans="1:11" x14ac:dyDescent="0.2">
      <c r="A193" s="2">
        <f ca="1">IFERROR(__xludf.DUMMYFUNCTION("""COMPUTED_VALUE"""),45588.6666666666)</f>
        <v>45588.666666666599</v>
      </c>
      <c r="B193" s="2"/>
      <c r="C193" s="1">
        <v>10475</v>
      </c>
      <c r="D193" s="1">
        <v>10650</v>
      </c>
      <c r="E193" s="1">
        <v>10475</v>
      </c>
      <c r="F193" s="1">
        <v>10650</v>
      </c>
      <c r="G193" s="1">
        <v>48903000</v>
      </c>
      <c r="H193" s="8">
        <f t="shared" si="8"/>
        <v>1.4285714285714285E-2</v>
      </c>
      <c r="I193" s="8">
        <f t="shared" si="9"/>
        <v>0.129973474801061</v>
      </c>
      <c r="J193" s="22">
        <f t="shared" si="10"/>
        <v>10527.5</v>
      </c>
      <c r="K193" s="22">
        <f t="shared" si="11"/>
        <v>10465</v>
      </c>
    </row>
    <row r="194" spans="1:11" x14ac:dyDescent="0.2">
      <c r="A194" s="2">
        <f ca="1">IFERROR(__xludf.DUMMYFUNCTION("""COMPUTED_VALUE"""),45589.6666666666)</f>
        <v>45589.666666666599</v>
      </c>
      <c r="B194" s="2"/>
      <c r="C194" s="1">
        <v>10725</v>
      </c>
      <c r="D194" s="1">
        <v>10850</v>
      </c>
      <c r="E194" s="1">
        <v>10700</v>
      </c>
      <c r="F194" s="1">
        <v>10700</v>
      </c>
      <c r="G194" s="1">
        <v>85341200</v>
      </c>
      <c r="H194" s="8">
        <f t="shared" si="8"/>
        <v>4.6948356807511738E-3</v>
      </c>
      <c r="I194" s="8">
        <f t="shared" si="9"/>
        <v>0.13527851458885942</v>
      </c>
      <c r="J194" s="22">
        <f t="shared" si="10"/>
        <v>10527.5</v>
      </c>
      <c r="K194" s="22">
        <f t="shared" si="11"/>
        <v>10475</v>
      </c>
    </row>
    <row r="195" spans="1:11" x14ac:dyDescent="0.2">
      <c r="A195" s="2">
        <f ca="1">IFERROR(__xludf.DUMMYFUNCTION("""COMPUTED_VALUE"""),45590.6666666666)</f>
        <v>45590.666666666599</v>
      </c>
      <c r="B195" s="2"/>
      <c r="C195" s="1">
        <v>10650</v>
      </c>
      <c r="D195" s="1">
        <v>10750</v>
      </c>
      <c r="E195" s="1">
        <v>10625</v>
      </c>
      <c r="F195" s="1">
        <v>10750</v>
      </c>
      <c r="G195" s="1">
        <v>34847500</v>
      </c>
      <c r="H195" s="8">
        <f t="shared" si="8"/>
        <v>4.6728971962616819E-3</v>
      </c>
      <c r="I195" s="8">
        <f t="shared" si="9"/>
        <v>0.14058355437665782</v>
      </c>
      <c r="J195" s="22">
        <f t="shared" si="10"/>
        <v>10532.5</v>
      </c>
      <c r="K195" s="22">
        <f t="shared" si="11"/>
        <v>10485.5</v>
      </c>
    </row>
    <row r="196" spans="1:11" x14ac:dyDescent="0.2">
      <c r="A196" s="2">
        <f ca="1">IFERROR(__xludf.DUMMYFUNCTION("""COMPUTED_VALUE"""),45593.6666666666)</f>
        <v>45593.666666666599</v>
      </c>
      <c r="B196" s="2"/>
      <c r="C196" s="1">
        <v>10825</v>
      </c>
      <c r="D196" s="1">
        <v>10825</v>
      </c>
      <c r="E196" s="1">
        <v>10600</v>
      </c>
      <c r="F196" s="1">
        <v>10600</v>
      </c>
      <c r="G196" s="1">
        <v>39061500</v>
      </c>
      <c r="H196" s="8">
        <f t="shared" ref="H196:H259" si="12">(F196-F195)/F195</f>
        <v>-1.3953488372093023E-2</v>
      </c>
      <c r="I196" s="8">
        <f t="shared" ref="I196:I259" si="13">(F196-$F$2)/$F$2</f>
        <v>0.12466843501326259</v>
      </c>
      <c r="J196" s="22">
        <f t="shared" si="10"/>
        <v>10546.25</v>
      </c>
      <c r="K196" s="22">
        <f t="shared" si="11"/>
        <v>10491</v>
      </c>
    </row>
    <row r="197" spans="1:11" x14ac:dyDescent="0.2">
      <c r="A197" s="2">
        <f ca="1">IFERROR(__xludf.DUMMYFUNCTION("""COMPUTED_VALUE"""),45594.6666666666)</f>
        <v>45594.666666666599</v>
      </c>
      <c r="B197" s="2"/>
      <c r="C197" s="1">
        <v>10525</v>
      </c>
      <c r="D197" s="1">
        <v>10575</v>
      </c>
      <c r="E197" s="1">
        <v>10500</v>
      </c>
      <c r="F197" s="1">
        <v>10500</v>
      </c>
      <c r="G197" s="1">
        <v>49680100</v>
      </c>
      <c r="H197" s="8">
        <f t="shared" si="12"/>
        <v>-9.433962264150943E-3</v>
      </c>
      <c r="I197" s="8">
        <f t="shared" si="13"/>
        <v>0.11405835543766578</v>
      </c>
      <c r="J197" s="22">
        <f t="shared" si="10"/>
        <v>10543.75</v>
      </c>
      <c r="K197" s="22">
        <f t="shared" si="11"/>
        <v>10493.5</v>
      </c>
    </row>
    <row r="198" spans="1:11" x14ac:dyDescent="0.2">
      <c r="A198" s="2">
        <f ca="1">IFERROR(__xludf.DUMMYFUNCTION("""COMPUTED_VALUE"""),45595.6666666666)</f>
        <v>45595.666666666599</v>
      </c>
      <c r="B198" s="2"/>
      <c r="C198" s="1">
        <v>10350</v>
      </c>
      <c r="D198" s="1">
        <v>10375</v>
      </c>
      <c r="E198" s="1">
        <v>10325</v>
      </c>
      <c r="F198" s="1">
        <v>10350</v>
      </c>
      <c r="G198" s="1">
        <v>32114000</v>
      </c>
      <c r="H198" s="8">
        <f t="shared" si="12"/>
        <v>-1.4285714285714285E-2</v>
      </c>
      <c r="I198" s="8">
        <f t="shared" si="13"/>
        <v>9.8143236074270557E-2</v>
      </c>
      <c r="J198" s="22">
        <f t="shared" si="10"/>
        <v>10536.25</v>
      </c>
      <c r="K198" s="22">
        <f t="shared" si="11"/>
        <v>10492</v>
      </c>
    </row>
    <row r="199" spans="1:11" x14ac:dyDescent="0.2">
      <c r="A199" s="2">
        <f ca="1">IFERROR(__xludf.DUMMYFUNCTION("""COMPUTED_VALUE"""),45596.6666666666)</f>
        <v>45596.666666666599</v>
      </c>
      <c r="B199" s="2"/>
      <c r="C199" s="1">
        <v>10325</v>
      </c>
      <c r="D199" s="1">
        <v>10475</v>
      </c>
      <c r="E199" s="1">
        <v>10250</v>
      </c>
      <c r="F199" s="1">
        <v>10250</v>
      </c>
      <c r="G199" s="1">
        <v>97553400</v>
      </c>
      <c r="H199" s="8">
        <f t="shared" si="12"/>
        <v>-9.6618357487922701E-3</v>
      </c>
      <c r="I199" s="8">
        <f t="shared" si="13"/>
        <v>8.7533156498673742E-2</v>
      </c>
      <c r="J199" s="22">
        <f t="shared" si="10"/>
        <v>10526.25</v>
      </c>
      <c r="K199" s="22">
        <f t="shared" si="11"/>
        <v>10488.5</v>
      </c>
    </row>
    <row r="200" spans="1:11" x14ac:dyDescent="0.2">
      <c r="A200" s="2">
        <f ca="1">IFERROR(__xludf.DUMMYFUNCTION("""COMPUTED_VALUE"""),45597.6666666666)</f>
        <v>45597.666666666599</v>
      </c>
      <c r="B200" s="2"/>
      <c r="C200" s="1">
        <v>10275</v>
      </c>
      <c r="D200" s="1">
        <v>10425</v>
      </c>
      <c r="E200" s="1">
        <v>10275</v>
      </c>
      <c r="F200" s="1">
        <v>10425</v>
      </c>
      <c r="G200" s="1">
        <v>47710000</v>
      </c>
      <c r="H200" s="8">
        <f t="shared" si="12"/>
        <v>1.7073170731707318E-2</v>
      </c>
      <c r="I200" s="8">
        <f t="shared" si="13"/>
        <v>0.10610079575596817</v>
      </c>
      <c r="J200" s="22">
        <f t="shared" si="10"/>
        <v>10523.75</v>
      </c>
      <c r="K200" s="22">
        <f t="shared" si="11"/>
        <v>10490.5</v>
      </c>
    </row>
    <row r="201" spans="1:11" x14ac:dyDescent="0.2">
      <c r="A201" s="2">
        <f ca="1">IFERROR(__xludf.DUMMYFUNCTION("""COMPUTED_VALUE"""),45600.6666666666)</f>
        <v>45600.666666666599</v>
      </c>
      <c r="B201" s="2"/>
      <c r="C201" s="1">
        <v>10425</v>
      </c>
      <c r="D201" s="1">
        <v>10500</v>
      </c>
      <c r="E201" s="1">
        <v>10300</v>
      </c>
      <c r="F201" s="1">
        <v>10375</v>
      </c>
      <c r="G201" s="1">
        <v>49275700</v>
      </c>
      <c r="H201" s="8">
        <f t="shared" si="12"/>
        <v>-4.7961630695443642E-3</v>
      </c>
      <c r="I201" s="8">
        <f t="shared" si="13"/>
        <v>0.10079575596816977</v>
      </c>
      <c r="J201" s="22">
        <f t="shared" si="10"/>
        <v>10527.5</v>
      </c>
      <c r="K201" s="22">
        <f t="shared" si="11"/>
        <v>10491.5</v>
      </c>
    </row>
    <row r="202" spans="1:11" x14ac:dyDescent="0.2">
      <c r="A202" s="2">
        <f ca="1">IFERROR(__xludf.DUMMYFUNCTION("""COMPUTED_VALUE"""),45601.6666666666)</f>
        <v>45601.666666666599</v>
      </c>
      <c r="B202" s="2"/>
      <c r="C202" s="1">
        <v>10300</v>
      </c>
      <c r="D202" s="1">
        <v>10575</v>
      </c>
      <c r="E202" s="1">
        <v>10300</v>
      </c>
      <c r="F202" s="1">
        <v>10500</v>
      </c>
      <c r="G202" s="1">
        <v>50296500</v>
      </c>
      <c r="H202" s="8">
        <f t="shared" si="12"/>
        <v>1.2048192771084338E-2</v>
      </c>
      <c r="I202" s="8">
        <f t="shared" si="13"/>
        <v>0.11405835543766578</v>
      </c>
      <c r="J202" s="22">
        <f t="shared" si="10"/>
        <v>10532.5</v>
      </c>
      <c r="K202" s="22">
        <f t="shared" si="11"/>
        <v>10495</v>
      </c>
    </row>
    <row r="203" spans="1:11" x14ac:dyDescent="0.2">
      <c r="A203" s="2">
        <f ca="1">IFERROR(__xludf.DUMMYFUNCTION("""COMPUTED_VALUE"""),45602.6666666666)</f>
        <v>45602.666666666599</v>
      </c>
      <c r="B203" s="2"/>
      <c r="C203" s="1">
        <v>10475</v>
      </c>
      <c r="D203" s="1">
        <v>10500</v>
      </c>
      <c r="E203" s="1">
        <v>10375</v>
      </c>
      <c r="F203" s="1">
        <v>10450</v>
      </c>
      <c r="G203" s="1">
        <v>50324900</v>
      </c>
      <c r="H203" s="8">
        <f t="shared" si="12"/>
        <v>-4.7619047619047623E-3</v>
      </c>
      <c r="I203" s="8">
        <f t="shared" si="13"/>
        <v>0.10875331564986737</v>
      </c>
      <c r="J203" s="22">
        <f t="shared" si="10"/>
        <v>10533.75</v>
      </c>
      <c r="K203" s="22">
        <f t="shared" si="11"/>
        <v>10500</v>
      </c>
    </row>
    <row r="204" spans="1:11" x14ac:dyDescent="0.2">
      <c r="A204" s="2">
        <f ca="1">IFERROR(__xludf.DUMMYFUNCTION("""COMPUTED_VALUE"""),45603.6666666666)</f>
        <v>45603.666666666599</v>
      </c>
      <c r="B204" s="2"/>
      <c r="C204" s="1">
        <v>10325</v>
      </c>
      <c r="D204" s="1">
        <v>10450</v>
      </c>
      <c r="E204" s="1">
        <v>10175</v>
      </c>
      <c r="F204" s="1">
        <v>10175</v>
      </c>
      <c r="G204" s="1">
        <v>131579100</v>
      </c>
      <c r="H204" s="8">
        <f t="shared" si="12"/>
        <v>-2.6315789473684209E-2</v>
      </c>
      <c r="I204" s="8">
        <f t="shared" si="13"/>
        <v>7.9575596816976124E-2</v>
      </c>
      <c r="J204" s="22">
        <f t="shared" si="10"/>
        <v>10517.5</v>
      </c>
      <c r="K204" s="22">
        <f t="shared" si="11"/>
        <v>10496.5</v>
      </c>
    </row>
    <row r="205" spans="1:11" x14ac:dyDescent="0.2">
      <c r="A205" s="2">
        <f ca="1">IFERROR(__xludf.DUMMYFUNCTION("""COMPUTED_VALUE"""),45604.6666666666)</f>
        <v>45604.666666666599</v>
      </c>
      <c r="B205" s="2"/>
      <c r="C205" s="1">
        <v>10200</v>
      </c>
      <c r="D205" s="1">
        <v>10225</v>
      </c>
      <c r="E205" s="1">
        <v>10050</v>
      </c>
      <c r="F205" s="1">
        <v>10075</v>
      </c>
      <c r="G205" s="1">
        <v>92166100</v>
      </c>
      <c r="H205" s="8">
        <f t="shared" si="12"/>
        <v>-9.8280098280098278E-3</v>
      </c>
      <c r="I205" s="8">
        <f t="shared" si="13"/>
        <v>6.8965517241379309E-2</v>
      </c>
      <c r="J205" s="22">
        <f t="shared" si="10"/>
        <v>10502.5</v>
      </c>
      <c r="K205" s="22">
        <f t="shared" si="11"/>
        <v>10493.5</v>
      </c>
    </row>
    <row r="206" spans="1:11" x14ac:dyDescent="0.2">
      <c r="A206" s="2">
        <f ca="1">IFERROR(__xludf.DUMMYFUNCTION("""COMPUTED_VALUE"""),45607.6666666666)</f>
        <v>45607.666666666599</v>
      </c>
      <c r="B206" s="2"/>
      <c r="C206" s="1">
        <v>9800</v>
      </c>
      <c r="D206" s="1">
        <v>10050</v>
      </c>
      <c r="E206" s="1">
        <v>9800</v>
      </c>
      <c r="F206" s="1">
        <v>10050</v>
      </c>
      <c r="G206" s="1">
        <v>128707600</v>
      </c>
      <c r="H206" s="8">
        <f t="shared" si="12"/>
        <v>-2.4813895781637717E-3</v>
      </c>
      <c r="I206" s="8">
        <f t="shared" si="13"/>
        <v>6.6312997347480113E-2</v>
      </c>
      <c r="J206" s="22">
        <f t="shared" si="10"/>
        <v>10480</v>
      </c>
      <c r="K206" s="22">
        <f t="shared" si="11"/>
        <v>10488</v>
      </c>
    </row>
    <row r="207" spans="1:11" x14ac:dyDescent="0.2">
      <c r="A207" s="2">
        <f ca="1">IFERROR(__xludf.DUMMYFUNCTION("""COMPUTED_VALUE"""),45608.6666666666)</f>
        <v>45608.666666666599</v>
      </c>
      <c r="B207" s="2"/>
      <c r="C207" s="1">
        <v>10100</v>
      </c>
      <c r="D207" s="1">
        <v>10225</v>
      </c>
      <c r="E207" s="1">
        <v>10000</v>
      </c>
      <c r="F207" s="1">
        <v>10150</v>
      </c>
      <c r="G207" s="1">
        <v>80378500</v>
      </c>
      <c r="H207" s="8">
        <f t="shared" si="12"/>
        <v>9.9502487562189053E-3</v>
      </c>
      <c r="I207" s="8">
        <f t="shared" si="13"/>
        <v>7.6923076923076927E-2</v>
      </c>
      <c r="J207" s="22">
        <f t="shared" si="10"/>
        <v>10456.25</v>
      </c>
      <c r="K207" s="22">
        <f t="shared" si="11"/>
        <v>10485.5</v>
      </c>
    </row>
    <row r="208" spans="1:11" x14ac:dyDescent="0.2">
      <c r="A208" s="2">
        <f ca="1">IFERROR(__xludf.DUMMYFUNCTION("""COMPUTED_VALUE"""),45609.6666666666)</f>
        <v>45609.666666666599</v>
      </c>
      <c r="B208" s="2"/>
      <c r="C208" s="1">
        <v>10225</v>
      </c>
      <c r="D208" s="1">
        <v>10250</v>
      </c>
      <c r="E208" s="1">
        <v>10150</v>
      </c>
      <c r="F208" s="1">
        <v>10150</v>
      </c>
      <c r="G208" s="1">
        <v>62933100</v>
      </c>
      <c r="H208" s="8">
        <f t="shared" si="12"/>
        <v>0</v>
      </c>
      <c r="I208" s="8">
        <f t="shared" si="13"/>
        <v>7.6923076923076927E-2</v>
      </c>
      <c r="J208" s="22">
        <f t="shared" si="10"/>
        <v>10440</v>
      </c>
      <c r="K208" s="22">
        <f t="shared" si="11"/>
        <v>10485</v>
      </c>
    </row>
    <row r="209" spans="1:11" x14ac:dyDescent="0.2">
      <c r="A209" s="2">
        <f ca="1">IFERROR(__xludf.DUMMYFUNCTION("""COMPUTED_VALUE"""),45610.6666666666)</f>
        <v>45610.666666666599</v>
      </c>
      <c r="B209" s="2"/>
      <c r="C209" s="1">
        <v>10125</v>
      </c>
      <c r="D209" s="1">
        <v>10175</v>
      </c>
      <c r="E209" s="1">
        <v>10050</v>
      </c>
      <c r="F209" s="1">
        <v>10100</v>
      </c>
      <c r="G209" s="1">
        <v>56381400</v>
      </c>
      <c r="H209" s="8">
        <f t="shared" si="12"/>
        <v>-4.9261083743842365E-3</v>
      </c>
      <c r="I209" s="8">
        <f t="shared" si="13"/>
        <v>7.161803713527852E-2</v>
      </c>
      <c r="J209" s="22">
        <f t="shared" si="10"/>
        <v>10408.75</v>
      </c>
      <c r="K209" s="22">
        <f t="shared" si="11"/>
        <v>10481</v>
      </c>
    </row>
    <row r="210" spans="1:11" x14ac:dyDescent="0.2">
      <c r="A210" s="2">
        <f ca="1">IFERROR(__xludf.DUMMYFUNCTION("""COMPUTED_VALUE"""),45611.6666666666)</f>
        <v>45611.666666666599</v>
      </c>
      <c r="B210" s="2"/>
      <c r="C210" s="1">
        <v>10050</v>
      </c>
      <c r="D210" s="1">
        <v>10275</v>
      </c>
      <c r="E210" s="1">
        <v>10050</v>
      </c>
      <c r="F210" s="1">
        <v>10175</v>
      </c>
      <c r="G210" s="1">
        <v>63598200</v>
      </c>
      <c r="H210" s="8">
        <f t="shared" si="12"/>
        <v>7.4257425742574254E-3</v>
      </c>
      <c r="I210" s="8">
        <f t="shared" si="13"/>
        <v>7.9575596816976124E-2</v>
      </c>
      <c r="J210" s="22">
        <f t="shared" si="10"/>
        <v>10380</v>
      </c>
      <c r="K210" s="22">
        <f t="shared" si="11"/>
        <v>10479.5</v>
      </c>
    </row>
    <row r="211" spans="1:11" x14ac:dyDescent="0.2">
      <c r="A211" s="2">
        <f ca="1">IFERROR(__xludf.DUMMYFUNCTION("""COMPUTED_VALUE"""),45614.6666666666)</f>
        <v>45614.666666666599</v>
      </c>
      <c r="B211" s="2"/>
      <c r="C211" s="1">
        <v>10075</v>
      </c>
      <c r="D211" s="1">
        <v>10125</v>
      </c>
      <c r="E211" s="1">
        <v>10000</v>
      </c>
      <c r="F211" s="1">
        <v>10000</v>
      </c>
      <c r="G211" s="1">
        <v>65716200</v>
      </c>
      <c r="H211" s="8">
        <f t="shared" si="12"/>
        <v>-1.7199017199017199E-2</v>
      </c>
      <c r="I211" s="8">
        <f t="shared" si="13"/>
        <v>6.1007957559681698E-2</v>
      </c>
      <c r="J211" s="22">
        <f t="shared" si="10"/>
        <v>10346.25</v>
      </c>
      <c r="K211" s="22">
        <f t="shared" si="11"/>
        <v>10473.5</v>
      </c>
    </row>
    <row r="212" spans="1:11" x14ac:dyDescent="0.2">
      <c r="A212" s="2">
        <f ca="1">IFERROR(__xludf.DUMMYFUNCTION("""COMPUTED_VALUE"""),45615.6666666666)</f>
        <v>45615.666666666599</v>
      </c>
      <c r="B212" s="2"/>
      <c r="C212" s="1">
        <v>9900</v>
      </c>
      <c r="D212" s="1">
        <v>10025</v>
      </c>
      <c r="E212" s="1">
        <v>9900</v>
      </c>
      <c r="F212" s="1">
        <v>9925</v>
      </c>
      <c r="G212" s="1">
        <v>85295300</v>
      </c>
      <c r="H212" s="8">
        <f t="shared" si="12"/>
        <v>-7.4999999999999997E-3</v>
      </c>
      <c r="I212" s="8">
        <f t="shared" si="13"/>
        <v>5.3050397877984087E-2</v>
      </c>
      <c r="J212" s="22">
        <f t="shared" si="10"/>
        <v>10317.5</v>
      </c>
      <c r="K212" s="22">
        <f t="shared" si="11"/>
        <v>10466.5</v>
      </c>
    </row>
    <row r="213" spans="1:11" x14ac:dyDescent="0.2">
      <c r="A213" s="2">
        <f ca="1">IFERROR(__xludf.DUMMYFUNCTION("""COMPUTED_VALUE"""),45616.6666666666)</f>
        <v>45616.666666666599</v>
      </c>
      <c r="B213" s="2"/>
      <c r="C213" s="1">
        <v>10025</v>
      </c>
      <c r="D213" s="1">
        <v>10150</v>
      </c>
      <c r="E213" s="1">
        <v>10000</v>
      </c>
      <c r="F213" s="1">
        <v>10075</v>
      </c>
      <c r="G213" s="1">
        <v>58584400</v>
      </c>
      <c r="H213" s="8">
        <f t="shared" si="12"/>
        <v>1.5113350125944584E-2</v>
      </c>
      <c r="I213" s="8">
        <f t="shared" si="13"/>
        <v>6.8965517241379309E-2</v>
      </c>
      <c r="J213" s="22">
        <f t="shared" si="10"/>
        <v>10288.75</v>
      </c>
      <c r="K213" s="22">
        <f t="shared" si="11"/>
        <v>10461</v>
      </c>
    </row>
    <row r="214" spans="1:11" x14ac:dyDescent="0.2">
      <c r="A214" s="2">
        <f ca="1">IFERROR(__xludf.DUMMYFUNCTION("""COMPUTED_VALUE"""),45617.6666666666)</f>
        <v>45617.666666666599</v>
      </c>
      <c r="B214" s="2"/>
      <c r="C214" s="1">
        <v>10000</v>
      </c>
      <c r="D214" s="1">
        <v>10000</v>
      </c>
      <c r="E214" s="1">
        <v>9850</v>
      </c>
      <c r="F214" s="1">
        <v>9850</v>
      </c>
      <c r="G214" s="1">
        <v>93181200</v>
      </c>
      <c r="H214" s="8">
        <f t="shared" si="12"/>
        <v>-2.2332506203473945E-2</v>
      </c>
      <c r="I214" s="8">
        <f t="shared" si="13"/>
        <v>4.5092838196286469E-2</v>
      </c>
      <c r="J214" s="22">
        <f t="shared" ref="J214:J277" si="14">AVERAGE(F195:F214)</f>
        <v>10246.25</v>
      </c>
      <c r="K214" s="22">
        <f t="shared" si="11"/>
        <v>10449.5</v>
      </c>
    </row>
    <row r="215" spans="1:11" x14ac:dyDescent="0.2">
      <c r="A215" s="2">
        <f ca="1">IFERROR(__xludf.DUMMYFUNCTION("""COMPUTED_VALUE"""),45618.6666666666)</f>
        <v>45618.666666666599</v>
      </c>
      <c r="B215" s="2"/>
      <c r="C215" s="1">
        <v>9925</v>
      </c>
      <c r="D215" s="1">
        <v>9950</v>
      </c>
      <c r="E215" s="1">
        <v>9850</v>
      </c>
      <c r="F215" s="1">
        <v>9850</v>
      </c>
      <c r="G215" s="1">
        <v>58396100</v>
      </c>
      <c r="H215" s="8">
        <f t="shared" si="12"/>
        <v>0</v>
      </c>
      <c r="I215" s="8">
        <f t="shared" si="13"/>
        <v>4.5092838196286469E-2</v>
      </c>
      <c r="J215" s="22">
        <f t="shared" si="14"/>
        <v>10201.25</v>
      </c>
      <c r="K215" s="22">
        <f t="shared" si="11"/>
        <v>10437</v>
      </c>
    </row>
    <row r="216" spans="1:11" x14ac:dyDescent="0.2">
      <c r="A216" s="2">
        <f ca="1">IFERROR(__xludf.DUMMYFUNCTION("""COMPUTED_VALUE"""),45621.6666666666)</f>
        <v>45621.666666666599</v>
      </c>
      <c r="B216" s="2"/>
      <c r="C216" s="1">
        <v>9950</v>
      </c>
      <c r="D216" s="1">
        <v>10200</v>
      </c>
      <c r="E216" s="1">
        <v>9900</v>
      </c>
      <c r="F216" s="1">
        <v>10175</v>
      </c>
      <c r="G216" s="1">
        <v>165369400</v>
      </c>
      <c r="H216" s="8">
        <f t="shared" si="12"/>
        <v>3.2994923857868022E-2</v>
      </c>
      <c r="I216" s="8">
        <f t="shared" si="13"/>
        <v>7.9575596816976124E-2</v>
      </c>
      <c r="J216" s="22">
        <f t="shared" si="14"/>
        <v>10180</v>
      </c>
      <c r="K216" s="22">
        <f t="shared" si="11"/>
        <v>10432</v>
      </c>
    </row>
    <row r="217" spans="1:11" x14ac:dyDescent="0.2">
      <c r="A217" s="2">
        <f ca="1">IFERROR(__xludf.DUMMYFUNCTION("""COMPUTED_VALUE"""),45622.6666666666)</f>
        <v>45622.666666666599</v>
      </c>
      <c r="B217" s="2"/>
      <c r="C217" s="1">
        <v>10250</v>
      </c>
      <c r="D217" s="1">
        <v>10250</v>
      </c>
      <c r="E217" s="1">
        <v>10000</v>
      </c>
      <c r="F217" s="1">
        <v>10000</v>
      </c>
      <c r="G217" s="1">
        <v>62310100</v>
      </c>
      <c r="H217" s="8">
        <f t="shared" si="12"/>
        <v>-1.7199017199017199E-2</v>
      </c>
      <c r="I217" s="8">
        <f t="shared" si="13"/>
        <v>6.1007957559681698E-2</v>
      </c>
      <c r="J217" s="22">
        <f t="shared" si="14"/>
        <v>10155</v>
      </c>
      <c r="K217" s="22">
        <f t="shared" si="11"/>
        <v>10422</v>
      </c>
    </row>
    <row r="218" spans="1:11" x14ac:dyDescent="0.2">
      <c r="A218" s="2">
        <f ca="1">IFERROR(__xludf.DUMMYFUNCTION("""COMPUTED_VALUE"""),45624.6666666666)</f>
        <v>45624.666666666599</v>
      </c>
      <c r="B218" s="2"/>
      <c r="C218" s="1">
        <v>9975</v>
      </c>
      <c r="D218" s="1">
        <v>10075</v>
      </c>
      <c r="E218" s="1">
        <v>9925</v>
      </c>
      <c r="F218" s="1">
        <v>10000</v>
      </c>
      <c r="G218" s="1">
        <v>57443500</v>
      </c>
      <c r="H218" s="8">
        <f t="shared" si="12"/>
        <v>0</v>
      </c>
      <c r="I218" s="8">
        <f t="shared" si="13"/>
        <v>6.1007957559681698E-2</v>
      </c>
      <c r="J218" s="22">
        <f t="shared" si="14"/>
        <v>10137.5</v>
      </c>
      <c r="K218" s="22">
        <f t="shared" si="11"/>
        <v>10409.5</v>
      </c>
    </row>
    <row r="219" spans="1:11" x14ac:dyDescent="0.2">
      <c r="A219" s="2">
        <f ca="1">IFERROR(__xludf.DUMMYFUNCTION("""COMPUTED_VALUE"""),45625.6666666666)</f>
        <v>45625.666666666599</v>
      </c>
      <c r="B219" s="2"/>
      <c r="C219" s="1">
        <v>10000</v>
      </c>
      <c r="D219" s="1">
        <v>10100</v>
      </c>
      <c r="E219" s="1">
        <v>9950</v>
      </c>
      <c r="F219" s="1">
        <v>10000</v>
      </c>
      <c r="G219" s="1">
        <v>76886000</v>
      </c>
      <c r="H219" s="8">
        <f t="shared" si="12"/>
        <v>0</v>
      </c>
      <c r="I219" s="8">
        <f t="shared" si="13"/>
        <v>6.1007957559681698E-2</v>
      </c>
      <c r="J219" s="22">
        <f t="shared" si="14"/>
        <v>10125</v>
      </c>
      <c r="K219" s="22">
        <f t="shared" si="11"/>
        <v>10391.5</v>
      </c>
    </row>
    <row r="220" spans="1:11" x14ac:dyDescent="0.2">
      <c r="A220" s="2">
        <f ca="1">IFERROR(__xludf.DUMMYFUNCTION("""COMPUTED_VALUE"""),45628.6666666666)</f>
        <v>45628.666666666599</v>
      </c>
      <c r="B220" s="2"/>
      <c r="C220" s="1">
        <v>10000</v>
      </c>
      <c r="D220" s="1">
        <v>10050</v>
      </c>
      <c r="E220" s="1">
        <v>9750</v>
      </c>
      <c r="F220" s="1">
        <v>9750</v>
      </c>
      <c r="G220" s="1">
        <v>87879600</v>
      </c>
      <c r="H220" s="8">
        <f t="shared" si="12"/>
        <v>-2.5000000000000001E-2</v>
      </c>
      <c r="I220" s="8">
        <f t="shared" si="13"/>
        <v>3.4482758620689655E-2</v>
      </c>
      <c r="J220" s="22">
        <f t="shared" si="14"/>
        <v>10091.25</v>
      </c>
      <c r="K220" s="22">
        <f t="shared" si="11"/>
        <v>10371</v>
      </c>
    </row>
    <row r="221" spans="1:11" x14ac:dyDescent="0.2">
      <c r="A221" s="2">
        <f ca="1">IFERROR(__xludf.DUMMYFUNCTION("""COMPUTED_VALUE"""),45629.6666666666)</f>
        <v>45629.666666666599</v>
      </c>
      <c r="B221" s="2"/>
      <c r="C221" s="1">
        <v>10025</v>
      </c>
      <c r="D221" s="1">
        <v>10225</v>
      </c>
      <c r="E221" s="1">
        <v>9900</v>
      </c>
      <c r="F221" s="1">
        <v>10200</v>
      </c>
      <c r="G221" s="1">
        <v>126087100</v>
      </c>
      <c r="H221" s="8">
        <f t="shared" si="12"/>
        <v>4.6153846153846156E-2</v>
      </c>
      <c r="I221" s="8">
        <f t="shared" si="13"/>
        <v>8.2228116710875335E-2</v>
      </c>
      <c r="J221" s="22">
        <f t="shared" si="14"/>
        <v>10082.5</v>
      </c>
      <c r="K221" s="22">
        <f t="shared" si="11"/>
        <v>10356</v>
      </c>
    </row>
    <row r="222" spans="1:11" x14ac:dyDescent="0.2">
      <c r="A222" s="2">
        <f ca="1">IFERROR(__xludf.DUMMYFUNCTION("""COMPUTED_VALUE"""),45630.6666666666)</f>
        <v>45630.666666666599</v>
      </c>
      <c r="B222" s="2"/>
      <c r="C222" s="1">
        <v>10175</v>
      </c>
      <c r="D222" s="1">
        <v>10250</v>
      </c>
      <c r="E222" s="1">
        <v>10050</v>
      </c>
      <c r="F222" s="1">
        <v>10200</v>
      </c>
      <c r="G222" s="1">
        <v>97876300</v>
      </c>
      <c r="H222" s="8">
        <f t="shared" si="12"/>
        <v>0</v>
      </c>
      <c r="I222" s="8">
        <f t="shared" si="13"/>
        <v>8.2228116710875335E-2</v>
      </c>
      <c r="J222" s="22">
        <f t="shared" si="14"/>
        <v>10067.5</v>
      </c>
      <c r="K222" s="22">
        <f t="shared" si="11"/>
        <v>10344</v>
      </c>
    </row>
    <row r="223" spans="1:11" x14ac:dyDescent="0.2">
      <c r="A223" s="2">
        <f ca="1">IFERROR(__xludf.DUMMYFUNCTION("""COMPUTED_VALUE"""),45631.6666666666)</f>
        <v>45631.666666666599</v>
      </c>
      <c r="B223" s="2"/>
      <c r="C223" s="1">
        <v>10250</v>
      </c>
      <c r="D223" s="1">
        <v>10350</v>
      </c>
      <c r="E223" s="1">
        <v>10225</v>
      </c>
      <c r="F223" s="1">
        <v>10250</v>
      </c>
      <c r="G223" s="1">
        <v>96904400</v>
      </c>
      <c r="H223" s="8">
        <f t="shared" si="12"/>
        <v>4.9019607843137254E-3</v>
      </c>
      <c r="I223" s="8">
        <f t="shared" si="13"/>
        <v>8.7533156498673742E-2</v>
      </c>
      <c r="J223" s="22">
        <f t="shared" si="14"/>
        <v>10057.5</v>
      </c>
      <c r="K223" s="22">
        <f t="shared" si="11"/>
        <v>10332</v>
      </c>
    </row>
    <row r="224" spans="1:11" x14ac:dyDescent="0.2">
      <c r="A224" s="2">
        <f ca="1">IFERROR(__xludf.DUMMYFUNCTION("""COMPUTED_VALUE"""),45632.6666666666)</f>
        <v>45632.666666666599</v>
      </c>
      <c r="B224" s="2"/>
      <c r="C224" s="1">
        <v>10100</v>
      </c>
      <c r="D224" s="1">
        <v>10175</v>
      </c>
      <c r="E224" s="1">
        <v>10050</v>
      </c>
      <c r="F224" s="1">
        <v>10075</v>
      </c>
      <c r="G224" s="1">
        <v>68247200</v>
      </c>
      <c r="H224" s="8">
        <f t="shared" si="12"/>
        <v>-1.7073170731707318E-2</v>
      </c>
      <c r="I224" s="8">
        <f t="shared" si="13"/>
        <v>6.8965517241379309E-2</v>
      </c>
      <c r="J224" s="22">
        <f t="shared" si="14"/>
        <v>10052.5</v>
      </c>
      <c r="K224" s="22">
        <f t="shared" si="11"/>
        <v>10319.5</v>
      </c>
    </row>
    <row r="225" spans="1:11" x14ac:dyDescent="0.2">
      <c r="A225" s="2">
        <f ca="1">IFERROR(__xludf.DUMMYFUNCTION("""COMPUTED_VALUE"""),45635.6666666666)</f>
        <v>45635.666666666599</v>
      </c>
      <c r="B225" s="2"/>
      <c r="C225" s="1">
        <v>10025</v>
      </c>
      <c r="D225" s="1">
        <v>10350</v>
      </c>
      <c r="E225" s="1">
        <v>10000</v>
      </c>
      <c r="F225" s="1">
        <v>10350</v>
      </c>
      <c r="G225" s="1">
        <v>64458400</v>
      </c>
      <c r="H225" s="8">
        <f t="shared" si="12"/>
        <v>2.729528535980149E-2</v>
      </c>
      <c r="I225" s="8">
        <f t="shared" si="13"/>
        <v>9.8143236074270557E-2</v>
      </c>
      <c r="J225" s="22">
        <f t="shared" si="14"/>
        <v>10066.25</v>
      </c>
      <c r="K225" s="22">
        <f t="shared" si="11"/>
        <v>10313.5</v>
      </c>
    </row>
    <row r="226" spans="1:11" x14ac:dyDescent="0.2">
      <c r="A226" s="2">
        <f ca="1">IFERROR(__xludf.DUMMYFUNCTION("""COMPUTED_VALUE"""),45636.6666666666)</f>
        <v>45636.666666666599</v>
      </c>
      <c r="B226" s="2"/>
      <c r="C226" s="1">
        <v>10325</v>
      </c>
      <c r="D226" s="1">
        <v>10350</v>
      </c>
      <c r="E226" s="1">
        <v>10275</v>
      </c>
      <c r="F226" s="1">
        <v>10350</v>
      </c>
      <c r="G226" s="1">
        <v>61230400</v>
      </c>
      <c r="H226" s="8">
        <f t="shared" si="12"/>
        <v>0</v>
      </c>
      <c r="I226" s="8">
        <f t="shared" si="13"/>
        <v>9.8143236074270557E-2</v>
      </c>
      <c r="J226" s="22">
        <f t="shared" si="14"/>
        <v>10081.25</v>
      </c>
      <c r="K226" s="22">
        <f t="shared" si="11"/>
        <v>10314</v>
      </c>
    </row>
    <row r="227" spans="1:11" x14ac:dyDescent="0.2">
      <c r="A227" s="2">
        <f ca="1">IFERROR(__xludf.DUMMYFUNCTION("""COMPUTED_VALUE"""),45637.6666666666)</f>
        <v>45637.666666666599</v>
      </c>
      <c r="B227" s="2"/>
      <c r="C227" s="1">
        <v>10225</v>
      </c>
      <c r="D227" s="1">
        <v>10425</v>
      </c>
      <c r="E227" s="1">
        <v>10225</v>
      </c>
      <c r="F227" s="1">
        <v>10425</v>
      </c>
      <c r="G227" s="1">
        <v>37934300</v>
      </c>
      <c r="H227" s="8">
        <f t="shared" si="12"/>
        <v>7.246376811594203E-3</v>
      </c>
      <c r="I227" s="8">
        <f t="shared" si="13"/>
        <v>0.10610079575596817</v>
      </c>
      <c r="J227" s="22">
        <f t="shared" si="14"/>
        <v>10095</v>
      </c>
      <c r="K227" s="22">
        <f t="shared" si="11"/>
        <v>10311.5</v>
      </c>
    </row>
    <row r="228" spans="1:11" x14ac:dyDescent="0.2">
      <c r="A228" s="2">
        <f ca="1">IFERROR(__xludf.DUMMYFUNCTION("""COMPUTED_VALUE"""),45638.6666666666)</f>
        <v>45638.666666666599</v>
      </c>
      <c r="B228" s="2"/>
      <c r="C228" s="1">
        <v>10300</v>
      </c>
      <c r="D228" s="1">
        <v>10375</v>
      </c>
      <c r="E228" s="1">
        <v>10175</v>
      </c>
      <c r="F228" s="1">
        <v>10175</v>
      </c>
      <c r="G228" s="1">
        <v>44780100</v>
      </c>
      <c r="H228" s="8">
        <f t="shared" si="12"/>
        <v>-2.3980815347721823E-2</v>
      </c>
      <c r="I228" s="8">
        <f t="shared" si="13"/>
        <v>7.9575596816976124E-2</v>
      </c>
      <c r="J228" s="22">
        <f t="shared" si="14"/>
        <v>10096.25</v>
      </c>
      <c r="K228" s="22">
        <f t="shared" si="11"/>
        <v>10305</v>
      </c>
    </row>
    <row r="229" spans="1:11" x14ac:dyDescent="0.2">
      <c r="A229" s="2">
        <f ca="1">IFERROR(__xludf.DUMMYFUNCTION("""COMPUTED_VALUE"""),45639.6666666666)</f>
        <v>45639.666666666599</v>
      </c>
      <c r="B229" s="2"/>
      <c r="C229" s="1">
        <v>10125</v>
      </c>
      <c r="D229" s="1">
        <v>10225</v>
      </c>
      <c r="E229" s="1">
        <v>10025</v>
      </c>
      <c r="F229" s="1">
        <v>10050</v>
      </c>
      <c r="G229" s="1">
        <v>75126400</v>
      </c>
      <c r="H229" s="8">
        <f t="shared" si="12"/>
        <v>-1.2285012285012284E-2</v>
      </c>
      <c r="I229" s="8">
        <f t="shared" si="13"/>
        <v>6.6312997347480113E-2</v>
      </c>
      <c r="J229" s="22">
        <f t="shared" si="14"/>
        <v>10093.75</v>
      </c>
      <c r="K229" s="22">
        <f t="shared" si="11"/>
        <v>10297</v>
      </c>
    </row>
    <row r="230" spans="1:11" x14ac:dyDescent="0.2">
      <c r="A230" s="2">
        <f ca="1">IFERROR(__xludf.DUMMYFUNCTION("""COMPUTED_VALUE"""),45642.6666666666)</f>
        <v>45642.666666666599</v>
      </c>
      <c r="B230" s="2"/>
      <c r="C230" s="1">
        <v>10000</v>
      </c>
      <c r="D230" s="1">
        <v>10125</v>
      </c>
      <c r="E230" s="1">
        <v>10000</v>
      </c>
      <c r="F230" s="1">
        <v>10100</v>
      </c>
      <c r="G230" s="1">
        <v>57746100</v>
      </c>
      <c r="H230" s="8">
        <f t="shared" si="12"/>
        <v>4.9751243781094526E-3</v>
      </c>
      <c r="I230" s="8">
        <f t="shared" si="13"/>
        <v>7.161803713527852E-2</v>
      </c>
      <c r="J230" s="22">
        <f t="shared" si="14"/>
        <v>10090</v>
      </c>
      <c r="K230" s="22">
        <f t="shared" si="11"/>
        <v>10289.5</v>
      </c>
    </row>
    <row r="231" spans="1:11" x14ac:dyDescent="0.2">
      <c r="A231" s="2">
        <f ca="1">IFERROR(__xludf.DUMMYFUNCTION("""COMPUTED_VALUE"""),45643.6666666666)</f>
        <v>45643.666666666599</v>
      </c>
      <c r="B231" s="2"/>
      <c r="C231" s="1">
        <v>9950</v>
      </c>
      <c r="D231" s="1">
        <v>10050</v>
      </c>
      <c r="E231" s="1">
        <v>9900</v>
      </c>
      <c r="F231" s="1">
        <v>9900</v>
      </c>
      <c r="G231" s="1">
        <v>99845900</v>
      </c>
      <c r="H231" s="8">
        <f t="shared" si="12"/>
        <v>-1.9801980198019802E-2</v>
      </c>
      <c r="I231" s="8">
        <f t="shared" si="13"/>
        <v>5.0397877984084884E-2</v>
      </c>
      <c r="J231" s="22">
        <f t="shared" si="14"/>
        <v>10085</v>
      </c>
      <c r="K231" s="22">
        <f t="shared" si="11"/>
        <v>10281.5</v>
      </c>
    </row>
    <row r="232" spans="1:11" x14ac:dyDescent="0.2">
      <c r="A232" s="2">
        <f ca="1">IFERROR(__xludf.DUMMYFUNCTION("""COMPUTED_VALUE"""),45644.6666666666)</f>
        <v>45644.666666666599</v>
      </c>
      <c r="B232" s="2"/>
      <c r="C232" s="1">
        <v>9900</v>
      </c>
      <c r="D232" s="1">
        <v>10025</v>
      </c>
      <c r="E232" s="1">
        <v>9800</v>
      </c>
      <c r="F232" s="1">
        <v>9800</v>
      </c>
      <c r="G232" s="1">
        <v>84868500</v>
      </c>
      <c r="H232" s="8">
        <f t="shared" si="12"/>
        <v>-1.0101010101010102E-2</v>
      </c>
      <c r="I232" s="8">
        <f t="shared" si="13"/>
        <v>3.9787798408488062E-2</v>
      </c>
      <c r="J232" s="22">
        <f t="shared" si="14"/>
        <v>10078.75</v>
      </c>
      <c r="K232" s="22">
        <f t="shared" si="11"/>
        <v>10269.5</v>
      </c>
    </row>
    <row r="233" spans="1:11" x14ac:dyDescent="0.2">
      <c r="A233" s="2">
        <f ca="1">IFERROR(__xludf.DUMMYFUNCTION("""COMPUTED_VALUE"""),45645.6666666666)</f>
        <v>45645.666666666599</v>
      </c>
      <c r="B233" s="2"/>
      <c r="C233" s="1">
        <v>9700</v>
      </c>
      <c r="D233" s="1">
        <v>9775</v>
      </c>
      <c r="E233" s="1">
        <v>9550</v>
      </c>
      <c r="F233" s="1">
        <v>9675</v>
      </c>
      <c r="G233" s="1">
        <v>104254100</v>
      </c>
      <c r="H233" s="8">
        <f t="shared" si="12"/>
        <v>-1.2755102040816327E-2</v>
      </c>
      <c r="I233" s="8">
        <f t="shared" si="13"/>
        <v>2.6525198938992044E-2</v>
      </c>
      <c r="J233" s="22">
        <f t="shared" si="14"/>
        <v>10058.75</v>
      </c>
      <c r="K233" s="22">
        <f t="shared" si="11"/>
        <v>10254.5</v>
      </c>
    </row>
    <row r="234" spans="1:11" x14ac:dyDescent="0.2">
      <c r="A234" s="2">
        <f ca="1">IFERROR(__xludf.DUMMYFUNCTION("""COMPUTED_VALUE"""),45646.6666666666)</f>
        <v>45646.666666666599</v>
      </c>
      <c r="B234" s="2"/>
      <c r="C234" s="1">
        <v>9650</v>
      </c>
      <c r="D234" s="1">
        <v>9750</v>
      </c>
      <c r="E234" s="1">
        <v>9625</v>
      </c>
      <c r="F234" s="1">
        <v>9650</v>
      </c>
      <c r="G234" s="1">
        <v>91576900</v>
      </c>
      <c r="H234" s="8">
        <f t="shared" si="12"/>
        <v>-2.5839793281653748E-3</v>
      </c>
      <c r="I234" s="8">
        <f t="shared" si="13"/>
        <v>2.3872679045092837E-2</v>
      </c>
      <c r="J234" s="22">
        <f t="shared" si="14"/>
        <v>10048.75</v>
      </c>
      <c r="K234" s="22">
        <f t="shared" si="11"/>
        <v>10237.5</v>
      </c>
    </row>
    <row r="235" spans="1:11" x14ac:dyDescent="0.2">
      <c r="A235" s="2">
        <f ca="1">IFERROR(__xludf.DUMMYFUNCTION("""COMPUTED_VALUE"""),45649.6666666666)</f>
        <v>45649.666666666599</v>
      </c>
      <c r="B235" s="2"/>
      <c r="C235" s="1">
        <v>9700</v>
      </c>
      <c r="D235" s="1">
        <v>9850</v>
      </c>
      <c r="E235" s="1">
        <v>9700</v>
      </c>
      <c r="F235" s="1">
        <v>9775</v>
      </c>
      <c r="G235" s="1">
        <v>43292100</v>
      </c>
      <c r="H235" s="8">
        <f t="shared" si="12"/>
        <v>1.2953367875647668E-2</v>
      </c>
      <c r="I235" s="8">
        <f t="shared" si="13"/>
        <v>3.7135278514588858E-2</v>
      </c>
      <c r="J235" s="22">
        <f t="shared" si="14"/>
        <v>10045</v>
      </c>
      <c r="K235" s="22">
        <f t="shared" si="11"/>
        <v>10225.5</v>
      </c>
    </row>
    <row r="236" spans="1:11" x14ac:dyDescent="0.2">
      <c r="A236" s="2">
        <f ca="1">IFERROR(__xludf.DUMMYFUNCTION("""COMPUTED_VALUE"""),45650.6666666666)</f>
        <v>45650.666666666599</v>
      </c>
      <c r="B236" s="2"/>
      <c r="C236" s="1">
        <v>9850</v>
      </c>
      <c r="D236" s="1">
        <v>9900</v>
      </c>
      <c r="E236" s="1">
        <v>9750</v>
      </c>
      <c r="F236" s="1">
        <v>9750</v>
      </c>
      <c r="G236" s="1">
        <v>32415700</v>
      </c>
      <c r="H236" s="8">
        <f t="shared" si="12"/>
        <v>-2.5575447570332483E-3</v>
      </c>
      <c r="I236" s="8">
        <f t="shared" si="13"/>
        <v>3.4482758620689655E-2</v>
      </c>
      <c r="J236" s="22">
        <f t="shared" si="14"/>
        <v>10023.75</v>
      </c>
      <c r="K236" s="22">
        <f t="shared" si="11"/>
        <v>10210.5</v>
      </c>
    </row>
    <row r="237" spans="1:11" x14ac:dyDescent="0.2">
      <c r="A237" s="2">
        <f ca="1">IFERROR(__xludf.DUMMYFUNCTION("""COMPUTED_VALUE"""),45653.6666666666)</f>
        <v>45653.666666666599</v>
      </c>
      <c r="B237" s="2"/>
      <c r="C237" s="1">
        <v>9800</v>
      </c>
      <c r="D237" s="1">
        <v>9825</v>
      </c>
      <c r="E237" s="1">
        <v>9725</v>
      </c>
      <c r="F237" s="1">
        <v>9800</v>
      </c>
      <c r="G237" s="1">
        <v>24016700</v>
      </c>
      <c r="H237" s="8">
        <f t="shared" si="12"/>
        <v>5.1282051282051282E-3</v>
      </c>
      <c r="I237" s="8">
        <f t="shared" si="13"/>
        <v>3.9787798408488062E-2</v>
      </c>
      <c r="J237" s="22">
        <f t="shared" si="14"/>
        <v>10013.75</v>
      </c>
      <c r="K237" s="22">
        <f t="shared" si="11"/>
        <v>10194</v>
      </c>
    </row>
    <row r="238" spans="1:11" x14ac:dyDescent="0.2">
      <c r="A238" s="2">
        <f ca="1">IFERROR(__xludf.DUMMYFUNCTION("""COMPUTED_VALUE"""),45656.6666666666)</f>
        <v>45656.666666666599</v>
      </c>
      <c r="B238" s="2"/>
      <c r="C238" s="1">
        <v>9800</v>
      </c>
      <c r="D238" s="1">
        <v>9825</v>
      </c>
      <c r="E238" s="1">
        <v>9675</v>
      </c>
      <c r="F238" s="1">
        <v>9675</v>
      </c>
      <c r="G238" s="1">
        <v>56350100</v>
      </c>
      <c r="H238" s="8">
        <f t="shared" si="12"/>
        <v>-1.2755102040816327E-2</v>
      </c>
      <c r="I238" s="8">
        <f t="shared" si="13"/>
        <v>2.6525198938992044E-2</v>
      </c>
      <c r="J238" s="22">
        <f t="shared" si="14"/>
        <v>9997.5</v>
      </c>
      <c r="K238" s="22">
        <f t="shared" si="11"/>
        <v>10178</v>
      </c>
    </row>
    <row r="239" spans="1:11" x14ac:dyDescent="0.2">
      <c r="A239" s="2">
        <f ca="1">IFERROR(__xludf.DUMMYFUNCTION("""COMPUTED_VALUE"""),45659.6666666666)</f>
        <v>45659.666666666599</v>
      </c>
      <c r="B239" s="2"/>
      <c r="C239" s="1">
        <v>9650</v>
      </c>
      <c r="D239" s="1">
        <v>9900</v>
      </c>
      <c r="E239" s="1">
        <v>9650</v>
      </c>
      <c r="F239" s="1">
        <v>9900</v>
      </c>
      <c r="G239" s="1">
        <v>38124800</v>
      </c>
      <c r="H239" s="8">
        <f t="shared" si="12"/>
        <v>2.3255813953488372E-2</v>
      </c>
      <c r="I239" s="8">
        <f t="shared" si="13"/>
        <v>5.0397877984084884E-2</v>
      </c>
      <c r="J239" s="22">
        <f t="shared" si="14"/>
        <v>9992.5</v>
      </c>
      <c r="K239" s="22">
        <f t="shared" si="11"/>
        <v>10161.5</v>
      </c>
    </row>
    <row r="240" spans="1:11" x14ac:dyDescent="0.2">
      <c r="A240" s="2">
        <f ca="1">IFERROR(__xludf.DUMMYFUNCTION("""COMPUTED_VALUE"""),45660.6666666666)</f>
        <v>45660.666666666599</v>
      </c>
      <c r="B240" s="2"/>
      <c r="C240" s="1">
        <v>9850</v>
      </c>
      <c r="D240" s="1">
        <v>9925</v>
      </c>
      <c r="E240" s="1">
        <v>9825</v>
      </c>
      <c r="F240" s="1">
        <v>9850</v>
      </c>
      <c r="G240" s="1">
        <v>41916000</v>
      </c>
      <c r="H240" s="8">
        <f t="shared" si="12"/>
        <v>-5.0505050505050509E-3</v>
      </c>
      <c r="I240" s="8">
        <f t="shared" si="13"/>
        <v>4.5092838196286469E-2</v>
      </c>
      <c r="J240" s="22">
        <f t="shared" si="14"/>
        <v>9997.5</v>
      </c>
      <c r="K240" s="22">
        <f t="shared" si="11"/>
        <v>10143.5</v>
      </c>
    </row>
    <row r="241" spans="1:11" x14ac:dyDescent="0.2">
      <c r="A241" s="2">
        <f ca="1">IFERROR(__xludf.DUMMYFUNCTION("""COMPUTED_VALUE"""),45663.6666666666)</f>
        <v>45663.666666666599</v>
      </c>
      <c r="B241" s="2"/>
      <c r="C241" s="1">
        <v>9850</v>
      </c>
      <c r="D241" s="1">
        <v>9875</v>
      </c>
      <c r="E241" s="1">
        <v>9650</v>
      </c>
      <c r="F241" s="1">
        <v>9675</v>
      </c>
      <c r="G241" s="1">
        <v>41593900</v>
      </c>
      <c r="H241" s="8">
        <f t="shared" si="12"/>
        <v>-1.7766497461928935E-2</v>
      </c>
      <c r="I241" s="8">
        <f t="shared" si="13"/>
        <v>2.6525198938992044E-2</v>
      </c>
      <c r="J241" s="22">
        <f t="shared" si="14"/>
        <v>9971.25</v>
      </c>
      <c r="K241" s="22">
        <f t="shared" si="11"/>
        <v>10123.5</v>
      </c>
    </row>
    <row r="242" spans="1:11" x14ac:dyDescent="0.2">
      <c r="A242" s="2">
        <f ca="1">IFERROR(__xludf.DUMMYFUNCTION("""COMPUTED_VALUE"""),45664.6666666666)</f>
        <v>45664.666666666599</v>
      </c>
      <c r="B242" s="2"/>
      <c r="C242" s="1">
        <v>9675</v>
      </c>
      <c r="D242" s="1">
        <v>9725</v>
      </c>
      <c r="E242" s="1">
        <v>9525</v>
      </c>
      <c r="F242" s="1">
        <v>9525</v>
      </c>
      <c r="G242" s="1">
        <v>71318600</v>
      </c>
      <c r="H242" s="8">
        <f t="shared" si="12"/>
        <v>-1.5503875968992248E-2</v>
      </c>
      <c r="I242" s="8">
        <f t="shared" si="13"/>
        <v>1.0610079575596816E-2</v>
      </c>
      <c r="J242" s="22">
        <f t="shared" si="14"/>
        <v>9937.5</v>
      </c>
      <c r="K242" s="22">
        <f t="shared" si="11"/>
        <v>10104</v>
      </c>
    </row>
    <row r="243" spans="1:11" x14ac:dyDescent="0.2">
      <c r="A243" s="2">
        <f ca="1">IFERROR(__xludf.DUMMYFUNCTION("""COMPUTED_VALUE"""),45665.6666666666)</f>
        <v>45665.666666666599</v>
      </c>
      <c r="B243" s="2"/>
      <c r="C243" s="1">
        <v>9675</v>
      </c>
      <c r="D243" s="1">
        <v>9775</v>
      </c>
      <c r="E243" s="1">
        <v>9575</v>
      </c>
      <c r="F243" s="1">
        <v>9675</v>
      </c>
      <c r="G243" s="1">
        <v>55943100</v>
      </c>
      <c r="H243" s="8">
        <f t="shared" si="12"/>
        <v>1.5748031496062992E-2</v>
      </c>
      <c r="I243" s="8">
        <f t="shared" si="13"/>
        <v>2.6525198938992044E-2</v>
      </c>
      <c r="J243" s="22">
        <f t="shared" si="14"/>
        <v>9908.75</v>
      </c>
      <c r="K243" s="22">
        <f t="shared" si="11"/>
        <v>10084.5</v>
      </c>
    </row>
    <row r="244" spans="1:11" x14ac:dyDescent="0.2">
      <c r="A244" s="2">
        <f ca="1">IFERROR(__xludf.DUMMYFUNCTION("""COMPUTED_VALUE"""),45666.6666666666)</f>
        <v>45666.666666666599</v>
      </c>
      <c r="B244" s="2"/>
      <c r="C244" s="1">
        <v>9750</v>
      </c>
      <c r="D244" s="1">
        <v>9875</v>
      </c>
      <c r="E244" s="1">
        <v>9725</v>
      </c>
      <c r="F244" s="1">
        <v>9850</v>
      </c>
      <c r="G244" s="1">
        <v>42733800</v>
      </c>
      <c r="H244" s="8">
        <f t="shared" si="12"/>
        <v>1.8087855297157621E-2</v>
      </c>
      <c r="I244" s="8">
        <f t="shared" si="13"/>
        <v>4.5092838196286469E-2</v>
      </c>
      <c r="J244" s="22">
        <f t="shared" si="14"/>
        <v>9897.5</v>
      </c>
      <c r="K244" s="22">
        <f t="shared" ref="K244:K307" si="15">AVERAGE(F195:F244)</f>
        <v>10067.5</v>
      </c>
    </row>
    <row r="245" spans="1:11" x14ac:dyDescent="0.2">
      <c r="A245" s="2">
        <f ca="1">IFERROR(__xludf.DUMMYFUNCTION("""COMPUTED_VALUE"""),45667.6666666666)</f>
        <v>45667.666666666599</v>
      </c>
      <c r="B245" s="2"/>
      <c r="C245" s="1">
        <v>9800</v>
      </c>
      <c r="D245" s="1">
        <v>9925</v>
      </c>
      <c r="E245" s="1">
        <v>9725</v>
      </c>
      <c r="F245" s="1">
        <v>9725</v>
      </c>
      <c r="G245" s="1">
        <v>72531300</v>
      </c>
      <c r="H245" s="8">
        <f t="shared" si="12"/>
        <v>-1.2690355329949238E-2</v>
      </c>
      <c r="I245" s="8">
        <f t="shared" si="13"/>
        <v>3.1830238726790451E-2</v>
      </c>
      <c r="J245" s="22">
        <f t="shared" si="14"/>
        <v>9866.25</v>
      </c>
      <c r="K245" s="22">
        <f t="shared" si="15"/>
        <v>10047</v>
      </c>
    </row>
    <row r="246" spans="1:11" x14ac:dyDescent="0.2">
      <c r="A246" s="2">
        <f ca="1">IFERROR(__xludf.DUMMYFUNCTION("""COMPUTED_VALUE"""),45670.6666666666)</f>
        <v>45670.666666666599</v>
      </c>
      <c r="B246" s="2"/>
      <c r="C246" s="1">
        <v>9625</v>
      </c>
      <c r="D246" s="1">
        <v>9725</v>
      </c>
      <c r="E246" s="1">
        <v>9625</v>
      </c>
      <c r="F246" s="1">
        <v>9675</v>
      </c>
      <c r="G246" s="1">
        <v>88270100</v>
      </c>
      <c r="H246" s="8">
        <f t="shared" si="12"/>
        <v>-5.1413881748071976E-3</v>
      </c>
      <c r="I246" s="8">
        <f t="shared" si="13"/>
        <v>2.6525198938992044E-2</v>
      </c>
      <c r="J246" s="22">
        <f t="shared" si="14"/>
        <v>9832.5</v>
      </c>
      <c r="K246" s="22">
        <f t="shared" si="15"/>
        <v>10028.5</v>
      </c>
    </row>
    <row r="247" spans="1:11" x14ac:dyDescent="0.2">
      <c r="A247" s="2">
        <f ca="1">IFERROR(__xludf.DUMMYFUNCTION("""COMPUTED_VALUE"""),45671.6666666666)</f>
        <v>45671.666666666599</v>
      </c>
      <c r="B247" s="2"/>
      <c r="C247" s="1">
        <v>9600</v>
      </c>
      <c r="D247" s="1">
        <v>9725</v>
      </c>
      <c r="E247" s="1">
        <v>9525</v>
      </c>
      <c r="F247" s="1">
        <v>9525</v>
      </c>
      <c r="G247" s="1">
        <v>70942600</v>
      </c>
      <c r="H247" s="8">
        <f t="shared" si="12"/>
        <v>-1.5503875968992248E-2</v>
      </c>
      <c r="I247" s="8">
        <f t="shared" si="13"/>
        <v>1.0610079575596816E-2</v>
      </c>
      <c r="J247" s="22">
        <f t="shared" si="14"/>
        <v>9787.5</v>
      </c>
      <c r="K247" s="22">
        <f t="shared" si="15"/>
        <v>10009</v>
      </c>
    </row>
    <row r="248" spans="1:11" x14ac:dyDescent="0.2">
      <c r="A248" s="2">
        <f ca="1">IFERROR(__xludf.DUMMYFUNCTION("""COMPUTED_VALUE"""),45672.6666666666)</f>
        <v>45672.666666666599</v>
      </c>
      <c r="B248" s="2"/>
      <c r="C248" s="1">
        <v>9575</v>
      </c>
      <c r="D248" s="1">
        <v>9800</v>
      </c>
      <c r="E248" s="1">
        <v>9550</v>
      </c>
      <c r="F248" s="1">
        <v>9800</v>
      </c>
      <c r="G248" s="1">
        <v>77098000</v>
      </c>
      <c r="H248" s="8">
        <f t="shared" si="12"/>
        <v>2.8871391076115485E-2</v>
      </c>
      <c r="I248" s="8">
        <f t="shared" si="13"/>
        <v>3.9787798408488062E-2</v>
      </c>
      <c r="J248" s="22">
        <f t="shared" si="14"/>
        <v>9768.75</v>
      </c>
      <c r="K248" s="22">
        <f t="shared" si="15"/>
        <v>9998</v>
      </c>
    </row>
    <row r="249" spans="1:11" x14ac:dyDescent="0.2">
      <c r="A249" s="2">
        <f ca="1">IFERROR(__xludf.DUMMYFUNCTION("""COMPUTED_VALUE"""),45673.6666666666)</f>
        <v>45673.666666666599</v>
      </c>
      <c r="B249" s="2"/>
      <c r="C249" s="1">
        <v>9850</v>
      </c>
      <c r="D249" s="1">
        <v>9925</v>
      </c>
      <c r="E249" s="1">
        <v>9750</v>
      </c>
      <c r="F249" s="1">
        <v>9750</v>
      </c>
      <c r="G249" s="1">
        <v>76979000</v>
      </c>
      <c r="H249" s="8">
        <f t="shared" si="12"/>
        <v>-5.1020408163265302E-3</v>
      </c>
      <c r="I249" s="8">
        <f t="shared" si="13"/>
        <v>3.4482758620689655E-2</v>
      </c>
      <c r="J249" s="22">
        <f t="shared" si="14"/>
        <v>9753.75</v>
      </c>
      <c r="K249" s="22">
        <f t="shared" si="15"/>
        <v>9988</v>
      </c>
    </row>
    <row r="250" spans="1:11" x14ac:dyDescent="0.2">
      <c r="A250" s="2">
        <f ca="1">IFERROR(__xludf.DUMMYFUNCTION("""COMPUTED_VALUE"""),45674.6666666666)</f>
        <v>45674.666666666599</v>
      </c>
      <c r="B250" s="2"/>
      <c r="C250" s="1">
        <v>9750</v>
      </c>
      <c r="D250" s="1">
        <v>9900</v>
      </c>
      <c r="E250" s="1">
        <v>9650</v>
      </c>
      <c r="F250" s="1">
        <v>9900</v>
      </c>
      <c r="G250" s="1">
        <v>71033100</v>
      </c>
      <c r="H250" s="8">
        <f t="shared" si="12"/>
        <v>1.5384615384615385E-2</v>
      </c>
      <c r="I250" s="8">
        <f t="shared" si="13"/>
        <v>5.0397877984084884E-2</v>
      </c>
      <c r="J250" s="22">
        <f t="shared" si="14"/>
        <v>9743.75</v>
      </c>
      <c r="K250" s="22">
        <f t="shared" si="15"/>
        <v>9977.5</v>
      </c>
    </row>
    <row r="251" spans="1:11" x14ac:dyDescent="0.2">
      <c r="A251" s="2">
        <f ca="1">IFERROR(__xludf.DUMMYFUNCTION("""COMPUTED_VALUE"""),45677.6666666666)</f>
        <v>45677.666666666599</v>
      </c>
      <c r="B251" s="2"/>
      <c r="C251" s="1">
        <v>9850</v>
      </c>
      <c r="D251" s="1">
        <v>9875</v>
      </c>
      <c r="E251" s="1">
        <v>9625</v>
      </c>
      <c r="F251" s="1">
        <v>9625</v>
      </c>
      <c r="G251" s="1">
        <v>112111200</v>
      </c>
      <c r="H251" s="8">
        <f t="shared" si="12"/>
        <v>-2.7777777777777776E-2</v>
      </c>
      <c r="I251" s="8">
        <f t="shared" si="13"/>
        <v>2.1220159151193633E-2</v>
      </c>
      <c r="J251" s="22">
        <f t="shared" si="14"/>
        <v>9730</v>
      </c>
      <c r="K251" s="22">
        <f t="shared" si="15"/>
        <v>9962.5</v>
      </c>
    </row>
    <row r="252" spans="1:11" x14ac:dyDescent="0.2">
      <c r="A252" s="2">
        <f ca="1">IFERROR(__xludf.DUMMYFUNCTION("""COMPUTED_VALUE"""),45678.6666666666)</f>
        <v>45678.666666666599</v>
      </c>
      <c r="B252" s="2"/>
      <c r="C252" s="1">
        <v>9600</v>
      </c>
      <c r="D252" s="1">
        <v>9675</v>
      </c>
      <c r="E252" s="1">
        <v>9550</v>
      </c>
      <c r="F252" s="1">
        <v>9575</v>
      </c>
      <c r="G252" s="1">
        <v>124547900</v>
      </c>
      <c r="H252" s="8">
        <f t="shared" si="12"/>
        <v>-5.1948051948051948E-3</v>
      </c>
      <c r="I252" s="8">
        <f t="shared" si="13"/>
        <v>1.5915119363395226E-2</v>
      </c>
      <c r="J252" s="22">
        <f t="shared" si="14"/>
        <v>9718.75</v>
      </c>
      <c r="K252" s="22">
        <f t="shared" si="15"/>
        <v>9944</v>
      </c>
    </row>
    <row r="253" spans="1:11" x14ac:dyDescent="0.2">
      <c r="A253" s="2">
        <f ca="1">IFERROR(__xludf.DUMMYFUNCTION("""COMPUTED_VALUE"""),45679.6666666666)</f>
        <v>45679.666666666599</v>
      </c>
      <c r="B253" s="2"/>
      <c r="C253" s="1">
        <v>9650</v>
      </c>
      <c r="D253" s="1">
        <v>9675</v>
      </c>
      <c r="E253" s="1">
        <v>9575</v>
      </c>
      <c r="F253" s="1">
        <v>9600</v>
      </c>
      <c r="G253" s="1">
        <v>90154800</v>
      </c>
      <c r="H253" s="8">
        <f t="shared" si="12"/>
        <v>2.6109660574412533E-3</v>
      </c>
      <c r="I253" s="8">
        <f t="shared" si="13"/>
        <v>1.8567639257294429E-2</v>
      </c>
      <c r="J253" s="22">
        <f t="shared" si="14"/>
        <v>9715</v>
      </c>
      <c r="K253" s="22">
        <f t="shared" si="15"/>
        <v>9927</v>
      </c>
    </row>
    <row r="254" spans="1:11" x14ac:dyDescent="0.2">
      <c r="A254" s="2">
        <f ca="1">IFERROR(__xludf.DUMMYFUNCTION("""COMPUTED_VALUE"""),45680.6666666666)</f>
        <v>45680.666666666599</v>
      </c>
      <c r="B254" s="2"/>
      <c r="C254" s="1">
        <v>9600</v>
      </c>
      <c r="D254" s="1">
        <v>9750</v>
      </c>
      <c r="E254" s="1">
        <v>9600</v>
      </c>
      <c r="F254" s="1">
        <v>9600</v>
      </c>
      <c r="G254" s="1">
        <v>120515400</v>
      </c>
      <c r="H254" s="8">
        <f t="shared" si="12"/>
        <v>0</v>
      </c>
      <c r="I254" s="8">
        <f t="shared" si="13"/>
        <v>1.8567639257294429E-2</v>
      </c>
      <c r="J254" s="22">
        <f t="shared" si="14"/>
        <v>9712.5</v>
      </c>
      <c r="K254" s="22">
        <f t="shared" si="15"/>
        <v>9915.5</v>
      </c>
    </row>
    <row r="255" spans="1:11" x14ac:dyDescent="0.2">
      <c r="A255" s="2">
        <f ca="1">IFERROR(__xludf.DUMMYFUNCTION("""COMPUTED_VALUE"""),45681.6666666666)</f>
        <v>45681.666666666599</v>
      </c>
      <c r="B255" s="2"/>
      <c r="C255" s="1">
        <v>9625</v>
      </c>
      <c r="D255" s="1">
        <v>9650</v>
      </c>
      <c r="E255" s="1">
        <v>9350</v>
      </c>
      <c r="F255" s="1">
        <v>9350</v>
      </c>
      <c r="G255" s="1">
        <v>152057000</v>
      </c>
      <c r="H255" s="8">
        <f t="shared" si="12"/>
        <v>-2.6041666666666668E-2</v>
      </c>
      <c r="I255" s="8">
        <f t="shared" si="13"/>
        <v>-7.9575596816976128E-3</v>
      </c>
      <c r="J255" s="22">
        <f t="shared" si="14"/>
        <v>9691.25</v>
      </c>
      <c r="K255" s="22">
        <f t="shared" si="15"/>
        <v>9901</v>
      </c>
    </row>
    <row r="256" spans="1:11" x14ac:dyDescent="0.2">
      <c r="A256" s="2">
        <f ca="1">IFERROR(__xludf.DUMMYFUNCTION("""COMPUTED_VALUE"""),45687.6666666666)</f>
        <v>45687.666666666599</v>
      </c>
      <c r="B256" s="2"/>
      <c r="C256" s="1">
        <v>9150</v>
      </c>
      <c r="D256" s="1">
        <v>9275</v>
      </c>
      <c r="E256" s="1">
        <v>9150</v>
      </c>
      <c r="F256" s="1">
        <v>9150</v>
      </c>
      <c r="G256" s="1">
        <v>154645800</v>
      </c>
      <c r="H256" s="8">
        <f t="shared" si="12"/>
        <v>-2.1390374331550801E-2</v>
      </c>
      <c r="I256" s="8">
        <f t="shared" si="13"/>
        <v>-2.9177718832891247E-2</v>
      </c>
      <c r="J256" s="22">
        <f t="shared" si="14"/>
        <v>9661.25</v>
      </c>
      <c r="K256" s="22">
        <f t="shared" si="15"/>
        <v>9883</v>
      </c>
    </row>
    <row r="257" spans="1:11" x14ac:dyDescent="0.2">
      <c r="A257" s="2">
        <f ca="1">IFERROR(__xludf.DUMMYFUNCTION("""COMPUTED_VALUE"""),45688.6666666666)</f>
        <v>45688.666666666599</v>
      </c>
      <c r="B257" s="2"/>
      <c r="C257" s="1">
        <v>9250</v>
      </c>
      <c r="D257" s="1">
        <v>9500</v>
      </c>
      <c r="E257" s="1">
        <v>9225</v>
      </c>
      <c r="F257" s="1">
        <v>9450</v>
      </c>
      <c r="G257" s="1">
        <v>112982800</v>
      </c>
      <c r="H257" s="8">
        <f t="shared" si="12"/>
        <v>3.2786885245901641E-2</v>
      </c>
      <c r="I257" s="8">
        <f t="shared" si="13"/>
        <v>2.6525198938992041E-3</v>
      </c>
      <c r="J257" s="22">
        <f t="shared" si="14"/>
        <v>9643.75</v>
      </c>
      <c r="K257" s="22">
        <f t="shared" si="15"/>
        <v>9869</v>
      </c>
    </row>
    <row r="258" spans="1:11" x14ac:dyDescent="0.2">
      <c r="A258" s="2">
        <f ca="1">IFERROR(__xludf.DUMMYFUNCTION("""COMPUTED_VALUE"""),45691.6666666666)</f>
        <v>45691.666666666599</v>
      </c>
      <c r="B258" s="2"/>
      <c r="C258" s="1">
        <v>9400</v>
      </c>
      <c r="D258" s="1">
        <v>9400</v>
      </c>
      <c r="E258" s="1">
        <v>9225</v>
      </c>
      <c r="F258" s="1">
        <v>9350</v>
      </c>
      <c r="G258" s="1">
        <v>90439900</v>
      </c>
      <c r="H258" s="8">
        <f t="shared" si="12"/>
        <v>-1.0582010582010581E-2</v>
      </c>
      <c r="I258" s="8">
        <f t="shared" si="13"/>
        <v>-7.9575596816976128E-3</v>
      </c>
      <c r="J258" s="22">
        <f t="shared" si="14"/>
        <v>9627.5</v>
      </c>
      <c r="K258" s="22">
        <f t="shared" si="15"/>
        <v>9853</v>
      </c>
    </row>
    <row r="259" spans="1:11" x14ac:dyDescent="0.2">
      <c r="A259" s="2">
        <f ca="1">IFERROR(__xludf.DUMMYFUNCTION("""COMPUTED_VALUE"""),45692.6666666666)</f>
        <v>45692.666666666599</v>
      </c>
      <c r="B259" s="2"/>
      <c r="C259" s="1">
        <v>9350</v>
      </c>
      <c r="D259" s="1">
        <v>9400</v>
      </c>
      <c r="E259" s="1">
        <v>9175</v>
      </c>
      <c r="F259" s="1">
        <v>9175</v>
      </c>
      <c r="G259" s="1">
        <v>94607700</v>
      </c>
      <c r="H259" s="8">
        <f t="shared" si="12"/>
        <v>-1.871657754010695E-2</v>
      </c>
      <c r="I259" s="8">
        <f t="shared" si="13"/>
        <v>-2.6525198938992044E-2</v>
      </c>
      <c r="J259" s="22">
        <f t="shared" si="14"/>
        <v>9591.25</v>
      </c>
      <c r="K259" s="22">
        <f t="shared" si="15"/>
        <v>9834.5</v>
      </c>
    </row>
    <row r="260" spans="1:11" x14ac:dyDescent="0.2">
      <c r="A260" s="2">
        <f ca="1">IFERROR(__xludf.DUMMYFUNCTION("""COMPUTED_VALUE"""),45693.6666666666)</f>
        <v>45693.666666666599</v>
      </c>
      <c r="B260" s="2"/>
      <c r="C260" s="1">
        <v>9100</v>
      </c>
      <c r="D260" s="1">
        <v>9175</v>
      </c>
      <c r="E260" s="1">
        <v>9100</v>
      </c>
      <c r="F260" s="1">
        <v>9125</v>
      </c>
      <c r="G260" s="1">
        <v>98229900</v>
      </c>
      <c r="H260" s="8">
        <f t="shared" ref="H260:H323" si="16">(F260-F259)/F259</f>
        <v>-5.4495912806539508E-3</v>
      </c>
      <c r="I260" s="8">
        <f t="shared" ref="I260:I323" si="17">(F260-$F$2)/$F$2</f>
        <v>-3.1830238726790451E-2</v>
      </c>
      <c r="J260" s="22">
        <f t="shared" si="14"/>
        <v>9555</v>
      </c>
      <c r="K260" s="22">
        <f t="shared" si="15"/>
        <v>9813.5</v>
      </c>
    </row>
    <row r="261" spans="1:11" x14ac:dyDescent="0.2">
      <c r="A261" s="2">
        <f ca="1">IFERROR(__xludf.DUMMYFUNCTION("""COMPUTED_VALUE"""),45694.6666666666)</f>
        <v>45694.666666666599</v>
      </c>
      <c r="B261" s="2"/>
      <c r="C261" s="1">
        <v>9075</v>
      </c>
      <c r="D261" s="1">
        <v>9100</v>
      </c>
      <c r="E261" s="1">
        <v>8850</v>
      </c>
      <c r="F261" s="1">
        <v>8950</v>
      </c>
      <c r="G261" s="1">
        <v>171477800</v>
      </c>
      <c r="H261" s="8">
        <f t="shared" si="16"/>
        <v>-1.9178082191780823E-2</v>
      </c>
      <c r="I261" s="8">
        <f t="shared" si="17"/>
        <v>-5.0397877984084884E-2</v>
      </c>
      <c r="J261" s="22">
        <f t="shared" si="14"/>
        <v>9518.75</v>
      </c>
      <c r="K261" s="22">
        <f t="shared" si="15"/>
        <v>9792.5</v>
      </c>
    </row>
    <row r="262" spans="1:11" x14ac:dyDescent="0.2">
      <c r="A262" s="2">
        <f ca="1">IFERROR(__xludf.DUMMYFUNCTION("""COMPUTED_VALUE"""),45695.6666666666)</f>
        <v>45695.666666666599</v>
      </c>
      <c r="B262" s="2"/>
      <c r="C262" s="1">
        <v>8950</v>
      </c>
      <c r="D262" s="1">
        <v>9350</v>
      </c>
      <c r="E262" s="1">
        <v>8825</v>
      </c>
      <c r="F262" s="1">
        <v>9350</v>
      </c>
      <c r="G262" s="1">
        <v>131162200</v>
      </c>
      <c r="H262" s="8">
        <f t="shared" si="16"/>
        <v>4.4692737430167599E-2</v>
      </c>
      <c r="I262" s="8">
        <f t="shared" si="17"/>
        <v>-7.9575596816976128E-3</v>
      </c>
      <c r="J262" s="22">
        <f t="shared" si="14"/>
        <v>9510</v>
      </c>
      <c r="K262" s="22">
        <f t="shared" si="15"/>
        <v>9781</v>
      </c>
    </row>
    <row r="263" spans="1:11" x14ac:dyDescent="0.2">
      <c r="A263" s="2">
        <f ca="1">IFERROR(__xludf.DUMMYFUNCTION("""COMPUTED_VALUE"""),45698.6666666666)</f>
        <v>45698.666666666599</v>
      </c>
      <c r="B263" s="2"/>
      <c r="C263" s="1">
        <v>9025</v>
      </c>
      <c r="D263" s="1">
        <v>9250</v>
      </c>
      <c r="E263" s="1">
        <v>9025</v>
      </c>
      <c r="F263" s="1">
        <v>9150</v>
      </c>
      <c r="G263" s="1">
        <v>76209100</v>
      </c>
      <c r="H263" s="8">
        <f t="shared" si="16"/>
        <v>-2.1390374331550801E-2</v>
      </c>
      <c r="I263" s="8">
        <f t="shared" si="17"/>
        <v>-2.9177718832891247E-2</v>
      </c>
      <c r="J263" s="22">
        <f t="shared" si="14"/>
        <v>9483.75</v>
      </c>
      <c r="K263" s="22">
        <f t="shared" si="15"/>
        <v>9762.5</v>
      </c>
    </row>
    <row r="264" spans="1:11" x14ac:dyDescent="0.2">
      <c r="A264" s="2">
        <f ca="1">IFERROR(__xludf.DUMMYFUNCTION("""COMPUTED_VALUE"""),45699.6666666666)</f>
        <v>45699.666666666599</v>
      </c>
      <c r="B264" s="2"/>
      <c r="C264" s="1">
        <v>9025</v>
      </c>
      <c r="D264" s="1">
        <v>9100</v>
      </c>
      <c r="E264" s="1">
        <v>9000</v>
      </c>
      <c r="F264" s="1">
        <v>9075</v>
      </c>
      <c r="G264" s="1">
        <v>71188300</v>
      </c>
      <c r="H264" s="8">
        <f t="shared" si="16"/>
        <v>-8.1967213114754103E-3</v>
      </c>
      <c r="I264" s="8">
        <f t="shared" si="17"/>
        <v>-3.7135278514588858E-2</v>
      </c>
      <c r="J264" s="22">
        <f t="shared" si="14"/>
        <v>9445</v>
      </c>
      <c r="K264" s="22">
        <f t="shared" si="15"/>
        <v>9747</v>
      </c>
    </row>
    <row r="265" spans="1:11" x14ac:dyDescent="0.2">
      <c r="A265" s="2">
        <f ca="1">IFERROR(__xludf.DUMMYFUNCTION("""COMPUTED_VALUE"""),45700.6666666666)</f>
        <v>45700.666666666599</v>
      </c>
      <c r="B265" s="2"/>
      <c r="C265" s="1">
        <v>8950</v>
      </c>
      <c r="D265" s="1">
        <v>9150</v>
      </c>
      <c r="E265" s="1">
        <v>8950</v>
      </c>
      <c r="F265" s="1">
        <v>9150</v>
      </c>
      <c r="G265" s="1">
        <v>121172600</v>
      </c>
      <c r="H265" s="8">
        <f t="shared" si="16"/>
        <v>8.2644628099173556E-3</v>
      </c>
      <c r="I265" s="8">
        <f t="shared" si="17"/>
        <v>-2.9177718832891247E-2</v>
      </c>
      <c r="J265" s="22">
        <f t="shared" si="14"/>
        <v>9416.25</v>
      </c>
      <c r="K265" s="22">
        <f t="shared" si="15"/>
        <v>9733</v>
      </c>
    </row>
    <row r="266" spans="1:11" x14ac:dyDescent="0.2">
      <c r="A266" s="2">
        <f ca="1">IFERROR(__xludf.DUMMYFUNCTION("""COMPUTED_VALUE"""),45701.6666666666)</f>
        <v>45701.666666666599</v>
      </c>
      <c r="B266" s="2"/>
      <c r="C266" s="1">
        <v>9100</v>
      </c>
      <c r="D266" s="1">
        <v>9150</v>
      </c>
      <c r="E266" s="1">
        <v>9000</v>
      </c>
      <c r="F266" s="1">
        <v>9000</v>
      </c>
      <c r="G266" s="1">
        <v>90439700</v>
      </c>
      <c r="H266" s="8">
        <f t="shared" si="16"/>
        <v>-1.6393442622950821E-2</v>
      </c>
      <c r="I266" s="8">
        <f t="shared" si="17"/>
        <v>-4.5092838196286469E-2</v>
      </c>
      <c r="J266" s="22">
        <f t="shared" si="14"/>
        <v>9382.5</v>
      </c>
      <c r="K266" s="22">
        <f t="shared" si="15"/>
        <v>9709.5</v>
      </c>
    </row>
    <row r="267" spans="1:11" x14ac:dyDescent="0.2">
      <c r="A267" s="2">
        <f ca="1">IFERROR(__xludf.DUMMYFUNCTION("""COMPUTED_VALUE"""),45702.6666666666)</f>
        <v>45702.666666666599</v>
      </c>
      <c r="B267" s="2"/>
      <c r="C267" s="1">
        <v>9000</v>
      </c>
      <c r="D267" s="1">
        <v>9075</v>
      </c>
      <c r="E267" s="1">
        <v>8950</v>
      </c>
      <c r="F267" s="1">
        <v>8975</v>
      </c>
      <c r="G267" s="1">
        <v>116274500</v>
      </c>
      <c r="H267" s="8">
        <f t="shared" si="16"/>
        <v>-2.7777777777777779E-3</v>
      </c>
      <c r="I267" s="8">
        <f t="shared" si="17"/>
        <v>-4.7745358090185673E-2</v>
      </c>
      <c r="J267" s="22">
        <f t="shared" si="14"/>
        <v>9355</v>
      </c>
      <c r="K267" s="22">
        <f t="shared" si="15"/>
        <v>9689</v>
      </c>
    </row>
    <row r="268" spans="1:11" x14ac:dyDescent="0.2">
      <c r="A268" s="2">
        <f ca="1">IFERROR(__xludf.DUMMYFUNCTION("""COMPUTED_VALUE"""),45705.6666666666)</f>
        <v>45705.666666666599</v>
      </c>
      <c r="B268" s="2"/>
      <c r="C268" s="1">
        <v>8975</v>
      </c>
      <c r="D268" s="1">
        <v>9325</v>
      </c>
      <c r="E268" s="1">
        <v>8975</v>
      </c>
      <c r="F268" s="1">
        <v>9325</v>
      </c>
      <c r="G268" s="1">
        <v>89096400</v>
      </c>
      <c r="H268" s="8">
        <f t="shared" si="16"/>
        <v>3.8997214484679667E-2</v>
      </c>
      <c r="I268" s="8">
        <f t="shared" si="17"/>
        <v>-1.0610079575596816E-2</v>
      </c>
      <c r="J268" s="22">
        <f t="shared" si="14"/>
        <v>9331.25</v>
      </c>
      <c r="K268" s="22">
        <f t="shared" si="15"/>
        <v>9675.5</v>
      </c>
    </row>
    <row r="269" spans="1:11" x14ac:dyDescent="0.2">
      <c r="A269" s="2">
        <f ca="1">IFERROR(__xludf.DUMMYFUNCTION("""COMPUTED_VALUE"""),45706.6666666666)</f>
        <v>45706.666666666599</v>
      </c>
      <c r="B269" s="2"/>
      <c r="C269" s="1">
        <v>9325</v>
      </c>
      <c r="D269" s="1">
        <v>9575</v>
      </c>
      <c r="E269" s="1">
        <v>9250</v>
      </c>
      <c r="F269" s="1">
        <v>9300</v>
      </c>
      <c r="G269" s="1">
        <v>107318300</v>
      </c>
      <c r="H269" s="8">
        <f t="shared" si="16"/>
        <v>-2.6809651474530832E-3</v>
      </c>
      <c r="I269" s="8">
        <f t="shared" si="17"/>
        <v>-1.3262599469496022E-2</v>
      </c>
      <c r="J269" s="22">
        <f t="shared" si="14"/>
        <v>9308.75</v>
      </c>
      <c r="K269" s="22">
        <f t="shared" si="15"/>
        <v>9661.5</v>
      </c>
    </row>
    <row r="270" spans="1:11" x14ac:dyDescent="0.2">
      <c r="A270" s="2">
        <f ca="1">IFERROR(__xludf.DUMMYFUNCTION("""COMPUTED_VALUE"""),45707.6666666666)</f>
        <v>45707.666666666599</v>
      </c>
      <c r="B270" s="2"/>
      <c r="C270" s="1">
        <v>9225</v>
      </c>
      <c r="D270" s="1">
        <v>9250</v>
      </c>
      <c r="E270" s="1">
        <v>8950</v>
      </c>
      <c r="F270" s="1">
        <v>8950</v>
      </c>
      <c r="G270" s="1">
        <v>154438200</v>
      </c>
      <c r="H270" s="8">
        <f t="shared" si="16"/>
        <v>-3.7634408602150539E-2</v>
      </c>
      <c r="I270" s="8">
        <f t="shared" si="17"/>
        <v>-5.0397877984084884E-2</v>
      </c>
      <c r="J270" s="22">
        <f t="shared" si="14"/>
        <v>9261.25</v>
      </c>
      <c r="K270" s="22">
        <f t="shared" si="15"/>
        <v>9645.5</v>
      </c>
    </row>
    <row r="271" spans="1:11" x14ac:dyDescent="0.2">
      <c r="A271" s="2">
        <f ca="1">IFERROR(__xludf.DUMMYFUNCTION("""COMPUTED_VALUE"""),45708.6666666666)</f>
        <v>45708.666666666599</v>
      </c>
      <c r="B271" s="2"/>
      <c r="C271" s="1">
        <v>8975</v>
      </c>
      <c r="D271" s="1">
        <v>9025</v>
      </c>
      <c r="E271" s="1">
        <v>8950</v>
      </c>
      <c r="F271" s="1">
        <v>9000</v>
      </c>
      <c r="G271" s="1">
        <v>119260800</v>
      </c>
      <c r="H271" s="8">
        <f t="shared" si="16"/>
        <v>5.5865921787709499E-3</v>
      </c>
      <c r="I271" s="8">
        <f t="shared" si="17"/>
        <v>-4.5092838196286469E-2</v>
      </c>
      <c r="J271" s="22">
        <f t="shared" si="14"/>
        <v>9230</v>
      </c>
      <c r="K271" s="22">
        <f t="shared" si="15"/>
        <v>9621.5</v>
      </c>
    </row>
    <row r="272" spans="1:11" x14ac:dyDescent="0.2">
      <c r="A272" s="2">
        <f ca="1">IFERROR(__xludf.DUMMYFUNCTION("""COMPUTED_VALUE"""),45709.6666666666)</f>
        <v>45709.666666666599</v>
      </c>
      <c r="B272" s="2"/>
      <c r="C272" s="1">
        <v>8950</v>
      </c>
      <c r="D272" s="1">
        <v>9000</v>
      </c>
      <c r="E272" s="1">
        <v>8925</v>
      </c>
      <c r="F272" s="1">
        <v>9000</v>
      </c>
      <c r="G272" s="1">
        <v>106054700</v>
      </c>
      <c r="H272" s="8">
        <f t="shared" si="16"/>
        <v>0</v>
      </c>
      <c r="I272" s="8">
        <f t="shared" si="17"/>
        <v>-4.5092838196286469E-2</v>
      </c>
      <c r="J272" s="22">
        <f t="shared" si="14"/>
        <v>9201.25</v>
      </c>
      <c r="K272" s="22">
        <f t="shared" si="15"/>
        <v>9597.5</v>
      </c>
    </row>
    <row r="273" spans="1:11" x14ac:dyDescent="0.2">
      <c r="A273" s="2">
        <f ca="1">IFERROR(__xludf.DUMMYFUNCTION("""COMPUTED_VALUE"""),45712.6666666666)</f>
        <v>45712.666666666599</v>
      </c>
      <c r="B273" s="2"/>
      <c r="C273" s="1">
        <v>8925</v>
      </c>
      <c r="D273" s="1">
        <v>8975</v>
      </c>
      <c r="E273" s="1">
        <v>8875</v>
      </c>
      <c r="F273" s="1">
        <v>8925</v>
      </c>
      <c r="G273" s="1">
        <v>108530300</v>
      </c>
      <c r="H273" s="8">
        <f t="shared" si="16"/>
        <v>-8.3333333333333332E-3</v>
      </c>
      <c r="I273" s="8">
        <f t="shared" si="17"/>
        <v>-5.3050397877984087E-2</v>
      </c>
      <c r="J273" s="22">
        <f t="shared" si="14"/>
        <v>9167.5</v>
      </c>
      <c r="K273" s="22">
        <f t="shared" si="15"/>
        <v>9571</v>
      </c>
    </row>
    <row r="274" spans="1:11" x14ac:dyDescent="0.2">
      <c r="A274" s="2">
        <f ca="1">IFERROR(__xludf.DUMMYFUNCTION("""COMPUTED_VALUE"""),45713.6666666666)</f>
        <v>45713.666666666599</v>
      </c>
      <c r="B274" s="2"/>
      <c r="C274" s="1">
        <v>8900</v>
      </c>
      <c r="D274" s="1">
        <v>9000</v>
      </c>
      <c r="E274" s="1">
        <v>8825</v>
      </c>
      <c r="F274" s="1">
        <v>8825</v>
      </c>
      <c r="G274" s="1">
        <v>101592700</v>
      </c>
      <c r="H274" s="8">
        <f t="shared" si="16"/>
        <v>-1.1204481792717087E-2</v>
      </c>
      <c r="I274" s="8">
        <f t="shared" si="17"/>
        <v>-6.3660477453580902E-2</v>
      </c>
      <c r="J274" s="22">
        <f t="shared" si="14"/>
        <v>9128.75</v>
      </c>
      <c r="K274" s="22">
        <f t="shared" si="15"/>
        <v>9546</v>
      </c>
    </row>
    <row r="275" spans="1:11" x14ac:dyDescent="0.2">
      <c r="A275" s="2">
        <f ca="1">IFERROR(__xludf.DUMMYFUNCTION("""COMPUTED_VALUE"""),45714.6666666666)</f>
        <v>45714.666666666599</v>
      </c>
      <c r="B275" s="2"/>
      <c r="C275" s="1">
        <v>8800</v>
      </c>
      <c r="D275" s="1">
        <v>8900</v>
      </c>
      <c r="E275" s="1">
        <v>8725</v>
      </c>
      <c r="F275" s="1">
        <v>8775</v>
      </c>
      <c r="G275" s="1">
        <v>117843500</v>
      </c>
      <c r="H275" s="8">
        <f t="shared" si="16"/>
        <v>-5.6657223796033997E-3</v>
      </c>
      <c r="I275" s="8">
        <f t="shared" si="17"/>
        <v>-6.8965517241379309E-2</v>
      </c>
      <c r="J275" s="22">
        <f t="shared" si="14"/>
        <v>9100</v>
      </c>
      <c r="K275" s="22">
        <f t="shared" si="15"/>
        <v>9514.5</v>
      </c>
    </row>
    <row r="276" spans="1:11" x14ac:dyDescent="0.2">
      <c r="A276" s="2">
        <f ca="1">IFERROR(__xludf.DUMMYFUNCTION("""COMPUTED_VALUE"""),45715.6666666666)</f>
        <v>45715.666666666599</v>
      </c>
      <c r="B276" s="2"/>
      <c r="C276" s="1">
        <v>8800</v>
      </c>
      <c r="D276" s="1">
        <v>8800</v>
      </c>
      <c r="E276" s="1">
        <v>8500</v>
      </c>
      <c r="F276" s="1">
        <v>8525</v>
      </c>
      <c r="G276" s="1">
        <v>199991600</v>
      </c>
      <c r="H276" s="8">
        <f t="shared" si="16"/>
        <v>-2.8490028490028491E-2</v>
      </c>
      <c r="I276" s="8">
        <f t="shared" si="17"/>
        <v>-9.5490716180371346E-2</v>
      </c>
      <c r="J276" s="22">
        <f t="shared" si="14"/>
        <v>9068.75</v>
      </c>
      <c r="K276" s="22">
        <f t="shared" si="15"/>
        <v>9478</v>
      </c>
    </row>
    <row r="277" spans="1:11" x14ac:dyDescent="0.2">
      <c r="A277" s="2">
        <f ca="1">IFERROR(__xludf.DUMMYFUNCTION("""COMPUTED_VALUE"""),45716.6666666666)</f>
        <v>45716.666666666599</v>
      </c>
      <c r="B277" s="2"/>
      <c r="C277" s="1">
        <v>8525</v>
      </c>
      <c r="D277" s="1">
        <v>8675</v>
      </c>
      <c r="E277" s="1">
        <v>8425</v>
      </c>
      <c r="F277" s="1">
        <v>8425</v>
      </c>
      <c r="G277" s="1">
        <v>293095000</v>
      </c>
      <c r="H277" s="8">
        <f t="shared" si="16"/>
        <v>-1.1730205278592375E-2</v>
      </c>
      <c r="I277" s="8">
        <f t="shared" si="17"/>
        <v>-0.10610079575596817</v>
      </c>
      <c r="J277" s="22">
        <f t="shared" si="14"/>
        <v>9017.5</v>
      </c>
      <c r="K277" s="22">
        <f t="shared" si="15"/>
        <v>9438</v>
      </c>
    </row>
    <row r="278" spans="1:11" x14ac:dyDescent="0.2">
      <c r="A278" s="2">
        <f ca="1">IFERROR(__xludf.DUMMYFUNCTION("""COMPUTED_VALUE"""),45719.6666666666)</f>
        <v>45719.666666666599</v>
      </c>
      <c r="B278" s="2"/>
      <c r="C278" s="1">
        <v>8600</v>
      </c>
      <c r="D278" s="1">
        <v>8900</v>
      </c>
      <c r="E278" s="1">
        <v>8550</v>
      </c>
      <c r="F278" s="1">
        <v>8800</v>
      </c>
      <c r="G278" s="1">
        <v>192944300</v>
      </c>
      <c r="H278" s="8">
        <f t="shared" si="16"/>
        <v>4.4510385756676561E-2</v>
      </c>
      <c r="I278" s="8">
        <f t="shared" si="17"/>
        <v>-6.6312997347480113E-2</v>
      </c>
      <c r="J278" s="22">
        <f t="shared" ref="J278:J341" si="18">AVERAGE(F259:F278)</f>
        <v>8990</v>
      </c>
      <c r="K278" s="22">
        <f t="shared" si="15"/>
        <v>9410.5</v>
      </c>
    </row>
    <row r="279" spans="1:11" x14ac:dyDescent="0.2">
      <c r="A279" s="2">
        <f ca="1">IFERROR(__xludf.DUMMYFUNCTION("""COMPUTED_VALUE"""),45720.6666666666)</f>
        <v>45720.666666666599</v>
      </c>
      <c r="B279" s="2"/>
      <c r="C279" s="1">
        <v>8900</v>
      </c>
      <c r="D279" s="1">
        <v>8925</v>
      </c>
      <c r="E279" s="1">
        <v>8675</v>
      </c>
      <c r="F279" s="1">
        <v>8850</v>
      </c>
      <c r="G279" s="1">
        <v>125418500</v>
      </c>
      <c r="H279" s="8">
        <f t="shared" si="16"/>
        <v>5.681818181818182E-3</v>
      </c>
      <c r="I279" s="8">
        <f t="shared" si="17"/>
        <v>-6.1007957559681698E-2</v>
      </c>
      <c r="J279" s="22">
        <f t="shared" si="18"/>
        <v>8973.75</v>
      </c>
      <c r="K279" s="22">
        <f t="shared" si="15"/>
        <v>9386.5</v>
      </c>
    </row>
    <row r="280" spans="1:11" x14ac:dyDescent="0.2">
      <c r="A280" s="2">
        <f ca="1">IFERROR(__xludf.DUMMYFUNCTION("""COMPUTED_VALUE"""),45721.6666666666)</f>
        <v>45721.666666666599</v>
      </c>
      <c r="B280" s="2"/>
      <c r="C280" s="1">
        <v>8825</v>
      </c>
      <c r="D280" s="1">
        <v>9175</v>
      </c>
      <c r="E280" s="1">
        <v>8825</v>
      </c>
      <c r="F280" s="1">
        <v>9000</v>
      </c>
      <c r="G280" s="1">
        <v>155207900</v>
      </c>
      <c r="H280" s="8">
        <f t="shared" si="16"/>
        <v>1.6949152542372881E-2</v>
      </c>
      <c r="I280" s="8">
        <f t="shared" si="17"/>
        <v>-4.5092838196286469E-2</v>
      </c>
      <c r="J280" s="22">
        <f t="shared" si="18"/>
        <v>8967.5</v>
      </c>
      <c r="K280" s="22">
        <f t="shared" si="15"/>
        <v>9364.5</v>
      </c>
    </row>
    <row r="281" spans="1:11" x14ac:dyDescent="0.2">
      <c r="A281" s="2">
        <f ca="1">IFERROR(__xludf.DUMMYFUNCTION("""COMPUTED_VALUE"""),45722.6666666666)</f>
        <v>45722.666666666599</v>
      </c>
      <c r="B281" s="2"/>
      <c r="C281" s="1">
        <v>9200</v>
      </c>
      <c r="D281" s="1">
        <v>9200</v>
      </c>
      <c r="E281" s="1">
        <v>8975</v>
      </c>
      <c r="F281" s="1">
        <v>8975</v>
      </c>
      <c r="G281" s="1">
        <v>96270100</v>
      </c>
      <c r="H281" s="8">
        <f t="shared" si="16"/>
        <v>-2.7777777777777779E-3</v>
      </c>
      <c r="I281" s="8">
        <f t="shared" si="17"/>
        <v>-4.7745358090185673E-2</v>
      </c>
      <c r="J281" s="22">
        <f t="shared" si="18"/>
        <v>8968.75</v>
      </c>
      <c r="K281" s="22">
        <f t="shared" si="15"/>
        <v>9346</v>
      </c>
    </row>
    <row r="282" spans="1:11" x14ac:dyDescent="0.2">
      <c r="A282" s="2">
        <f ca="1">IFERROR(__xludf.DUMMYFUNCTION("""COMPUTED_VALUE"""),45723.6666666666)</f>
        <v>45723.666666666599</v>
      </c>
      <c r="B282" s="2"/>
      <c r="C282" s="1">
        <v>9000</v>
      </c>
      <c r="D282" s="1">
        <v>9000</v>
      </c>
      <c r="E282" s="1">
        <v>8925</v>
      </c>
      <c r="F282" s="1">
        <v>8925</v>
      </c>
      <c r="G282" s="1">
        <v>82295300</v>
      </c>
      <c r="H282" s="8">
        <f t="shared" si="16"/>
        <v>-5.5710306406685237E-3</v>
      </c>
      <c r="I282" s="8">
        <f t="shared" si="17"/>
        <v>-5.3050397877984087E-2</v>
      </c>
      <c r="J282" s="22">
        <f t="shared" si="18"/>
        <v>8947.5</v>
      </c>
      <c r="K282" s="22">
        <f t="shared" si="15"/>
        <v>9328.5</v>
      </c>
    </row>
    <row r="283" spans="1:11" x14ac:dyDescent="0.2">
      <c r="A283" s="2">
        <f ca="1">IFERROR(__xludf.DUMMYFUNCTION("""COMPUTED_VALUE"""),45726.6666666666)</f>
        <v>45726.666666666599</v>
      </c>
      <c r="B283" s="2"/>
      <c r="C283" s="1">
        <v>8750</v>
      </c>
      <c r="D283" s="1">
        <v>8975</v>
      </c>
      <c r="E283" s="1">
        <v>8725</v>
      </c>
      <c r="F283" s="1">
        <v>8925</v>
      </c>
      <c r="G283" s="1">
        <v>97652100</v>
      </c>
      <c r="H283" s="8">
        <f t="shared" si="16"/>
        <v>0</v>
      </c>
      <c r="I283" s="8">
        <f t="shared" si="17"/>
        <v>-5.3050397877984087E-2</v>
      </c>
      <c r="J283" s="22">
        <f t="shared" si="18"/>
        <v>8936.25</v>
      </c>
      <c r="K283" s="22">
        <f t="shared" si="15"/>
        <v>9313.5</v>
      </c>
    </row>
    <row r="284" spans="1:11" x14ac:dyDescent="0.2">
      <c r="A284" s="2">
        <f ca="1">IFERROR(__xludf.DUMMYFUNCTION("""COMPUTED_VALUE"""),45727.6666666666)</f>
        <v>45727.666666666599</v>
      </c>
      <c r="B284" s="2"/>
      <c r="C284" s="1">
        <v>8950</v>
      </c>
      <c r="D284" s="1">
        <v>9050</v>
      </c>
      <c r="E284" s="1">
        <v>8875</v>
      </c>
      <c r="F284" s="1">
        <v>8925</v>
      </c>
      <c r="G284" s="1">
        <v>109295600</v>
      </c>
      <c r="H284" s="8">
        <f t="shared" si="16"/>
        <v>0</v>
      </c>
      <c r="I284" s="8">
        <f t="shared" si="17"/>
        <v>-5.3050397877984087E-2</v>
      </c>
      <c r="J284" s="22">
        <f t="shared" si="18"/>
        <v>8928.75</v>
      </c>
      <c r="K284" s="22">
        <f t="shared" si="15"/>
        <v>9299</v>
      </c>
    </row>
    <row r="285" spans="1:11" x14ac:dyDescent="0.2">
      <c r="A285" s="2">
        <f ca="1">IFERROR(__xludf.DUMMYFUNCTION("""COMPUTED_VALUE"""),45728.6666666666)</f>
        <v>45728.666666666599</v>
      </c>
      <c r="B285" s="2"/>
      <c r="C285" s="1">
        <v>9025</v>
      </c>
      <c r="D285" s="1">
        <v>9125</v>
      </c>
      <c r="E285" s="1">
        <v>8975</v>
      </c>
      <c r="F285" s="1">
        <v>9125</v>
      </c>
      <c r="G285" s="1">
        <v>87968900</v>
      </c>
      <c r="H285" s="8">
        <f t="shared" si="16"/>
        <v>2.2408963585434174E-2</v>
      </c>
      <c r="I285" s="8">
        <f t="shared" si="17"/>
        <v>-3.1830238726790451E-2</v>
      </c>
      <c r="J285" s="22">
        <f t="shared" si="18"/>
        <v>8927.5</v>
      </c>
      <c r="K285" s="22">
        <f t="shared" si="15"/>
        <v>9286</v>
      </c>
    </row>
    <row r="286" spans="1:11" x14ac:dyDescent="0.2">
      <c r="A286" s="2">
        <f ca="1">IFERROR(__xludf.DUMMYFUNCTION("""COMPUTED_VALUE"""),45729.6666666666)</f>
        <v>45729.666666666599</v>
      </c>
      <c r="B286" s="2"/>
      <c r="C286" s="1">
        <v>9150</v>
      </c>
      <c r="D286" s="1">
        <v>9175</v>
      </c>
      <c r="E286" s="1">
        <v>8975</v>
      </c>
      <c r="F286" s="1">
        <v>8975</v>
      </c>
      <c r="G286" s="1">
        <v>83030700</v>
      </c>
      <c r="H286" s="8">
        <f t="shared" si="16"/>
        <v>-1.643835616438356E-2</v>
      </c>
      <c r="I286" s="8">
        <f t="shared" si="17"/>
        <v>-4.7745358090185673E-2</v>
      </c>
      <c r="J286" s="22">
        <f t="shared" si="18"/>
        <v>8926.25</v>
      </c>
      <c r="K286" s="22">
        <f t="shared" si="15"/>
        <v>9270.5</v>
      </c>
    </row>
    <row r="287" spans="1:11" x14ac:dyDescent="0.2">
      <c r="A287" s="2">
        <f ca="1">IFERROR(__xludf.DUMMYFUNCTION("""COMPUTED_VALUE"""),45730.6666666666)</f>
        <v>45730.666666666599</v>
      </c>
      <c r="B287" s="2"/>
      <c r="C287" s="1">
        <v>8800</v>
      </c>
      <c r="D287" s="1">
        <v>8925</v>
      </c>
      <c r="E287" s="1">
        <v>8750</v>
      </c>
      <c r="F287" s="1">
        <v>8750</v>
      </c>
      <c r="G287" s="1">
        <v>111397800</v>
      </c>
      <c r="H287" s="8">
        <f t="shared" si="16"/>
        <v>-2.5069637883008356E-2</v>
      </c>
      <c r="I287" s="8">
        <f t="shared" si="17"/>
        <v>-7.161803713527852E-2</v>
      </c>
      <c r="J287" s="22">
        <f t="shared" si="18"/>
        <v>8915</v>
      </c>
      <c r="K287" s="22">
        <f t="shared" si="15"/>
        <v>9249.5</v>
      </c>
    </row>
    <row r="288" spans="1:11" x14ac:dyDescent="0.2">
      <c r="A288" s="2">
        <f ca="1">IFERROR(__xludf.DUMMYFUNCTION("""COMPUTED_VALUE"""),45733.6666666666)</f>
        <v>45733.666666666599</v>
      </c>
      <c r="B288" s="2"/>
      <c r="C288" s="1">
        <v>8750</v>
      </c>
      <c r="D288" s="1">
        <v>8775</v>
      </c>
      <c r="E288" s="1">
        <v>8550</v>
      </c>
      <c r="F288" s="1">
        <v>8600</v>
      </c>
      <c r="G288" s="1">
        <v>151365700</v>
      </c>
      <c r="H288" s="8">
        <f t="shared" si="16"/>
        <v>-1.7142857142857144E-2</v>
      </c>
      <c r="I288" s="8">
        <f t="shared" si="17"/>
        <v>-8.7533156498673742E-2</v>
      </c>
      <c r="J288" s="22">
        <f t="shared" si="18"/>
        <v>8878.75</v>
      </c>
      <c r="K288" s="22">
        <f t="shared" si="15"/>
        <v>9228</v>
      </c>
    </row>
    <row r="289" spans="1:11" x14ac:dyDescent="0.2">
      <c r="A289" s="2">
        <f ca="1">IFERROR(__xludf.DUMMYFUNCTION("""COMPUTED_VALUE"""),45734.6666666666)</f>
        <v>45734.666666666599</v>
      </c>
      <c r="B289" s="2"/>
      <c r="C289" s="1">
        <v>8500</v>
      </c>
      <c r="D289" s="1">
        <v>8550</v>
      </c>
      <c r="E289" s="1">
        <v>8075</v>
      </c>
      <c r="F289" s="1">
        <v>8300</v>
      </c>
      <c r="G289" s="1">
        <v>417305700</v>
      </c>
      <c r="H289" s="8">
        <f t="shared" si="16"/>
        <v>-3.4883720930232558E-2</v>
      </c>
      <c r="I289" s="8">
        <f t="shared" si="17"/>
        <v>-0.11936339522546419</v>
      </c>
      <c r="J289" s="22">
        <f t="shared" si="18"/>
        <v>8828.75</v>
      </c>
      <c r="K289" s="22">
        <f t="shared" si="15"/>
        <v>9196</v>
      </c>
    </row>
    <row r="290" spans="1:11" x14ac:dyDescent="0.2">
      <c r="A290" s="2">
        <f ca="1">IFERROR(__xludf.DUMMYFUNCTION("""COMPUTED_VALUE"""),45735.6666666666)</f>
        <v>45735.666666666599</v>
      </c>
      <c r="B290" s="2"/>
      <c r="C290" s="1">
        <v>8300</v>
      </c>
      <c r="D290" s="1">
        <v>8400</v>
      </c>
      <c r="E290" s="1">
        <v>8225</v>
      </c>
      <c r="F290" s="1">
        <v>8325</v>
      </c>
      <c r="G290" s="1">
        <v>214108200</v>
      </c>
      <c r="H290" s="8">
        <f t="shared" si="16"/>
        <v>3.0120481927710845E-3</v>
      </c>
      <c r="I290" s="8">
        <f t="shared" si="17"/>
        <v>-0.11671087533156499</v>
      </c>
      <c r="J290" s="22">
        <f t="shared" si="18"/>
        <v>8797.5</v>
      </c>
      <c r="K290" s="22">
        <f t="shared" si="15"/>
        <v>9165.5</v>
      </c>
    </row>
    <row r="291" spans="1:11" x14ac:dyDescent="0.2">
      <c r="A291" s="2">
        <f ca="1">IFERROR(__xludf.DUMMYFUNCTION("""COMPUTED_VALUE"""),45736.6666666666)</f>
        <v>45736.666666666599</v>
      </c>
      <c r="B291" s="2"/>
      <c r="C291" s="1">
        <v>8450</v>
      </c>
      <c r="D291" s="1">
        <v>8475</v>
      </c>
      <c r="E291" s="1">
        <v>8350</v>
      </c>
      <c r="F291" s="1">
        <v>8375</v>
      </c>
      <c r="G291" s="1">
        <v>152917300</v>
      </c>
      <c r="H291" s="8">
        <f t="shared" si="16"/>
        <v>6.006006006006006E-3</v>
      </c>
      <c r="I291" s="8">
        <f t="shared" si="17"/>
        <v>-0.11140583554376658</v>
      </c>
      <c r="J291" s="22">
        <f t="shared" si="18"/>
        <v>8766.25</v>
      </c>
      <c r="K291" s="22">
        <f t="shared" si="15"/>
        <v>9139.5</v>
      </c>
    </row>
    <row r="292" spans="1:11" x14ac:dyDescent="0.2">
      <c r="A292" s="2">
        <f ca="1">IFERROR(__xludf.DUMMYFUNCTION("""COMPUTED_VALUE"""),45737.6666666666)</f>
        <v>45737.666666666599</v>
      </c>
      <c r="B292" s="2"/>
      <c r="C292" s="1">
        <v>8275</v>
      </c>
      <c r="D292" s="1">
        <v>8275</v>
      </c>
      <c r="E292" s="1">
        <v>7900</v>
      </c>
      <c r="F292" s="1">
        <v>7900</v>
      </c>
      <c r="G292" s="1">
        <v>377916400</v>
      </c>
      <c r="H292" s="8">
        <f t="shared" si="16"/>
        <v>-5.6716417910447764E-2</v>
      </c>
      <c r="I292" s="8">
        <f t="shared" si="17"/>
        <v>-0.16180371352785147</v>
      </c>
      <c r="J292" s="22">
        <f t="shared" si="18"/>
        <v>8711.25</v>
      </c>
      <c r="K292" s="22">
        <f t="shared" si="15"/>
        <v>9107</v>
      </c>
    </row>
    <row r="293" spans="1:11" x14ac:dyDescent="0.2">
      <c r="A293" s="2">
        <f ca="1">IFERROR(__xludf.DUMMYFUNCTION("""COMPUTED_VALUE"""),45740.6666666666)</f>
        <v>45740.666666666599</v>
      </c>
      <c r="B293" s="2"/>
      <c r="C293" s="1">
        <v>7825</v>
      </c>
      <c r="D293" s="1">
        <v>8100</v>
      </c>
      <c r="E293" s="1">
        <v>7625</v>
      </c>
      <c r="F293" s="1">
        <v>7950</v>
      </c>
      <c r="G293" s="1">
        <v>331836800</v>
      </c>
      <c r="H293" s="8">
        <f t="shared" si="16"/>
        <v>6.3291139240506328E-3</v>
      </c>
      <c r="I293" s="8">
        <f t="shared" si="17"/>
        <v>-0.15649867374005305</v>
      </c>
      <c r="J293" s="22">
        <f t="shared" si="18"/>
        <v>8662.5</v>
      </c>
      <c r="K293" s="22">
        <f t="shared" si="15"/>
        <v>9072.5</v>
      </c>
    </row>
    <row r="294" spans="1:11" x14ac:dyDescent="0.2">
      <c r="A294" s="2">
        <f ca="1">IFERROR(__xludf.DUMMYFUNCTION("""COMPUTED_VALUE"""),45741.6666666666)</f>
        <v>45741.666666666599</v>
      </c>
      <c r="B294" s="2"/>
      <c r="C294" s="1">
        <v>8075</v>
      </c>
      <c r="D294" s="1">
        <v>8150</v>
      </c>
      <c r="E294" s="1">
        <v>8000</v>
      </c>
      <c r="F294" s="1">
        <v>8050</v>
      </c>
      <c r="G294" s="1">
        <v>136341700</v>
      </c>
      <c r="H294" s="8">
        <f t="shared" si="16"/>
        <v>1.2578616352201259E-2</v>
      </c>
      <c r="I294" s="8">
        <f t="shared" si="17"/>
        <v>-0.14588859416445624</v>
      </c>
      <c r="J294" s="22">
        <f t="shared" si="18"/>
        <v>8623.75</v>
      </c>
      <c r="K294" s="22">
        <f t="shared" si="15"/>
        <v>9036.5</v>
      </c>
    </row>
    <row r="295" spans="1:11" x14ac:dyDescent="0.2">
      <c r="A295" s="2">
        <f ca="1">IFERROR(__xludf.DUMMYFUNCTION("""COMPUTED_VALUE"""),45742.6666666666)</f>
        <v>45742.666666666599</v>
      </c>
      <c r="B295" s="2"/>
      <c r="C295" s="1">
        <v>8300</v>
      </c>
      <c r="D295" s="1">
        <v>8650</v>
      </c>
      <c r="E295" s="1">
        <v>8275</v>
      </c>
      <c r="F295" s="1">
        <v>8525</v>
      </c>
      <c r="G295" s="1">
        <v>283104600</v>
      </c>
      <c r="H295" s="8">
        <f t="shared" si="16"/>
        <v>5.9006211180124224E-2</v>
      </c>
      <c r="I295" s="8">
        <f t="shared" si="17"/>
        <v>-9.5490716180371346E-2</v>
      </c>
      <c r="J295" s="22">
        <f t="shared" si="18"/>
        <v>8611.25</v>
      </c>
      <c r="K295" s="22">
        <f t="shared" si="15"/>
        <v>9012.5</v>
      </c>
    </row>
    <row r="296" spans="1:11" x14ac:dyDescent="0.2">
      <c r="A296" s="2">
        <f ca="1">IFERROR(__xludf.DUMMYFUNCTION("""COMPUTED_VALUE"""),45743.6666666666)</f>
        <v>45743.666666666599</v>
      </c>
      <c r="B296" s="2"/>
      <c r="C296" s="1">
        <v>8425</v>
      </c>
      <c r="D296" s="1">
        <v>8575</v>
      </c>
      <c r="E296" s="1">
        <v>8375</v>
      </c>
      <c r="F296" s="1">
        <v>8500</v>
      </c>
      <c r="G296" s="1">
        <v>122943900</v>
      </c>
      <c r="H296" s="8">
        <f t="shared" si="16"/>
        <v>-2.9325513196480938E-3</v>
      </c>
      <c r="I296" s="8">
        <f t="shared" si="17"/>
        <v>-9.8143236074270557E-2</v>
      </c>
      <c r="J296" s="22">
        <f t="shared" si="18"/>
        <v>8610</v>
      </c>
      <c r="K296" s="22">
        <f t="shared" si="15"/>
        <v>8989</v>
      </c>
    </row>
    <row r="297" spans="1:11" x14ac:dyDescent="0.2">
      <c r="A297" s="2">
        <f ca="1">IFERROR(__xludf.DUMMYFUNCTION("""COMPUTED_VALUE"""),45755.6666666666)</f>
        <v>45755.666666666599</v>
      </c>
      <c r="B297" s="2"/>
      <c r="C297" s="1">
        <v>7400</v>
      </c>
      <c r="D297" s="1">
        <v>8000</v>
      </c>
      <c r="E297" s="1">
        <v>7275</v>
      </c>
      <c r="F297" s="1">
        <v>7775</v>
      </c>
      <c r="G297" s="1">
        <v>533073600</v>
      </c>
      <c r="H297" s="8">
        <f t="shared" si="16"/>
        <v>-8.5294117647058826E-2</v>
      </c>
      <c r="I297" s="8">
        <f t="shared" si="17"/>
        <v>-0.17506631299734748</v>
      </c>
      <c r="J297" s="22">
        <f t="shared" si="18"/>
        <v>8577.5</v>
      </c>
      <c r="K297" s="22">
        <f t="shared" si="15"/>
        <v>8954</v>
      </c>
    </row>
    <row r="298" spans="1:11" x14ac:dyDescent="0.2">
      <c r="A298" s="2">
        <f ca="1">IFERROR(__xludf.DUMMYFUNCTION("""COMPUTED_VALUE"""),45756.6666666666)</f>
        <v>45756.666666666599</v>
      </c>
      <c r="B298" s="2"/>
      <c r="C298" s="1">
        <v>7700</v>
      </c>
      <c r="D298" s="1">
        <v>7950</v>
      </c>
      <c r="E298" s="1">
        <v>7675</v>
      </c>
      <c r="F298" s="1">
        <v>7925</v>
      </c>
      <c r="G298" s="1">
        <v>136753900</v>
      </c>
      <c r="H298" s="8">
        <f t="shared" si="16"/>
        <v>1.9292604501607719E-2</v>
      </c>
      <c r="I298" s="8">
        <f t="shared" si="17"/>
        <v>-0.15915119363395225</v>
      </c>
      <c r="J298" s="22">
        <f t="shared" si="18"/>
        <v>8533.75</v>
      </c>
      <c r="K298" s="22">
        <f t="shared" si="15"/>
        <v>8916.5</v>
      </c>
    </row>
    <row r="299" spans="1:11" x14ac:dyDescent="0.2">
      <c r="A299" s="2">
        <f ca="1">IFERROR(__xludf.DUMMYFUNCTION("""COMPUTED_VALUE"""),45757.6666666666)</f>
        <v>45757.666666666599</v>
      </c>
      <c r="B299" s="2"/>
      <c r="C299" s="1">
        <v>8500</v>
      </c>
      <c r="D299" s="1">
        <v>8650</v>
      </c>
      <c r="E299" s="1">
        <v>8175</v>
      </c>
      <c r="F299" s="1">
        <v>8225</v>
      </c>
      <c r="G299" s="1">
        <v>144148600</v>
      </c>
      <c r="H299" s="8">
        <f t="shared" si="16"/>
        <v>3.7854889589905363E-2</v>
      </c>
      <c r="I299" s="8">
        <f t="shared" si="17"/>
        <v>-0.1273209549071618</v>
      </c>
      <c r="J299" s="22">
        <f t="shared" si="18"/>
        <v>8502.5</v>
      </c>
      <c r="K299" s="22">
        <f t="shared" si="15"/>
        <v>8886</v>
      </c>
    </row>
    <row r="300" spans="1:11" x14ac:dyDescent="0.2">
      <c r="A300" s="2">
        <f ca="1">IFERROR(__xludf.DUMMYFUNCTION("""COMPUTED_VALUE"""),45758.6666666666)</f>
        <v>45758.666666666599</v>
      </c>
      <c r="B300" s="2"/>
      <c r="C300" s="1">
        <v>8200</v>
      </c>
      <c r="D300" s="1">
        <v>8325</v>
      </c>
      <c r="E300" s="1">
        <v>8050</v>
      </c>
      <c r="F300" s="1">
        <v>8275</v>
      </c>
      <c r="G300" s="1">
        <v>82603000</v>
      </c>
      <c r="H300" s="8">
        <f t="shared" si="16"/>
        <v>6.0790273556231003E-3</v>
      </c>
      <c r="I300" s="8">
        <f t="shared" si="17"/>
        <v>-0.1220159151193634</v>
      </c>
      <c r="J300" s="22">
        <f t="shared" si="18"/>
        <v>8466.25</v>
      </c>
      <c r="K300" s="22">
        <f t="shared" si="15"/>
        <v>8853.5</v>
      </c>
    </row>
    <row r="301" spans="1:11" x14ac:dyDescent="0.2">
      <c r="A301" s="2">
        <f ca="1">IFERROR(__xludf.DUMMYFUNCTION("""COMPUTED_VALUE"""),45761.6666666666)</f>
        <v>45761.666666666599</v>
      </c>
      <c r="B301" s="2"/>
      <c r="C301" s="1">
        <v>8250</v>
      </c>
      <c r="D301" s="1">
        <v>8400</v>
      </c>
      <c r="E301" s="1">
        <v>8250</v>
      </c>
      <c r="F301" s="1">
        <v>8400</v>
      </c>
      <c r="G301" s="1">
        <v>83319300</v>
      </c>
      <c r="H301" s="8">
        <f t="shared" si="16"/>
        <v>1.5105740181268883E-2</v>
      </c>
      <c r="I301" s="8">
        <f t="shared" si="17"/>
        <v>-0.10875331564986737</v>
      </c>
      <c r="J301" s="22">
        <f t="shared" si="18"/>
        <v>8437.5</v>
      </c>
      <c r="K301" s="22">
        <f t="shared" si="15"/>
        <v>8829</v>
      </c>
    </row>
    <row r="302" spans="1:11" x14ac:dyDescent="0.2">
      <c r="A302" s="2">
        <f ca="1">IFERROR(__xludf.DUMMYFUNCTION("""COMPUTED_VALUE"""),45762.6666666666)</f>
        <v>45762.666666666599</v>
      </c>
      <c r="B302" s="2"/>
      <c r="C302" s="1">
        <v>8575</v>
      </c>
      <c r="D302" s="1">
        <v>8600</v>
      </c>
      <c r="E302" s="1">
        <v>8450</v>
      </c>
      <c r="F302" s="1">
        <v>8575</v>
      </c>
      <c r="G302" s="1">
        <v>83431800</v>
      </c>
      <c r="H302" s="8">
        <f t="shared" si="16"/>
        <v>2.0833333333333332E-2</v>
      </c>
      <c r="I302" s="8">
        <f t="shared" si="17"/>
        <v>-9.0185676392572939E-2</v>
      </c>
      <c r="J302" s="22">
        <f t="shared" si="18"/>
        <v>8420</v>
      </c>
      <c r="K302" s="22">
        <f t="shared" si="15"/>
        <v>8809</v>
      </c>
    </row>
    <row r="303" spans="1:11" x14ac:dyDescent="0.2">
      <c r="A303" s="2">
        <f ca="1">IFERROR(__xludf.DUMMYFUNCTION("""COMPUTED_VALUE"""),45763.6666666666)</f>
        <v>45763.666666666599</v>
      </c>
      <c r="B303" s="2"/>
      <c r="C303" s="1">
        <v>8500</v>
      </c>
      <c r="D303" s="1">
        <v>8550</v>
      </c>
      <c r="E303" s="1">
        <v>8425</v>
      </c>
      <c r="F303" s="1">
        <v>8475</v>
      </c>
      <c r="G303" s="1">
        <v>76874900</v>
      </c>
      <c r="H303" s="8">
        <f t="shared" si="16"/>
        <v>-1.1661807580174927E-2</v>
      </c>
      <c r="I303" s="8">
        <f t="shared" si="17"/>
        <v>-0.10079575596816977</v>
      </c>
      <c r="J303" s="22">
        <f t="shared" si="18"/>
        <v>8397.5</v>
      </c>
      <c r="K303" s="22">
        <f t="shared" si="15"/>
        <v>8786.5</v>
      </c>
    </row>
    <row r="304" spans="1:11" x14ac:dyDescent="0.2">
      <c r="A304" s="2">
        <f ca="1">IFERROR(__xludf.DUMMYFUNCTION("""COMPUTED_VALUE"""),45764.6666666666)</f>
        <v>45764.666666666599</v>
      </c>
      <c r="B304" s="2"/>
      <c r="C304" s="1">
        <v>8450</v>
      </c>
      <c r="D304" s="1">
        <v>8500</v>
      </c>
      <c r="E304" s="1">
        <v>8350</v>
      </c>
      <c r="F304" s="1">
        <v>8500</v>
      </c>
      <c r="G304" s="1">
        <v>83540600</v>
      </c>
      <c r="H304" s="8">
        <f t="shared" si="16"/>
        <v>2.9498525073746312E-3</v>
      </c>
      <c r="I304" s="8">
        <f t="shared" si="17"/>
        <v>-9.8143236074270557E-2</v>
      </c>
      <c r="J304" s="22">
        <f t="shared" si="18"/>
        <v>8376.25</v>
      </c>
      <c r="K304" s="22">
        <f t="shared" si="15"/>
        <v>8764.5</v>
      </c>
    </row>
    <row r="305" spans="1:11" x14ac:dyDescent="0.2">
      <c r="A305" s="2">
        <f ca="1">IFERROR(__xludf.DUMMYFUNCTION("""COMPUTED_VALUE"""),45768.6666666666)</f>
        <v>45768.666666666599</v>
      </c>
      <c r="B305" s="2"/>
      <c r="C305" s="1">
        <v>8500</v>
      </c>
      <c r="D305" s="1">
        <v>8500</v>
      </c>
      <c r="E305" s="1">
        <v>8300</v>
      </c>
      <c r="F305" s="1">
        <v>8300</v>
      </c>
      <c r="G305" s="1">
        <v>40683800</v>
      </c>
      <c r="H305" s="8">
        <f t="shared" si="16"/>
        <v>-2.3529411764705882E-2</v>
      </c>
      <c r="I305" s="8">
        <f t="shared" si="17"/>
        <v>-0.11936339522546419</v>
      </c>
      <c r="J305" s="22">
        <f t="shared" si="18"/>
        <v>8335</v>
      </c>
      <c r="K305" s="22">
        <f t="shared" si="15"/>
        <v>8743.5</v>
      </c>
    </row>
    <row r="306" spans="1:11" x14ac:dyDescent="0.2">
      <c r="A306" s="2">
        <f ca="1">IFERROR(__xludf.DUMMYFUNCTION("""COMPUTED_VALUE"""),45769.6666666666)</f>
        <v>45769.666666666599</v>
      </c>
      <c r="B306" s="2"/>
      <c r="C306" s="1">
        <v>8325</v>
      </c>
      <c r="D306" s="1">
        <v>8500</v>
      </c>
      <c r="E306" s="1">
        <v>8325</v>
      </c>
      <c r="F306" s="1">
        <v>8500</v>
      </c>
      <c r="G306" s="1">
        <v>56537100</v>
      </c>
      <c r="H306" s="8">
        <f t="shared" si="16"/>
        <v>2.4096385542168676E-2</v>
      </c>
      <c r="I306" s="8">
        <f t="shared" si="17"/>
        <v>-9.8143236074270557E-2</v>
      </c>
      <c r="J306" s="22">
        <f t="shared" si="18"/>
        <v>8311.25</v>
      </c>
      <c r="K306" s="22">
        <f t="shared" si="15"/>
        <v>8730.5</v>
      </c>
    </row>
    <row r="307" spans="1:11" x14ac:dyDescent="0.2">
      <c r="A307" s="2">
        <f ca="1">IFERROR(__xludf.DUMMYFUNCTION("""COMPUTED_VALUE"""),45770.6666666666)</f>
        <v>45770.666666666599</v>
      </c>
      <c r="B307" s="2"/>
      <c r="C307" s="1">
        <v>8550</v>
      </c>
      <c r="D307" s="1">
        <v>8725</v>
      </c>
      <c r="E307" s="1">
        <v>8550</v>
      </c>
      <c r="F307" s="1">
        <v>8725</v>
      </c>
      <c r="G307" s="1">
        <v>92329600</v>
      </c>
      <c r="H307" s="8">
        <f t="shared" si="16"/>
        <v>2.6470588235294117E-2</v>
      </c>
      <c r="I307" s="8">
        <f t="shared" si="17"/>
        <v>-7.4270557029177717E-2</v>
      </c>
      <c r="J307" s="22">
        <f t="shared" si="18"/>
        <v>8310</v>
      </c>
      <c r="K307" s="22">
        <f t="shared" si="15"/>
        <v>8716</v>
      </c>
    </row>
    <row r="308" spans="1:11" x14ac:dyDescent="0.2">
      <c r="A308" s="2">
        <f ca="1">IFERROR(__xludf.DUMMYFUNCTION("""COMPUTED_VALUE"""),45771.6666666666)</f>
        <v>45771.666666666599</v>
      </c>
      <c r="B308" s="2"/>
      <c r="C308" s="1">
        <v>8850</v>
      </c>
      <c r="D308" s="1">
        <v>8850</v>
      </c>
      <c r="E308" s="1">
        <v>8475</v>
      </c>
      <c r="F308" s="1">
        <v>8475</v>
      </c>
      <c r="G308" s="1">
        <v>143675300</v>
      </c>
      <c r="H308" s="8">
        <f t="shared" si="16"/>
        <v>-2.865329512893983E-2</v>
      </c>
      <c r="I308" s="8">
        <f t="shared" si="17"/>
        <v>-0.10079575596816977</v>
      </c>
      <c r="J308" s="22">
        <f t="shared" si="18"/>
        <v>8303.75</v>
      </c>
      <c r="K308" s="22">
        <f t="shared" ref="K308:K371" si="19">AVERAGE(F259:F308)</f>
        <v>8698.5</v>
      </c>
    </row>
    <row r="309" spans="1:11" x14ac:dyDescent="0.2">
      <c r="A309" s="2">
        <f ca="1">IFERROR(__xludf.DUMMYFUNCTION("""COMPUTED_VALUE"""),45772.6666666666)</f>
        <v>45772.666666666599</v>
      </c>
      <c r="B309" s="2"/>
      <c r="C309" s="1">
        <v>8650</v>
      </c>
      <c r="D309" s="1">
        <v>8650</v>
      </c>
      <c r="E309" s="1">
        <v>8575</v>
      </c>
      <c r="F309" s="1">
        <v>8600</v>
      </c>
      <c r="G309" s="1">
        <v>58297000</v>
      </c>
      <c r="H309" s="8">
        <f t="shared" si="16"/>
        <v>1.4749262536873156E-2</v>
      </c>
      <c r="I309" s="8">
        <f t="shared" si="17"/>
        <v>-8.7533156498673742E-2</v>
      </c>
      <c r="J309" s="22">
        <f t="shared" si="18"/>
        <v>8318.75</v>
      </c>
      <c r="K309" s="22">
        <f t="shared" si="19"/>
        <v>8687</v>
      </c>
    </row>
    <row r="310" spans="1:11" x14ac:dyDescent="0.2">
      <c r="A310" s="2">
        <f ca="1">IFERROR(__xludf.DUMMYFUNCTION("""COMPUTED_VALUE"""),45775.6666666666)</f>
        <v>45775.666666666599</v>
      </c>
      <c r="B310" s="2"/>
      <c r="C310" s="1">
        <v>8750</v>
      </c>
      <c r="D310" s="1">
        <v>8775</v>
      </c>
      <c r="E310" s="1">
        <v>8650</v>
      </c>
      <c r="F310" s="1">
        <v>8775</v>
      </c>
      <c r="G310" s="1">
        <v>73235400</v>
      </c>
      <c r="H310" s="8">
        <f t="shared" si="16"/>
        <v>2.0348837209302327E-2</v>
      </c>
      <c r="I310" s="8">
        <f t="shared" si="17"/>
        <v>-6.8965517241379309E-2</v>
      </c>
      <c r="J310" s="22">
        <f t="shared" si="18"/>
        <v>8341.25</v>
      </c>
      <c r="K310" s="22">
        <f t="shared" si="19"/>
        <v>8680</v>
      </c>
    </row>
    <row r="311" spans="1:11" x14ac:dyDescent="0.2">
      <c r="A311" s="2">
        <f ca="1">IFERROR(__xludf.DUMMYFUNCTION("""COMPUTED_VALUE"""),45776.6666666666)</f>
        <v>45776.666666666599</v>
      </c>
      <c r="B311" s="2"/>
      <c r="C311" s="1">
        <v>8800</v>
      </c>
      <c r="D311" s="1">
        <v>8825</v>
      </c>
      <c r="E311" s="1">
        <v>8700</v>
      </c>
      <c r="F311" s="1">
        <v>8725</v>
      </c>
      <c r="G311" s="1">
        <v>60315700</v>
      </c>
      <c r="H311" s="8">
        <f t="shared" si="16"/>
        <v>-5.6980056980056983E-3</v>
      </c>
      <c r="I311" s="8">
        <f t="shared" si="17"/>
        <v>-7.4270557029177717E-2</v>
      </c>
      <c r="J311" s="22">
        <f t="shared" si="18"/>
        <v>8358.75</v>
      </c>
      <c r="K311" s="22">
        <f t="shared" si="19"/>
        <v>8675.5</v>
      </c>
    </row>
    <row r="312" spans="1:11" x14ac:dyDescent="0.2">
      <c r="A312" s="2">
        <f ca="1">IFERROR(__xludf.DUMMYFUNCTION("""COMPUTED_VALUE"""),45777.6666666666)</f>
        <v>45777.666666666599</v>
      </c>
      <c r="B312" s="2"/>
      <c r="C312" s="1">
        <v>8800</v>
      </c>
      <c r="D312" s="1">
        <v>8925</v>
      </c>
      <c r="E312" s="1">
        <v>8675</v>
      </c>
      <c r="F312" s="1">
        <v>8825</v>
      </c>
      <c r="G312" s="1">
        <v>164597500</v>
      </c>
      <c r="H312" s="8">
        <f t="shared" si="16"/>
        <v>1.1461318051575931E-2</v>
      </c>
      <c r="I312" s="8">
        <f t="shared" si="17"/>
        <v>-6.3660477453580902E-2</v>
      </c>
      <c r="J312" s="22">
        <f t="shared" si="18"/>
        <v>8405</v>
      </c>
      <c r="K312" s="22">
        <f t="shared" si="19"/>
        <v>8665</v>
      </c>
    </row>
    <row r="313" spans="1:11" x14ac:dyDescent="0.2">
      <c r="A313" s="2">
        <f ca="1">IFERROR(__xludf.DUMMYFUNCTION("""COMPUTED_VALUE"""),45779.6666666666)</f>
        <v>45779.666666666599</v>
      </c>
      <c r="B313" s="2"/>
      <c r="C313" s="1">
        <v>9000</v>
      </c>
      <c r="D313" s="1">
        <v>9000</v>
      </c>
      <c r="E313" s="1">
        <v>8850</v>
      </c>
      <c r="F313" s="1">
        <v>8975</v>
      </c>
      <c r="G313" s="1">
        <v>92219000</v>
      </c>
      <c r="H313" s="8">
        <f t="shared" si="16"/>
        <v>1.69971671388102E-2</v>
      </c>
      <c r="I313" s="8">
        <f t="shared" si="17"/>
        <v>-4.7745358090185673E-2</v>
      </c>
      <c r="J313" s="22">
        <f t="shared" si="18"/>
        <v>8456.25</v>
      </c>
      <c r="K313" s="22">
        <f t="shared" si="19"/>
        <v>8661.5</v>
      </c>
    </row>
    <row r="314" spans="1:11" x14ac:dyDescent="0.2">
      <c r="A314" s="2">
        <f ca="1">IFERROR(__xludf.DUMMYFUNCTION("""COMPUTED_VALUE"""),45782.6666666666)</f>
        <v>45782.666666666599</v>
      </c>
      <c r="B314" s="2"/>
      <c r="C314" s="1">
        <v>9000</v>
      </c>
      <c r="D314" s="1">
        <v>9050</v>
      </c>
      <c r="E314" s="1">
        <v>8975</v>
      </c>
      <c r="F314" s="1">
        <v>8975</v>
      </c>
      <c r="G314" s="1">
        <v>86385600</v>
      </c>
      <c r="H314" s="8">
        <f t="shared" si="16"/>
        <v>0</v>
      </c>
      <c r="I314" s="8">
        <f t="shared" si="17"/>
        <v>-4.7745358090185673E-2</v>
      </c>
      <c r="J314" s="22">
        <f t="shared" si="18"/>
        <v>8502.5</v>
      </c>
      <c r="K314" s="22">
        <f t="shared" si="19"/>
        <v>8659.5</v>
      </c>
    </row>
    <row r="315" spans="1:11" x14ac:dyDescent="0.2">
      <c r="A315" s="2">
        <f ca="1">IFERROR(__xludf.DUMMYFUNCTION("""COMPUTED_VALUE"""),45783.6666666666)</f>
        <v>45783.666666666599</v>
      </c>
      <c r="B315" s="2"/>
      <c r="C315" s="1">
        <v>9050</v>
      </c>
      <c r="D315" s="1">
        <v>9050</v>
      </c>
      <c r="E315" s="1">
        <v>8975</v>
      </c>
      <c r="F315" s="1">
        <v>9025</v>
      </c>
      <c r="G315" s="1">
        <v>48860500</v>
      </c>
      <c r="H315" s="8">
        <f t="shared" si="16"/>
        <v>5.5710306406685237E-3</v>
      </c>
      <c r="I315" s="8">
        <f t="shared" si="17"/>
        <v>-4.2440318302387266E-2</v>
      </c>
      <c r="J315" s="22">
        <f t="shared" si="18"/>
        <v>8527.5</v>
      </c>
      <c r="K315" s="22">
        <f t="shared" si="19"/>
        <v>8657</v>
      </c>
    </row>
    <row r="316" spans="1:11" x14ac:dyDescent="0.2">
      <c r="A316" s="2">
        <f ca="1">IFERROR(__xludf.DUMMYFUNCTION("""COMPUTED_VALUE"""),45784.6666666666)</f>
        <v>45784.666666666599</v>
      </c>
      <c r="B316" s="2"/>
      <c r="C316" s="1">
        <v>9075</v>
      </c>
      <c r="D316" s="1">
        <v>9100</v>
      </c>
      <c r="E316" s="1">
        <v>9000</v>
      </c>
      <c r="F316" s="1">
        <v>9075</v>
      </c>
      <c r="G316" s="1">
        <v>77382000</v>
      </c>
      <c r="H316" s="8">
        <f t="shared" si="16"/>
        <v>5.5401662049861496E-3</v>
      </c>
      <c r="I316" s="8">
        <f t="shared" si="17"/>
        <v>-3.7135278514588858E-2</v>
      </c>
      <c r="J316" s="22">
        <f t="shared" si="18"/>
        <v>8556.25</v>
      </c>
      <c r="K316" s="22">
        <f t="shared" si="19"/>
        <v>8658.5</v>
      </c>
    </row>
    <row r="317" spans="1:11" x14ac:dyDescent="0.2">
      <c r="A317" s="2">
        <f ca="1">IFERROR(__xludf.DUMMYFUNCTION("""COMPUTED_VALUE"""),45785.6666666666)</f>
        <v>45785.666666666599</v>
      </c>
      <c r="B317" s="2"/>
      <c r="C317" s="1">
        <v>9075</v>
      </c>
      <c r="D317" s="1">
        <v>9200</v>
      </c>
      <c r="E317" s="1">
        <v>8925</v>
      </c>
      <c r="F317" s="1">
        <v>8975</v>
      </c>
      <c r="G317" s="1">
        <v>99614500</v>
      </c>
      <c r="H317" s="8">
        <f t="shared" si="16"/>
        <v>-1.1019283746556474E-2</v>
      </c>
      <c r="I317" s="8">
        <f t="shared" si="17"/>
        <v>-4.7745358090185673E-2</v>
      </c>
      <c r="J317" s="22">
        <f t="shared" si="18"/>
        <v>8616.25</v>
      </c>
      <c r="K317" s="22">
        <f t="shared" si="19"/>
        <v>8658.5</v>
      </c>
    </row>
    <row r="318" spans="1:11" x14ac:dyDescent="0.2">
      <c r="A318" s="2">
        <f ca="1">IFERROR(__xludf.DUMMYFUNCTION("""COMPUTED_VALUE"""),45786.6666666666)</f>
        <v>45786.666666666599</v>
      </c>
      <c r="B318" s="2"/>
      <c r="C318" s="1">
        <v>9050</v>
      </c>
      <c r="D318" s="1">
        <v>9050</v>
      </c>
      <c r="E318" s="1">
        <v>8975</v>
      </c>
      <c r="F318" s="1">
        <v>9000</v>
      </c>
      <c r="G318" s="1">
        <v>47167500</v>
      </c>
      <c r="H318" s="8">
        <f t="shared" si="16"/>
        <v>2.7855153203342618E-3</v>
      </c>
      <c r="I318" s="8">
        <f t="shared" si="17"/>
        <v>-4.5092838196286469E-2</v>
      </c>
      <c r="J318" s="22">
        <f t="shared" si="18"/>
        <v>8670</v>
      </c>
      <c r="K318" s="22">
        <f t="shared" si="19"/>
        <v>8652</v>
      </c>
    </row>
    <row r="319" spans="1:11" x14ac:dyDescent="0.2">
      <c r="A319" s="2">
        <f ca="1">IFERROR(__xludf.DUMMYFUNCTION("""COMPUTED_VALUE"""),45791.6666666666)</f>
        <v>45791.666666666599</v>
      </c>
      <c r="B319" s="2"/>
      <c r="C319" s="1">
        <v>9250</v>
      </c>
      <c r="D319" s="1">
        <v>9300</v>
      </c>
      <c r="E319" s="1">
        <v>9150</v>
      </c>
      <c r="F319" s="1">
        <v>9275</v>
      </c>
      <c r="G319" s="1">
        <v>149002900</v>
      </c>
      <c r="H319" s="8">
        <f t="shared" si="16"/>
        <v>3.0555555555555555E-2</v>
      </c>
      <c r="I319" s="8">
        <f t="shared" si="17"/>
        <v>-1.5915119363395226E-2</v>
      </c>
      <c r="J319" s="22">
        <f t="shared" si="18"/>
        <v>8722.5</v>
      </c>
      <c r="K319" s="22">
        <f t="shared" si="19"/>
        <v>8651.5</v>
      </c>
    </row>
    <row r="320" spans="1:11" x14ac:dyDescent="0.2">
      <c r="A320" s="2">
        <f ca="1">IFERROR(__xludf.DUMMYFUNCTION("""COMPUTED_VALUE"""),45792.6666666666)</f>
        <v>45792.666666666599</v>
      </c>
      <c r="B320" s="2"/>
      <c r="C320" s="1">
        <v>9275</v>
      </c>
      <c r="D320" s="1">
        <v>9400</v>
      </c>
      <c r="E320" s="1">
        <v>9250</v>
      </c>
      <c r="F320" s="1">
        <v>9275</v>
      </c>
      <c r="G320" s="1">
        <v>101401300</v>
      </c>
      <c r="H320" s="8">
        <f t="shared" si="16"/>
        <v>0</v>
      </c>
      <c r="I320" s="8">
        <f t="shared" si="17"/>
        <v>-1.5915119363395226E-2</v>
      </c>
      <c r="J320" s="22">
        <f t="shared" si="18"/>
        <v>8772.5</v>
      </c>
      <c r="K320" s="22">
        <f t="shared" si="19"/>
        <v>8658</v>
      </c>
    </row>
    <row r="321" spans="1:11" x14ac:dyDescent="0.2">
      <c r="A321" s="2">
        <f ca="1">IFERROR(__xludf.DUMMYFUNCTION("""COMPUTED_VALUE"""),45793.6666666666)</f>
        <v>45793.666666666599</v>
      </c>
      <c r="B321" s="2"/>
      <c r="C321" s="1">
        <v>9300</v>
      </c>
      <c r="D321" s="1">
        <v>9325</v>
      </c>
      <c r="E321" s="1">
        <v>9225</v>
      </c>
      <c r="F321" s="1">
        <v>9300</v>
      </c>
      <c r="G321" s="1">
        <v>63007500</v>
      </c>
      <c r="H321" s="8">
        <f t="shared" si="16"/>
        <v>2.6954177897574125E-3</v>
      </c>
      <c r="I321" s="8">
        <f t="shared" si="17"/>
        <v>-1.3262599469496022E-2</v>
      </c>
      <c r="J321" s="22">
        <f t="shared" si="18"/>
        <v>8817.5</v>
      </c>
      <c r="K321" s="22">
        <f t="shared" si="19"/>
        <v>8664</v>
      </c>
    </row>
    <row r="322" spans="1:11" x14ac:dyDescent="0.2">
      <c r="A322" s="2">
        <f ca="1">IFERROR(__xludf.DUMMYFUNCTION("""COMPUTED_VALUE"""),45796.6666666666)</f>
        <v>45796.666666666599</v>
      </c>
      <c r="B322" s="2"/>
      <c r="C322" s="1">
        <v>9275</v>
      </c>
      <c r="D322" s="1">
        <v>9500</v>
      </c>
      <c r="E322" s="1">
        <v>9250</v>
      </c>
      <c r="F322" s="1">
        <v>9500</v>
      </c>
      <c r="G322" s="1">
        <v>111597200</v>
      </c>
      <c r="H322" s="8">
        <f t="shared" si="16"/>
        <v>2.1505376344086023E-2</v>
      </c>
      <c r="I322" s="8">
        <f t="shared" si="17"/>
        <v>7.9575596816976128E-3</v>
      </c>
      <c r="J322" s="22">
        <f t="shared" si="18"/>
        <v>8863.75</v>
      </c>
      <c r="K322" s="22">
        <f t="shared" si="19"/>
        <v>8674</v>
      </c>
    </row>
    <row r="323" spans="1:11" x14ac:dyDescent="0.2">
      <c r="A323" s="2">
        <f ca="1">IFERROR(__xludf.DUMMYFUNCTION("""COMPUTED_VALUE"""),45797.6666666666)</f>
        <v>45797.666666666599</v>
      </c>
      <c r="B323" s="2"/>
      <c r="C323" s="1">
        <v>9500</v>
      </c>
      <c r="D323" s="1">
        <v>9675</v>
      </c>
      <c r="E323" s="1">
        <v>9475</v>
      </c>
      <c r="F323" s="1">
        <v>9475</v>
      </c>
      <c r="G323" s="1">
        <v>160614800</v>
      </c>
      <c r="H323" s="8">
        <f t="shared" si="16"/>
        <v>-2.631578947368421E-3</v>
      </c>
      <c r="I323" s="8">
        <f t="shared" si="17"/>
        <v>5.3050397877984082E-3</v>
      </c>
      <c r="J323" s="22">
        <f t="shared" si="18"/>
        <v>8913.75</v>
      </c>
      <c r="K323" s="22">
        <f t="shared" si="19"/>
        <v>8685</v>
      </c>
    </row>
    <row r="324" spans="1:11" x14ac:dyDescent="0.2">
      <c r="A324" s="2">
        <f ca="1">IFERROR(__xludf.DUMMYFUNCTION("""COMPUTED_VALUE"""),45798.6666666666)</f>
        <v>45798.666666666599</v>
      </c>
      <c r="B324" s="2"/>
      <c r="C324" s="1">
        <v>9700</v>
      </c>
      <c r="D324" s="1">
        <v>9725</v>
      </c>
      <c r="E324" s="1">
        <v>9550</v>
      </c>
      <c r="F324" s="1">
        <v>9700</v>
      </c>
      <c r="G324" s="1">
        <v>169735400</v>
      </c>
      <c r="H324" s="8">
        <f t="shared" ref="H324:H387" si="20">(F324-F323)/F323</f>
        <v>2.3746701846965697E-2</v>
      </c>
      <c r="I324" s="8">
        <f t="shared" ref="I324:I387" si="21">(F324-$F$2)/$F$2</f>
        <v>2.9177718832891247E-2</v>
      </c>
      <c r="J324" s="22">
        <f t="shared" si="18"/>
        <v>8973.75</v>
      </c>
      <c r="K324" s="22">
        <f t="shared" si="19"/>
        <v>8702.5</v>
      </c>
    </row>
    <row r="325" spans="1:11" x14ac:dyDescent="0.2">
      <c r="A325" s="2">
        <f ca="1">IFERROR(__xludf.DUMMYFUNCTION("""COMPUTED_VALUE"""),45799.6666666666)</f>
        <v>45799.666666666599</v>
      </c>
      <c r="B325" s="2"/>
      <c r="C325" s="1">
        <v>9800</v>
      </c>
      <c r="D325" s="1">
        <v>9800</v>
      </c>
      <c r="E325" s="1">
        <v>9650</v>
      </c>
      <c r="F325" s="1">
        <v>9650</v>
      </c>
      <c r="G325" s="1">
        <v>103113000</v>
      </c>
      <c r="H325" s="8">
        <f t="shared" si="20"/>
        <v>-5.1546391752577319E-3</v>
      </c>
      <c r="I325" s="8">
        <f t="shared" si="21"/>
        <v>2.3872679045092837E-2</v>
      </c>
      <c r="J325" s="22">
        <f t="shared" si="18"/>
        <v>9041.25</v>
      </c>
      <c r="K325" s="22">
        <f t="shared" si="19"/>
        <v>8720</v>
      </c>
    </row>
    <row r="326" spans="1:11" x14ac:dyDescent="0.2">
      <c r="A326" s="2">
        <f ca="1">IFERROR(__xludf.DUMMYFUNCTION("""COMPUTED_VALUE"""),45800.6666666666)</f>
        <v>45800.666666666599</v>
      </c>
      <c r="B326" s="2"/>
      <c r="C326" s="1">
        <v>9750</v>
      </c>
      <c r="D326" s="1">
        <v>9750</v>
      </c>
      <c r="E326" s="1">
        <v>9625</v>
      </c>
      <c r="F326" s="1">
        <v>9675</v>
      </c>
      <c r="G326" s="1">
        <v>56627400</v>
      </c>
      <c r="H326" s="8">
        <f t="shared" si="20"/>
        <v>2.5906735751295338E-3</v>
      </c>
      <c r="I326" s="8">
        <f t="shared" si="21"/>
        <v>2.6525198938992044E-2</v>
      </c>
      <c r="J326" s="22">
        <f t="shared" si="18"/>
        <v>9100</v>
      </c>
      <c r="K326" s="22">
        <f t="shared" si="19"/>
        <v>8743</v>
      </c>
    </row>
    <row r="327" spans="1:11" x14ac:dyDescent="0.2">
      <c r="A327" s="2">
        <f ca="1">IFERROR(__xludf.DUMMYFUNCTION("""COMPUTED_VALUE"""),45803.6666666666)</f>
        <v>45803.666666666599</v>
      </c>
      <c r="B327" s="2"/>
      <c r="C327" s="1">
        <v>9600</v>
      </c>
      <c r="D327" s="1">
        <v>9650</v>
      </c>
      <c r="E327" s="1">
        <v>9500</v>
      </c>
      <c r="F327" s="1">
        <v>9625</v>
      </c>
      <c r="G327" s="1">
        <v>56625300</v>
      </c>
      <c r="H327" s="8">
        <f t="shared" si="20"/>
        <v>-5.1679586563307496E-3</v>
      </c>
      <c r="I327" s="8">
        <f t="shared" si="21"/>
        <v>2.1220159151193633E-2</v>
      </c>
      <c r="J327" s="22">
        <f t="shared" si="18"/>
        <v>9145</v>
      </c>
      <c r="K327" s="22">
        <f t="shared" si="19"/>
        <v>8767</v>
      </c>
    </row>
    <row r="328" spans="1:11" x14ac:dyDescent="0.2">
      <c r="A328" s="2">
        <f ca="1">IFERROR(__xludf.DUMMYFUNCTION("""COMPUTED_VALUE"""),45804.6666666666)</f>
        <v>45804.666666666599</v>
      </c>
      <c r="B328" s="2"/>
      <c r="C328" s="1">
        <v>9550</v>
      </c>
      <c r="D328" s="1">
        <v>9600</v>
      </c>
      <c r="E328" s="1">
        <v>9450</v>
      </c>
      <c r="F328" s="1">
        <v>9450</v>
      </c>
      <c r="G328" s="1">
        <v>93212000</v>
      </c>
      <c r="H328" s="8">
        <f t="shared" si="20"/>
        <v>-1.8181818181818181E-2</v>
      </c>
      <c r="I328" s="8">
        <f t="shared" si="21"/>
        <v>2.6525198938992041E-3</v>
      </c>
      <c r="J328" s="22">
        <f t="shared" si="18"/>
        <v>9193.75</v>
      </c>
      <c r="K328" s="22">
        <f t="shared" si="19"/>
        <v>8780</v>
      </c>
    </row>
    <row r="329" spans="1:11" x14ac:dyDescent="0.2">
      <c r="A329" s="2">
        <f ca="1">IFERROR(__xludf.DUMMYFUNCTION("""COMPUTED_VALUE"""),45805.6666666666)</f>
        <v>45805.666666666599</v>
      </c>
      <c r="B329" s="2"/>
      <c r="C329" s="1">
        <v>9450</v>
      </c>
      <c r="D329" s="1">
        <v>9550</v>
      </c>
      <c r="E329" s="1">
        <v>9400</v>
      </c>
      <c r="F329" s="1">
        <v>9400</v>
      </c>
      <c r="G329" s="1">
        <v>236950800</v>
      </c>
      <c r="H329" s="8">
        <f t="shared" si="20"/>
        <v>-5.2910052910052907E-3</v>
      </c>
      <c r="I329" s="8">
        <f t="shared" si="21"/>
        <v>-2.6525198938992041E-3</v>
      </c>
      <c r="J329" s="22">
        <f t="shared" si="18"/>
        <v>9233.75</v>
      </c>
      <c r="K329" s="22">
        <f t="shared" si="19"/>
        <v>8791</v>
      </c>
    </row>
    <row r="330" spans="1:11" x14ac:dyDescent="0.2">
      <c r="A330" s="2">
        <f ca="1">IFERROR(__xludf.DUMMYFUNCTION("""COMPUTED_VALUE"""),45810.6666666666)</f>
        <v>45810.666666666599</v>
      </c>
      <c r="B330" s="2"/>
      <c r="C330" s="1">
        <v>9025</v>
      </c>
      <c r="D330" s="1">
        <v>9175</v>
      </c>
      <c r="E330" s="1">
        <v>9025</v>
      </c>
      <c r="F330" s="1">
        <v>9100</v>
      </c>
      <c r="G330" s="1">
        <v>264428700</v>
      </c>
      <c r="H330" s="8">
        <f t="shared" si="20"/>
        <v>-3.1914893617021274E-2</v>
      </c>
      <c r="I330" s="8">
        <f t="shared" si="21"/>
        <v>-3.4482758620689655E-2</v>
      </c>
      <c r="J330" s="22">
        <f t="shared" si="18"/>
        <v>9250</v>
      </c>
      <c r="K330" s="22">
        <f t="shared" si="19"/>
        <v>8793</v>
      </c>
    </row>
    <row r="331" spans="1:11" x14ac:dyDescent="0.2">
      <c r="A331" s="2">
        <f ca="1">IFERROR(__xludf.DUMMYFUNCTION("""COMPUTED_VALUE"""),45811.6666666666)</f>
        <v>45811.666666666599</v>
      </c>
      <c r="B331" s="2"/>
      <c r="C331" s="1">
        <v>9050</v>
      </c>
      <c r="D331" s="1">
        <v>9125</v>
      </c>
      <c r="E331" s="1">
        <v>8950</v>
      </c>
      <c r="F331" s="1">
        <v>9050</v>
      </c>
      <c r="G331" s="1">
        <v>128318100</v>
      </c>
      <c r="H331" s="8">
        <f t="shared" si="20"/>
        <v>-5.4945054945054949E-3</v>
      </c>
      <c r="I331" s="8">
        <f t="shared" si="21"/>
        <v>-3.9787798408488062E-2</v>
      </c>
      <c r="J331" s="22">
        <f t="shared" si="18"/>
        <v>9266.25</v>
      </c>
      <c r="K331" s="22">
        <f t="shared" si="19"/>
        <v>8794.5</v>
      </c>
    </row>
    <row r="332" spans="1:11" x14ac:dyDescent="0.2">
      <c r="A332" s="2">
        <f ca="1">IFERROR(__xludf.DUMMYFUNCTION("""COMPUTED_VALUE"""),45812.6666666666)</f>
        <v>45812.666666666599</v>
      </c>
      <c r="B332" s="2"/>
      <c r="C332" s="1">
        <v>9100</v>
      </c>
      <c r="D332" s="1">
        <v>9125</v>
      </c>
      <c r="E332" s="1">
        <v>8950</v>
      </c>
      <c r="F332" s="1">
        <v>8975</v>
      </c>
      <c r="G332" s="1">
        <v>93357200</v>
      </c>
      <c r="H332" s="8">
        <f t="shared" si="20"/>
        <v>-8.2872928176795577E-3</v>
      </c>
      <c r="I332" s="8">
        <f t="shared" si="21"/>
        <v>-4.7745358090185673E-2</v>
      </c>
      <c r="J332" s="22">
        <f t="shared" si="18"/>
        <v>9273.75</v>
      </c>
      <c r="K332" s="22">
        <f t="shared" si="19"/>
        <v>8795.5</v>
      </c>
    </row>
    <row r="333" spans="1:11" x14ac:dyDescent="0.2">
      <c r="A333" s="2">
        <f ca="1">IFERROR(__xludf.DUMMYFUNCTION("""COMPUTED_VALUE"""),45813.6666666666)</f>
        <v>45813.666666666599</v>
      </c>
      <c r="B333" s="2"/>
      <c r="C333" s="1">
        <v>9000</v>
      </c>
      <c r="D333" s="1">
        <v>9050</v>
      </c>
      <c r="E333" s="1">
        <v>8900</v>
      </c>
      <c r="F333" s="1">
        <v>8925</v>
      </c>
      <c r="G333" s="1">
        <v>95529000</v>
      </c>
      <c r="H333" s="8">
        <f t="shared" si="20"/>
        <v>-5.5710306406685237E-3</v>
      </c>
      <c r="I333" s="8">
        <f t="shared" si="21"/>
        <v>-5.3050397877984087E-2</v>
      </c>
      <c r="J333" s="22">
        <f t="shared" si="18"/>
        <v>9271.25</v>
      </c>
      <c r="K333" s="22">
        <f t="shared" si="19"/>
        <v>8795.5</v>
      </c>
    </row>
    <row r="334" spans="1:11" x14ac:dyDescent="0.2">
      <c r="A334" s="2">
        <f ca="1">IFERROR(__xludf.DUMMYFUNCTION("""COMPUTED_VALUE"""),45818.6666666666)</f>
        <v>45818.666666666599</v>
      </c>
      <c r="B334" s="2"/>
      <c r="C334" s="1">
        <v>8975</v>
      </c>
      <c r="D334" s="1">
        <v>9100</v>
      </c>
      <c r="E334" s="1">
        <v>8950</v>
      </c>
      <c r="F334" s="1">
        <v>9100</v>
      </c>
      <c r="G334" s="1">
        <v>80406400</v>
      </c>
      <c r="H334" s="8">
        <f t="shared" si="20"/>
        <v>1.9607843137254902E-2</v>
      </c>
      <c r="I334" s="8">
        <f t="shared" si="21"/>
        <v>-3.4482758620689655E-2</v>
      </c>
      <c r="J334" s="22">
        <f t="shared" si="18"/>
        <v>9277.5</v>
      </c>
      <c r="K334" s="22">
        <f t="shared" si="19"/>
        <v>8799</v>
      </c>
    </row>
    <row r="335" spans="1:11" x14ac:dyDescent="0.2">
      <c r="A335" s="2">
        <f ca="1">IFERROR(__xludf.DUMMYFUNCTION("""COMPUTED_VALUE"""),45819.6666666666)</f>
        <v>45819.666666666599</v>
      </c>
      <c r="B335" s="2"/>
      <c r="C335" s="1">
        <v>9100</v>
      </c>
      <c r="D335" s="1">
        <v>9125</v>
      </c>
      <c r="E335" s="1">
        <v>9050</v>
      </c>
      <c r="F335" s="1">
        <v>9050</v>
      </c>
      <c r="G335" s="1">
        <v>56632600</v>
      </c>
      <c r="H335" s="8">
        <f t="shared" si="20"/>
        <v>-5.4945054945054949E-3</v>
      </c>
      <c r="I335" s="8">
        <f t="shared" si="21"/>
        <v>-3.9787798408488062E-2</v>
      </c>
      <c r="J335" s="22">
        <f t="shared" si="18"/>
        <v>9278.75</v>
      </c>
      <c r="K335" s="22">
        <f t="shared" si="19"/>
        <v>8797.5</v>
      </c>
    </row>
    <row r="336" spans="1:11" x14ac:dyDescent="0.2">
      <c r="A336" s="2">
        <f ca="1">IFERROR(__xludf.DUMMYFUNCTION("""COMPUTED_VALUE"""),45820.6666666666)</f>
        <v>45820.666666666599</v>
      </c>
      <c r="B336" s="2"/>
      <c r="C336" s="1">
        <v>9000</v>
      </c>
      <c r="D336" s="1">
        <v>9125</v>
      </c>
      <c r="E336" s="1">
        <v>9000</v>
      </c>
      <c r="F336" s="1">
        <v>9125</v>
      </c>
      <c r="G336" s="1">
        <v>41337300</v>
      </c>
      <c r="H336" s="8">
        <f t="shared" si="20"/>
        <v>8.2872928176795577E-3</v>
      </c>
      <c r="I336" s="8">
        <f t="shared" si="21"/>
        <v>-3.1830238726790451E-2</v>
      </c>
      <c r="J336" s="22">
        <f t="shared" si="18"/>
        <v>9281.25</v>
      </c>
      <c r="K336" s="22">
        <f t="shared" si="19"/>
        <v>8800.5</v>
      </c>
    </row>
    <row r="337" spans="1:11" x14ac:dyDescent="0.2">
      <c r="A337" s="2">
        <f ca="1">IFERROR(__xludf.DUMMYFUNCTION("""COMPUTED_VALUE"""),45821.6666666666)</f>
        <v>45821.666666666599</v>
      </c>
      <c r="B337" s="2"/>
      <c r="C337" s="1">
        <v>9100</v>
      </c>
      <c r="D337" s="1">
        <v>9125</v>
      </c>
      <c r="E337" s="1">
        <v>8975</v>
      </c>
      <c r="F337" s="1">
        <v>9025</v>
      </c>
      <c r="G337" s="1">
        <v>83318000</v>
      </c>
      <c r="H337" s="8">
        <f t="shared" si="20"/>
        <v>-1.0958904109589041E-2</v>
      </c>
      <c r="I337" s="8">
        <f t="shared" si="21"/>
        <v>-4.2440318302387266E-2</v>
      </c>
      <c r="J337" s="22">
        <f t="shared" si="18"/>
        <v>9283.75</v>
      </c>
      <c r="K337" s="22">
        <f t="shared" si="19"/>
        <v>8806</v>
      </c>
    </row>
    <row r="338" spans="1:11" x14ac:dyDescent="0.2">
      <c r="A338" s="2">
        <f ca="1">IFERROR(__xludf.DUMMYFUNCTION("""COMPUTED_VALUE"""),45824.6666666666)</f>
        <v>45824.666666666599</v>
      </c>
      <c r="B338" s="2"/>
      <c r="C338" s="1">
        <v>8925</v>
      </c>
      <c r="D338" s="1">
        <v>9000</v>
      </c>
      <c r="E338" s="1">
        <v>8900</v>
      </c>
      <c r="F338" s="1">
        <v>8925</v>
      </c>
      <c r="G338" s="1">
        <v>57825000</v>
      </c>
      <c r="H338" s="8">
        <f t="shared" si="20"/>
        <v>-1.1080332409972299E-2</v>
      </c>
      <c r="I338" s="8">
        <f t="shared" si="21"/>
        <v>-5.3050397877984087E-2</v>
      </c>
      <c r="J338" s="22">
        <f t="shared" si="18"/>
        <v>9280</v>
      </c>
      <c r="K338" s="22">
        <f t="shared" si="19"/>
        <v>8812.5</v>
      </c>
    </row>
    <row r="339" spans="1:11" x14ac:dyDescent="0.2">
      <c r="A339" s="2">
        <f ca="1">IFERROR(__xludf.DUMMYFUNCTION("""COMPUTED_VALUE"""),45825.6666666666)</f>
        <v>45825.666666666599</v>
      </c>
      <c r="B339" s="2"/>
      <c r="C339" s="1">
        <v>8975</v>
      </c>
      <c r="D339" s="1">
        <v>9100</v>
      </c>
      <c r="E339" s="1">
        <v>8975</v>
      </c>
      <c r="F339" s="1">
        <v>9075</v>
      </c>
      <c r="G339" s="1">
        <v>54927900</v>
      </c>
      <c r="H339" s="8">
        <f t="shared" si="20"/>
        <v>1.680672268907563E-2</v>
      </c>
      <c r="I339" s="8">
        <f t="shared" si="21"/>
        <v>-3.7135278514588858E-2</v>
      </c>
      <c r="J339" s="22">
        <f t="shared" si="18"/>
        <v>9270</v>
      </c>
      <c r="K339" s="22">
        <f t="shared" si="19"/>
        <v>8828</v>
      </c>
    </row>
    <row r="340" spans="1:11" x14ac:dyDescent="0.2">
      <c r="A340" s="2">
        <f ca="1">IFERROR(__xludf.DUMMYFUNCTION("""COMPUTED_VALUE"""),45826.6666666666)</f>
        <v>45826.666666666599</v>
      </c>
      <c r="B340" s="2"/>
      <c r="C340" s="1">
        <v>8950</v>
      </c>
      <c r="D340" s="1">
        <v>9025</v>
      </c>
      <c r="E340" s="1">
        <v>8900</v>
      </c>
      <c r="F340" s="1">
        <v>8900</v>
      </c>
      <c r="G340" s="1">
        <v>86270200</v>
      </c>
      <c r="H340" s="8">
        <f t="shared" si="20"/>
        <v>-1.928374655647383E-2</v>
      </c>
      <c r="I340" s="8">
        <f t="shared" si="21"/>
        <v>-5.5702917771883291E-2</v>
      </c>
      <c r="J340" s="22">
        <f t="shared" si="18"/>
        <v>9251.25</v>
      </c>
      <c r="K340" s="22">
        <f t="shared" si="19"/>
        <v>8839.5</v>
      </c>
    </row>
    <row r="341" spans="1:11" x14ac:dyDescent="0.2">
      <c r="A341" s="2">
        <f ca="1">IFERROR(__xludf.DUMMYFUNCTION("""COMPUTED_VALUE"""),45827.6666666666)</f>
        <v>45827.666666666599</v>
      </c>
      <c r="B341" s="2"/>
      <c r="C341" s="1">
        <v>8900</v>
      </c>
      <c r="D341" s="1">
        <v>8925</v>
      </c>
      <c r="E341" s="1">
        <v>8750</v>
      </c>
      <c r="F341" s="1">
        <v>8775</v>
      </c>
      <c r="G341" s="1">
        <v>78879500</v>
      </c>
      <c r="H341" s="8">
        <f t="shared" si="20"/>
        <v>-1.4044943820224719E-2</v>
      </c>
      <c r="I341" s="8">
        <f t="shared" si="21"/>
        <v>-6.8965517241379309E-2</v>
      </c>
      <c r="J341" s="22">
        <f t="shared" si="18"/>
        <v>9225</v>
      </c>
      <c r="K341" s="22">
        <f t="shared" si="19"/>
        <v>8847.5</v>
      </c>
    </row>
    <row r="342" spans="1:11" x14ac:dyDescent="0.2">
      <c r="A342" s="2">
        <f ca="1">IFERROR(__xludf.DUMMYFUNCTION("""COMPUTED_VALUE"""),45828.6666666666)</f>
        <v>45828.666666666599</v>
      </c>
      <c r="B342" s="2"/>
      <c r="C342" s="1">
        <v>8700</v>
      </c>
      <c r="D342" s="1">
        <v>8875</v>
      </c>
      <c r="E342" s="1">
        <v>8625</v>
      </c>
      <c r="F342" s="1">
        <v>8700</v>
      </c>
      <c r="G342" s="1">
        <v>445915100</v>
      </c>
      <c r="H342" s="8">
        <f t="shared" si="20"/>
        <v>-8.5470085470085479E-3</v>
      </c>
      <c r="I342" s="8">
        <f t="shared" si="21"/>
        <v>-7.6923076923076927E-2</v>
      </c>
      <c r="J342" s="22">
        <f t="shared" ref="J342:J405" si="22">AVERAGE(F323:F342)</f>
        <v>9185</v>
      </c>
      <c r="K342" s="22">
        <f t="shared" si="19"/>
        <v>8863.5</v>
      </c>
    </row>
    <row r="343" spans="1:11" x14ac:dyDescent="0.2">
      <c r="A343" s="2">
        <f ca="1">IFERROR(__xludf.DUMMYFUNCTION("""COMPUTED_VALUE"""),45831.6666666666)</f>
        <v>45831.666666666599</v>
      </c>
      <c r="B343" s="2"/>
      <c r="C343" s="1">
        <v>8575</v>
      </c>
      <c r="D343" s="1">
        <v>8700</v>
      </c>
      <c r="E343" s="1">
        <v>8500</v>
      </c>
      <c r="F343" s="1">
        <v>8625</v>
      </c>
      <c r="G343" s="1">
        <v>87324500</v>
      </c>
      <c r="H343" s="8">
        <f t="shared" si="20"/>
        <v>-8.6206896551724137E-3</v>
      </c>
      <c r="I343" s="8">
        <f t="shared" si="21"/>
        <v>-8.4880636604774531E-2</v>
      </c>
      <c r="J343" s="22">
        <f t="shared" si="22"/>
        <v>9142.5</v>
      </c>
      <c r="K343" s="22">
        <f t="shared" si="19"/>
        <v>8877</v>
      </c>
    </row>
    <row r="344" spans="1:11" x14ac:dyDescent="0.2">
      <c r="A344" s="2">
        <f ca="1">IFERROR(__xludf.DUMMYFUNCTION("""COMPUTED_VALUE"""),45832.6666666666)</f>
        <v>45832.666666666599</v>
      </c>
      <c r="B344" s="2"/>
      <c r="C344" s="1">
        <v>8725</v>
      </c>
      <c r="D344" s="1">
        <v>8850</v>
      </c>
      <c r="E344" s="1">
        <v>8700</v>
      </c>
      <c r="F344" s="1">
        <v>8775</v>
      </c>
      <c r="G344" s="1">
        <v>110158900</v>
      </c>
      <c r="H344" s="8">
        <f t="shared" si="20"/>
        <v>1.7391304347826087E-2</v>
      </c>
      <c r="I344" s="8">
        <f t="shared" si="21"/>
        <v>-6.8965517241379309E-2</v>
      </c>
      <c r="J344" s="22">
        <f t="shared" si="22"/>
        <v>9096.25</v>
      </c>
      <c r="K344" s="22">
        <f t="shared" si="19"/>
        <v>8891.5</v>
      </c>
    </row>
    <row r="345" spans="1:11" x14ac:dyDescent="0.2">
      <c r="A345" s="2">
        <f ca="1">IFERROR(__xludf.DUMMYFUNCTION("""COMPUTED_VALUE"""),45833.6666666666)</f>
        <v>45833.666666666599</v>
      </c>
      <c r="B345" s="2"/>
      <c r="C345" s="1">
        <v>8725</v>
      </c>
      <c r="D345" s="1">
        <v>8775</v>
      </c>
      <c r="E345" s="1">
        <v>8475</v>
      </c>
      <c r="F345" s="1">
        <v>8600</v>
      </c>
      <c r="G345" s="1">
        <v>117561000</v>
      </c>
      <c r="H345" s="8">
        <f t="shared" si="20"/>
        <v>-1.9943019943019943E-2</v>
      </c>
      <c r="I345" s="8">
        <f t="shared" si="21"/>
        <v>-8.7533156498673742E-2</v>
      </c>
      <c r="J345" s="22">
        <f t="shared" si="22"/>
        <v>9043.75</v>
      </c>
      <c r="K345" s="22">
        <f t="shared" si="19"/>
        <v>8893</v>
      </c>
    </row>
    <row r="346" spans="1:11" x14ac:dyDescent="0.2">
      <c r="A346" s="2">
        <f ca="1">IFERROR(__xludf.DUMMYFUNCTION("""COMPUTED_VALUE"""),45834.6666666666)</f>
        <v>45834.666666666599</v>
      </c>
      <c r="B346" s="2"/>
      <c r="C346" s="1">
        <v>8525</v>
      </c>
      <c r="D346" s="1">
        <v>8650</v>
      </c>
      <c r="E346" s="1">
        <v>8525</v>
      </c>
      <c r="F346" s="1">
        <v>8650</v>
      </c>
      <c r="G346" s="1">
        <v>117281700</v>
      </c>
      <c r="H346" s="8">
        <f t="shared" si="20"/>
        <v>5.8139534883720929E-3</v>
      </c>
      <c r="I346" s="8">
        <f t="shared" si="21"/>
        <v>-8.2228116710875335E-2</v>
      </c>
      <c r="J346" s="22">
        <f t="shared" si="22"/>
        <v>8992.5</v>
      </c>
      <c r="K346" s="22">
        <f t="shared" si="19"/>
        <v>8896</v>
      </c>
    </row>
    <row r="347" spans="1:11" x14ac:dyDescent="0.2">
      <c r="A347" s="2">
        <f ca="1">IFERROR(__xludf.DUMMYFUNCTION("""COMPUTED_VALUE"""),45838.6666666666)</f>
        <v>45838.666666666599</v>
      </c>
      <c r="B347" s="2"/>
      <c r="C347" s="1">
        <v>8575</v>
      </c>
      <c r="D347" s="1">
        <v>8825</v>
      </c>
      <c r="E347" s="1">
        <v>8550</v>
      </c>
      <c r="F347" s="1">
        <v>8675</v>
      </c>
      <c r="G347" s="1">
        <v>185441800</v>
      </c>
      <c r="H347" s="8">
        <f t="shared" si="20"/>
        <v>2.8901734104046241E-3</v>
      </c>
      <c r="I347" s="8">
        <f t="shared" si="21"/>
        <v>-7.9575596816976124E-2</v>
      </c>
      <c r="J347" s="22">
        <f t="shared" si="22"/>
        <v>8945</v>
      </c>
      <c r="K347" s="22">
        <f t="shared" si="19"/>
        <v>8914</v>
      </c>
    </row>
    <row r="348" spans="1:11" x14ac:dyDescent="0.2">
      <c r="A348" s="2">
        <f ca="1">IFERROR(__xludf.DUMMYFUNCTION("""COMPUTED_VALUE"""),45839.6666666666)</f>
        <v>45839.666666666599</v>
      </c>
      <c r="B348" s="2"/>
      <c r="C348" s="1">
        <v>8750</v>
      </c>
      <c r="D348" s="1">
        <v>8775</v>
      </c>
      <c r="E348" s="1">
        <v>8600</v>
      </c>
      <c r="F348" s="1">
        <v>8700</v>
      </c>
      <c r="G348" s="1">
        <v>82364500</v>
      </c>
      <c r="H348" s="8">
        <f t="shared" si="20"/>
        <v>2.881844380403458E-3</v>
      </c>
      <c r="I348" s="8">
        <f t="shared" si="21"/>
        <v>-7.6923076923076927E-2</v>
      </c>
      <c r="J348" s="22">
        <f t="shared" si="22"/>
        <v>8907.5</v>
      </c>
      <c r="K348" s="22">
        <f t="shared" si="19"/>
        <v>8929.5</v>
      </c>
    </row>
    <row r="349" spans="1:11" x14ac:dyDescent="0.2">
      <c r="A349" s="2">
        <f ca="1">IFERROR(__xludf.DUMMYFUNCTION("""COMPUTED_VALUE"""),45840.6666666666)</f>
        <v>45840.666666666599</v>
      </c>
      <c r="B349" s="2"/>
      <c r="C349" s="1">
        <v>8575</v>
      </c>
      <c r="D349" s="1">
        <v>8675</v>
      </c>
      <c r="E349" s="1">
        <v>8575</v>
      </c>
      <c r="F349" s="1">
        <v>8675</v>
      </c>
      <c r="G349" s="1">
        <v>68545100</v>
      </c>
      <c r="H349" s="8">
        <f t="shared" si="20"/>
        <v>-2.8735632183908046E-3</v>
      </c>
      <c r="I349" s="8">
        <f t="shared" si="21"/>
        <v>-7.9575596816976124E-2</v>
      </c>
      <c r="J349" s="22">
        <f t="shared" si="22"/>
        <v>8871.25</v>
      </c>
      <c r="K349" s="22">
        <f t="shared" si="19"/>
        <v>8938.5</v>
      </c>
    </row>
    <row r="350" spans="1:11" x14ac:dyDescent="0.2">
      <c r="A350" s="2">
        <f ca="1">IFERROR(__xludf.DUMMYFUNCTION("""COMPUTED_VALUE"""),45841.6666666666)</f>
        <v>45841.666666666599</v>
      </c>
      <c r="B350" s="2"/>
      <c r="C350" s="1">
        <v>8700</v>
      </c>
      <c r="D350" s="1">
        <v>8750</v>
      </c>
      <c r="E350" s="1">
        <v>8600</v>
      </c>
      <c r="F350" s="1">
        <v>8600</v>
      </c>
      <c r="G350" s="1">
        <v>50370800</v>
      </c>
      <c r="H350" s="8">
        <f t="shared" si="20"/>
        <v>-8.6455331412103754E-3</v>
      </c>
      <c r="I350" s="8">
        <f t="shared" si="21"/>
        <v>-8.7533156498673742E-2</v>
      </c>
      <c r="J350" s="22">
        <f t="shared" si="22"/>
        <v>8846.25</v>
      </c>
      <c r="K350" s="22">
        <f t="shared" si="19"/>
        <v>8945</v>
      </c>
    </row>
    <row r="351" spans="1:11" x14ac:dyDescent="0.2">
      <c r="A351" s="2">
        <f ca="1">IFERROR(__xludf.DUMMYFUNCTION("""COMPUTED_VALUE"""),45842.6666666666)</f>
        <v>45842.666666666599</v>
      </c>
      <c r="B351" s="2"/>
      <c r="C351" s="1">
        <v>8650</v>
      </c>
      <c r="D351" s="1">
        <v>8700</v>
      </c>
      <c r="E351" s="1">
        <v>8550</v>
      </c>
      <c r="F351" s="1">
        <v>8650</v>
      </c>
      <c r="G351" s="1">
        <v>43593300</v>
      </c>
      <c r="H351" s="8">
        <f t="shared" si="20"/>
        <v>5.8139534883720929E-3</v>
      </c>
      <c r="I351" s="8">
        <f t="shared" si="21"/>
        <v>-8.2228116710875335E-2</v>
      </c>
      <c r="J351" s="22">
        <f t="shared" si="22"/>
        <v>8826.25</v>
      </c>
      <c r="K351" s="22">
        <f t="shared" si="19"/>
        <v>8950</v>
      </c>
    </row>
    <row r="352" spans="1:11" x14ac:dyDescent="0.2">
      <c r="A352" s="2">
        <f ca="1">IFERROR(__xludf.DUMMYFUNCTION("""COMPUTED_VALUE"""),45845.6666666666)</f>
        <v>45845.666666666599</v>
      </c>
      <c r="B352" s="2"/>
      <c r="C352" s="1">
        <v>8625</v>
      </c>
      <c r="D352" s="1">
        <v>8650</v>
      </c>
      <c r="E352" s="1">
        <v>8550</v>
      </c>
      <c r="F352" s="1">
        <v>8625</v>
      </c>
      <c r="G352" s="1">
        <v>49936900</v>
      </c>
      <c r="H352" s="8">
        <f t="shared" si="20"/>
        <v>-2.8901734104046241E-3</v>
      </c>
      <c r="I352" s="8">
        <f t="shared" si="21"/>
        <v>-8.4880636604774531E-2</v>
      </c>
      <c r="J352" s="22">
        <f t="shared" si="22"/>
        <v>8808.75</v>
      </c>
      <c r="K352" s="22">
        <f t="shared" si="19"/>
        <v>8951</v>
      </c>
    </row>
    <row r="353" spans="1:11" x14ac:dyDescent="0.2">
      <c r="A353" s="2">
        <f ca="1">IFERROR(__xludf.DUMMYFUNCTION("""COMPUTED_VALUE"""),45846.6666666666)</f>
        <v>45846.666666666599</v>
      </c>
      <c r="B353" s="2"/>
      <c r="C353" s="1">
        <v>8550</v>
      </c>
      <c r="D353" s="1">
        <v>8600</v>
      </c>
      <c r="E353" s="1">
        <v>8425</v>
      </c>
      <c r="F353" s="1">
        <v>8500</v>
      </c>
      <c r="G353" s="1">
        <v>215611000</v>
      </c>
      <c r="H353" s="8">
        <f t="shared" si="20"/>
        <v>-1.4492753623188406E-2</v>
      </c>
      <c r="I353" s="8">
        <f t="shared" si="21"/>
        <v>-9.8143236074270557E-2</v>
      </c>
      <c r="J353" s="22">
        <f t="shared" si="22"/>
        <v>8787.5</v>
      </c>
      <c r="K353" s="22">
        <f t="shared" si="19"/>
        <v>8951.5</v>
      </c>
    </row>
    <row r="354" spans="1:11" x14ac:dyDescent="0.2">
      <c r="A354" s="2">
        <f ca="1">IFERROR(__xludf.DUMMYFUNCTION("""COMPUTED_VALUE"""),45847.6666666666)</f>
        <v>45847.666666666599</v>
      </c>
      <c r="B354" s="2"/>
      <c r="C354" s="1">
        <v>8500</v>
      </c>
      <c r="D354" s="1">
        <v>8550</v>
      </c>
      <c r="E354" s="1">
        <v>8450</v>
      </c>
      <c r="F354" s="1">
        <v>8500</v>
      </c>
      <c r="G354" s="1">
        <v>94459300</v>
      </c>
      <c r="H354" s="8">
        <f t="shared" si="20"/>
        <v>0</v>
      </c>
      <c r="I354" s="8">
        <f t="shared" si="21"/>
        <v>-9.8143236074270557E-2</v>
      </c>
      <c r="J354" s="22">
        <f t="shared" si="22"/>
        <v>8757.5</v>
      </c>
      <c r="K354" s="22">
        <f t="shared" si="19"/>
        <v>8951.5</v>
      </c>
    </row>
    <row r="355" spans="1:11" x14ac:dyDescent="0.2">
      <c r="A355" s="2">
        <f ca="1">IFERROR(__xludf.DUMMYFUNCTION("""COMPUTED_VALUE"""),45848.6666666666)</f>
        <v>45848.666666666599</v>
      </c>
      <c r="B355" s="2"/>
      <c r="C355" s="1">
        <v>8525</v>
      </c>
      <c r="D355" s="1">
        <v>8650</v>
      </c>
      <c r="E355" s="1">
        <v>8500</v>
      </c>
      <c r="F355" s="1">
        <v>8600</v>
      </c>
      <c r="G355" s="1">
        <v>111769400</v>
      </c>
      <c r="H355" s="8">
        <f t="shared" si="20"/>
        <v>1.1764705882352941E-2</v>
      </c>
      <c r="I355" s="8">
        <f t="shared" si="21"/>
        <v>-8.7533156498673742E-2</v>
      </c>
      <c r="J355" s="22">
        <f t="shared" si="22"/>
        <v>8735</v>
      </c>
      <c r="K355" s="22">
        <f t="shared" si="19"/>
        <v>8957.5</v>
      </c>
    </row>
    <row r="356" spans="1:11" x14ac:dyDescent="0.2">
      <c r="A356" s="2">
        <f ca="1">IFERROR(__xludf.DUMMYFUNCTION("""COMPUTED_VALUE"""),45849.6666666666)</f>
        <v>45849.666666666599</v>
      </c>
      <c r="B356" s="2"/>
      <c r="C356" s="1">
        <v>8575</v>
      </c>
      <c r="D356" s="1">
        <v>8675</v>
      </c>
      <c r="E356" s="1">
        <v>8575</v>
      </c>
      <c r="F356" s="1">
        <v>8625</v>
      </c>
      <c r="G356" s="1">
        <v>135986500</v>
      </c>
      <c r="H356" s="8">
        <f t="shared" si="20"/>
        <v>2.9069767441860465E-3</v>
      </c>
      <c r="I356" s="8">
        <f t="shared" si="21"/>
        <v>-8.4880636604774531E-2</v>
      </c>
      <c r="J356" s="22">
        <f t="shared" si="22"/>
        <v>8710</v>
      </c>
      <c r="K356" s="22">
        <f t="shared" si="19"/>
        <v>8960</v>
      </c>
    </row>
    <row r="357" spans="1:11" x14ac:dyDescent="0.2">
      <c r="A357" s="2">
        <f ca="1">IFERROR(__xludf.DUMMYFUNCTION("""COMPUTED_VALUE"""),45852.6666666666)</f>
        <v>45852.666666666599</v>
      </c>
      <c r="B357" s="2"/>
      <c r="C357" s="1">
        <v>8650</v>
      </c>
      <c r="D357" s="1">
        <v>8675</v>
      </c>
      <c r="E357" s="1">
        <v>8450</v>
      </c>
      <c r="F357" s="1">
        <v>8525</v>
      </c>
      <c r="G357" s="1">
        <v>125196000</v>
      </c>
      <c r="H357" s="8">
        <f t="shared" si="20"/>
        <v>-1.1594202898550725E-2</v>
      </c>
      <c r="I357" s="8">
        <f t="shared" si="21"/>
        <v>-9.5490716180371346E-2</v>
      </c>
      <c r="J357" s="22">
        <f t="shared" si="22"/>
        <v>8685</v>
      </c>
      <c r="K357" s="22">
        <f t="shared" si="19"/>
        <v>8956</v>
      </c>
    </row>
    <row r="358" spans="1:11" x14ac:dyDescent="0.2">
      <c r="A358" s="2">
        <f ca="1">IFERROR(__xludf.DUMMYFUNCTION("""COMPUTED_VALUE"""),45853.6666666666)</f>
        <v>45853.666666666599</v>
      </c>
      <c r="B358" s="2"/>
      <c r="C358" s="1">
        <v>8600</v>
      </c>
      <c r="D358" s="1">
        <v>8600</v>
      </c>
      <c r="E358" s="1">
        <v>8475</v>
      </c>
      <c r="F358" s="1">
        <v>8550</v>
      </c>
      <c r="G358" s="1">
        <v>77219300</v>
      </c>
      <c r="H358" s="8">
        <f t="shared" si="20"/>
        <v>2.9325513196480938E-3</v>
      </c>
      <c r="I358" s="8">
        <f t="shared" si="21"/>
        <v>-9.2838196286472149E-2</v>
      </c>
      <c r="J358" s="22">
        <f t="shared" si="22"/>
        <v>8666.25</v>
      </c>
      <c r="K358" s="22">
        <f t="shared" si="19"/>
        <v>8957.5</v>
      </c>
    </row>
    <row r="359" spans="1:11" x14ac:dyDescent="0.2">
      <c r="A359" s="2">
        <f ca="1">IFERROR(__xludf.DUMMYFUNCTION("""COMPUTED_VALUE"""),45854.6666666666)</f>
        <v>45854.666666666599</v>
      </c>
      <c r="B359" s="2"/>
      <c r="C359" s="1">
        <v>8550</v>
      </c>
      <c r="D359" s="1">
        <v>8600</v>
      </c>
      <c r="E359" s="1">
        <v>8500</v>
      </c>
      <c r="F359" s="1">
        <v>8525</v>
      </c>
      <c r="G359" s="1">
        <v>97475300</v>
      </c>
      <c r="H359" s="8">
        <f t="shared" si="20"/>
        <v>-2.9239766081871343E-3</v>
      </c>
      <c r="I359" s="8">
        <f t="shared" si="21"/>
        <v>-9.5490716180371346E-2</v>
      </c>
      <c r="J359" s="22">
        <f t="shared" si="22"/>
        <v>8638.75</v>
      </c>
      <c r="K359" s="22">
        <f t="shared" si="19"/>
        <v>8956</v>
      </c>
    </row>
    <row r="360" spans="1:11" x14ac:dyDescent="0.2">
      <c r="A360" s="2">
        <f ca="1">IFERROR(__xludf.DUMMYFUNCTION("""COMPUTED_VALUE"""),45855.6666666666)</f>
        <v>45855.666666666599</v>
      </c>
      <c r="B360" s="2"/>
      <c r="C360" s="1">
        <v>8500</v>
      </c>
      <c r="D360" s="1">
        <v>8550</v>
      </c>
      <c r="E360" s="1">
        <v>8500</v>
      </c>
      <c r="F360" s="1">
        <v>8525</v>
      </c>
      <c r="G360" s="1">
        <v>86016400</v>
      </c>
      <c r="H360" s="8">
        <f t="shared" si="20"/>
        <v>0</v>
      </c>
      <c r="I360" s="8">
        <f t="shared" si="21"/>
        <v>-9.5490716180371346E-2</v>
      </c>
      <c r="J360" s="22">
        <f t="shared" si="22"/>
        <v>8620</v>
      </c>
      <c r="K360" s="22">
        <f t="shared" si="19"/>
        <v>8951</v>
      </c>
    </row>
    <row r="361" spans="1:11" x14ac:dyDescent="0.2">
      <c r="A361" s="2">
        <f ca="1">IFERROR(__xludf.DUMMYFUNCTION("""COMPUTED_VALUE"""),45856.6666666666)</f>
        <v>45856.666666666599</v>
      </c>
      <c r="B361" s="2"/>
      <c r="C361" s="1">
        <v>8550</v>
      </c>
      <c r="D361" s="1">
        <v>8575</v>
      </c>
      <c r="E361" s="1">
        <v>8425</v>
      </c>
      <c r="F361" s="1">
        <v>8425</v>
      </c>
      <c r="G361" s="1">
        <v>80432200</v>
      </c>
      <c r="H361" s="8">
        <f t="shared" si="20"/>
        <v>-1.1730205278592375E-2</v>
      </c>
      <c r="I361" s="8">
        <f t="shared" si="21"/>
        <v>-0.10610079575596817</v>
      </c>
      <c r="J361" s="22">
        <f t="shared" si="22"/>
        <v>8602.5</v>
      </c>
      <c r="K361" s="22">
        <f t="shared" si="19"/>
        <v>8945</v>
      </c>
    </row>
    <row r="362" spans="1:11" x14ac:dyDescent="0.2">
      <c r="A362" s="2">
        <f ca="1">IFERROR(__xludf.DUMMYFUNCTION("""COMPUTED_VALUE"""),45859.6666666666)</f>
        <v>45859.666666666599</v>
      </c>
      <c r="B362" s="2"/>
      <c r="C362" s="1">
        <v>8450</v>
      </c>
      <c r="D362" s="1">
        <v>8500</v>
      </c>
      <c r="E362" s="1">
        <v>8375</v>
      </c>
      <c r="F362" s="1">
        <v>8450</v>
      </c>
      <c r="G362" s="1">
        <v>95383500</v>
      </c>
      <c r="H362" s="8">
        <f t="shared" si="20"/>
        <v>2.967359050445104E-3</v>
      </c>
      <c r="I362" s="8">
        <f t="shared" si="21"/>
        <v>-0.10344827586206896</v>
      </c>
      <c r="J362" s="22">
        <f t="shared" si="22"/>
        <v>8590</v>
      </c>
      <c r="K362" s="22">
        <f t="shared" si="19"/>
        <v>8937.5</v>
      </c>
    </row>
    <row r="363" spans="1:11" x14ac:dyDescent="0.2">
      <c r="A363" s="2">
        <f ca="1">IFERROR(__xludf.DUMMYFUNCTION("""COMPUTED_VALUE"""),45860.6666666666)</f>
        <v>45860.666666666599</v>
      </c>
      <c r="B363" s="2"/>
      <c r="C363" s="1">
        <v>8450</v>
      </c>
      <c r="D363" s="1">
        <v>8475</v>
      </c>
      <c r="E363" s="1">
        <v>8400</v>
      </c>
      <c r="F363" s="1">
        <v>8400</v>
      </c>
      <c r="G363" s="1">
        <v>77981700</v>
      </c>
      <c r="H363" s="8">
        <f t="shared" si="20"/>
        <v>-5.9171597633136093E-3</v>
      </c>
      <c r="I363" s="8">
        <f t="shared" si="21"/>
        <v>-0.10875331564986737</v>
      </c>
      <c r="J363" s="22">
        <f t="shared" si="22"/>
        <v>8578.75</v>
      </c>
      <c r="K363" s="22">
        <f t="shared" si="19"/>
        <v>8926</v>
      </c>
    </row>
    <row r="364" spans="1:11" x14ac:dyDescent="0.2">
      <c r="A364" s="2">
        <f ca="1">IFERROR(__xludf.DUMMYFUNCTION("""COMPUTED_VALUE"""),45861.6666666666)</f>
        <v>45861.666666666599</v>
      </c>
      <c r="B364" s="2"/>
      <c r="C364" s="1">
        <v>8450</v>
      </c>
      <c r="D364" s="1">
        <v>8500</v>
      </c>
      <c r="E364" s="1">
        <v>8400</v>
      </c>
      <c r="F364" s="1">
        <v>8425</v>
      </c>
      <c r="G364" s="1">
        <v>70969500</v>
      </c>
      <c r="H364" s="8">
        <f t="shared" si="20"/>
        <v>2.976190476190476E-3</v>
      </c>
      <c r="I364" s="8">
        <f t="shared" si="21"/>
        <v>-0.10610079575596817</v>
      </c>
      <c r="J364" s="22">
        <f t="shared" si="22"/>
        <v>8561.25</v>
      </c>
      <c r="K364" s="22">
        <f t="shared" si="19"/>
        <v>8915</v>
      </c>
    </row>
    <row r="365" spans="1:11" x14ac:dyDescent="0.2">
      <c r="A365" s="2">
        <f ca="1">IFERROR(__xludf.DUMMYFUNCTION("""COMPUTED_VALUE"""),45862.6666666666)</f>
        <v>45862.666666666599</v>
      </c>
      <c r="B365" s="2"/>
      <c r="C365" s="1">
        <v>8475</v>
      </c>
      <c r="D365" s="1">
        <v>8550</v>
      </c>
      <c r="E365" s="1">
        <v>8450</v>
      </c>
      <c r="F365" s="1">
        <v>8500</v>
      </c>
      <c r="G365" s="1">
        <v>138256800</v>
      </c>
      <c r="H365" s="8">
        <f t="shared" si="20"/>
        <v>8.9020771513353119E-3</v>
      </c>
      <c r="I365" s="8">
        <f t="shared" si="21"/>
        <v>-9.8143236074270557E-2</v>
      </c>
      <c r="J365" s="22">
        <f t="shared" si="22"/>
        <v>8556.25</v>
      </c>
      <c r="K365" s="22">
        <f t="shared" si="19"/>
        <v>8904.5</v>
      </c>
    </row>
    <row r="366" spans="1:11" x14ac:dyDescent="0.2">
      <c r="A366" s="2">
        <f ca="1">IFERROR(__xludf.DUMMYFUNCTION("""COMPUTED_VALUE"""),45863.6666666666)</f>
        <v>45863.666666666599</v>
      </c>
      <c r="B366" s="2"/>
      <c r="C366" s="1">
        <v>8500</v>
      </c>
      <c r="D366" s="1">
        <v>8525</v>
      </c>
      <c r="E366" s="1">
        <v>8450</v>
      </c>
      <c r="F366" s="1">
        <v>8450</v>
      </c>
      <c r="G366" s="1">
        <v>58682800</v>
      </c>
      <c r="H366" s="8">
        <f t="shared" si="20"/>
        <v>-5.8823529411764705E-3</v>
      </c>
      <c r="I366" s="8">
        <f t="shared" si="21"/>
        <v>-0.10344827586206896</v>
      </c>
      <c r="J366" s="22">
        <f t="shared" si="22"/>
        <v>8546.25</v>
      </c>
      <c r="K366" s="22">
        <f t="shared" si="19"/>
        <v>8892</v>
      </c>
    </row>
    <row r="367" spans="1:11" x14ac:dyDescent="0.2">
      <c r="A367" s="2">
        <f ca="1">IFERROR(__xludf.DUMMYFUNCTION("""COMPUTED_VALUE"""),45866.6666666666)</f>
        <v>45866.666666666599</v>
      </c>
      <c r="B367" s="2"/>
      <c r="C367" s="1">
        <v>8625</v>
      </c>
      <c r="D367" s="1">
        <v>8625</v>
      </c>
      <c r="E367" s="1">
        <v>8475</v>
      </c>
      <c r="F367" s="1">
        <v>8500</v>
      </c>
      <c r="G367" s="1">
        <v>99484300</v>
      </c>
      <c r="H367" s="8">
        <f t="shared" si="20"/>
        <v>5.9171597633136093E-3</v>
      </c>
      <c r="I367" s="8">
        <f t="shared" si="21"/>
        <v>-9.8143236074270557E-2</v>
      </c>
      <c r="J367" s="22">
        <f t="shared" si="22"/>
        <v>8537.5</v>
      </c>
      <c r="K367" s="22">
        <f t="shared" si="19"/>
        <v>8882.5</v>
      </c>
    </row>
    <row r="368" spans="1:11" x14ac:dyDescent="0.2">
      <c r="A368" s="2">
        <f ca="1">IFERROR(__xludf.DUMMYFUNCTION("""COMPUTED_VALUE"""),45867.6666666666)</f>
        <v>45867.666666666599</v>
      </c>
      <c r="B368" s="2"/>
      <c r="C368" s="1">
        <v>8500</v>
      </c>
      <c r="D368" s="1">
        <v>8500</v>
      </c>
      <c r="E368" s="1">
        <v>8375</v>
      </c>
      <c r="F368" s="1">
        <v>8400</v>
      </c>
      <c r="G368" s="1">
        <v>104240300</v>
      </c>
      <c r="H368" s="8">
        <f t="shared" si="20"/>
        <v>-1.1764705882352941E-2</v>
      </c>
      <c r="I368" s="8">
        <f t="shared" si="21"/>
        <v>-0.10875331564986737</v>
      </c>
      <c r="J368" s="22">
        <f t="shared" si="22"/>
        <v>8522.5</v>
      </c>
      <c r="K368" s="22">
        <f t="shared" si="19"/>
        <v>8870.5</v>
      </c>
    </row>
    <row r="369" spans="1:11" x14ac:dyDescent="0.2">
      <c r="A369" s="2">
        <f ca="1">IFERROR(__xludf.DUMMYFUNCTION("""COMPUTED_VALUE"""),45868.6666666666)</f>
        <v>45868.666666666599</v>
      </c>
      <c r="B369" s="2"/>
      <c r="C369" s="1">
        <v>8475</v>
      </c>
      <c r="D369" s="1">
        <v>8475</v>
      </c>
      <c r="E369" s="1">
        <v>8325</v>
      </c>
      <c r="F369" s="1">
        <v>8375</v>
      </c>
      <c r="G369" s="1">
        <v>98098100</v>
      </c>
      <c r="H369" s="8">
        <f t="shared" si="20"/>
        <v>-2.976190476190476E-3</v>
      </c>
      <c r="I369" s="8">
        <f t="shared" si="21"/>
        <v>-0.11140583554376658</v>
      </c>
      <c r="J369" s="22">
        <f t="shared" si="22"/>
        <v>8507.5</v>
      </c>
      <c r="K369" s="22">
        <f t="shared" si="19"/>
        <v>8852.5</v>
      </c>
    </row>
    <row r="370" spans="1:11" x14ac:dyDescent="0.2">
      <c r="A370" s="2">
        <f ca="1">IFERROR(__xludf.DUMMYFUNCTION("""COMPUTED_VALUE"""),45869.6666666666)</f>
        <v>45869.666666666599</v>
      </c>
      <c r="B370" s="2"/>
      <c r="C370" s="1">
        <v>8350</v>
      </c>
      <c r="D370" s="1">
        <v>8375</v>
      </c>
      <c r="E370" s="1">
        <v>8250</v>
      </c>
      <c r="F370" s="1">
        <v>8275</v>
      </c>
      <c r="G370" s="1">
        <v>206006300</v>
      </c>
      <c r="H370" s="8">
        <f t="shared" si="20"/>
        <v>-1.1940298507462687E-2</v>
      </c>
      <c r="I370" s="8">
        <f t="shared" si="21"/>
        <v>-0.1220159151193634</v>
      </c>
      <c r="J370" s="22">
        <f t="shared" si="22"/>
        <v>8491.25</v>
      </c>
      <c r="K370" s="22">
        <f t="shared" si="19"/>
        <v>8832.5</v>
      </c>
    </row>
    <row r="371" spans="1:11" x14ac:dyDescent="0.2">
      <c r="A371" s="2">
        <f ca="1">IFERROR(__xludf.DUMMYFUNCTION("""COMPUTED_VALUE"""),45870.6666666666)</f>
        <v>45870.666666666599</v>
      </c>
      <c r="B371" s="2"/>
      <c r="C371" s="1">
        <v>8400</v>
      </c>
      <c r="D371" s="1">
        <v>8425</v>
      </c>
      <c r="E371" s="1">
        <v>8300</v>
      </c>
      <c r="F371" s="1">
        <v>8300</v>
      </c>
      <c r="G371" s="1">
        <v>86196100</v>
      </c>
      <c r="H371" s="8">
        <f t="shared" si="20"/>
        <v>3.0211480362537764E-3</v>
      </c>
      <c r="I371" s="8">
        <f t="shared" si="21"/>
        <v>-0.11936339522546419</v>
      </c>
      <c r="J371" s="22">
        <f t="shared" si="22"/>
        <v>8473.75</v>
      </c>
      <c r="K371" s="22">
        <f t="shared" si="19"/>
        <v>8812.5</v>
      </c>
    </row>
    <row r="372" spans="1:11" x14ac:dyDescent="0.2">
      <c r="A372" s="2">
        <f ca="1">IFERROR(__xludf.DUMMYFUNCTION("""COMPUTED_VALUE"""),45873.6666666666)</f>
        <v>45873.666666666599</v>
      </c>
      <c r="B372" s="2"/>
      <c r="C372" s="1">
        <v>8325</v>
      </c>
      <c r="D372" s="1">
        <v>8350</v>
      </c>
      <c r="E372" s="1">
        <v>8275</v>
      </c>
      <c r="F372" s="1">
        <v>8275</v>
      </c>
      <c r="G372" s="1">
        <v>49054500</v>
      </c>
      <c r="H372" s="8">
        <f t="shared" si="20"/>
        <v>-3.0120481927710845E-3</v>
      </c>
      <c r="I372" s="8">
        <f t="shared" si="21"/>
        <v>-0.1220159151193634</v>
      </c>
      <c r="J372" s="22">
        <f t="shared" si="22"/>
        <v>8456.25</v>
      </c>
      <c r="K372" s="22">
        <f t="shared" ref="K372:K435" si="23">AVERAGE(F323:F372)</f>
        <v>8788</v>
      </c>
    </row>
    <row r="373" spans="1:11" x14ac:dyDescent="0.2">
      <c r="A373" s="2">
        <f ca="1">IFERROR(__xludf.DUMMYFUNCTION("""COMPUTED_VALUE"""),45874.6666666666)</f>
        <v>45874.666666666599</v>
      </c>
      <c r="B373" s="2"/>
      <c r="C373" s="1">
        <v>8350</v>
      </c>
      <c r="D373" s="1">
        <v>8450</v>
      </c>
      <c r="E373" s="1">
        <v>8325</v>
      </c>
      <c r="F373" s="1">
        <v>8425</v>
      </c>
      <c r="G373" s="1">
        <v>69475900</v>
      </c>
      <c r="H373" s="8">
        <f t="shared" si="20"/>
        <v>1.812688821752266E-2</v>
      </c>
      <c r="I373" s="8">
        <f t="shared" si="21"/>
        <v>-0.10610079575596817</v>
      </c>
      <c r="J373" s="22">
        <f t="shared" si="22"/>
        <v>8452.5</v>
      </c>
      <c r="K373" s="22">
        <f t="shared" si="23"/>
        <v>8767</v>
      </c>
    </row>
    <row r="374" spans="1:11" x14ac:dyDescent="0.2">
      <c r="A374" s="2">
        <f ca="1">IFERROR(__xludf.DUMMYFUNCTION("""COMPUTED_VALUE"""),45875.6666666666)</f>
        <v>45875.666666666599</v>
      </c>
      <c r="B374" s="2"/>
      <c r="C374" s="1">
        <v>8425</v>
      </c>
      <c r="D374" s="1">
        <v>8425</v>
      </c>
      <c r="E374" s="1">
        <v>8300</v>
      </c>
      <c r="F374" s="1">
        <v>8300</v>
      </c>
      <c r="G374" s="1">
        <v>56325400</v>
      </c>
      <c r="H374" s="8">
        <f t="shared" si="20"/>
        <v>-1.483679525222552E-2</v>
      </c>
      <c r="I374" s="8">
        <f t="shared" si="21"/>
        <v>-0.11936339522546419</v>
      </c>
      <c r="J374" s="22">
        <f t="shared" si="22"/>
        <v>8442.5</v>
      </c>
      <c r="K374" s="22">
        <f t="shared" si="23"/>
        <v>8739</v>
      </c>
    </row>
    <row r="375" spans="1:11" x14ac:dyDescent="0.2">
      <c r="A375" s="2">
        <f ca="1">IFERROR(__xludf.DUMMYFUNCTION("""COMPUTED_VALUE"""),45876.6666666666)</f>
        <v>45876.666666666599</v>
      </c>
      <c r="B375" s="2"/>
      <c r="C375" s="1">
        <v>8325</v>
      </c>
      <c r="D375" s="1">
        <v>8350</v>
      </c>
      <c r="E375" s="1">
        <v>8300</v>
      </c>
      <c r="F375" s="1">
        <v>8300</v>
      </c>
      <c r="G375" s="1">
        <v>43621300</v>
      </c>
      <c r="H375" s="8">
        <f t="shared" si="20"/>
        <v>0</v>
      </c>
      <c r="I375" s="8">
        <f t="shared" si="21"/>
        <v>-0.11936339522546419</v>
      </c>
      <c r="J375" s="22">
        <f t="shared" si="22"/>
        <v>8427.5</v>
      </c>
      <c r="K375" s="22">
        <f t="shared" si="23"/>
        <v>8712</v>
      </c>
    </row>
    <row r="376" spans="1:11" x14ac:dyDescent="0.2">
      <c r="A376" s="2">
        <f ca="1">IFERROR(__xludf.DUMMYFUNCTION("""COMPUTED_VALUE"""),45877.6666666666)</f>
        <v>45877.666666666599</v>
      </c>
      <c r="B376" s="2"/>
      <c r="C376" s="1">
        <v>8325</v>
      </c>
      <c r="D376" s="1">
        <v>8400</v>
      </c>
      <c r="E376" s="1">
        <v>8300</v>
      </c>
      <c r="F376" s="1">
        <v>8300</v>
      </c>
      <c r="G376" s="1">
        <v>68378700</v>
      </c>
      <c r="H376" s="8">
        <f t="shared" si="20"/>
        <v>0</v>
      </c>
      <c r="I376" s="8">
        <f t="shared" si="21"/>
        <v>-0.11936339522546419</v>
      </c>
      <c r="J376" s="22">
        <f t="shared" si="22"/>
        <v>8411.25</v>
      </c>
      <c r="K376" s="22">
        <f t="shared" si="23"/>
        <v>8684.5</v>
      </c>
    </row>
    <row r="377" spans="1:11" x14ac:dyDescent="0.2">
      <c r="A377" s="2">
        <f ca="1">IFERROR(__xludf.DUMMYFUNCTION("""COMPUTED_VALUE"""),45880.6666666666)</f>
        <v>45880.666666666599</v>
      </c>
      <c r="B377" s="2"/>
      <c r="C377" s="1">
        <v>8500</v>
      </c>
      <c r="D377" s="1">
        <v>8550</v>
      </c>
      <c r="E377" s="1">
        <v>8425</v>
      </c>
      <c r="F377" s="1">
        <v>8550</v>
      </c>
      <c r="G377" s="1">
        <v>128561300</v>
      </c>
      <c r="H377" s="8">
        <f t="shared" si="20"/>
        <v>3.0120481927710843E-2</v>
      </c>
      <c r="I377" s="8">
        <f t="shared" si="21"/>
        <v>-9.2838196286472149E-2</v>
      </c>
      <c r="J377" s="22">
        <f t="shared" si="22"/>
        <v>8412.5</v>
      </c>
      <c r="K377" s="22">
        <f t="shared" si="23"/>
        <v>8663</v>
      </c>
    </row>
    <row r="378" spans="1:11" x14ac:dyDescent="0.2">
      <c r="A378" s="2">
        <f ca="1">IFERROR(__xludf.DUMMYFUNCTION("""COMPUTED_VALUE"""),45881.6666666666)</f>
        <v>45881.666666666599</v>
      </c>
      <c r="B378" s="2"/>
      <c r="C378" s="1">
        <v>8625</v>
      </c>
      <c r="D378" s="1">
        <v>8875</v>
      </c>
      <c r="E378" s="1">
        <v>8575</v>
      </c>
      <c r="F378" s="1">
        <v>8850</v>
      </c>
      <c r="G378" s="1">
        <v>171015700</v>
      </c>
      <c r="H378" s="8">
        <f t="shared" si="20"/>
        <v>3.5087719298245612E-2</v>
      </c>
      <c r="I378" s="8">
        <f t="shared" si="21"/>
        <v>-6.1007957559681698E-2</v>
      </c>
      <c r="J378" s="22">
        <f t="shared" si="22"/>
        <v>8427.5</v>
      </c>
      <c r="K378" s="22">
        <f t="shared" si="23"/>
        <v>8651</v>
      </c>
    </row>
    <row r="379" spans="1:11" x14ac:dyDescent="0.2">
      <c r="A379" s="2">
        <f ca="1">IFERROR(__xludf.DUMMYFUNCTION("""COMPUTED_VALUE"""),45882.6666666666)</f>
        <v>45882.666666666599</v>
      </c>
      <c r="B379" s="2"/>
      <c r="C379" s="1">
        <v>8975</v>
      </c>
      <c r="D379" s="1">
        <v>8975</v>
      </c>
      <c r="E379" s="1">
        <v>8725</v>
      </c>
      <c r="F379" s="1">
        <v>8925</v>
      </c>
      <c r="G379" s="1">
        <v>129083900</v>
      </c>
      <c r="H379" s="8">
        <f t="shared" si="20"/>
        <v>8.4745762711864406E-3</v>
      </c>
      <c r="I379" s="8">
        <f t="shared" si="21"/>
        <v>-5.3050397877984087E-2</v>
      </c>
      <c r="J379" s="22">
        <f t="shared" si="22"/>
        <v>8447.5</v>
      </c>
      <c r="K379" s="22">
        <f t="shared" si="23"/>
        <v>8641.5</v>
      </c>
    </row>
    <row r="380" spans="1:11" x14ac:dyDescent="0.2">
      <c r="A380" s="2">
        <f ca="1">IFERROR(__xludf.DUMMYFUNCTION("""COMPUTED_VALUE"""),45883.6666666666)</f>
        <v>45883.666666666599</v>
      </c>
      <c r="B380" s="2"/>
      <c r="C380" s="1">
        <v>8925</v>
      </c>
      <c r="D380" s="1">
        <v>8950</v>
      </c>
      <c r="E380" s="1">
        <v>8750</v>
      </c>
      <c r="F380" s="1">
        <v>8775</v>
      </c>
      <c r="G380" s="1">
        <v>122930900</v>
      </c>
      <c r="H380" s="8">
        <f t="shared" si="20"/>
        <v>-1.680672268907563E-2</v>
      </c>
      <c r="I380" s="8">
        <f t="shared" si="21"/>
        <v>-6.8965517241379309E-2</v>
      </c>
      <c r="J380" s="22">
        <f t="shared" si="22"/>
        <v>8460</v>
      </c>
      <c r="K380" s="22">
        <f t="shared" si="23"/>
        <v>8635</v>
      </c>
    </row>
    <row r="381" spans="1:11" x14ac:dyDescent="0.2">
      <c r="A381" s="2">
        <f ca="1">IFERROR(__xludf.DUMMYFUNCTION("""COMPUTED_VALUE"""),45884.6666666666)</f>
        <v>45884.666666666599</v>
      </c>
      <c r="B381" s="2"/>
      <c r="C381" s="1">
        <v>8825</v>
      </c>
      <c r="D381" s="1">
        <v>8850</v>
      </c>
      <c r="E381" s="1">
        <v>8700</v>
      </c>
      <c r="F381" s="1">
        <v>8700</v>
      </c>
      <c r="G381" s="1">
        <v>68754200</v>
      </c>
      <c r="H381" s="8">
        <f t="shared" si="20"/>
        <v>-8.5470085470085479E-3</v>
      </c>
      <c r="I381" s="8">
        <f t="shared" si="21"/>
        <v>-7.6923076923076927E-2</v>
      </c>
      <c r="J381" s="22">
        <f t="shared" si="22"/>
        <v>8473.75</v>
      </c>
      <c r="K381" s="22">
        <f t="shared" si="23"/>
        <v>8628</v>
      </c>
    </row>
    <row r="382" spans="1:11" x14ac:dyDescent="0.2">
      <c r="A382" s="2">
        <f ca="1">IFERROR(__xludf.DUMMYFUNCTION("""COMPUTED_VALUE"""),45888.6666666666)</f>
        <v>45888.666666666599</v>
      </c>
      <c r="B382" s="2"/>
      <c r="C382" s="1">
        <v>8600</v>
      </c>
      <c r="D382" s="1">
        <v>8600</v>
      </c>
      <c r="E382" s="1">
        <v>8450</v>
      </c>
      <c r="F382" s="1">
        <v>8500</v>
      </c>
      <c r="G382" s="1">
        <v>128591700</v>
      </c>
      <c r="H382" s="8">
        <f t="shared" si="20"/>
        <v>-2.2988505747126436E-2</v>
      </c>
      <c r="I382" s="8">
        <f t="shared" si="21"/>
        <v>-9.8143236074270557E-2</v>
      </c>
      <c r="J382" s="22">
        <f t="shared" si="22"/>
        <v>8476.25</v>
      </c>
      <c r="K382" s="22">
        <f t="shared" si="23"/>
        <v>8618.5</v>
      </c>
    </row>
    <row r="383" spans="1:11" x14ac:dyDescent="0.2">
      <c r="A383" s="2">
        <f ca="1">IFERROR(__xludf.DUMMYFUNCTION("""COMPUTED_VALUE"""),45889.6666666666)</f>
        <v>45889.666666666599</v>
      </c>
      <c r="B383" s="2"/>
      <c r="C383" s="1">
        <v>8375</v>
      </c>
      <c r="D383" s="1">
        <v>8600</v>
      </c>
      <c r="E383" s="1">
        <v>8350</v>
      </c>
      <c r="F383" s="1">
        <v>8525</v>
      </c>
      <c r="G383" s="1">
        <v>202260200</v>
      </c>
      <c r="H383" s="8">
        <f t="shared" si="20"/>
        <v>2.9411764705882353E-3</v>
      </c>
      <c r="I383" s="8">
        <f t="shared" si="21"/>
        <v>-9.5490716180371346E-2</v>
      </c>
      <c r="J383" s="22">
        <f t="shared" si="22"/>
        <v>8482.5</v>
      </c>
      <c r="K383" s="22">
        <f t="shared" si="23"/>
        <v>8610.5</v>
      </c>
    </row>
    <row r="384" spans="1:11" x14ac:dyDescent="0.2">
      <c r="A384" s="2">
        <f ca="1">IFERROR(__xludf.DUMMYFUNCTION("""COMPUTED_VALUE"""),45890.6666666666)</f>
        <v>45890.666666666599</v>
      </c>
      <c r="B384" s="2"/>
      <c r="C384" s="1">
        <v>8550</v>
      </c>
      <c r="D384" s="1">
        <v>8575</v>
      </c>
      <c r="E384" s="1">
        <v>8500</v>
      </c>
      <c r="F384" s="1">
        <v>8550</v>
      </c>
      <c r="G384" s="1">
        <v>69470200</v>
      </c>
      <c r="H384" s="8">
        <f t="shared" si="20"/>
        <v>2.9325513196480938E-3</v>
      </c>
      <c r="I384" s="8">
        <f t="shared" si="21"/>
        <v>-9.2838196286472149E-2</v>
      </c>
      <c r="J384" s="22">
        <f t="shared" si="22"/>
        <v>8488.75</v>
      </c>
      <c r="K384" s="22">
        <f t="shared" si="23"/>
        <v>8599.5</v>
      </c>
    </row>
    <row r="385" spans="1:11" x14ac:dyDescent="0.2">
      <c r="A385" s="2">
        <f ca="1">IFERROR(__xludf.DUMMYFUNCTION("""COMPUTED_VALUE"""),45891.6666666666)</f>
        <v>45891.666666666599</v>
      </c>
      <c r="B385" s="2"/>
      <c r="C385" s="1">
        <v>8575</v>
      </c>
      <c r="D385" s="1">
        <v>8575</v>
      </c>
      <c r="E385" s="1">
        <v>8450</v>
      </c>
      <c r="F385" s="1">
        <v>8450</v>
      </c>
      <c r="G385" s="1">
        <v>66394100</v>
      </c>
      <c r="H385" s="8">
        <f t="shared" si="20"/>
        <v>-1.1695906432748537E-2</v>
      </c>
      <c r="I385" s="8">
        <f t="shared" si="21"/>
        <v>-0.10344827586206896</v>
      </c>
      <c r="J385" s="22">
        <f t="shared" si="22"/>
        <v>8486.25</v>
      </c>
      <c r="K385" s="22">
        <f t="shared" si="23"/>
        <v>8587.5</v>
      </c>
    </row>
    <row r="386" spans="1:11" x14ac:dyDescent="0.2">
      <c r="A386" s="2">
        <f ca="1">IFERROR(__xludf.DUMMYFUNCTION("""COMPUTED_VALUE"""),45894.6666666666)</f>
        <v>45894.666666666599</v>
      </c>
      <c r="B386" s="2"/>
      <c r="C386" s="1">
        <v>8525</v>
      </c>
      <c r="D386" s="1">
        <v>8550</v>
      </c>
      <c r="E386" s="1">
        <v>8475</v>
      </c>
      <c r="F386" s="1">
        <v>8475</v>
      </c>
      <c r="G386" s="1">
        <v>64052700</v>
      </c>
      <c r="H386" s="8">
        <f t="shared" si="20"/>
        <v>2.9585798816568047E-3</v>
      </c>
      <c r="I386" s="8">
        <f t="shared" si="21"/>
        <v>-0.10079575596816977</v>
      </c>
      <c r="J386" s="22">
        <f t="shared" si="22"/>
        <v>8487.5</v>
      </c>
      <c r="K386" s="22">
        <f t="shared" si="23"/>
        <v>8574.5</v>
      </c>
    </row>
    <row r="387" spans="1:11" x14ac:dyDescent="0.2">
      <c r="A387" s="2">
        <f ca="1">IFERROR(__xludf.DUMMYFUNCTION("""COMPUTED_VALUE"""),45895.6666666666)</f>
        <v>45895.666666666599</v>
      </c>
      <c r="B387" s="2"/>
      <c r="C387" s="1">
        <v>8450</v>
      </c>
      <c r="D387" s="1">
        <v>8475</v>
      </c>
      <c r="E387" s="1">
        <v>8250</v>
      </c>
      <c r="F387" s="1">
        <v>8250</v>
      </c>
      <c r="G387" s="1">
        <v>326794200</v>
      </c>
      <c r="H387" s="8">
        <f t="shared" si="20"/>
        <v>-2.6548672566371681E-2</v>
      </c>
      <c r="I387" s="8">
        <f t="shared" si="21"/>
        <v>-0.12466843501326259</v>
      </c>
      <c r="J387" s="22">
        <f t="shared" si="22"/>
        <v>8475</v>
      </c>
      <c r="K387" s="22">
        <f t="shared" si="23"/>
        <v>8559</v>
      </c>
    </row>
    <row r="388" spans="1:11" x14ac:dyDescent="0.2">
      <c r="A388" s="2">
        <f ca="1">IFERROR(__xludf.DUMMYFUNCTION("""COMPUTED_VALUE"""),45896.6666666666)</f>
        <v>45896.666666666599</v>
      </c>
      <c r="B388" s="2"/>
      <c r="C388" s="1">
        <v>8250</v>
      </c>
      <c r="D388" s="1">
        <v>8350</v>
      </c>
      <c r="E388" s="1">
        <v>8200</v>
      </c>
      <c r="F388" s="1">
        <v>8300</v>
      </c>
      <c r="G388" s="1">
        <v>111915700</v>
      </c>
      <c r="H388" s="8">
        <f t="shared" ref="H388:H451" si="24">(F388-F387)/F387</f>
        <v>6.0606060606060606E-3</v>
      </c>
      <c r="I388" s="8">
        <f t="shared" ref="I388:I451" si="25">(F388-$F$2)/$F$2</f>
        <v>-0.11936339522546419</v>
      </c>
      <c r="J388" s="22">
        <f t="shared" si="22"/>
        <v>8470</v>
      </c>
      <c r="K388" s="22">
        <f t="shared" si="23"/>
        <v>8546.5</v>
      </c>
    </row>
    <row r="389" spans="1:11" x14ac:dyDescent="0.2">
      <c r="A389" s="2">
        <f ca="1">IFERROR(__xludf.DUMMYFUNCTION("""COMPUTED_VALUE"""),45897.6666666666)</f>
        <v>45897.666666666599</v>
      </c>
      <c r="B389" s="2"/>
      <c r="C389" s="1">
        <v>8350</v>
      </c>
      <c r="D389" s="1">
        <v>8375</v>
      </c>
      <c r="E389" s="1">
        <v>8275</v>
      </c>
      <c r="F389" s="1">
        <v>8325</v>
      </c>
      <c r="G389" s="1">
        <v>81281400</v>
      </c>
      <c r="H389" s="8">
        <f t="shared" si="24"/>
        <v>3.0120481927710845E-3</v>
      </c>
      <c r="I389" s="8">
        <f t="shared" si="25"/>
        <v>-0.11671087533156499</v>
      </c>
      <c r="J389" s="22">
        <f t="shared" si="22"/>
        <v>8467.5</v>
      </c>
      <c r="K389" s="22">
        <f t="shared" si="23"/>
        <v>8531.5</v>
      </c>
    </row>
    <row r="390" spans="1:11" x14ac:dyDescent="0.2">
      <c r="A390" s="2">
        <f ca="1">IFERROR(__xludf.DUMMYFUNCTION("""COMPUTED_VALUE"""),45898.6666666666)</f>
        <v>45898.666666666599</v>
      </c>
      <c r="B390" s="2"/>
      <c r="C390" s="1">
        <v>8250</v>
      </c>
      <c r="D390" s="1">
        <v>8275</v>
      </c>
      <c r="E390" s="1">
        <v>8075</v>
      </c>
      <c r="F390" s="1">
        <v>8075</v>
      </c>
      <c r="G390" s="1">
        <v>236499300</v>
      </c>
      <c r="H390" s="8">
        <f t="shared" si="24"/>
        <v>-3.003003003003003E-2</v>
      </c>
      <c r="I390" s="8">
        <f t="shared" si="25"/>
        <v>-0.14323607427055704</v>
      </c>
      <c r="J390" s="22">
        <f t="shared" si="22"/>
        <v>8457.5</v>
      </c>
      <c r="K390" s="22">
        <f t="shared" si="23"/>
        <v>8515</v>
      </c>
    </row>
    <row r="391" spans="1:11" x14ac:dyDescent="0.2">
      <c r="A391" s="2">
        <f ca="1">IFERROR(__xludf.DUMMYFUNCTION("""COMPUTED_VALUE"""),45901.6666666666)</f>
        <v>45901.666666666599</v>
      </c>
      <c r="B391" s="2"/>
      <c r="C391" s="1">
        <v>7650</v>
      </c>
      <c r="D391" s="1">
        <v>8050</v>
      </c>
      <c r="E391" s="1">
        <v>7600</v>
      </c>
      <c r="F391" s="1">
        <v>8000</v>
      </c>
      <c r="G391" s="1">
        <v>421127500</v>
      </c>
      <c r="H391" s="8">
        <f t="shared" si="24"/>
        <v>-9.2879256965944269E-3</v>
      </c>
      <c r="I391" s="8">
        <f t="shared" si="25"/>
        <v>-0.15119363395225463</v>
      </c>
      <c r="J391" s="22">
        <f t="shared" si="22"/>
        <v>8442.5</v>
      </c>
      <c r="K391" s="22">
        <f t="shared" si="23"/>
        <v>8499.5</v>
      </c>
    </row>
    <row r="392" spans="1:11" x14ac:dyDescent="0.2">
      <c r="A392" s="2">
        <f ca="1">IFERROR(__xludf.DUMMYFUNCTION("""COMPUTED_VALUE"""),45902.6666666666)</f>
        <v>45902.666666666599</v>
      </c>
      <c r="B392" s="2"/>
      <c r="C392" s="1">
        <v>8000</v>
      </c>
      <c r="D392" s="1">
        <v>8175</v>
      </c>
      <c r="E392" s="1">
        <v>8000</v>
      </c>
      <c r="F392" s="1">
        <v>8000</v>
      </c>
      <c r="G392" s="1">
        <v>155531500</v>
      </c>
      <c r="H392" s="8">
        <f t="shared" si="24"/>
        <v>0</v>
      </c>
      <c r="I392" s="8">
        <f t="shared" si="25"/>
        <v>-0.15119363395225463</v>
      </c>
      <c r="J392" s="22">
        <f t="shared" si="22"/>
        <v>8428.75</v>
      </c>
      <c r="K392" s="22">
        <f t="shared" si="23"/>
        <v>8485.5</v>
      </c>
    </row>
    <row r="393" spans="1:11" x14ac:dyDescent="0.2">
      <c r="A393" s="2">
        <f ca="1">IFERROR(__xludf.DUMMYFUNCTION("""COMPUTED_VALUE"""),45903.6666666666)</f>
        <v>45903.666666666599</v>
      </c>
      <c r="B393" s="2"/>
      <c r="C393" s="1">
        <v>7900</v>
      </c>
      <c r="D393" s="1">
        <v>8000</v>
      </c>
      <c r="E393" s="1">
        <v>7900</v>
      </c>
      <c r="F393" s="1">
        <v>7975</v>
      </c>
      <c r="G393" s="1">
        <v>212372700</v>
      </c>
      <c r="H393" s="8">
        <f t="shared" si="24"/>
        <v>-3.1250000000000002E-3</v>
      </c>
      <c r="I393" s="8">
        <f t="shared" si="25"/>
        <v>-0.15384615384615385</v>
      </c>
      <c r="J393" s="22">
        <f t="shared" si="22"/>
        <v>8406.25</v>
      </c>
      <c r="K393" s="22">
        <f t="shared" si="23"/>
        <v>8472.5</v>
      </c>
    </row>
    <row r="394" spans="1:11" x14ac:dyDescent="0.2">
      <c r="A394" s="2">
        <f ca="1">IFERROR(__xludf.DUMMYFUNCTION("""COMPUTED_VALUE"""),45904.6666666666)</f>
        <v>45904.666666666599</v>
      </c>
      <c r="B394" s="2"/>
      <c r="C394" s="1">
        <v>7975</v>
      </c>
      <c r="D394" s="1">
        <v>8000</v>
      </c>
      <c r="E394" s="1">
        <v>7925</v>
      </c>
      <c r="F394" s="1">
        <v>8000</v>
      </c>
      <c r="G394" s="1">
        <v>103534800</v>
      </c>
      <c r="H394" s="8">
        <f t="shared" si="24"/>
        <v>3.134796238244514E-3</v>
      </c>
      <c r="I394" s="8">
        <f t="shared" si="25"/>
        <v>-0.15119363395225463</v>
      </c>
      <c r="J394" s="22">
        <f t="shared" si="22"/>
        <v>8391.25</v>
      </c>
      <c r="K394" s="22">
        <f t="shared" si="23"/>
        <v>8457</v>
      </c>
    </row>
    <row r="395" spans="1:11" x14ac:dyDescent="0.2">
      <c r="A395" s="2">
        <f ca="1">IFERROR(__xludf.DUMMYFUNCTION("""COMPUTED_VALUE"""),45908.6666666666)</f>
        <v>45908.666666666599</v>
      </c>
      <c r="B395" s="2"/>
      <c r="C395" s="1">
        <v>8025</v>
      </c>
      <c r="D395" s="1">
        <v>8025</v>
      </c>
      <c r="E395" s="1">
        <v>7700</v>
      </c>
      <c r="F395" s="1">
        <v>7700</v>
      </c>
      <c r="G395" s="1">
        <v>321191900</v>
      </c>
      <c r="H395" s="8">
        <f t="shared" si="24"/>
        <v>-3.7499999999999999E-2</v>
      </c>
      <c r="I395" s="8">
        <f t="shared" si="25"/>
        <v>-0.1830238726790451</v>
      </c>
      <c r="J395" s="22">
        <f t="shared" si="22"/>
        <v>8361.25</v>
      </c>
      <c r="K395" s="22">
        <f t="shared" si="23"/>
        <v>8439</v>
      </c>
    </row>
    <row r="396" spans="1:11" x14ac:dyDescent="0.2">
      <c r="A396" s="2">
        <f ca="1">IFERROR(__xludf.DUMMYFUNCTION("""COMPUTED_VALUE"""),45909.6666666666)</f>
        <v>45909.666666666599</v>
      </c>
      <c r="B396" s="2"/>
      <c r="C396" s="1">
        <v>7625</v>
      </c>
      <c r="D396" s="1">
        <v>7725</v>
      </c>
      <c r="E396" s="1">
        <v>7475</v>
      </c>
      <c r="F396" s="1">
        <v>7525</v>
      </c>
      <c r="G396" s="1">
        <v>595368700</v>
      </c>
      <c r="H396" s="8">
        <f t="shared" si="24"/>
        <v>-2.2727272727272728E-2</v>
      </c>
      <c r="I396" s="8">
        <f t="shared" si="25"/>
        <v>-0.20159151193633953</v>
      </c>
      <c r="J396" s="22">
        <f t="shared" si="22"/>
        <v>8322.5</v>
      </c>
      <c r="K396" s="22">
        <f t="shared" si="23"/>
        <v>8416.5</v>
      </c>
    </row>
    <row r="397" spans="1:11" x14ac:dyDescent="0.2">
      <c r="A397" s="2">
        <f ca="1">IFERROR(__xludf.DUMMYFUNCTION("""COMPUTED_VALUE"""),45910.6666666666)</f>
        <v>45910.666666666599</v>
      </c>
      <c r="B397" s="2"/>
      <c r="C397" s="1">
        <v>7800</v>
      </c>
      <c r="D397" s="1">
        <v>7800</v>
      </c>
      <c r="E397" s="1">
        <v>7800</v>
      </c>
      <c r="F397" s="1">
        <v>7800</v>
      </c>
      <c r="G397" s="1">
        <v>354400</v>
      </c>
      <c r="H397" s="8">
        <f t="shared" si="24"/>
        <v>3.6544850498338874E-2</v>
      </c>
      <c r="I397" s="8">
        <f t="shared" si="25"/>
        <v>-0.17241379310344829</v>
      </c>
      <c r="J397" s="22">
        <f t="shared" si="22"/>
        <v>8285</v>
      </c>
      <c r="K397" s="22">
        <f t="shared" si="23"/>
        <v>8399</v>
      </c>
    </row>
    <row r="398" spans="1:11" x14ac:dyDescent="0.2">
      <c r="A398" s="2">
        <f ca="1">IFERROR(__xludf.DUMMYFUNCTION("""COMPUTED_VALUE"""),45911.6666666666)</f>
        <v>45911.666666666599</v>
      </c>
      <c r="B398" s="2"/>
      <c r="C398" s="1">
        <v>7900</v>
      </c>
      <c r="D398" s="1">
        <v>7975</v>
      </c>
      <c r="E398" s="1">
        <v>7850</v>
      </c>
      <c r="F398" s="1">
        <v>7850</v>
      </c>
      <c r="G398" s="1">
        <v>235173400</v>
      </c>
      <c r="H398" s="8">
        <f t="shared" si="24"/>
        <v>6.41025641025641E-3</v>
      </c>
      <c r="I398" s="8">
        <f t="shared" si="25"/>
        <v>-0.16710875331564987</v>
      </c>
      <c r="J398" s="22">
        <f t="shared" si="22"/>
        <v>8235</v>
      </c>
      <c r="K398" s="22">
        <f t="shared" si="23"/>
        <v>8382</v>
      </c>
    </row>
    <row r="399" spans="1:11" x14ac:dyDescent="0.2">
      <c r="A399" s="2">
        <f ca="1">IFERROR(__xludf.DUMMYFUNCTION("""COMPUTED_VALUE"""),45912.6666666666)</f>
        <v>45912.666666666599</v>
      </c>
      <c r="B399" s="2"/>
      <c r="C399" s="1">
        <v>7975</v>
      </c>
      <c r="D399" s="1">
        <v>7975</v>
      </c>
      <c r="E399" s="1">
        <v>7850</v>
      </c>
      <c r="F399" s="1">
        <v>7925</v>
      </c>
      <c r="G399" s="1">
        <v>156084700</v>
      </c>
      <c r="H399" s="8">
        <f t="shared" si="24"/>
        <v>9.5541401273885346E-3</v>
      </c>
      <c r="I399" s="8">
        <f t="shared" si="25"/>
        <v>-0.15915119363395225</v>
      </c>
      <c r="J399" s="22">
        <f t="shared" si="22"/>
        <v>8185</v>
      </c>
      <c r="K399" s="22">
        <f t="shared" si="23"/>
        <v>8367</v>
      </c>
    </row>
    <row r="400" spans="1:11" x14ac:dyDescent="0.2">
      <c r="A400" s="2">
        <f ca="1">IFERROR(__xludf.DUMMYFUNCTION("""COMPUTED_VALUE"""),45915.6666666666)</f>
        <v>45915.666666666599</v>
      </c>
      <c r="B400" s="2"/>
      <c r="C400" s="1">
        <v>8000</v>
      </c>
      <c r="D400" s="1">
        <v>8100</v>
      </c>
      <c r="E400" s="1">
        <v>7975</v>
      </c>
      <c r="F400" s="1">
        <v>8025</v>
      </c>
      <c r="G400" s="1">
        <v>142567700</v>
      </c>
      <c r="H400" s="8">
        <f t="shared" si="24"/>
        <v>1.2618296529968454E-2</v>
      </c>
      <c r="I400" s="8">
        <f t="shared" si="25"/>
        <v>-0.14854111405835543</v>
      </c>
      <c r="J400" s="22">
        <f t="shared" si="22"/>
        <v>8147.5</v>
      </c>
      <c r="K400" s="22">
        <f t="shared" si="23"/>
        <v>8355.5</v>
      </c>
    </row>
    <row r="401" spans="1:11" x14ac:dyDescent="0.2">
      <c r="A401" s="2">
        <f ca="1">IFERROR(__xludf.DUMMYFUNCTION("""COMPUTED_VALUE"""),45916.6666666666)</f>
        <v>45916.666666666599</v>
      </c>
      <c r="B401" s="2"/>
      <c r="C401" s="1">
        <v>8050</v>
      </c>
      <c r="D401" s="1">
        <v>8075</v>
      </c>
      <c r="E401" s="1">
        <v>7900</v>
      </c>
      <c r="F401" s="1">
        <v>7925</v>
      </c>
      <c r="G401" s="1">
        <v>129312900</v>
      </c>
      <c r="H401" s="8">
        <f t="shared" si="24"/>
        <v>-1.2461059190031152E-2</v>
      </c>
      <c r="I401" s="8">
        <f t="shared" si="25"/>
        <v>-0.15915119363395225</v>
      </c>
      <c r="J401" s="22">
        <f t="shared" si="22"/>
        <v>8108.75</v>
      </c>
      <c r="K401" s="22">
        <f t="shared" si="23"/>
        <v>8341</v>
      </c>
    </row>
    <row r="402" spans="1:11" x14ac:dyDescent="0.2">
      <c r="A402" s="2">
        <f ca="1">IFERROR(__xludf.DUMMYFUNCTION("""COMPUTED_VALUE"""),45917.6666666666)</f>
        <v>45917.666666666599</v>
      </c>
      <c r="B402" s="2"/>
      <c r="C402" s="1">
        <v>7850</v>
      </c>
      <c r="D402" s="1">
        <v>7900</v>
      </c>
      <c r="E402" s="1">
        <v>7800</v>
      </c>
      <c r="F402" s="1">
        <v>7850</v>
      </c>
      <c r="G402" s="1">
        <v>183725900</v>
      </c>
      <c r="H402" s="8">
        <f t="shared" si="24"/>
        <v>-9.4637223974763408E-3</v>
      </c>
      <c r="I402" s="8">
        <f t="shared" si="25"/>
        <v>-0.16710875331564987</v>
      </c>
      <c r="J402" s="22">
        <f t="shared" si="22"/>
        <v>8076.25</v>
      </c>
      <c r="K402" s="22">
        <f t="shared" si="23"/>
        <v>8325.5</v>
      </c>
    </row>
    <row r="403" spans="1:11" x14ac:dyDescent="0.2">
      <c r="A403" s="2">
        <f ca="1">IFERROR(__xludf.DUMMYFUNCTION("""COMPUTED_VALUE"""),45918.6666666666)</f>
        <v>45918.666666666599</v>
      </c>
      <c r="B403" s="2"/>
      <c r="C403" s="1">
        <v>7850</v>
      </c>
      <c r="D403" s="1">
        <v>7900</v>
      </c>
      <c r="E403" s="1">
        <v>7650</v>
      </c>
      <c r="F403" s="1">
        <v>7700</v>
      </c>
      <c r="G403" s="1">
        <v>275378700</v>
      </c>
      <c r="H403" s="8">
        <f t="shared" si="24"/>
        <v>-1.9108280254777069E-2</v>
      </c>
      <c r="I403" s="8">
        <f t="shared" si="25"/>
        <v>-0.1830238726790451</v>
      </c>
      <c r="J403" s="22">
        <f t="shared" si="22"/>
        <v>8035</v>
      </c>
      <c r="K403" s="22">
        <f t="shared" si="23"/>
        <v>8309.5</v>
      </c>
    </row>
    <row r="404" spans="1:11" x14ac:dyDescent="0.2">
      <c r="A404" s="2">
        <f ca="1">IFERROR(__xludf.DUMMYFUNCTION("""COMPUTED_VALUE"""),45919.6666666666)</f>
        <v>45919.666666666599</v>
      </c>
      <c r="B404" s="2"/>
      <c r="C404" s="1">
        <v>7650</v>
      </c>
      <c r="D404" s="1">
        <v>7825</v>
      </c>
      <c r="E404" s="1">
        <v>7650</v>
      </c>
      <c r="F404" s="1">
        <v>7800</v>
      </c>
      <c r="G404" s="1">
        <v>149025300</v>
      </c>
      <c r="H404" s="8">
        <f t="shared" si="24"/>
        <v>1.2987012987012988E-2</v>
      </c>
      <c r="I404" s="8">
        <f t="shared" si="25"/>
        <v>-0.17241379310344829</v>
      </c>
      <c r="J404" s="22">
        <f t="shared" si="22"/>
        <v>7997.5</v>
      </c>
      <c r="K404" s="22">
        <f t="shared" si="23"/>
        <v>8295.5</v>
      </c>
    </row>
    <row r="405" spans="1:11" x14ac:dyDescent="0.2">
      <c r="A405" s="2">
        <f ca="1">IFERROR(__xludf.DUMMYFUNCTION("""COMPUTED_VALUE"""),45922.6666666666)</f>
        <v>45922.666666666599</v>
      </c>
      <c r="B405" s="2"/>
      <c r="C405" s="1">
        <v>7800</v>
      </c>
      <c r="D405" s="1">
        <v>7825</v>
      </c>
      <c r="E405" s="1">
        <v>7725</v>
      </c>
      <c r="F405" s="1">
        <v>7725</v>
      </c>
      <c r="G405" s="1">
        <v>92588800</v>
      </c>
      <c r="H405" s="8">
        <f t="shared" si="24"/>
        <v>-9.6153846153846159E-3</v>
      </c>
      <c r="I405" s="8">
        <f t="shared" si="25"/>
        <v>-0.18037135278514588</v>
      </c>
      <c r="J405" s="22">
        <f t="shared" si="22"/>
        <v>7961.25</v>
      </c>
      <c r="K405" s="22">
        <f t="shared" si="23"/>
        <v>8278</v>
      </c>
    </row>
    <row r="406" spans="1:11" x14ac:dyDescent="0.2">
      <c r="A406" s="2">
        <f ca="1">IFERROR(__xludf.DUMMYFUNCTION("""COMPUTED_VALUE"""),45923.6666666666)</f>
        <v>45923.666666666599</v>
      </c>
      <c r="B406" s="2"/>
      <c r="C406" s="1">
        <v>7750</v>
      </c>
      <c r="D406" s="1">
        <v>7900</v>
      </c>
      <c r="E406" s="1">
        <v>7750</v>
      </c>
      <c r="F406" s="1">
        <v>7875</v>
      </c>
      <c r="G406" s="1">
        <v>102606200</v>
      </c>
      <c r="H406" s="8">
        <f t="shared" si="24"/>
        <v>1.9417475728155338E-2</v>
      </c>
      <c r="I406" s="8">
        <f t="shared" si="25"/>
        <v>-0.16445623342175067</v>
      </c>
      <c r="J406" s="22">
        <f t="shared" ref="J406:J469" si="26">AVERAGE(F387:F406)</f>
        <v>7931.25</v>
      </c>
      <c r="K406" s="22">
        <f t="shared" si="23"/>
        <v>8263</v>
      </c>
    </row>
    <row r="407" spans="1:11" x14ac:dyDescent="0.2">
      <c r="A407" s="2">
        <f ca="1">IFERROR(__xludf.DUMMYFUNCTION("""COMPUTED_VALUE"""),45924.6666666666)</f>
        <v>45924.666666666599</v>
      </c>
      <c r="B407" s="2"/>
      <c r="C407" s="1">
        <v>7950</v>
      </c>
      <c r="D407" s="1">
        <v>7950</v>
      </c>
      <c r="E407" s="1">
        <v>7725</v>
      </c>
      <c r="F407" s="1">
        <v>7775</v>
      </c>
      <c r="G407" s="1">
        <v>150428400</v>
      </c>
      <c r="H407" s="8">
        <f t="shared" si="24"/>
        <v>-1.2698412698412698E-2</v>
      </c>
      <c r="I407" s="8">
        <f t="shared" si="25"/>
        <v>-0.17506631299734748</v>
      </c>
      <c r="J407" s="22">
        <f t="shared" si="26"/>
        <v>7907.5</v>
      </c>
      <c r="K407" s="22">
        <f t="shared" si="23"/>
        <v>8248</v>
      </c>
    </row>
    <row r="408" spans="1:11" x14ac:dyDescent="0.2">
      <c r="A408" s="2">
        <f ca="1">IFERROR(__xludf.DUMMYFUNCTION("""COMPUTED_VALUE"""),45925.6666666666)</f>
        <v>45925.666666666599</v>
      </c>
      <c r="B408" s="2"/>
      <c r="C408" s="1">
        <v>7725</v>
      </c>
      <c r="D408" s="1">
        <v>7775</v>
      </c>
      <c r="E408" s="1">
        <v>7700</v>
      </c>
      <c r="F408" s="1">
        <v>7700</v>
      </c>
      <c r="G408" s="1">
        <v>147986600</v>
      </c>
      <c r="H408" s="8">
        <f t="shared" si="24"/>
        <v>-9.6463022508038593E-3</v>
      </c>
      <c r="I408" s="8">
        <f t="shared" si="25"/>
        <v>-0.1830238726790451</v>
      </c>
      <c r="J408" s="22">
        <f t="shared" si="26"/>
        <v>7877.5</v>
      </c>
      <c r="K408" s="22">
        <f t="shared" si="23"/>
        <v>8231</v>
      </c>
    </row>
    <row r="409" spans="1:11" x14ac:dyDescent="0.2">
      <c r="A409" s="2">
        <f ca="1">IFERROR(__xludf.DUMMYFUNCTION("""COMPUTED_VALUE"""),45926.6666666666)</f>
        <v>45926.666666666599</v>
      </c>
      <c r="B409" s="2"/>
      <c r="C409" s="1">
        <v>7575</v>
      </c>
      <c r="D409" s="1">
        <v>7700</v>
      </c>
      <c r="E409" s="1">
        <v>7575</v>
      </c>
      <c r="F409" s="1">
        <v>7625</v>
      </c>
      <c r="G409" s="1">
        <v>121657700</v>
      </c>
      <c r="H409" s="8">
        <f t="shared" si="24"/>
        <v>-9.74025974025974E-3</v>
      </c>
      <c r="I409" s="8">
        <f t="shared" si="25"/>
        <v>-0.19098143236074269</v>
      </c>
      <c r="J409" s="22">
        <f t="shared" si="26"/>
        <v>7842.5</v>
      </c>
      <c r="K409" s="22">
        <f t="shared" si="23"/>
        <v>8213</v>
      </c>
    </row>
    <row r="410" spans="1:11" x14ac:dyDescent="0.2">
      <c r="A410" s="2">
        <f ca="1">IFERROR(__xludf.DUMMYFUNCTION("""COMPUTED_VALUE"""),45929.6666666666)</f>
        <v>45929.666666666599</v>
      </c>
      <c r="B410" s="2"/>
      <c r="C410" s="1">
        <v>7750</v>
      </c>
      <c r="D410" s="1">
        <v>7800</v>
      </c>
      <c r="E410" s="1">
        <v>7700</v>
      </c>
      <c r="F410" s="1">
        <v>7775</v>
      </c>
      <c r="G410" s="1">
        <v>116454700</v>
      </c>
      <c r="H410" s="8">
        <f t="shared" si="24"/>
        <v>1.9672131147540985E-2</v>
      </c>
      <c r="I410" s="8">
        <f t="shared" si="25"/>
        <v>-0.17506631299734748</v>
      </c>
      <c r="J410" s="22">
        <f t="shared" si="26"/>
        <v>7827.5</v>
      </c>
      <c r="K410" s="22">
        <f t="shared" si="23"/>
        <v>8198</v>
      </c>
    </row>
    <row r="411" spans="1:11" x14ac:dyDescent="0.2">
      <c r="A411" s="2">
        <f ca="1">IFERROR(__xludf.DUMMYFUNCTION("""COMPUTED_VALUE"""),45930.6666666666)</f>
        <v>45930.666666666599</v>
      </c>
      <c r="B411" s="2"/>
      <c r="C411" s="1">
        <v>7700</v>
      </c>
      <c r="D411" s="1">
        <v>7775</v>
      </c>
      <c r="E411" s="1">
        <v>7625</v>
      </c>
      <c r="F411" s="1">
        <v>7625</v>
      </c>
      <c r="G411" s="1">
        <v>170666700</v>
      </c>
      <c r="H411" s="8">
        <f t="shared" si="24"/>
        <v>-1.9292604501607719E-2</v>
      </c>
      <c r="I411" s="8">
        <f t="shared" si="25"/>
        <v>-0.19098143236074269</v>
      </c>
      <c r="J411" s="22">
        <f t="shared" si="26"/>
        <v>7808.75</v>
      </c>
      <c r="K411" s="22">
        <f t="shared" si="23"/>
        <v>8182</v>
      </c>
    </row>
    <row r="412" spans="1:11" x14ac:dyDescent="0.2">
      <c r="A412" s="2">
        <f ca="1">IFERROR(__xludf.DUMMYFUNCTION("""COMPUTED_VALUE"""),45931.6666666666)</f>
        <v>45931.666666666599</v>
      </c>
      <c r="B412" s="2"/>
      <c r="C412" s="1">
        <v>7600</v>
      </c>
      <c r="D412" s="1">
        <v>7675</v>
      </c>
      <c r="E412" s="1">
        <v>7500</v>
      </c>
      <c r="F412" s="1">
        <v>7500</v>
      </c>
      <c r="G412" s="1">
        <v>202433400</v>
      </c>
      <c r="H412" s="8">
        <f t="shared" si="24"/>
        <v>-1.6393442622950821E-2</v>
      </c>
      <c r="I412" s="8">
        <f t="shared" si="25"/>
        <v>-0.20424403183023873</v>
      </c>
      <c r="J412" s="22">
        <f t="shared" si="26"/>
        <v>7783.75</v>
      </c>
      <c r="K412" s="22">
        <f t="shared" si="23"/>
        <v>8163</v>
      </c>
    </row>
    <row r="413" spans="1:11" x14ac:dyDescent="0.2">
      <c r="A413" s="2">
        <f ca="1">IFERROR(__xludf.DUMMYFUNCTION("""COMPUTED_VALUE"""),45932.6666666666)</f>
        <v>45932.666666666599</v>
      </c>
      <c r="B413" s="2"/>
      <c r="C413" s="1">
        <v>7500</v>
      </c>
      <c r="D413" s="1">
        <v>7600</v>
      </c>
      <c r="E413" s="1">
        <v>7500</v>
      </c>
      <c r="F413" s="1">
        <v>7500</v>
      </c>
      <c r="G413" s="1">
        <v>126952400</v>
      </c>
      <c r="H413" s="8">
        <f t="shared" si="24"/>
        <v>0</v>
      </c>
      <c r="I413" s="8">
        <f t="shared" si="25"/>
        <v>-0.20424403183023873</v>
      </c>
      <c r="J413" s="22">
        <f t="shared" si="26"/>
        <v>7760</v>
      </c>
      <c r="K413" s="22">
        <f t="shared" si="23"/>
        <v>8145</v>
      </c>
    </row>
    <row r="414" spans="1:11" x14ac:dyDescent="0.2">
      <c r="A414" s="2">
        <f ca="1">IFERROR(__xludf.DUMMYFUNCTION("""COMPUTED_VALUE"""),45933.6666666666)</f>
        <v>45933.666666666599</v>
      </c>
      <c r="B414" s="2"/>
      <c r="C414" s="1">
        <v>7525</v>
      </c>
      <c r="D414" s="1">
        <v>7550</v>
      </c>
      <c r="E414" s="1">
        <v>7500</v>
      </c>
      <c r="F414" s="1">
        <v>7525</v>
      </c>
      <c r="G414" s="1">
        <v>76787500</v>
      </c>
      <c r="H414" s="8">
        <f t="shared" si="24"/>
        <v>3.3333333333333335E-3</v>
      </c>
      <c r="I414" s="8">
        <f t="shared" si="25"/>
        <v>-0.20159151193633953</v>
      </c>
      <c r="J414" s="22">
        <f t="shared" si="26"/>
        <v>7736.25</v>
      </c>
      <c r="K414" s="22">
        <f t="shared" si="23"/>
        <v>8127</v>
      </c>
    </row>
    <row r="415" spans="1:11" x14ac:dyDescent="0.2">
      <c r="A415" s="2">
        <f ca="1">IFERROR(__xludf.DUMMYFUNCTION("""COMPUTED_VALUE"""),45936.6666666666)</f>
        <v>45936.666666666599</v>
      </c>
      <c r="B415" s="2"/>
      <c r="C415" s="1">
        <v>7500</v>
      </c>
      <c r="D415" s="1">
        <v>7550</v>
      </c>
      <c r="E415" s="1">
        <v>7450</v>
      </c>
      <c r="F415" s="1">
        <v>7500</v>
      </c>
      <c r="G415" s="1">
        <v>104032400</v>
      </c>
      <c r="H415" s="8">
        <f t="shared" si="24"/>
        <v>-3.3222591362126247E-3</v>
      </c>
      <c r="I415" s="8">
        <f t="shared" si="25"/>
        <v>-0.20424403183023873</v>
      </c>
      <c r="J415" s="22">
        <f t="shared" si="26"/>
        <v>7726.25</v>
      </c>
      <c r="K415" s="22">
        <f t="shared" si="23"/>
        <v>8107</v>
      </c>
    </row>
    <row r="416" spans="1:11" x14ac:dyDescent="0.2">
      <c r="A416" s="2">
        <f ca="1">IFERROR(__xludf.DUMMYFUNCTION("""COMPUTED_VALUE"""),45937.6666666666)</f>
        <v>45937.666666666599</v>
      </c>
      <c r="B416" s="2"/>
      <c r="C416" s="1">
        <v>7550</v>
      </c>
      <c r="D416" s="1">
        <v>7600</v>
      </c>
      <c r="E416" s="1">
        <v>7500</v>
      </c>
      <c r="F416" s="1">
        <v>7575</v>
      </c>
      <c r="G416" s="1">
        <v>74282600</v>
      </c>
      <c r="H416" s="8">
        <f t="shared" si="24"/>
        <v>0.01</v>
      </c>
      <c r="I416" s="8">
        <f t="shared" si="25"/>
        <v>-0.19628647214854111</v>
      </c>
      <c r="J416" s="22">
        <f t="shared" si="26"/>
        <v>7728.75</v>
      </c>
      <c r="K416" s="22">
        <f t="shared" si="23"/>
        <v>8089.5</v>
      </c>
    </row>
    <row r="417" spans="1:11" x14ac:dyDescent="0.2">
      <c r="A417" s="2">
        <f ca="1">IFERROR(__xludf.DUMMYFUNCTION("""COMPUTED_VALUE"""),45938.6666666666)</f>
        <v>45938.666666666599</v>
      </c>
      <c r="B417" s="2"/>
      <c r="C417" s="1">
        <v>7500</v>
      </c>
      <c r="D417" s="1">
        <v>7525</v>
      </c>
      <c r="E417" s="1">
        <v>7375</v>
      </c>
      <c r="F417" s="1">
        <v>7375</v>
      </c>
      <c r="G417" s="1">
        <v>168080800</v>
      </c>
      <c r="H417" s="8">
        <f t="shared" si="24"/>
        <v>-2.6402640264026403E-2</v>
      </c>
      <c r="I417" s="8">
        <f t="shared" si="25"/>
        <v>-0.21750663129973474</v>
      </c>
      <c r="J417" s="22">
        <f t="shared" si="26"/>
        <v>7707.5</v>
      </c>
      <c r="K417" s="22">
        <f t="shared" si="23"/>
        <v>8067</v>
      </c>
    </row>
    <row r="418" spans="1:11" x14ac:dyDescent="0.2">
      <c r="A418" s="2">
        <f ca="1">IFERROR(__xludf.DUMMYFUNCTION("""COMPUTED_VALUE"""),45939.6666666666)</f>
        <v>45939.666666666599</v>
      </c>
      <c r="B418" s="2"/>
      <c r="C418" s="1">
        <v>7375</v>
      </c>
      <c r="D418" s="1">
        <v>7700</v>
      </c>
      <c r="E418" s="1">
        <v>7300</v>
      </c>
      <c r="F418" s="1">
        <v>7550</v>
      </c>
      <c r="G418" s="1">
        <v>293567400</v>
      </c>
      <c r="H418" s="8">
        <f t="shared" si="24"/>
        <v>2.3728813559322035E-2</v>
      </c>
      <c r="I418" s="8">
        <f t="shared" si="25"/>
        <v>-0.19893899204244031</v>
      </c>
      <c r="J418" s="22">
        <f t="shared" si="26"/>
        <v>7692.5</v>
      </c>
      <c r="K418" s="22">
        <f t="shared" si="23"/>
        <v>8050</v>
      </c>
    </row>
    <row r="419" spans="1:11" x14ac:dyDescent="0.2">
      <c r="A419" s="2">
        <f ca="1">IFERROR(__xludf.DUMMYFUNCTION("""COMPUTED_VALUE"""),45940.6666666666)</f>
        <v>45940.666666666599</v>
      </c>
      <c r="B419" s="2"/>
      <c r="C419" s="1">
        <v>7450</v>
      </c>
      <c r="D419" s="1">
        <v>7450</v>
      </c>
      <c r="E419" s="1">
        <v>7350</v>
      </c>
      <c r="F419" s="1">
        <v>7400</v>
      </c>
      <c r="G419" s="1">
        <v>107426000</v>
      </c>
      <c r="H419" s="8">
        <f t="shared" si="24"/>
        <v>-1.9867549668874173E-2</v>
      </c>
      <c r="I419" s="8">
        <f t="shared" si="25"/>
        <v>-0.21485411140583555</v>
      </c>
      <c r="J419" s="22">
        <f t="shared" si="26"/>
        <v>7666.25</v>
      </c>
      <c r="K419" s="22">
        <f t="shared" si="23"/>
        <v>8030.5</v>
      </c>
    </row>
    <row r="420" spans="1:11" x14ac:dyDescent="0.2">
      <c r="A420" s="2">
        <f ca="1">IFERROR(__xludf.DUMMYFUNCTION("""COMPUTED_VALUE"""),45943.6666666666)</f>
        <v>45943.666666666599</v>
      </c>
      <c r="B420" s="2"/>
      <c r="C420" s="1">
        <v>7300</v>
      </c>
      <c r="D420" s="1">
        <v>7375</v>
      </c>
      <c r="E420" s="1">
        <v>7300</v>
      </c>
      <c r="F420" s="1">
        <v>7325</v>
      </c>
      <c r="G420" s="1">
        <v>101847900</v>
      </c>
      <c r="H420" s="8">
        <f t="shared" si="24"/>
        <v>-1.0135135135135136E-2</v>
      </c>
      <c r="I420" s="8">
        <f t="shared" si="25"/>
        <v>-0.22281167108753316</v>
      </c>
      <c r="J420" s="22">
        <f t="shared" si="26"/>
        <v>7631.25</v>
      </c>
      <c r="K420" s="22">
        <f t="shared" si="23"/>
        <v>8011.5</v>
      </c>
    </row>
    <row r="421" spans="1:11" x14ac:dyDescent="0.2">
      <c r="A421" s="2">
        <f ca="1">IFERROR(__xludf.DUMMYFUNCTION("""COMPUTED_VALUE"""),45944.6666666666)</f>
        <v>45944.666666666599</v>
      </c>
      <c r="B421" s="2"/>
      <c r="C421" s="1">
        <v>7275</v>
      </c>
      <c r="D421" s="1">
        <v>7350</v>
      </c>
      <c r="E421" s="1">
        <v>7250</v>
      </c>
      <c r="F421" s="1">
        <v>7250</v>
      </c>
      <c r="G421" s="1">
        <v>151862300</v>
      </c>
      <c r="H421" s="8">
        <f t="shared" si="24"/>
        <v>-1.0238907849829351E-2</v>
      </c>
      <c r="I421" s="8">
        <f t="shared" si="25"/>
        <v>-0.23076923076923078</v>
      </c>
      <c r="J421" s="22">
        <f t="shared" si="26"/>
        <v>7597.5</v>
      </c>
      <c r="K421" s="22">
        <f t="shared" si="23"/>
        <v>7990.5</v>
      </c>
    </row>
    <row r="422" spans="1:11" x14ac:dyDescent="0.2">
      <c r="A422" s="2">
        <f ca="1">IFERROR(__xludf.DUMMYFUNCTION("""COMPUTED_VALUE"""),45945.6666666666)</f>
        <v>45945.666666666599</v>
      </c>
      <c r="B422" s="2"/>
      <c r="C422" s="1">
        <v>7250</v>
      </c>
      <c r="D422" s="1">
        <v>7350</v>
      </c>
      <c r="E422" s="1">
        <v>7225</v>
      </c>
      <c r="F422" s="1">
        <v>7250</v>
      </c>
      <c r="G422" s="1">
        <v>133206400</v>
      </c>
      <c r="H422" s="8">
        <f t="shared" si="24"/>
        <v>0</v>
      </c>
      <c r="I422" s="8">
        <f t="shared" si="25"/>
        <v>-0.23076923076923078</v>
      </c>
      <c r="J422" s="22">
        <f t="shared" si="26"/>
        <v>7567.5</v>
      </c>
      <c r="K422" s="22">
        <f t="shared" si="23"/>
        <v>7970</v>
      </c>
    </row>
    <row r="423" spans="1:11" x14ac:dyDescent="0.2">
      <c r="A423" s="2">
        <f ca="1">IFERROR(__xludf.DUMMYFUNCTION("""COMPUTED_VALUE"""),45946.6666666666)</f>
        <v>45946.666666666599</v>
      </c>
      <c r="B423" s="2"/>
      <c r="C423" s="1">
        <v>7250</v>
      </c>
      <c r="D423" s="1">
        <v>7325</v>
      </c>
      <c r="E423" s="1">
        <v>7225</v>
      </c>
      <c r="F423" s="1">
        <v>7300</v>
      </c>
      <c r="G423" s="1">
        <v>120611200</v>
      </c>
      <c r="H423" s="8">
        <f t="shared" si="24"/>
        <v>6.8965517241379309E-3</v>
      </c>
      <c r="I423" s="8">
        <f t="shared" si="25"/>
        <v>-0.22546419098143236</v>
      </c>
      <c r="J423" s="22">
        <f t="shared" si="26"/>
        <v>7547.5</v>
      </c>
      <c r="K423" s="22">
        <f t="shared" si="23"/>
        <v>7947.5</v>
      </c>
    </row>
    <row r="424" spans="1:11" x14ac:dyDescent="0.2">
      <c r="A424" s="2">
        <f ca="1">IFERROR(__xludf.DUMMYFUNCTION("""COMPUTED_VALUE"""),45947.6666666666)</f>
        <v>45947.666666666599</v>
      </c>
      <c r="B424" s="2"/>
      <c r="C424" s="1">
        <v>7300</v>
      </c>
      <c r="D424" s="1">
        <v>7525</v>
      </c>
      <c r="E424" s="1">
        <v>7275</v>
      </c>
      <c r="F424" s="1">
        <v>7500</v>
      </c>
      <c r="G424" s="1">
        <v>157334400</v>
      </c>
      <c r="H424" s="8">
        <f t="shared" si="24"/>
        <v>2.7397260273972601E-2</v>
      </c>
      <c r="I424" s="8">
        <f t="shared" si="25"/>
        <v>-0.20424403183023873</v>
      </c>
      <c r="J424" s="22">
        <f t="shared" si="26"/>
        <v>7532.5</v>
      </c>
      <c r="K424" s="22">
        <f t="shared" si="23"/>
        <v>7931.5</v>
      </c>
    </row>
    <row r="425" spans="1:11" x14ac:dyDescent="0.2">
      <c r="A425" s="2">
        <f ca="1">IFERROR(__xludf.DUMMYFUNCTION("""COMPUTED_VALUE"""),45950.6666666666)</f>
        <v>45950.666666666599</v>
      </c>
      <c r="B425" s="2"/>
      <c r="C425" s="1">
        <v>7700</v>
      </c>
      <c r="D425" s="1">
        <v>8000</v>
      </c>
      <c r="E425" s="1">
        <v>7625</v>
      </c>
      <c r="F425" s="1">
        <v>7875</v>
      </c>
      <c r="G425" s="1">
        <v>393421800</v>
      </c>
      <c r="H425" s="8">
        <f t="shared" si="24"/>
        <v>0.05</v>
      </c>
      <c r="I425" s="8">
        <f t="shared" si="25"/>
        <v>-0.16445623342175067</v>
      </c>
      <c r="J425" s="22">
        <f t="shared" si="26"/>
        <v>7540</v>
      </c>
      <c r="K425" s="22">
        <f t="shared" si="23"/>
        <v>7923</v>
      </c>
    </row>
    <row r="426" spans="1:11" x14ac:dyDescent="0.2">
      <c r="A426" s="2">
        <f ca="1">IFERROR(__xludf.DUMMYFUNCTION("""COMPUTED_VALUE"""),45951.6666666666)</f>
        <v>45951.666666666599</v>
      </c>
      <c r="B426" s="2"/>
      <c r="C426" s="1">
        <v>8100</v>
      </c>
      <c r="D426" s="1">
        <v>8475</v>
      </c>
      <c r="E426" s="1">
        <v>8100</v>
      </c>
      <c r="F426" s="1">
        <v>8475</v>
      </c>
      <c r="G426" s="1">
        <v>529802600</v>
      </c>
      <c r="H426" s="8">
        <f t="shared" si="24"/>
        <v>7.6190476190476197E-2</v>
      </c>
      <c r="I426" s="8">
        <f t="shared" si="25"/>
        <v>-0.10079575596816977</v>
      </c>
      <c r="J426" s="22">
        <f t="shared" si="26"/>
        <v>7570</v>
      </c>
      <c r="K426" s="22">
        <f t="shared" si="23"/>
        <v>7926.5</v>
      </c>
    </row>
    <row r="427" spans="1:11" x14ac:dyDescent="0.2">
      <c r="A427" s="2">
        <f ca="1">IFERROR(__xludf.DUMMYFUNCTION("""COMPUTED_VALUE"""),45952.6666666666)</f>
        <v>45952.666666666599</v>
      </c>
      <c r="B427" s="2"/>
      <c r="C427" s="1">
        <v>8700</v>
      </c>
      <c r="D427" s="1">
        <v>8700</v>
      </c>
      <c r="E427" s="1">
        <v>8200</v>
      </c>
      <c r="F427" s="1">
        <v>8200</v>
      </c>
      <c r="G427" s="1">
        <v>392957200</v>
      </c>
      <c r="H427" s="8">
        <f t="shared" si="24"/>
        <v>-3.2448377581120944E-2</v>
      </c>
      <c r="I427" s="8">
        <f t="shared" si="25"/>
        <v>-0.129973474801061</v>
      </c>
      <c r="J427" s="22">
        <f t="shared" si="26"/>
        <v>7591.25</v>
      </c>
      <c r="K427" s="22">
        <f t="shared" si="23"/>
        <v>7919.5</v>
      </c>
    </row>
    <row r="428" spans="1:11" x14ac:dyDescent="0.2">
      <c r="A428" s="2">
        <f ca="1">IFERROR(__xludf.DUMMYFUNCTION("""COMPUTED_VALUE"""),45953.6666666666)</f>
        <v>45953.666666666599</v>
      </c>
      <c r="B428" s="2"/>
      <c r="C428" s="1">
        <v>8200</v>
      </c>
      <c r="D428" s="1">
        <v>8350</v>
      </c>
      <c r="E428" s="1">
        <v>8150</v>
      </c>
      <c r="F428" s="1">
        <v>8325</v>
      </c>
      <c r="G428" s="1">
        <v>187003900</v>
      </c>
      <c r="H428" s="8">
        <f t="shared" si="24"/>
        <v>1.524390243902439E-2</v>
      </c>
      <c r="I428" s="8">
        <f t="shared" si="25"/>
        <v>-0.11671087533156499</v>
      </c>
      <c r="J428" s="22">
        <f t="shared" si="26"/>
        <v>7622.5</v>
      </c>
      <c r="K428" s="22">
        <f t="shared" si="23"/>
        <v>7909</v>
      </c>
    </row>
    <row r="429" spans="1:11" x14ac:dyDescent="0.2">
      <c r="A429" s="2">
        <f ca="1">IFERROR(__xludf.DUMMYFUNCTION("""COMPUTED_VALUE"""),45954.6666666666)</f>
        <v>45954.666666666599</v>
      </c>
      <c r="B429" s="2"/>
      <c r="C429" s="1">
        <v>8300</v>
      </c>
      <c r="D429" s="1">
        <v>8375</v>
      </c>
      <c r="E429" s="1">
        <v>8275</v>
      </c>
      <c r="F429" s="1">
        <v>8275</v>
      </c>
      <c r="G429" s="1">
        <v>133355100</v>
      </c>
      <c r="H429" s="8">
        <f t="shared" si="24"/>
        <v>-6.006006006006006E-3</v>
      </c>
      <c r="I429" s="8">
        <f t="shared" si="25"/>
        <v>-0.1220159151193634</v>
      </c>
      <c r="J429" s="22">
        <f t="shared" si="26"/>
        <v>7655</v>
      </c>
      <c r="K429" s="22">
        <f t="shared" si="23"/>
        <v>7896</v>
      </c>
    </row>
    <row r="430" spans="1:11" x14ac:dyDescent="0.2">
      <c r="A430" s="2">
        <f ca="1">IFERROR(__xludf.DUMMYFUNCTION("""COMPUTED_VALUE"""),45957.6666666666)</f>
        <v>45957.666666666599</v>
      </c>
      <c r="B430" s="2"/>
      <c r="C430" s="1">
        <v>8325</v>
      </c>
      <c r="D430" s="1">
        <v>8425</v>
      </c>
      <c r="E430" s="1">
        <v>8200</v>
      </c>
      <c r="F430" s="1">
        <v>8350</v>
      </c>
      <c r="G430" s="1">
        <v>182275600</v>
      </c>
      <c r="H430" s="8">
        <f t="shared" si="24"/>
        <v>9.0634441087613302E-3</v>
      </c>
      <c r="I430" s="8">
        <f t="shared" si="25"/>
        <v>-0.11405835543766578</v>
      </c>
      <c r="J430" s="22">
        <f t="shared" si="26"/>
        <v>7683.75</v>
      </c>
      <c r="K430" s="22">
        <f t="shared" si="23"/>
        <v>7887.5</v>
      </c>
    </row>
    <row r="431" spans="1:11" x14ac:dyDescent="0.2">
      <c r="A431" s="2">
        <f ca="1">IFERROR(__xludf.DUMMYFUNCTION("""COMPUTED_VALUE"""),45958.6666666666)</f>
        <v>45958.666666666599</v>
      </c>
      <c r="B431" s="2"/>
      <c r="C431" s="1">
        <v>8350</v>
      </c>
      <c r="D431" s="1">
        <v>8400</v>
      </c>
      <c r="E431" s="1">
        <v>8250</v>
      </c>
      <c r="F431" s="1">
        <v>8275</v>
      </c>
      <c r="G431" s="1">
        <v>180270000</v>
      </c>
      <c r="H431" s="8">
        <f t="shared" si="24"/>
        <v>-8.9820359281437123E-3</v>
      </c>
      <c r="I431" s="8">
        <f t="shared" si="25"/>
        <v>-0.1220159151193634</v>
      </c>
      <c r="J431" s="22">
        <f t="shared" si="26"/>
        <v>7716.25</v>
      </c>
      <c r="K431" s="22">
        <f t="shared" si="23"/>
        <v>7879</v>
      </c>
    </row>
    <row r="432" spans="1:11" x14ac:dyDescent="0.2">
      <c r="A432" s="2">
        <f ca="1">IFERROR(__xludf.DUMMYFUNCTION("""COMPUTED_VALUE"""),45959.6666666666)</f>
        <v>45959.666666666599</v>
      </c>
      <c r="B432" s="2"/>
      <c r="C432" s="1">
        <v>8300</v>
      </c>
      <c r="D432" s="1">
        <v>8600</v>
      </c>
      <c r="E432" s="1">
        <v>8275</v>
      </c>
      <c r="F432" s="1">
        <v>8600</v>
      </c>
      <c r="G432" s="1">
        <v>239156800</v>
      </c>
      <c r="H432" s="8">
        <f t="shared" si="24"/>
        <v>3.9274924471299093E-2</v>
      </c>
      <c r="I432" s="8">
        <f t="shared" si="25"/>
        <v>-8.7533156498673742E-2</v>
      </c>
      <c r="J432" s="22">
        <f t="shared" si="26"/>
        <v>7771.25</v>
      </c>
      <c r="K432" s="22">
        <f t="shared" si="23"/>
        <v>7881</v>
      </c>
    </row>
    <row r="433" spans="1:11" x14ac:dyDescent="0.2">
      <c r="A433" s="2">
        <f ca="1">IFERROR(__xludf.DUMMYFUNCTION("""COMPUTED_VALUE"""),45960.6666666666)</f>
        <v>45960.666666666599</v>
      </c>
      <c r="B433" s="2"/>
      <c r="C433" s="1">
        <v>8575</v>
      </c>
      <c r="D433" s="1">
        <v>8750</v>
      </c>
      <c r="E433" s="1">
        <v>8475</v>
      </c>
      <c r="F433" s="1">
        <v>8525</v>
      </c>
      <c r="G433" s="1">
        <v>259009800</v>
      </c>
      <c r="H433" s="8">
        <f t="shared" si="24"/>
        <v>-8.7209302325581394E-3</v>
      </c>
      <c r="I433" s="8">
        <f t="shared" si="25"/>
        <v>-9.5490716180371346E-2</v>
      </c>
      <c r="J433" s="22">
        <f t="shared" si="26"/>
        <v>7822.5</v>
      </c>
      <c r="K433" s="22">
        <f t="shared" si="23"/>
        <v>7881</v>
      </c>
    </row>
    <row r="434" spans="1:11" x14ac:dyDescent="0.2">
      <c r="A434" s="2">
        <f ca="1">IFERROR(__xludf.DUMMYFUNCTION("""COMPUTED_VALUE"""),45961.6666666666)</f>
        <v>45961.666666666599</v>
      </c>
      <c r="B434" s="2"/>
      <c r="C434" s="1">
        <v>8550</v>
      </c>
      <c r="D434" s="1">
        <v>8650</v>
      </c>
      <c r="E434" s="1">
        <v>8525</v>
      </c>
      <c r="F434" s="1">
        <v>8525</v>
      </c>
      <c r="G434" s="1">
        <v>177088000</v>
      </c>
      <c r="H434" s="8">
        <f t="shared" si="24"/>
        <v>0</v>
      </c>
      <c r="I434" s="8">
        <f t="shared" si="25"/>
        <v>-9.5490716180371346E-2</v>
      </c>
      <c r="J434" s="22">
        <f t="shared" si="26"/>
        <v>7872.5</v>
      </c>
      <c r="K434" s="22">
        <f t="shared" si="23"/>
        <v>7880.5</v>
      </c>
    </row>
    <row r="435" spans="1:11" x14ac:dyDescent="0.2">
      <c r="A435" s="2">
        <f ca="1">IFERROR(__xludf.DUMMYFUNCTION("""COMPUTED_VALUE"""),45964.6666666666)</f>
        <v>45964.666666666599</v>
      </c>
      <c r="B435" s="2"/>
      <c r="C435" s="1">
        <v>8650</v>
      </c>
      <c r="D435" s="1">
        <v>8650</v>
      </c>
      <c r="E435" s="1">
        <v>8525</v>
      </c>
      <c r="F435" s="1">
        <v>8650</v>
      </c>
      <c r="G435" s="1">
        <v>115007100</v>
      </c>
      <c r="H435" s="8">
        <f t="shared" si="24"/>
        <v>1.466275659824047E-2</v>
      </c>
      <c r="I435" s="8">
        <f t="shared" si="25"/>
        <v>-8.2228116710875335E-2</v>
      </c>
      <c r="J435" s="22">
        <f t="shared" si="26"/>
        <v>7930</v>
      </c>
      <c r="K435" s="22">
        <f t="shared" si="23"/>
        <v>7884.5</v>
      </c>
    </row>
    <row r="436" spans="1:11" x14ac:dyDescent="0.2">
      <c r="A436" s="2">
        <f ca="1">IFERROR(__xludf.DUMMYFUNCTION("""COMPUTED_VALUE"""),45965.6666666666)</f>
        <v>45965.666666666599</v>
      </c>
      <c r="B436" s="2"/>
      <c r="C436" s="1">
        <v>8650</v>
      </c>
      <c r="D436" s="1">
        <v>8700</v>
      </c>
      <c r="E436" s="1">
        <v>8625</v>
      </c>
      <c r="F436" s="1">
        <v>8650</v>
      </c>
      <c r="G436" s="1">
        <v>155231500</v>
      </c>
      <c r="H436" s="8">
        <f t="shared" si="24"/>
        <v>0</v>
      </c>
      <c r="I436" s="8">
        <f t="shared" si="25"/>
        <v>-8.2228116710875335E-2</v>
      </c>
      <c r="J436" s="22">
        <f t="shared" si="26"/>
        <v>7983.75</v>
      </c>
      <c r="K436" s="22">
        <f t="shared" ref="K436:K474" si="27">AVERAGE(F387:F436)</f>
        <v>7888</v>
      </c>
    </row>
    <row r="437" spans="1:11" x14ac:dyDescent="0.2">
      <c r="A437" s="2">
        <f ca="1">IFERROR(__xludf.DUMMYFUNCTION("""COMPUTED_VALUE"""),45966.6666666666)</f>
        <v>45966.666666666599</v>
      </c>
      <c r="B437" s="2"/>
      <c r="C437" s="1">
        <v>8625</v>
      </c>
      <c r="D437" s="1">
        <v>8700</v>
      </c>
      <c r="E437" s="1">
        <v>8600</v>
      </c>
      <c r="F437" s="1">
        <v>8700</v>
      </c>
      <c r="G437" s="1">
        <v>125731500</v>
      </c>
      <c r="H437" s="8">
        <f t="shared" si="24"/>
        <v>5.7803468208092483E-3</v>
      </c>
      <c r="I437" s="8">
        <f t="shared" si="25"/>
        <v>-7.6923076923076927E-2</v>
      </c>
      <c r="J437" s="22">
        <f t="shared" si="26"/>
        <v>8050</v>
      </c>
      <c r="K437" s="22">
        <f t="shared" si="27"/>
        <v>7897</v>
      </c>
    </row>
    <row r="438" spans="1:11" x14ac:dyDescent="0.2">
      <c r="A438" s="2">
        <f ca="1">IFERROR(__xludf.DUMMYFUNCTION("""COMPUTED_VALUE"""),45967.6666666666)</f>
        <v>45967.666666666599</v>
      </c>
      <c r="B438" s="2"/>
      <c r="C438" s="1">
        <v>8625</v>
      </c>
      <c r="D438" s="1">
        <v>8675</v>
      </c>
      <c r="E438" s="1">
        <v>8550</v>
      </c>
      <c r="F438" s="1">
        <v>8550</v>
      </c>
      <c r="G438" s="1">
        <v>89756900</v>
      </c>
      <c r="H438" s="8">
        <f t="shared" si="24"/>
        <v>-1.7241379310344827E-2</v>
      </c>
      <c r="I438" s="8">
        <f t="shared" si="25"/>
        <v>-9.2838196286472149E-2</v>
      </c>
      <c r="J438" s="22">
        <f t="shared" si="26"/>
        <v>8100</v>
      </c>
      <c r="K438" s="22">
        <f t="shared" si="27"/>
        <v>7902</v>
      </c>
    </row>
    <row r="439" spans="1:11" x14ac:dyDescent="0.2">
      <c r="A439" s="2">
        <f ca="1">IFERROR(__xludf.DUMMYFUNCTION("""COMPUTED_VALUE"""),45968.6666666666)</f>
        <v>45968.666666666599</v>
      </c>
      <c r="B439" s="2"/>
      <c r="C439" s="1">
        <v>8550</v>
      </c>
      <c r="D439" s="1">
        <v>8675</v>
      </c>
      <c r="E439" s="1">
        <v>8550</v>
      </c>
      <c r="F439" s="1">
        <v>8675</v>
      </c>
      <c r="G439" s="1">
        <v>75241900</v>
      </c>
      <c r="H439" s="8">
        <f t="shared" si="24"/>
        <v>1.4619883040935672E-2</v>
      </c>
      <c r="I439" s="8">
        <f t="shared" si="25"/>
        <v>-7.9575596816976124E-2</v>
      </c>
      <c r="J439" s="22">
        <f t="shared" si="26"/>
        <v>8163.75</v>
      </c>
      <c r="K439" s="22">
        <f t="shared" si="27"/>
        <v>7909</v>
      </c>
    </row>
    <row r="440" spans="1:11" x14ac:dyDescent="0.2">
      <c r="A440" s="2">
        <f ca="1">IFERROR(__xludf.DUMMYFUNCTION("""COMPUTED_VALUE"""),45971.6666666666)</f>
        <v>45971.666666666599</v>
      </c>
      <c r="B440" s="2"/>
      <c r="C440" s="1">
        <v>8675</v>
      </c>
      <c r="D440" s="1">
        <v>8675</v>
      </c>
      <c r="E440" s="1">
        <v>8575</v>
      </c>
      <c r="F440" s="1">
        <v>8575</v>
      </c>
      <c r="G440" s="1">
        <v>79897700</v>
      </c>
      <c r="H440" s="8">
        <f t="shared" si="24"/>
        <v>-1.1527377521613832E-2</v>
      </c>
      <c r="I440" s="8">
        <f t="shared" si="25"/>
        <v>-9.0185676392572939E-2</v>
      </c>
      <c r="J440" s="22">
        <f t="shared" si="26"/>
        <v>8226.25</v>
      </c>
      <c r="K440" s="22">
        <f t="shared" si="27"/>
        <v>7919</v>
      </c>
    </row>
    <row r="441" spans="1:11" x14ac:dyDescent="0.2">
      <c r="A441" s="2">
        <f ca="1">IFERROR(__xludf.DUMMYFUNCTION("""COMPUTED_VALUE"""),45972.6666666666)</f>
        <v>45972.666666666599</v>
      </c>
      <c r="B441" s="2"/>
      <c r="C441" s="1">
        <v>8575</v>
      </c>
      <c r="D441" s="1">
        <v>8600</v>
      </c>
      <c r="E441" s="1">
        <v>8400</v>
      </c>
      <c r="F441" s="1">
        <v>8400</v>
      </c>
      <c r="G441" s="1">
        <v>130897600</v>
      </c>
      <c r="H441" s="8">
        <f t="shared" si="24"/>
        <v>-2.0408163265306121E-2</v>
      </c>
      <c r="I441" s="8">
        <f t="shared" si="25"/>
        <v>-0.10875331564986737</v>
      </c>
      <c r="J441" s="22">
        <f t="shared" si="26"/>
        <v>8283.75</v>
      </c>
      <c r="K441" s="22">
        <f t="shared" si="27"/>
        <v>7927</v>
      </c>
    </row>
    <row r="442" spans="1:11" x14ac:dyDescent="0.2">
      <c r="A442" s="2">
        <f ca="1">IFERROR(__xludf.DUMMYFUNCTION("""COMPUTED_VALUE"""),45973.6666666666)</f>
        <v>45973.666666666599</v>
      </c>
      <c r="B442" s="2"/>
      <c r="C442" s="1">
        <v>8425</v>
      </c>
      <c r="D442" s="1">
        <v>8550</v>
      </c>
      <c r="E442" s="1">
        <v>8400</v>
      </c>
      <c r="F442" s="1">
        <v>8500</v>
      </c>
      <c r="G442" s="1">
        <v>85415600</v>
      </c>
      <c r="H442" s="8">
        <f t="shared" si="24"/>
        <v>1.1904761904761904E-2</v>
      </c>
      <c r="I442" s="8">
        <f t="shared" si="25"/>
        <v>-9.8143236074270557E-2</v>
      </c>
      <c r="J442" s="22">
        <f t="shared" si="26"/>
        <v>8346.25</v>
      </c>
      <c r="K442" s="22">
        <f t="shared" si="27"/>
        <v>7937</v>
      </c>
    </row>
    <row r="443" spans="1:11" x14ac:dyDescent="0.2">
      <c r="A443" s="2">
        <f ca="1">IFERROR(__xludf.DUMMYFUNCTION("""COMPUTED_VALUE"""),45974.6666666666)</f>
        <v>45974.666666666599</v>
      </c>
      <c r="B443" s="2"/>
      <c r="C443" s="1">
        <v>8400</v>
      </c>
      <c r="D443" s="1">
        <v>8475</v>
      </c>
      <c r="E443" s="1">
        <v>8375</v>
      </c>
      <c r="F443" s="1">
        <v>8375</v>
      </c>
      <c r="G443" s="1">
        <v>104113800</v>
      </c>
      <c r="H443" s="8">
        <f t="shared" si="24"/>
        <v>-1.4705882352941176E-2</v>
      </c>
      <c r="I443" s="8">
        <f t="shared" si="25"/>
        <v>-0.11140583554376658</v>
      </c>
      <c r="J443" s="22">
        <f t="shared" si="26"/>
        <v>8400</v>
      </c>
      <c r="K443" s="22">
        <f t="shared" si="27"/>
        <v>7945</v>
      </c>
    </row>
    <row r="444" spans="1:11" x14ac:dyDescent="0.2">
      <c r="A444" s="2">
        <f ca="1">IFERROR(__xludf.DUMMYFUNCTION("""COMPUTED_VALUE"""),45975.6666666666)</f>
        <v>45975.666666666599</v>
      </c>
      <c r="B444" s="2"/>
      <c r="C444" s="1">
        <v>8375</v>
      </c>
      <c r="D444" s="1">
        <v>8500</v>
      </c>
      <c r="E444" s="1">
        <v>8375</v>
      </c>
      <c r="F444" s="1">
        <v>8425</v>
      </c>
      <c r="G444" s="1">
        <v>89815300</v>
      </c>
      <c r="H444" s="8">
        <f t="shared" si="24"/>
        <v>5.9701492537313433E-3</v>
      </c>
      <c r="I444" s="8">
        <f t="shared" si="25"/>
        <v>-0.10610079575596817</v>
      </c>
      <c r="J444" s="22">
        <f t="shared" si="26"/>
        <v>8446.25</v>
      </c>
      <c r="K444" s="22">
        <f t="shared" si="27"/>
        <v>7953.5</v>
      </c>
    </row>
    <row r="445" spans="1:11" x14ac:dyDescent="0.2">
      <c r="A445" s="2">
        <f ca="1">IFERROR(__xludf.DUMMYFUNCTION("""COMPUTED_VALUE"""),45978.6666666666)</f>
        <v>45978.666666666599</v>
      </c>
      <c r="B445" s="2"/>
      <c r="C445" s="1">
        <v>8500</v>
      </c>
      <c r="D445" s="1">
        <v>8575</v>
      </c>
      <c r="E445" s="1">
        <v>8475</v>
      </c>
      <c r="F445" s="1">
        <v>8575</v>
      </c>
      <c r="G445" s="1">
        <v>129411100</v>
      </c>
      <c r="H445" s="8">
        <f t="shared" si="24"/>
        <v>1.7804154302670624E-2</v>
      </c>
      <c r="I445" s="8">
        <f t="shared" si="25"/>
        <v>-9.0185676392572939E-2</v>
      </c>
      <c r="J445" s="22">
        <f t="shared" si="26"/>
        <v>8481.25</v>
      </c>
      <c r="K445" s="22">
        <f t="shared" si="27"/>
        <v>7971</v>
      </c>
    </row>
    <row r="446" spans="1:11" x14ac:dyDescent="0.2">
      <c r="A446" s="2">
        <f ca="1">IFERROR(__xludf.DUMMYFUNCTION("""COMPUTED_VALUE"""),45979.6666666666)</f>
        <v>45979.666666666599</v>
      </c>
      <c r="B446" s="2"/>
      <c r="C446" s="1">
        <v>8550</v>
      </c>
      <c r="D446" s="1">
        <v>8575</v>
      </c>
      <c r="E446" s="1">
        <v>8400</v>
      </c>
      <c r="F446" s="1">
        <v>8400</v>
      </c>
      <c r="G446" s="1">
        <v>119377900</v>
      </c>
      <c r="H446" s="8">
        <f t="shared" si="24"/>
        <v>-2.0408163265306121E-2</v>
      </c>
      <c r="I446" s="8">
        <f t="shared" si="25"/>
        <v>-0.10875331564986737</v>
      </c>
      <c r="J446" s="22">
        <f t="shared" si="26"/>
        <v>8477.5</v>
      </c>
      <c r="K446" s="22">
        <f t="shared" si="27"/>
        <v>7988.5</v>
      </c>
    </row>
    <row r="447" spans="1:11" x14ac:dyDescent="0.2">
      <c r="A447" s="2">
        <f ca="1">IFERROR(__xludf.DUMMYFUNCTION("""COMPUTED_VALUE"""),45980.6666666666)</f>
        <v>45980.666666666599</v>
      </c>
      <c r="B447" s="2"/>
      <c r="C447" s="1">
        <v>8350</v>
      </c>
      <c r="D447" s="1">
        <v>8500</v>
      </c>
      <c r="E447" s="1">
        <v>8325</v>
      </c>
      <c r="F447" s="1">
        <v>8475</v>
      </c>
      <c r="G447" s="1">
        <v>114209700</v>
      </c>
      <c r="H447" s="8">
        <f t="shared" si="24"/>
        <v>8.9285714285714281E-3</v>
      </c>
      <c r="I447" s="8">
        <f t="shared" si="25"/>
        <v>-0.10079575596816977</v>
      </c>
      <c r="J447" s="22">
        <f t="shared" si="26"/>
        <v>8491.25</v>
      </c>
      <c r="K447" s="22">
        <f t="shared" si="27"/>
        <v>8002</v>
      </c>
    </row>
    <row r="448" spans="1:11" x14ac:dyDescent="0.2">
      <c r="A448" s="2">
        <f ca="1">IFERROR(__xludf.DUMMYFUNCTION("""COMPUTED_VALUE"""),45981.6666666666)</f>
        <v>45981.666666666599</v>
      </c>
      <c r="B448" s="2"/>
      <c r="C448" s="1">
        <v>8475</v>
      </c>
      <c r="D448" s="1">
        <v>8600</v>
      </c>
      <c r="E448" s="1">
        <v>8400</v>
      </c>
      <c r="F448" s="1">
        <v>8425</v>
      </c>
      <c r="G448" s="1">
        <v>124087400</v>
      </c>
      <c r="H448" s="8">
        <f t="shared" si="24"/>
        <v>-5.8997050147492625E-3</v>
      </c>
      <c r="I448" s="8">
        <f t="shared" si="25"/>
        <v>-0.10610079575596817</v>
      </c>
      <c r="J448" s="22">
        <f t="shared" si="26"/>
        <v>8496.25</v>
      </c>
      <c r="K448" s="22">
        <f t="shared" si="27"/>
        <v>8013.5</v>
      </c>
    </row>
    <row r="449" spans="1:11" x14ac:dyDescent="0.2">
      <c r="A449" s="2">
        <f ca="1">IFERROR(__xludf.DUMMYFUNCTION("""COMPUTED_VALUE"""),45982.6666666666)</f>
        <v>45982.666666666599</v>
      </c>
      <c r="B449" s="2"/>
      <c r="C449" s="1">
        <v>8375</v>
      </c>
      <c r="D449" s="1">
        <v>8425</v>
      </c>
      <c r="E449" s="1">
        <v>8350</v>
      </c>
      <c r="F449" s="1">
        <v>8400</v>
      </c>
      <c r="G449" s="1">
        <v>103917100</v>
      </c>
      <c r="H449" s="8">
        <f t="shared" si="24"/>
        <v>-2.967359050445104E-3</v>
      </c>
      <c r="I449" s="8">
        <f t="shared" si="25"/>
        <v>-0.10875331564986737</v>
      </c>
      <c r="J449" s="22">
        <f t="shared" si="26"/>
        <v>8502.5</v>
      </c>
      <c r="K449" s="22">
        <f t="shared" si="27"/>
        <v>8023</v>
      </c>
    </row>
    <row r="450" spans="1:11" x14ac:dyDescent="0.2">
      <c r="A450" s="2">
        <f ca="1">IFERROR(__xludf.DUMMYFUNCTION("""COMPUTED_VALUE"""),45985.6666666666)</f>
        <v>45985.666666666599</v>
      </c>
      <c r="B450" s="2"/>
      <c r="C450" s="1">
        <v>8400</v>
      </c>
      <c r="D450" s="1">
        <v>8475</v>
      </c>
      <c r="E450" s="1">
        <v>8350</v>
      </c>
      <c r="F450" s="1">
        <v>8475</v>
      </c>
      <c r="G450" s="1">
        <v>279590600</v>
      </c>
      <c r="H450" s="8">
        <f t="shared" si="24"/>
        <v>8.9285714285714281E-3</v>
      </c>
      <c r="I450" s="8">
        <f t="shared" si="25"/>
        <v>-0.10079575596816977</v>
      </c>
      <c r="J450" s="22">
        <f t="shared" si="26"/>
        <v>8508.75</v>
      </c>
      <c r="K450" s="22">
        <f t="shared" si="27"/>
        <v>8032</v>
      </c>
    </row>
    <row r="451" spans="1:11" x14ac:dyDescent="0.2">
      <c r="A451" s="2">
        <f ca="1">IFERROR(__xludf.DUMMYFUNCTION("""COMPUTED_VALUE"""),45986.6666666666)</f>
        <v>45986.666666666599</v>
      </c>
      <c r="B451" s="2"/>
      <c r="C451" s="1">
        <v>8475</v>
      </c>
      <c r="D451" s="1">
        <v>8500</v>
      </c>
      <c r="E451" s="1">
        <v>8375</v>
      </c>
      <c r="F451" s="1">
        <v>8500</v>
      </c>
      <c r="G451" s="1">
        <v>98807700</v>
      </c>
      <c r="H451" s="8">
        <f t="shared" si="24"/>
        <v>2.9498525073746312E-3</v>
      </c>
      <c r="I451" s="8">
        <f t="shared" si="25"/>
        <v>-9.8143236074270557E-2</v>
      </c>
      <c r="J451" s="22">
        <f t="shared" si="26"/>
        <v>8520</v>
      </c>
      <c r="K451" s="22">
        <f t="shared" si="27"/>
        <v>8043.5</v>
      </c>
    </row>
    <row r="452" spans="1:11" x14ac:dyDescent="0.2">
      <c r="A452" s="2">
        <f ca="1">IFERROR(__xludf.DUMMYFUNCTION("""COMPUTED_VALUE"""),45987.6666666666)</f>
        <v>45987.666666666599</v>
      </c>
      <c r="B452" s="2"/>
      <c r="C452" s="1">
        <v>8400</v>
      </c>
      <c r="D452" s="1">
        <v>8450</v>
      </c>
      <c r="E452" s="1">
        <v>8375</v>
      </c>
      <c r="F452" s="1">
        <v>8425</v>
      </c>
      <c r="G452" s="1">
        <v>77094400</v>
      </c>
      <c r="H452" s="8">
        <f t="shared" ref="H452:H474" si="28">(F452-F451)/F451</f>
        <v>-8.8235294117647058E-3</v>
      </c>
      <c r="I452" s="8">
        <f t="shared" ref="I452:I474" si="29">(F452-$F$2)/$F$2</f>
        <v>-0.10610079575596817</v>
      </c>
      <c r="J452" s="22">
        <f t="shared" si="26"/>
        <v>8511.25</v>
      </c>
      <c r="K452" s="22">
        <f t="shared" si="27"/>
        <v>8055</v>
      </c>
    </row>
    <row r="453" spans="1:11" x14ac:dyDescent="0.2">
      <c r="A453" s="2">
        <f ca="1">IFERROR(__xludf.DUMMYFUNCTION("""COMPUTED_VALUE"""),45988.6666666666)</f>
        <v>45988.666666666599</v>
      </c>
      <c r="B453" s="2"/>
      <c r="C453" s="1">
        <v>8425</v>
      </c>
      <c r="D453" s="1">
        <v>8450</v>
      </c>
      <c r="E453" s="1">
        <v>8325</v>
      </c>
      <c r="F453" s="1">
        <v>8325</v>
      </c>
      <c r="G453" s="1">
        <v>71051300</v>
      </c>
      <c r="H453" s="8">
        <f t="shared" si="28"/>
        <v>-1.1869436201780416E-2</v>
      </c>
      <c r="I453" s="8">
        <f t="shared" si="29"/>
        <v>-0.11671087533156499</v>
      </c>
      <c r="J453" s="22">
        <f t="shared" si="26"/>
        <v>8501.25</v>
      </c>
      <c r="K453" s="22">
        <f t="shared" si="27"/>
        <v>8067.5</v>
      </c>
    </row>
    <row r="454" spans="1:11" x14ac:dyDescent="0.2">
      <c r="A454" s="2">
        <f ca="1">IFERROR(__xludf.DUMMYFUNCTION("""COMPUTED_VALUE"""),45989.6666666666)</f>
        <v>45989.666666666599</v>
      </c>
      <c r="B454" s="2"/>
      <c r="C454" s="1">
        <v>8325</v>
      </c>
      <c r="D454" s="1">
        <v>8350</v>
      </c>
      <c r="E454" s="1">
        <v>8275</v>
      </c>
      <c r="F454" s="1">
        <v>8275</v>
      </c>
      <c r="G454" s="1">
        <v>67559300</v>
      </c>
      <c r="H454" s="8">
        <f t="shared" si="28"/>
        <v>-6.006006006006006E-3</v>
      </c>
      <c r="I454" s="8">
        <f t="shared" si="29"/>
        <v>-0.1220159151193634</v>
      </c>
      <c r="J454" s="22">
        <f t="shared" si="26"/>
        <v>8488.75</v>
      </c>
      <c r="K454" s="22">
        <f t="shared" si="27"/>
        <v>8077</v>
      </c>
    </row>
    <row r="455" spans="1:11" x14ac:dyDescent="0.2">
      <c r="A455" s="2">
        <f ca="1">IFERROR(__xludf.DUMMYFUNCTION("""COMPUTED_VALUE"""),45992.6666666666)</f>
        <v>45992.666666666599</v>
      </c>
      <c r="B455" s="2"/>
      <c r="C455" s="1">
        <v>8450</v>
      </c>
      <c r="D455" s="1">
        <v>8450</v>
      </c>
      <c r="E455" s="1">
        <v>8350</v>
      </c>
      <c r="F455" s="1">
        <v>8400</v>
      </c>
      <c r="G455" s="1">
        <v>76359200</v>
      </c>
      <c r="H455" s="8">
        <f t="shared" si="28"/>
        <v>1.5105740181268883E-2</v>
      </c>
      <c r="I455" s="8">
        <f t="shared" si="29"/>
        <v>-0.10875331564986737</v>
      </c>
      <c r="J455" s="22">
        <f t="shared" si="26"/>
        <v>8476.25</v>
      </c>
      <c r="K455" s="22">
        <f t="shared" si="27"/>
        <v>8090.5</v>
      </c>
    </row>
    <row r="456" spans="1:11" x14ac:dyDescent="0.2">
      <c r="A456" s="2">
        <f ca="1">IFERROR(__xludf.DUMMYFUNCTION("""COMPUTED_VALUE"""),45993.6666666666)</f>
        <v>45993.666666666599</v>
      </c>
      <c r="B456" s="2"/>
      <c r="C456" s="1">
        <v>8350</v>
      </c>
      <c r="D456" s="1">
        <v>8425</v>
      </c>
      <c r="E456" s="1">
        <v>8350</v>
      </c>
      <c r="F456" s="1">
        <v>8375</v>
      </c>
      <c r="G456" s="1">
        <v>97044000</v>
      </c>
      <c r="H456" s="8">
        <f t="shared" si="28"/>
        <v>-2.976190476190476E-3</v>
      </c>
      <c r="I456" s="8">
        <f t="shared" si="29"/>
        <v>-0.11140583554376658</v>
      </c>
      <c r="J456" s="22">
        <f t="shared" si="26"/>
        <v>8462.5</v>
      </c>
      <c r="K456" s="22">
        <f t="shared" si="27"/>
        <v>8100.5</v>
      </c>
    </row>
    <row r="457" spans="1:11" x14ac:dyDescent="0.2">
      <c r="A457" s="2">
        <f ca="1">IFERROR(__xludf.DUMMYFUNCTION("""COMPUTED_VALUE"""),45994.6666666666)</f>
        <v>45994.666666666599</v>
      </c>
      <c r="B457" s="2"/>
      <c r="C457" s="1">
        <v>8350</v>
      </c>
      <c r="D457" s="1">
        <v>8400</v>
      </c>
      <c r="E457" s="1">
        <v>8300</v>
      </c>
      <c r="F457" s="1">
        <v>8300</v>
      </c>
      <c r="G457" s="1">
        <v>103550900</v>
      </c>
      <c r="H457" s="8">
        <f t="shared" si="28"/>
        <v>-8.9552238805970154E-3</v>
      </c>
      <c r="I457" s="8">
        <f t="shared" si="29"/>
        <v>-0.11936339522546419</v>
      </c>
      <c r="J457" s="22">
        <f t="shared" si="26"/>
        <v>8442.5</v>
      </c>
      <c r="K457" s="22">
        <f t="shared" si="27"/>
        <v>8111</v>
      </c>
    </row>
    <row r="458" spans="1:11" x14ac:dyDescent="0.2">
      <c r="A458" s="2">
        <f ca="1">IFERROR(__xludf.DUMMYFUNCTION("""COMPUTED_VALUE"""),45995.6666666666)</f>
        <v>45995.666666666599</v>
      </c>
      <c r="B458" s="2"/>
      <c r="C458" s="1">
        <v>8325</v>
      </c>
      <c r="D458" s="1">
        <v>8350</v>
      </c>
      <c r="E458" s="1">
        <v>8225</v>
      </c>
      <c r="F458" s="1">
        <v>8225</v>
      </c>
      <c r="G458" s="1">
        <v>71410400</v>
      </c>
      <c r="H458" s="8">
        <f t="shared" si="28"/>
        <v>-9.0361445783132526E-3</v>
      </c>
      <c r="I458" s="8">
        <f t="shared" si="29"/>
        <v>-0.1273209549071618</v>
      </c>
      <c r="J458" s="22">
        <f t="shared" si="26"/>
        <v>8426.25</v>
      </c>
      <c r="K458" s="22">
        <f t="shared" si="27"/>
        <v>8121.5</v>
      </c>
    </row>
    <row r="459" spans="1:11" x14ac:dyDescent="0.2">
      <c r="A459" s="2">
        <f ca="1">IFERROR(__xludf.DUMMYFUNCTION("""COMPUTED_VALUE"""),45996.6666666666)</f>
        <v>45996.666666666599</v>
      </c>
      <c r="B459" s="2"/>
      <c r="C459" s="1">
        <v>8200</v>
      </c>
      <c r="D459" s="1">
        <v>8300</v>
      </c>
      <c r="E459" s="1">
        <v>8200</v>
      </c>
      <c r="F459" s="1">
        <v>8300</v>
      </c>
      <c r="G459" s="1">
        <v>71162300</v>
      </c>
      <c r="H459" s="8">
        <f t="shared" si="28"/>
        <v>9.11854103343465E-3</v>
      </c>
      <c r="I459" s="8">
        <f t="shared" si="29"/>
        <v>-0.11936339522546419</v>
      </c>
      <c r="J459" s="22">
        <f t="shared" si="26"/>
        <v>8407.5</v>
      </c>
      <c r="K459" s="22">
        <f t="shared" si="27"/>
        <v>8135</v>
      </c>
    </row>
    <row r="460" spans="1:11" x14ac:dyDescent="0.2">
      <c r="A460" s="2">
        <f ca="1">IFERROR(__xludf.DUMMYFUNCTION("""COMPUTED_VALUE"""),45999.6666666666)</f>
        <v>45999.666666666599</v>
      </c>
      <c r="B460" s="2"/>
      <c r="C460" s="1">
        <v>8350</v>
      </c>
      <c r="D460" s="1">
        <v>8350</v>
      </c>
      <c r="E460" s="1">
        <v>8250</v>
      </c>
      <c r="F460" s="1">
        <v>8300</v>
      </c>
      <c r="G460" s="1">
        <v>61745200</v>
      </c>
      <c r="H460" s="8">
        <f t="shared" si="28"/>
        <v>0</v>
      </c>
      <c r="I460" s="8">
        <f t="shared" si="29"/>
        <v>-0.11936339522546419</v>
      </c>
      <c r="J460" s="22">
        <f t="shared" si="26"/>
        <v>8393.75</v>
      </c>
      <c r="K460" s="22">
        <f t="shared" si="27"/>
        <v>8145.5</v>
      </c>
    </row>
    <row r="461" spans="1:11" x14ac:dyDescent="0.2">
      <c r="A461" s="2">
        <f ca="1">IFERROR(__xludf.DUMMYFUNCTION("""COMPUTED_VALUE"""),46000.6666666666)</f>
        <v>46000.666666666599</v>
      </c>
      <c r="B461" s="2"/>
      <c r="C461" s="1">
        <v>8300</v>
      </c>
      <c r="D461" s="1">
        <v>8300</v>
      </c>
      <c r="E461" s="1">
        <v>8100</v>
      </c>
      <c r="F461" s="1">
        <v>8100</v>
      </c>
      <c r="G461" s="1">
        <v>113057200</v>
      </c>
      <c r="H461" s="8">
        <f t="shared" si="28"/>
        <v>-2.4096385542168676E-2</v>
      </c>
      <c r="I461" s="8">
        <f t="shared" si="29"/>
        <v>-0.14058355437665782</v>
      </c>
      <c r="J461" s="22">
        <f t="shared" si="26"/>
        <v>8378.75</v>
      </c>
      <c r="K461" s="22">
        <f t="shared" si="27"/>
        <v>8155</v>
      </c>
    </row>
    <row r="462" spans="1:11" x14ac:dyDescent="0.2">
      <c r="A462" s="2">
        <f ca="1">IFERROR(__xludf.DUMMYFUNCTION("""COMPUTED_VALUE"""),46001.6666666666)</f>
        <v>46001.666666666599</v>
      </c>
      <c r="B462" s="2"/>
      <c r="C462" s="1">
        <v>8100</v>
      </c>
      <c r="D462" s="1">
        <v>8175</v>
      </c>
      <c r="E462" s="1">
        <v>8025</v>
      </c>
      <c r="F462" s="1">
        <v>8075</v>
      </c>
      <c r="G462" s="1">
        <v>143418300</v>
      </c>
      <c r="H462" s="8">
        <f t="shared" si="28"/>
        <v>-3.0864197530864196E-3</v>
      </c>
      <c r="I462" s="8">
        <f t="shared" si="29"/>
        <v>-0.14323607427055704</v>
      </c>
      <c r="J462" s="22">
        <f t="shared" si="26"/>
        <v>8357.5</v>
      </c>
      <c r="K462" s="22">
        <f t="shared" si="27"/>
        <v>8166.5</v>
      </c>
    </row>
    <row r="463" spans="1:11" x14ac:dyDescent="0.2">
      <c r="A463" s="2">
        <f ca="1">IFERROR(__xludf.DUMMYFUNCTION("""COMPUTED_VALUE"""),46002.6666666666)</f>
        <v>46002.666666666599</v>
      </c>
      <c r="B463" s="2"/>
      <c r="C463" s="1">
        <v>8175</v>
      </c>
      <c r="D463" s="1">
        <v>8200</v>
      </c>
      <c r="E463" s="1">
        <v>7900</v>
      </c>
      <c r="F463" s="1">
        <v>8000</v>
      </c>
      <c r="G463" s="1">
        <v>140766000</v>
      </c>
      <c r="H463" s="8">
        <f t="shared" si="28"/>
        <v>-9.2879256965944269E-3</v>
      </c>
      <c r="I463" s="8">
        <f t="shared" si="29"/>
        <v>-0.15119363395225463</v>
      </c>
      <c r="J463" s="22">
        <f t="shared" si="26"/>
        <v>8338.75</v>
      </c>
      <c r="K463" s="22">
        <f t="shared" si="27"/>
        <v>8176.5</v>
      </c>
    </row>
    <row r="464" spans="1:11" x14ac:dyDescent="0.2">
      <c r="A464" s="2">
        <f ca="1">IFERROR(__xludf.DUMMYFUNCTION("""COMPUTED_VALUE"""),46003.6666666666)</f>
        <v>46003.666666666599</v>
      </c>
      <c r="B464" s="2"/>
      <c r="C464" s="1">
        <v>7900</v>
      </c>
      <c r="D464" s="1">
        <v>8000</v>
      </c>
      <c r="E464" s="1">
        <v>7850</v>
      </c>
      <c r="F464" s="1">
        <v>8000</v>
      </c>
      <c r="G464" s="1">
        <v>100006800</v>
      </c>
      <c r="H464" s="8">
        <f t="shared" si="28"/>
        <v>0</v>
      </c>
      <c r="I464" s="8">
        <f t="shared" si="29"/>
        <v>-0.15119363395225463</v>
      </c>
      <c r="J464" s="22">
        <f t="shared" si="26"/>
        <v>8317.5</v>
      </c>
      <c r="K464" s="22">
        <f t="shared" si="27"/>
        <v>8186</v>
      </c>
    </row>
    <row r="465" spans="1:11" x14ac:dyDescent="0.2">
      <c r="A465" s="2">
        <f ca="1">IFERROR(__xludf.DUMMYFUNCTION("""COMPUTED_VALUE"""),46006.6666666666)</f>
        <v>46006.666666666599</v>
      </c>
      <c r="B465" s="2"/>
      <c r="C465" s="1">
        <v>7925</v>
      </c>
      <c r="D465" s="1">
        <v>8300</v>
      </c>
      <c r="E465" s="1">
        <v>7925</v>
      </c>
      <c r="F465" s="1">
        <v>8300</v>
      </c>
      <c r="G465" s="1">
        <v>143105700</v>
      </c>
      <c r="H465" s="8">
        <f t="shared" si="28"/>
        <v>3.7499999999999999E-2</v>
      </c>
      <c r="I465" s="8">
        <f t="shared" si="29"/>
        <v>-0.11936339522546419</v>
      </c>
      <c r="J465" s="22">
        <f t="shared" si="26"/>
        <v>8303.75</v>
      </c>
      <c r="K465" s="22">
        <f t="shared" si="27"/>
        <v>8202</v>
      </c>
    </row>
    <row r="466" spans="1:11" x14ac:dyDescent="0.2">
      <c r="A466" s="2">
        <f ca="1">IFERROR(__xludf.DUMMYFUNCTION("""COMPUTED_VALUE"""),46007.6666666666)</f>
        <v>46007.666666666599</v>
      </c>
      <c r="B466" s="2"/>
      <c r="C466" s="1">
        <v>8375</v>
      </c>
      <c r="D466" s="1">
        <v>8375</v>
      </c>
      <c r="E466" s="1">
        <v>8025</v>
      </c>
      <c r="F466" s="1">
        <v>8075</v>
      </c>
      <c r="G466" s="1">
        <v>122332000</v>
      </c>
      <c r="H466" s="8">
        <f t="shared" si="28"/>
        <v>-2.710843373493976E-2</v>
      </c>
      <c r="I466" s="8">
        <f t="shared" si="29"/>
        <v>-0.14323607427055704</v>
      </c>
      <c r="J466" s="22">
        <f t="shared" si="26"/>
        <v>8287.5</v>
      </c>
      <c r="K466" s="22">
        <f t="shared" si="27"/>
        <v>8212</v>
      </c>
    </row>
    <row r="467" spans="1:11" x14ac:dyDescent="0.2">
      <c r="A467" s="2">
        <f ca="1">IFERROR(__xludf.DUMMYFUNCTION("""COMPUTED_VALUE"""),46008.6666666666)</f>
        <v>46008.666666666599</v>
      </c>
      <c r="B467" s="2"/>
      <c r="C467" s="1">
        <v>8000</v>
      </c>
      <c r="D467" s="1">
        <v>8125</v>
      </c>
      <c r="E467" s="1">
        <v>7975</v>
      </c>
      <c r="F467" s="1">
        <v>8025</v>
      </c>
      <c r="G467" s="1">
        <v>89802700</v>
      </c>
      <c r="H467" s="8">
        <f t="shared" si="28"/>
        <v>-6.1919504643962852E-3</v>
      </c>
      <c r="I467" s="8">
        <f t="shared" si="29"/>
        <v>-0.14854111405835543</v>
      </c>
      <c r="J467" s="22">
        <f t="shared" si="26"/>
        <v>8265</v>
      </c>
      <c r="K467" s="22">
        <f t="shared" si="27"/>
        <v>8225</v>
      </c>
    </row>
    <row r="468" spans="1:11" x14ac:dyDescent="0.2">
      <c r="A468" s="2">
        <f ca="1">IFERROR(__xludf.DUMMYFUNCTION("""COMPUTED_VALUE"""),46009.6666666666)</f>
        <v>46009.666666666599</v>
      </c>
      <c r="B468" s="2"/>
      <c r="C468" s="1">
        <v>8025</v>
      </c>
      <c r="D468" s="1">
        <v>8250</v>
      </c>
      <c r="E468" s="1">
        <v>8025</v>
      </c>
      <c r="F468" s="1">
        <v>8175</v>
      </c>
      <c r="G468" s="1">
        <v>88497200</v>
      </c>
      <c r="H468" s="8">
        <f t="shared" si="28"/>
        <v>1.8691588785046728E-2</v>
      </c>
      <c r="I468" s="8">
        <f t="shared" si="29"/>
        <v>-0.13262599469496023</v>
      </c>
      <c r="J468" s="22">
        <f t="shared" si="26"/>
        <v>8252.5</v>
      </c>
      <c r="K468" s="22">
        <f t="shared" si="27"/>
        <v>8237.5</v>
      </c>
    </row>
    <row r="469" spans="1:11" x14ac:dyDescent="0.2">
      <c r="A469" s="2">
        <f ca="1">IFERROR(__xludf.DUMMYFUNCTION("""COMPUTED_VALUE"""),46010.6666666666)</f>
        <v>46010.666666666599</v>
      </c>
      <c r="B469" s="2"/>
      <c r="C469" s="1">
        <v>8200</v>
      </c>
      <c r="D469" s="1">
        <v>8225</v>
      </c>
      <c r="E469" s="1">
        <v>8050</v>
      </c>
      <c r="F469" s="1">
        <v>8050</v>
      </c>
      <c r="G469" s="1">
        <v>131069800</v>
      </c>
      <c r="H469" s="8">
        <f t="shared" si="28"/>
        <v>-1.5290519877675841E-2</v>
      </c>
      <c r="I469" s="8">
        <f t="shared" si="29"/>
        <v>-0.14588859416445624</v>
      </c>
      <c r="J469" s="22">
        <f t="shared" si="26"/>
        <v>8235</v>
      </c>
      <c r="K469" s="22">
        <f t="shared" si="27"/>
        <v>8250.5</v>
      </c>
    </row>
    <row r="470" spans="1:11" x14ac:dyDescent="0.2">
      <c r="A470" s="2">
        <f ca="1">IFERROR(__xludf.DUMMYFUNCTION("""COMPUTED_VALUE"""),46013.6666666666)</f>
        <v>46013.666666666599</v>
      </c>
      <c r="B470" s="2"/>
      <c r="C470" s="1">
        <v>8050</v>
      </c>
      <c r="D470" s="1">
        <v>8175</v>
      </c>
      <c r="E470" s="1">
        <v>8025</v>
      </c>
      <c r="F470" s="1">
        <v>8175</v>
      </c>
      <c r="G470" s="1">
        <v>72424200</v>
      </c>
      <c r="H470" s="8">
        <f t="shared" si="28"/>
        <v>1.5527950310559006E-2</v>
      </c>
      <c r="I470" s="8">
        <f t="shared" si="29"/>
        <v>-0.13262599469496023</v>
      </c>
      <c r="J470" s="22">
        <f t="shared" ref="J470:J474" si="30">AVERAGE(F451:F470)</f>
        <v>8220</v>
      </c>
      <c r="K470" s="22">
        <f t="shared" si="27"/>
        <v>8267.5</v>
      </c>
    </row>
    <row r="471" spans="1:11" x14ac:dyDescent="0.2">
      <c r="A471" s="2">
        <f ca="1">IFERROR(__xludf.DUMMYFUNCTION("""COMPUTED_VALUE"""),46014.6666666666)</f>
        <v>46014.666666666599</v>
      </c>
      <c r="B471" s="2"/>
      <c r="C471" s="1">
        <v>8100</v>
      </c>
      <c r="D471" s="1">
        <v>8125</v>
      </c>
      <c r="E471" s="1">
        <v>7975</v>
      </c>
      <c r="F471" s="1">
        <v>8025</v>
      </c>
      <c r="G471" s="1">
        <v>85044100</v>
      </c>
      <c r="H471" s="8">
        <f t="shared" si="28"/>
        <v>-1.834862385321101E-2</v>
      </c>
      <c r="I471" s="8">
        <f t="shared" si="29"/>
        <v>-0.14854111405835543</v>
      </c>
      <c r="J471" s="22">
        <f t="shared" si="30"/>
        <v>8196.25</v>
      </c>
      <c r="K471" s="22">
        <f t="shared" si="27"/>
        <v>8283</v>
      </c>
    </row>
    <row r="472" spans="1:11" x14ac:dyDescent="0.2">
      <c r="A472" s="2">
        <f ca="1">IFERROR(__xludf.DUMMYFUNCTION("""COMPUTED_VALUE"""),46015.6666666666)</f>
        <v>46015.666666666599</v>
      </c>
      <c r="B472" s="2"/>
      <c r="C472" s="1">
        <v>8025</v>
      </c>
      <c r="D472" s="1">
        <v>8075</v>
      </c>
      <c r="E472" s="1">
        <v>8000</v>
      </c>
      <c r="F472" s="1">
        <v>8025</v>
      </c>
      <c r="G472" s="1">
        <v>71260500</v>
      </c>
      <c r="H472" s="8">
        <f t="shared" si="28"/>
        <v>0</v>
      </c>
      <c r="I472" s="8">
        <f t="shared" si="29"/>
        <v>-0.14854111405835543</v>
      </c>
      <c r="J472" s="22">
        <f t="shared" si="30"/>
        <v>8176.25</v>
      </c>
      <c r="K472" s="22">
        <f t="shared" si="27"/>
        <v>8298.5</v>
      </c>
    </row>
    <row r="473" spans="1:11" x14ac:dyDescent="0.2">
      <c r="A473" s="2">
        <f ca="1">IFERROR(__xludf.DUMMYFUNCTION("""COMPUTED_VALUE"""),46020.6666666666)</f>
        <v>46020.666666666599</v>
      </c>
      <c r="B473" s="2"/>
      <c r="C473" s="1">
        <v>8025</v>
      </c>
      <c r="D473" s="1">
        <v>8025</v>
      </c>
      <c r="E473" s="1">
        <v>7950</v>
      </c>
      <c r="F473" s="1">
        <v>8025</v>
      </c>
      <c r="G473" s="1">
        <v>78399400</v>
      </c>
      <c r="H473" s="8">
        <f t="shared" si="28"/>
        <v>0</v>
      </c>
      <c r="I473" s="8">
        <f t="shared" si="29"/>
        <v>-0.14854111405835543</v>
      </c>
      <c r="J473" s="22">
        <f t="shared" si="30"/>
        <v>8161.25</v>
      </c>
      <c r="K473" s="22">
        <f t="shared" si="27"/>
        <v>8313</v>
      </c>
    </row>
    <row r="474" spans="1:11" x14ac:dyDescent="0.2">
      <c r="A474" s="2">
        <f ca="1">IFERROR(__xludf.DUMMYFUNCTION("""COMPUTED_VALUE"""),46021.6666666666)</f>
        <v>46021.666666666599</v>
      </c>
      <c r="B474" s="2"/>
      <c r="C474" s="1">
        <v>7950</v>
      </c>
      <c r="D474" s="1">
        <v>8175</v>
      </c>
      <c r="E474" s="1">
        <v>7950</v>
      </c>
      <c r="F474" s="1">
        <v>8075</v>
      </c>
      <c r="G474" s="1">
        <v>101995600</v>
      </c>
      <c r="H474" s="8">
        <f t="shared" si="28"/>
        <v>6.2305295950155761E-3</v>
      </c>
      <c r="I474" s="8">
        <f t="shared" si="29"/>
        <v>-0.14323607427055704</v>
      </c>
      <c r="J474" s="22">
        <f t="shared" si="30"/>
        <v>8151.25</v>
      </c>
      <c r="K474" s="22">
        <f t="shared" si="27"/>
        <v>8324.5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474"/>
  <sheetViews>
    <sheetView workbookViewId="0">
      <selection activeCell="H2" sqref="H2:I3"/>
    </sheetView>
  </sheetViews>
  <sheetFormatPr defaultColWidth="12.5703125" defaultRowHeight="15.75" customHeight="1" x14ac:dyDescent="0.2"/>
  <sheetData>
    <row r="1" spans="1:9" x14ac:dyDescent="0.2">
      <c r="A1" s="1" t="s">
        <v>44</v>
      </c>
      <c r="B1" s="1"/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0</v>
      </c>
    </row>
    <row r="2" spans="1:9" x14ac:dyDescent="0.2">
      <c r="A2" s="2">
        <f ca="1">IFERROR(__xludf.DUMMYFUNCTION("""COMPUTED_VALUE"""),45293.6666666666)</f>
        <v>45293.666666666599</v>
      </c>
      <c r="B2" s="2"/>
      <c r="C2" s="1">
        <v>6050</v>
      </c>
      <c r="D2" s="1">
        <v>6125</v>
      </c>
      <c r="E2" s="1">
        <v>6025</v>
      </c>
      <c r="F2" s="1">
        <v>6125</v>
      </c>
      <c r="G2" s="1">
        <v>26235700</v>
      </c>
      <c r="H2" s="8">
        <v>0</v>
      </c>
      <c r="I2" s="8">
        <v>0</v>
      </c>
    </row>
    <row r="3" spans="1:9" x14ac:dyDescent="0.2">
      <c r="A3" s="2">
        <f ca="1">IFERROR(__xludf.DUMMYFUNCTION("""COMPUTED_VALUE"""),45294.6666666666)</f>
        <v>45294.666666666599</v>
      </c>
      <c r="B3" s="2"/>
      <c r="C3" s="1">
        <v>6100</v>
      </c>
      <c r="D3" s="1">
        <v>6150</v>
      </c>
      <c r="E3" s="1">
        <v>6050</v>
      </c>
      <c r="F3" s="1">
        <v>6100</v>
      </c>
      <c r="G3" s="1">
        <v>30053900</v>
      </c>
      <c r="H3" s="8">
        <f>(F3-F2)/F2</f>
        <v>-4.0816326530612249E-3</v>
      </c>
      <c r="I3" s="8">
        <f>(F3-$F$2)/$F$2</f>
        <v>-4.0816326530612249E-3</v>
      </c>
    </row>
    <row r="4" spans="1:9" x14ac:dyDescent="0.2">
      <c r="A4" s="2">
        <f ca="1">IFERROR(__xludf.DUMMYFUNCTION("""COMPUTED_VALUE"""),45295.6666666666)</f>
        <v>45295.666666666599</v>
      </c>
      <c r="B4" s="2"/>
      <c r="C4" s="1">
        <v>6125</v>
      </c>
      <c r="D4" s="1">
        <v>6400</v>
      </c>
      <c r="E4" s="1">
        <v>6100</v>
      </c>
      <c r="F4" s="1">
        <v>6350</v>
      </c>
      <c r="G4" s="1">
        <v>135344500</v>
      </c>
      <c r="H4" s="8">
        <f t="shared" ref="H4:H67" si="0">(F4-F3)/F3</f>
        <v>4.0983606557377046E-2</v>
      </c>
      <c r="I4" s="8">
        <f t="shared" ref="I4:I67" si="1">(F4-$F$2)/$F$2</f>
        <v>3.6734693877551024E-2</v>
      </c>
    </row>
    <row r="5" spans="1:9" x14ac:dyDescent="0.2">
      <c r="A5" s="2">
        <f ca="1">IFERROR(__xludf.DUMMYFUNCTION("""COMPUTED_VALUE"""),45296.6666666666)</f>
        <v>45296.666666666599</v>
      </c>
      <c r="B5" s="2"/>
      <c r="C5" s="1">
        <v>6400</v>
      </c>
      <c r="D5" s="1">
        <v>6475</v>
      </c>
      <c r="E5" s="1">
        <v>6350</v>
      </c>
      <c r="F5" s="1">
        <v>6425</v>
      </c>
      <c r="G5" s="1">
        <v>114339400</v>
      </c>
      <c r="H5" s="8">
        <f t="shared" si="0"/>
        <v>1.1811023622047244E-2</v>
      </c>
      <c r="I5" s="8">
        <f t="shared" si="1"/>
        <v>4.8979591836734691E-2</v>
      </c>
    </row>
    <row r="6" spans="1:9" x14ac:dyDescent="0.2">
      <c r="A6" s="2">
        <f ca="1">IFERROR(__xludf.DUMMYFUNCTION("""COMPUTED_VALUE"""),45299.6666666666)</f>
        <v>45299.666666666599</v>
      </c>
      <c r="B6" s="2"/>
      <c r="C6" s="1">
        <v>6500</v>
      </c>
      <c r="D6" s="1">
        <v>6600</v>
      </c>
      <c r="E6" s="1">
        <v>6375</v>
      </c>
      <c r="F6" s="1">
        <v>6400</v>
      </c>
      <c r="G6" s="1">
        <v>151018300</v>
      </c>
      <c r="H6" s="8">
        <f t="shared" si="0"/>
        <v>-3.8910505836575876E-3</v>
      </c>
      <c r="I6" s="8">
        <f t="shared" si="1"/>
        <v>4.4897959183673466E-2</v>
      </c>
    </row>
    <row r="7" spans="1:9" x14ac:dyDescent="0.2">
      <c r="A7" s="2">
        <f ca="1">IFERROR(__xludf.DUMMYFUNCTION("""COMPUTED_VALUE"""),45300.6666666666)</f>
        <v>45300.666666666599</v>
      </c>
      <c r="B7" s="2"/>
      <c r="C7" s="1">
        <v>6425</v>
      </c>
      <c r="D7" s="1">
        <v>6450</v>
      </c>
      <c r="E7" s="1">
        <v>6350</v>
      </c>
      <c r="F7" s="1">
        <v>6375</v>
      </c>
      <c r="G7" s="1">
        <v>77953400</v>
      </c>
      <c r="H7" s="8">
        <f t="shared" si="0"/>
        <v>-3.90625E-3</v>
      </c>
      <c r="I7" s="8">
        <f t="shared" si="1"/>
        <v>4.0816326530612242E-2</v>
      </c>
    </row>
    <row r="8" spans="1:9" x14ac:dyDescent="0.2">
      <c r="A8" s="2">
        <f ca="1">IFERROR(__xludf.DUMMYFUNCTION("""COMPUTED_VALUE"""),45301.6666666666)</f>
        <v>45301.666666666599</v>
      </c>
      <c r="B8" s="2"/>
      <c r="C8" s="1">
        <v>6375</v>
      </c>
      <c r="D8" s="1">
        <v>6450</v>
      </c>
      <c r="E8" s="1">
        <v>6325</v>
      </c>
      <c r="F8" s="1">
        <v>6425</v>
      </c>
      <c r="G8" s="1">
        <v>50019800</v>
      </c>
      <c r="H8" s="8">
        <f t="shared" si="0"/>
        <v>7.8431372549019607E-3</v>
      </c>
      <c r="I8" s="8">
        <f t="shared" si="1"/>
        <v>4.8979591836734691E-2</v>
      </c>
    </row>
    <row r="9" spans="1:9" x14ac:dyDescent="0.2">
      <c r="A9" s="2">
        <f ca="1">IFERROR(__xludf.DUMMYFUNCTION("""COMPUTED_VALUE"""),45302.6666666666)</f>
        <v>45302.666666666599</v>
      </c>
      <c r="B9" s="2"/>
      <c r="C9" s="1">
        <v>6425</v>
      </c>
      <c r="D9" s="1">
        <v>6500</v>
      </c>
      <c r="E9" s="1">
        <v>6400</v>
      </c>
      <c r="F9" s="1">
        <v>6450</v>
      </c>
      <c r="G9" s="1">
        <v>32120200</v>
      </c>
      <c r="H9" s="8">
        <f t="shared" si="0"/>
        <v>3.8910505836575876E-3</v>
      </c>
      <c r="I9" s="8">
        <f t="shared" si="1"/>
        <v>5.3061224489795916E-2</v>
      </c>
    </row>
    <row r="10" spans="1:9" x14ac:dyDescent="0.2">
      <c r="A10" s="2">
        <f ca="1">IFERROR(__xludf.DUMMYFUNCTION("""COMPUTED_VALUE"""),45303.6666666666)</f>
        <v>45303.666666666599</v>
      </c>
      <c r="B10" s="2"/>
      <c r="C10" s="1">
        <v>6575</v>
      </c>
      <c r="D10" s="1">
        <v>6675</v>
      </c>
      <c r="E10" s="1">
        <v>6525</v>
      </c>
      <c r="F10" s="1">
        <v>6575</v>
      </c>
      <c r="G10" s="1">
        <v>114039700</v>
      </c>
      <c r="H10" s="8">
        <f t="shared" si="0"/>
        <v>1.937984496124031E-2</v>
      </c>
      <c r="I10" s="8">
        <f t="shared" si="1"/>
        <v>7.3469387755102047E-2</v>
      </c>
    </row>
    <row r="11" spans="1:9" x14ac:dyDescent="0.2">
      <c r="A11" s="2">
        <f ca="1">IFERROR(__xludf.DUMMYFUNCTION("""COMPUTED_VALUE"""),45306.6666666666)</f>
        <v>45306.666666666599</v>
      </c>
      <c r="B11" s="2"/>
      <c r="C11" s="1">
        <v>6575</v>
      </c>
      <c r="D11" s="1">
        <v>6625</v>
      </c>
      <c r="E11" s="1">
        <v>6475</v>
      </c>
      <c r="F11" s="1">
        <v>6500</v>
      </c>
      <c r="G11" s="1">
        <v>83066800</v>
      </c>
      <c r="H11" s="8">
        <f t="shared" si="0"/>
        <v>-1.1406844106463879E-2</v>
      </c>
      <c r="I11" s="8">
        <f t="shared" si="1"/>
        <v>6.1224489795918366E-2</v>
      </c>
    </row>
    <row r="12" spans="1:9" x14ac:dyDescent="0.2">
      <c r="A12" s="2">
        <f ca="1">IFERROR(__xludf.DUMMYFUNCTION("""COMPUTED_VALUE"""),45307.6666666666)</f>
        <v>45307.666666666599</v>
      </c>
      <c r="B12" s="2"/>
      <c r="C12" s="1">
        <v>6525</v>
      </c>
      <c r="D12" s="1">
        <v>6625</v>
      </c>
      <c r="E12" s="1">
        <v>6500</v>
      </c>
      <c r="F12" s="1">
        <v>6525</v>
      </c>
      <c r="G12" s="1">
        <v>83516800</v>
      </c>
      <c r="H12" s="8">
        <f t="shared" si="0"/>
        <v>3.8461538461538464E-3</v>
      </c>
      <c r="I12" s="8">
        <f t="shared" si="1"/>
        <v>6.5306122448979598E-2</v>
      </c>
    </row>
    <row r="13" spans="1:9" x14ac:dyDescent="0.2">
      <c r="A13" s="2">
        <f ca="1">IFERROR(__xludf.DUMMYFUNCTION("""COMPUTED_VALUE"""),45308.6666666666)</f>
        <v>45308.666666666599</v>
      </c>
      <c r="B13" s="2"/>
      <c r="C13" s="1">
        <v>6525</v>
      </c>
      <c r="D13" s="1">
        <v>6625</v>
      </c>
      <c r="E13" s="1">
        <v>6500</v>
      </c>
      <c r="F13" s="1">
        <v>6525</v>
      </c>
      <c r="G13" s="1">
        <v>80929000</v>
      </c>
      <c r="H13" s="8">
        <f t="shared" si="0"/>
        <v>0</v>
      </c>
      <c r="I13" s="8">
        <f t="shared" si="1"/>
        <v>6.5306122448979598E-2</v>
      </c>
    </row>
    <row r="14" spans="1:9" x14ac:dyDescent="0.2">
      <c r="A14" s="2">
        <f ca="1">IFERROR(__xludf.DUMMYFUNCTION("""COMPUTED_VALUE"""),45309.6666666666)</f>
        <v>45309.666666666599</v>
      </c>
      <c r="B14" s="2"/>
      <c r="C14" s="1">
        <v>6525</v>
      </c>
      <c r="D14" s="1">
        <v>6550</v>
      </c>
      <c r="E14" s="1">
        <v>6475</v>
      </c>
      <c r="F14" s="1">
        <v>6525</v>
      </c>
      <c r="G14" s="1">
        <v>78209900</v>
      </c>
      <c r="H14" s="8">
        <f t="shared" si="0"/>
        <v>0</v>
      </c>
      <c r="I14" s="8">
        <f t="shared" si="1"/>
        <v>6.5306122448979598E-2</v>
      </c>
    </row>
    <row r="15" spans="1:9" x14ac:dyDescent="0.2">
      <c r="A15" s="2">
        <f ca="1">IFERROR(__xludf.DUMMYFUNCTION("""COMPUTED_VALUE"""),45310.6666666666)</f>
        <v>45310.666666666599</v>
      </c>
      <c r="B15" s="2"/>
      <c r="C15" s="1">
        <v>6500</v>
      </c>
      <c r="D15" s="1">
        <v>6525</v>
      </c>
      <c r="E15" s="1">
        <v>6425</v>
      </c>
      <c r="F15" s="1">
        <v>6525</v>
      </c>
      <c r="G15" s="1">
        <v>74814000</v>
      </c>
      <c r="H15" s="8">
        <f t="shared" si="0"/>
        <v>0</v>
      </c>
      <c r="I15" s="8">
        <f t="shared" si="1"/>
        <v>6.5306122448979598E-2</v>
      </c>
    </row>
    <row r="16" spans="1:9" x14ac:dyDescent="0.2">
      <c r="A16" s="2">
        <f ca="1">IFERROR(__xludf.DUMMYFUNCTION("""COMPUTED_VALUE"""),45313.6666666666)</f>
        <v>45313.666666666599</v>
      </c>
      <c r="B16" s="2"/>
      <c r="C16" s="1">
        <v>6500</v>
      </c>
      <c r="D16" s="1">
        <v>6550</v>
      </c>
      <c r="E16" s="1">
        <v>6450</v>
      </c>
      <c r="F16" s="1">
        <v>6500</v>
      </c>
      <c r="G16" s="1">
        <v>96993100</v>
      </c>
      <c r="H16" s="8">
        <f t="shared" si="0"/>
        <v>-3.8314176245210726E-3</v>
      </c>
      <c r="I16" s="8">
        <f t="shared" si="1"/>
        <v>6.1224489795918366E-2</v>
      </c>
    </row>
    <row r="17" spans="1:9" x14ac:dyDescent="0.2">
      <c r="A17" s="2">
        <f ca="1">IFERROR(__xludf.DUMMYFUNCTION("""COMPUTED_VALUE"""),45314.6666666666)</f>
        <v>45314.666666666599</v>
      </c>
      <c r="B17" s="2"/>
      <c r="C17" s="1">
        <v>6525</v>
      </c>
      <c r="D17" s="1">
        <v>6550</v>
      </c>
      <c r="E17" s="1">
        <v>6450</v>
      </c>
      <c r="F17" s="1">
        <v>6500</v>
      </c>
      <c r="G17" s="1">
        <v>77037800</v>
      </c>
      <c r="H17" s="8">
        <f t="shared" si="0"/>
        <v>0</v>
      </c>
      <c r="I17" s="8">
        <f t="shared" si="1"/>
        <v>6.1224489795918366E-2</v>
      </c>
    </row>
    <row r="18" spans="1:9" x14ac:dyDescent="0.2">
      <c r="A18" s="2">
        <f ca="1">IFERROR(__xludf.DUMMYFUNCTION("""COMPUTED_VALUE"""),45315.6666666666)</f>
        <v>45315.666666666599</v>
      </c>
      <c r="B18" s="2"/>
      <c r="C18" s="1">
        <v>6450</v>
      </c>
      <c r="D18" s="1">
        <v>6475</v>
      </c>
      <c r="E18" s="1">
        <v>6350</v>
      </c>
      <c r="F18" s="1">
        <v>6400</v>
      </c>
      <c r="G18" s="1">
        <v>97290600</v>
      </c>
      <c r="H18" s="8">
        <f t="shared" si="0"/>
        <v>-1.5384615384615385E-2</v>
      </c>
      <c r="I18" s="8">
        <f t="shared" si="1"/>
        <v>4.4897959183673466E-2</v>
      </c>
    </row>
    <row r="19" spans="1:9" x14ac:dyDescent="0.2">
      <c r="A19" s="2">
        <f ca="1">IFERROR(__xludf.DUMMYFUNCTION("""COMPUTED_VALUE"""),45316.6666666666)</f>
        <v>45316.666666666599</v>
      </c>
      <c r="B19" s="2"/>
      <c r="C19" s="1">
        <v>6325</v>
      </c>
      <c r="D19" s="1">
        <v>6400</v>
      </c>
      <c r="E19" s="1">
        <v>6250</v>
      </c>
      <c r="F19" s="1">
        <v>6275</v>
      </c>
      <c r="G19" s="1">
        <v>99094100</v>
      </c>
      <c r="H19" s="8">
        <f t="shared" si="0"/>
        <v>-1.953125E-2</v>
      </c>
      <c r="I19" s="8">
        <f t="shared" si="1"/>
        <v>2.4489795918367346E-2</v>
      </c>
    </row>
    <row r="20" spans="1:9" x14ac:dyDescent="0.2">
      <c r="A20" s="2">
        <f ca="1">IFERROR(__xludf.DUMMYFUNCTION("""COMPUTED_VALUE"""),45317.6666666666)</f>
        <v>45317.666666666599</v>
      </c>
      <c r="B20" s="2"/>
      <c r="C20" s="1">
        <v>6250</v>
      </c>
      <c r="D20" s="1">
        <v>6325</v>
      </c>
      <c r="E20" s="1">
        <v>6225</v>
      </c>
      <c r="F20" s="1">
        <v>6300</v>
      </c>
      <c r="G20" s="1">
        <v>77236800</v>
      </c>
      <c r="H20" s="8">
        <f t="shared" si="0"/>
        <v>3.9840637450199202E-3</v>
      </c>
      <c r="I20" s="8">
        <f t="shared" si="1"/>
        <v>2.8571428571428571E-2</v>
      </c>
    </row>
    <row r="21" spans="1:9" x14ac:dyDescent="0.2">
      <c r="A21" s="2">
        <f ca="1">IFERROR(__xludf.DUMMYFUNCTION("""COMPUTED_VALUE"""),45320.6666666666)</f>
        <v>45320.666666666599</v>
      </c>
      <c r="B21" s="2"/>
      <c r="C21" s="1">
        <v>6350</v>
      </c>
      <c r="D21" s="1">
        <v>6475</v>
      </c>
      <c r="E21" s="1">
        <v>6275</v>
      </c>
      <c r="F21" s="1">
        <v>6475</v>
      </c>
      <c r="G21" s="1">
        <v>124753000</v>
      </c>
      <c r="H21" s="8">
        <f t="shared" si="0"/>
        <v>2.7777777777777776E-2</v>
      </c>
      <c r="I21" s="8">
        <f t="shared" si="1"/>
        <v>5.7142857142857141E-2</v>
      </c>
    </row>
    <row r="22" spans="1:9" x14ac:dyDescent="0.2">
      <c r="A22" s="2">
        <f ca="1">IFERROR(__xludf.DUMMYFUNCTION("""COMPUTED_VALUE"""),45321.6666666666)</f>
        <v>45321.666666666599</v>
      </c>
      <c r="B22" s="2"/>
      <c r="C22" s="1">
        <v>6475</v>
      </c>
      <c r="D22" s="1">
        <v>6700</v>
      </c>
      <c r="E22" s="1">
        <v>6450</v>
      </c>
      <c r="F22" s="1">
        <v>6650</v>
      </c>
      <c r="G22" s="1">
        <v>123330900</v>
      </c>
      <c r="H22" s="8">
        <f t="shared" si="0"/>
        <v>2.7027027027027029E-2</v>
      </c>
      <c r="I22" s="8">
        <f t="shared" si="1"/>
        <v>8.5714285714285715E-2</v>
      </c>
    </row>
    <row r="23" spans="1:9" x14ac:dyDescent="0.2">
      <c r="A23" s="2">
        <f ca="1">IFERROR(__xludf.DUMMYFUNCTION("""COMPUTED_VALUE"""),45322.6666666666)</f>
        <v>45322.666666666599</v>
      </c>
      <c r="B23" s="2"/>
      <c r="C23" s="1">
        <v>6650</v>
      </c>
      <c r="D23" s="1">
        <v>6700</v>
      </c>
      <c r="E23" s="1">
        <v>6650</v>
      </c>
      <c r="F23" s="1">
        <v>6650</v>
      </c>
      <c r="G23" s="1">
        <v>128185000</v>
      </c>
      <c r="H23" s="8">
        <f t="shared" si="0"/>
        <v>0</v>
      </c>
      <c r="I23" s="8">
        <f t="shared" si="1"/>
        <v>8.5714285714285715E-2</v>
      </c>
    </row>
    <row r="24" spans="1:9" x14ac:dyDescent="0.2">
      <c r="A24" s="2">
        <f ca="1">IFERROR(__xludf.DUMMYFUNCTION("""COMPUTED_VALUE"""),45323.6666666666)</f>
        <v>45323.666666666599</v>
      </c>
      <c r="B24" s="2"/>
      <c r="C24" s="1">
        <v>6575</v>
      </c>
      <c r="D24" s="1">
        <v>6625</v>
      </c>
      <c r="E24" s="1">
        <v>6500</v>
      </c>
      <c r="F24" s="1">
        <v>6550</v>
      </c>
      <c r="G24" s="1">
        <v>168145800</v>
      </c>
      <c r="H24" s="8">
        <f t="shared" si="0"/>
        <v>-1.5037593984962405E-2</v>
      </c>
      <c r="I24" s="8">
        <f t="shared" si="1"/>
        <v>6.9387755102040816E-2</v>
      </c>
    </row>
    <row r="25" spans="1:9" x14ac:dyDescent="0.2">
      <c r="A25" s="2">
        <f ca="1">IFERROR(__xludf.DUMMYFUNCTION("""COMPUTED_VALUE"""),45324.6666666666)</f>
        <v>45324.666666666599</v>
      </c>
      <c r="B25" s="2"/>
      <c r="C25" s="1">
        <v>6625</v>
      </c>
      <c r="D25" s="1">
        <v>6675</v>
      </c>
      <c r="E25" s="1">
        <v>6600</v>
      </c>
      <c r="F25" s="1">
        <v>6675</v>
      </c>
      <c r="G25" s="1">
        <v>120116200</v>
      </c>
      <c r="H25" s="8">
        <f t="shared" si="0"/>
        <v>1.9083969465648856E-2</v>
      </c>
      <c r="I25" s="8">
        <f t="shared" si="1"/>
        <v>8.9795918367346933E-2</v>
      </c>
    </row>
    <row r="26" spans="1:9" x14ac:dyDescent="0.2">
      <c r="A26" s="2">
        <f ca="1">IFERROR(__xludf.DUMMYFUNCTION("""COMPUTED_VALUE"""),45327.6666666666)</f>
        <v>45327.666666666599</v>
      </c>
      <c r="B26" s="2"/>
      <c r="C26" s="1">
        <v>6700</v>
      </c>
      <c r="D26" s="1">
        <v>6950</v>
      </c>
      <c r="E26" s="1">
        <v>6675</v>
      </c>
      <c r="F26" s="1">
        <v>6825</v>
      </c>
      <c r="G26" s="1">
        <v>150535100</v>
      </c>
      <c r="H26" s="8">
        <f t="shared" si="0"/>
        <v>2.247191011235955E-2</v>
      </c>
      <c r="I26" s="8">
        <f t="shared" si="1"/>
        <v>0.11428571428571428</v>
      </c>
    </row>
    <row r="27" spans="1:9" x14ac:dyDescent="0.2">
      <c r="A27" s="2">
        <f ca="1">IFERROR(__xludf.DUMMYFUNCTION("""COMPUTED_VALUE"""),45328.6666666666)</f>
        <v>45328.666666666599</v>
      </c>
      <c r="B27" s="2"/>
      <c r="C27" s="1">
        <v>6825</v>
      </c>
      <c r="D27" s="1">
        <v>6925</v>
      </c>
      <c r="E27" s="1">
        <v>6775</v>
      </c>
      <c r="F27" s="1">
        <v>6850</v>
      </c>
      <c r="G27" s="1">
        <v>90146000</v>
      </c>
      <c r="H27" s="8">
        <f t="shared" si="0"/>
        <v>3.663003663003663E-3</v>
      </c>
      <c r="I27" s="8">
        <f t="shared" si="1"/>
        <v>0.11836734693877551</v>
      </c>
    </row>
    <row r="28" spans="1:9" x14ac:dyDescent="0.2">
      <c r="A28" s="2">
        <f ca="1">IFERROR(__xludf.DUMMYFUNCTION("""COMPUTED_VALUE"""),45329.6666666666)</f>
        <v>45329.666666666599</v>
      </c>
      <c r="B28" s="2"/>
      <c r="C28" s="1">
        <v>6875</v>
      </c>
      <c r="D28" s="1">
        <v>6950</v>
      </c>
      <c r="E28" s="1">
        <v>6850</v>
      </c>
      <c r="F28" s="1">
        <v>6950</v>
      </c>
      <c r="G28" s="1">
        <v>88745500</v>
      </c>
      <c r="H28" s="8">
        <f t="shared" si="0"/>
        <v>1.4598540145985401E-2</v>
      </c>
      <c r="I28" s="8">
        <f t="shared" si="1"/>
        <v>0.13469387755102041</v>
      </c>
    </row>
    <row r="29" spans="1:9" x14ac:dyDescent="0.2">
      <c r="A29" s="2">
        <f ca="1">IFERROR(__xludf.DUMMYFUNCTION("""COMPUTED_VALUE"""),45334.6666666666)</f>
        <v>45334.666666666599</v>
      </c>
      <c r="B29" s="2"/>
      <c r="C29" s="1">
        <v>7150</v>
      </c>
      <c r="D29" s="1">
        <v>7200</v>
      </c>
      <c r="E29" s="1">
        <v>7050</v>
      </c>
      <c r="F29" s="1">
        <v>7100</v>
      </c>
      <c r="G29" s="1">
        <v>162771300</v>
      </c>
      <c r="H29" s="8">
        <f t="shared" si="0"/>
        <v>2.1582733812949641E-2</v>
      </c>
      <c r="I29" s="8">
        <f t="shared" si="1"/>
        <v>0.15918367346938775</v>
      </c>
    </row>
    <row r="30" spans="1:9" x14ac:dyDescent="0.2">
      <c r="A30" s="2">
        <f ca="1">IFERROR(__xludf.DUMMYFUNCTION("""COMPUTED_VALUE"""),45335.6666666666)</f>
        <v>45335.666666666599</v>
      </c>
      <c r="B30" s="2"/>
      <c r="C30" s="1">
        <v>7100</v>
      </c>
      <c r="D30" s="1">
        <v>7125</v>
      </c>
      <c r="E30" s="1">
        <v>7025</v>
      </c>
      <c r="F30" s="1">
        <v>7025</v>
      </c>
      <c r="G30" s="1">
        <v>102668900</v>
      </c>
      <c r="H30" s="8">
        <f t="shared" si="0"/>
        <v>-1.0563380281690141E-2</v>
      </c>
      <c r="I30" s="8">
        <f t="shared" si="1"/>
        <v>0.14693877551020409</v>
      </c>
    </row>
    <row r="31" spans="1:9" x14ac:dyDescent="0.2">
      <c r="A31" s="2">
        <f ca="1">IFERROR(__xludf.DUMMYFUNCTION("""COMPUTED_VALUE"""),45337.6666666666)</f>
        <v>45337.666666666599</v>
      </c>
      <c r="B31" s="2"/>
      <c r="C31" s="1">
        <v>7300</v>
      </c>
      <c r="D31" s="1">
        <v>7375</v>
      </c>
      <c r="E31" s="1">
        <v>7150</v>
      </c>
      <c r="F31" s="1">
        <v>7200</v>
      </c>
      <c r="G31" s="1">
        <v>220530000</v>
      </c>
      <c r="H31" s="8">
        <f t="shared" si="0"/>
        <v>2.491103202846975E-2</v>
      </c>
      <c r="I31" s="8">
        <f t="shared" si="1"/>
        <v>0.17551020408163265</v>
      </c>
    </row>
    <row r="32" spans="1:9" x14ac:dyDescent="0.2">
      <c r="A32" s="2">
        <f ca="1">IFERROR(__xludf.DUMMYFUNCTION("""COMPUTED_VALUE"""),45338.6666666666)</f>
        <v>45338.666666666599</v>
      </c>
      <c r="B32" s="2"/>
      <c r="C32" s="1">
        <v>7375</v>
      </c>
      <c r="D32" s="1">
        <v>7400</v>
      </c>
      <c r="E32" s="1">
        <v>7200</v>
      </c>
      <c r="F32" s="1">
        <v>7200</v>
      </c>
      <c r="G32" s="1">
        <v>142022100</v>
      </c>
      <c r="H32" s="8">
        <f t="shared" si="0"/>
        <v>0</v>
      </c>
      <c r="I32" s="8">
        <f t="shared" si="1"/>
        <v>0.17551020408163265</v>
      </c>
    </row>
    <row r="33" spans="1:9" x14ac:dyDescent="0.2">
      <c r="A33" s="2">
        <f ca="1">IFERROR(__xludf.DUMMYFUNCTION("""COMPUTED_VALUE"""),45341.6666666666)</f>
        <v>45341.666666666599</v>
      </c>
      <c r="B33" s="2"/>
      <c r="C33" s="1">
        <v>7150</v>
      </c>
      <c r="D33" s="1">
        <v>7325</v>
      </c>
      <c r="E33" s="1">
        <v>7125</v>
      </c>
      <c r="F33" s="1">
        <v>7150</v>
      </c>
      <c r="G33" s="1">
        <v>83753500</v>
      </c>
      <c r="H33" s="8">
        <f t="shared" si="0"/>
        <v>-6.9444444444444441E-3</v>
      </c>
      <c r="I33" s="8">
        <f t="shared" si="1"/>
        <v>0.16734693877551021</v>
      </c>
    </row>
    <row r="34" spans="1:9" x14ac:dyDescent="0.2">
      <c r="A34" s="2">
        <f ca="1">IFERROR(__xludf.DUMMYFUNCTION("""COMPUTED_VALUE"""),45342.6666666666)</f>
        <v>45342.666666666599</v>
      </c>
      <c r="B34" s="2"/>
      <c r="C34" s="1">
        <v>7250</v>
      </c>
      <c r="D34" s="1">
        <v>7250</v>
      </c>
      <c r="E34" s="1">
        <v>7150</v>
      </c>
      <c r="F34" s="1">
        <v>7150</v>
      </c>
      <c r="G34" s="1">
        <v>87312000</v>
      </c>
      <c r="H34" s="8">
        <f t="shared" si="0"/>
        <v>0</v>
      </c>
      <c r="I34" s="8">
        <f t="shared" si="1"/>
        <v>0.16734693877551021</v>
      </c>
    </row>
    <row r="35" spans="1:9" x14ac:dyDescent="0.2">
      <c r="A35" s="2">
        <f ca="1">IFERROR(__xludf.DUMMYFUNCTION("""COMPUTED_VALUE"""),45343.6666666666)</f>
        <v>45343.666666666599</v>
      </c>
      <c r="B35" s="2"/>
      <c r="C35" s="1">
        <v>7125</v>
      </c>
      <c r="D35" s="1">
        <v>7250</v>
      </c>
      <c r="E35" s="1">
        <v>7075</v>
      </c>
      <c r="F35" s="1">
        <v>7250</v>
      </c>
      <c r="G35" s="1">
        <v>128063900</v>
      </c>
      <c r="H35" s="8">
        <f t="shared" si="0"/>
        <v>1.3986013986013986E-2</v>
      </c>
      <c r="I35" s="8">
        <f t="shared" si="1"/>
        <v>0.18367346938775511</v>
      </c>
    </row>
    <row r="36" spans="1:9" x14ac:dyDescent="0.2">
      <c r="A36" s="2">
        <f ca="1">IFERROR(__xludf.DUMMYFUNCTION("""COMPUTED_VALUE"""),45344.6666666666)</f>
        <v>45344.666666666599</v>
      </c>
      <c r="B36" s="2"/>
      <c r="C36" s="1">
        <v>7175</v>
      </c>
      <c r="D36" s="1">
        <v>7200</v>
      </c>
      <c r="E36" s="1">
        <v>7100</v>
      </c>
      <c r="F36" s="1">
        <v>7100</v>
      </c>
      <c r="G36" s="1">
        <v>85735800</v>
      </c>
      <c r="H36" s="8">
        <f t="shared" si="0"/>
        <v>-2.0689655172413793E-2</v>
      </c>
      <c r="I36" s="8">
        <f t="shared" si="1"/>
        <v>0.15918367346938775</v>
      </c>
    </row>
    <row r="37" spans="1:9" x14ac:dyDescent="0.2">
      <c r="A37" s="2">
        <f ca="1">IFERROR(__xludf.DUMMYFUNCTION("""COMPUTED_VALUE"""),45345.6666666666)</f>
        <v>45345.666666666599</v>
      </c>
      <c r="B37" s="2"/>
      <c r="C37" s="1">
        <v>7050</v>
      </c>
      <c r="D37" s="1">
        <v>7100</v>
      </c>
      <c r="E37" s="1">
        <v>7000</v>
      </c>
      <c r="F37" s="1">
        <v>7050</v>
      </c>
      <c r="G37" s="1">
        <v>109404700</v>
      </c>
      <c r="H37" s="8">
        <f t="shared" si="0"/>
        <v>-7.0422535211267607E-3</v>
      </c>
      <c r="I37" s="8">
        <f t="shared" si="1"/>
        <v>0.15102040816326531</v>
      </c>
    </row>
    <row r="38" spans="1:9" x14ac:dyDescent="0.2">
      <c r="A38" s="2">
        <f ca="1">IFERROR(__xludf.DUMMYFUNCTION("""COMPUTED_VALUE"""),45348.6666666666)</f>
        <v>45348.666666666599</v>
      </c>
      <c r="B38" s="2"/>
      <c r="C38" s="1">
        <v>6950</v>
      </c>
      <c r="D38" s="1">
        <v>7075</v>
      </c>
      <c r="E38" s="1">
        <v>6950</v>
      </c>
      <c r="F38" s="1">
        <v>7050</v>
      </c>
      <c r="G38" s="1">
        <v>65407700</v>
      </c>
      <c r="H38" s="8">
        <f t="shared" si="0"/>
        <v>0</v>
      </c>
      <c r="I38" s="8">
        <f t="shared" si="1"/>
        <v>0.15102040816326531</v>
      </c>
    </row>
    <row r="39" spans="1:9" x14ac:dyDescent="0.2">
      <c r="A39" s="2">
        <f ca="1">IFERROR(__xludf.DUMMYFUNCTION("""COMPUTED_VALUE"""),45349.6666666666)</f>
        <v>45349.666666666599</v>
      </c>
      <c r="B39" s="2"/>
      <c r="C39" s="1">
        <v>6975</v>
      </c>
      <c r="D39" s="1">
        <v>7100</v>
      </c>
      <c r="E39" s="1">
        <v>6975</v>
      </c>
      <c r="F39" s="1">
        <v>7075</v>
      </c>
      <c r="G39" s="1">
        <v>58066100</v>
      </c>
      <c r="H39" s="8">
        <f t="shared" si="0"/>
        <v>3.5460992907801418E-3</v>
      </c>
      <c r="I39" s="8">
        <f t="shared" si="1"/>
        <v>0.15510204081632653</v>
      </c>
    </row>
    <row r="40" spans="1:9" x14ac:dyDescent="0.2">
      <c r="A40" s="2">
        <f ca="1">IFERROR(__xludf.DUMMYFUNCTION("""COMPUTED_VALUE"""),45350.6666666666)</f>
        <v>45350.666666666599</v>
      </c>
      <c r="B40" s="2"/>
      <c r="C40" s="1">
        <v>7025</v>
      </c>
      <c r="D40" s="1">
        <v>7125</v>
      </c>
      <c r="E40" s="1">
        <v>7025</v>
      </c>
      <c r="F40" s="1">
        <v>7125</v>
      </c>
      <c r="G40" s="1">
        <v>49888400</v>
      </c>
      <c r="H40" s="8">
        <f t="shared" si="0"/>
        <v>7.0671378091872791E-3</v>
      </c>
      <c r="I40" s="8">
        <f t="shared" si="1"/>
        <v>0.16326530612244897</v>
      </c>
    </row>
    <row r="41" spans="1:9" x14ac:dyDescent="0.2">
      <c r="A41" s="2">
        <f ca="1">IFERROR(__xludf.DUMMYFUNCTION("""COMPUTED_VALUE"""),45351.6666666666)</f>
        <v>45351.666666666599</v>
      </c>
      <c r="B41" s="2"/>
      <c r="C41" s="1">
        <v>7125</v>
      </c>
      <c r="D41" s="1">
        <v>7150</v>
      </c>
      <c r="E41" s="1">
        <v>7000</v>
      </c>
      <c r="F41" s="1">
        <v>7000</v>
      </c>
      <c r="G41" s="1">
        <v>150713600</v>
      </c>
      <c r="H41" s="8">
        <f t="shared" si="0"/>
        <v>-1.7543859649122806E-2</v>
      </c>
      <c r="I41" s="8">
        <f t="shared" si="1"/>
        <v>0.14285714285714285</v>
      </c>
    </row>
    <row r="42" spans="1:9" x14ac:dyDescent="0.2">
      <c r="A42" s="2">
        <f ca="1">IFERROR(__xludf.DUMMYFUNCTION("""COMPUTED_VALUE"""),45352.6666666666)</f>
        <v>45352.666666666599</v>
      </c>
      <c r="B42" s="2"/>
      <c r="C42" s="1">
        <v>7050</v>
      </c>
      <c r="D42" s="1">
        <v>7075</v>
      </c>
      <c r="E42" s="1">
        <v>6975</v>
      </c>
      <c r="F42" s="1">
        <v>7025</v>
      </c>
      <c r="G42" s="1">
        <v>90739400</v>
      </c>
      <c r="H42" s="8">
        <f t="shared" si="0"/>
        <v>3.5714285714285713E-3</v>
      </c>
      <c r="I42" s="8">
        <f t="shared" si="1"/>
        <v>0.14693877551020409</v>
      </c>
    </row>
    <row r="43" spans="1:9" x14ac:dyDescent="0.2">
      <c r="A43" s="2">
        <f ca="1">IFERROR(__xludf.DUMMYFUNCTION("""COMPUTED_VALUE"""),45355.6666666666)</f>
        <v>45355.666666666599</v>
      </c>
      <c r="B43" s="2"/>
      <c r="C43" s="1">
        <v>7000</v>
      </c>
      <c r="D43" s="1">
        <v>7050</v>
      </c>
      <c r="E43" s="1">
        <v>6975</v>
      </c>
      <c r="F43" s="1">
        <v>7025</v>
      </c>
      <c r="G43" s="1">
        <v>44707200</v>
      </c>
      <c r="H43" s="8">
        <f t="shared" si="0"/>
        <v>0</v>
      </c>
      <c r="I43" s="8">
        <f t="shared" si="1"/>
        <v>0.14693877551020409</v>
      </c>
    </row>
    <row r="44" spans="1:9" x14ac:dyDescent="0.2">
      <c r="A44" s="2">
        <f ca="1">IFERROR(__xludf.DUMMYFUNCTION("""COMPUTED_VALUE"""),45356.6666666666)</f>
        <v>45356.666666666599</v>
      </c>
      <c r="B44" s="2"/>
      <c r="C44" s="1">
        <v>7075</v>
      </c>
      <c r="D44" s="1">
        <v>7100</v>
      </c>
      <c r="E44" s="1">
        <v>7000</v>
      </c>
      <c r="F44" s="1">
        <v>7025</v>
      </c>
      <c r="G44" s="1">
        <v>92557200</v>
      </c>
      <c r="H44" s="8">
        <f t="shared" si="0"/>
        <v>0</v>
      </c>
      <c r="I44" s="8">
        <f t="shared" si="1"/>
        <v>0.14693877551020409</v>
      </c>
    </row>
    <row r="45" spans="1:9" x14ac:dyDescent="0.2">
      <c r="A45" s="2">
        <f ca="1">IFERROR(__xludf.DUMMYFUNCTION("""COMPUTED_VALUE"""),45357.6666666666)</f>
        <v>45357.666666666599</v>
      </c>
      <c r="B45" s="2"/>
      <c r="C45" s="1">
        <v>7000</v>
      </c>
      <c r="D45" s="1">
        <v>7100</v>
      </c>
      <c r="E45" s="1">
        <v>7000</v>
      </c>
      <c r="F45" s="1">
        <v>7075</v>
      </c>
      <c r="G45" s="1">
        <v>74178100</v>
      </c>
      <c r="H45" s="8">
        <f t="shared" si="0"/>
        <v>7.1174377224199285E-3</v>
      </c>
      <c r="I45" s="8">
        <f t="shared" si="1"/>
        <v>0.15510204081632653</v>
      </c>
    </row>
    <row r="46" spans="1:9" x14ac:dyDescent="0.2">
      <c r="A46" s="2">
        <f ca="1">IFERROR(__xludf.DUMMYFUNCTION("""COMPUTED_VALUE"""),45358.6666666666)</f>
        <v>45358.666666666599</v>
      </c>
      <c r="B46" s="2"/>
      <c r="C46" s="1">
        <v>7075</v>
      </c>
      <c r="D46" s="1">
        <v>7125</v>
      </c>
      <c r="E46" s="1">
        <v>7025</v>
      </c>
      <c r="F46" s="1">
        <v>7100</v>
      </c>
      <c r="G46" s="1">
        <v>94950400</v>
      </c>
      <c r="H46" s="8">
        <f t="shared" si="0"/>
        <v>3.5335689045936395E-3</v>
      </c>
      <c r="I46" s="8">
        <f t="shared" si="1"/>
        <v>0.15918367346938775</v>
      </c>
    </row>
    <row r="47" spans="1:9" x14ac:dyDescent="0.2">
      <c r="A47" s="2">
        <f ca="1">IFERROR(__xludf.DUMMYFUNCTION("""COMPUTED_VALUE"""),45359.6666666666)</f>
        <v>45359.666666666599</v>
      </c>
      <c r="B47" s="2"/>
      <c r="C47" s="1">
        <v>7150</v>
      </c>
      <c r="D47" s="1">
        <v>7175</v>
      </c>
      <c r="E47" s="1">
        <v>7100</v>
      </c>
      <c r="F47" s="1">
        <v>7125</v>
      </c>
      <c r="G47" s="1">
        <v>109032400</v>
      </c>
      <c r="H47" s="8">
        <f t="shared" si="0"/>
        <v>3.5211267605633804E-3</v>
      </c>
      <c r="I47" s="8">
        <f t="shared" si="1"/>
        <v>0.16326530612244897</v>
      </c>
    </row>
    <row r="48" spans="1:9" x14ac:dyDescent="0.2">
      <c r="A48" s="2">
        <f ca="1">IFERROR(__xludf.DUMMYFUNCTION("""COMPUTED_VALUE"""),45364.6666666666)</f>
        <v>45364.666666666599</v>
      </c>
      <c r="B48" s="2"/>
      <c r="C48" s="1">
        <v>7250</v>
      </c>
      <c r="D48" s="1">
        <v>7275</v>
      </c>
      <c r="E48" s="1">
        <v>7150</v>
      </c>
      <c r="F48" s="1">
        <v>7275</v>
      </c>
      <c r="G48" s="1">
        <v>126022700</v>
      </c>
      <c r="H48" s="8">
        <f t="shared" si="0"/>
        <v>2.1052631578947368E-2</v>
      </c>
      <c r="I48" s="8">
        <f t="shared" si="1"/>
        <v>0.18775510204081633</v>
      </c>
    </row>
    <row r="49" spans="1:9" x14ac:dyDescent="0.2">
      <c r="A49" s="2">
        <f ca="1">IFERROR(__xludf.DUMMYFUNCTION("""COMPUTED_VALUE"""),45365.6666666666)</f>
        <v>45365.666666666599</v>
      </c>
      <c r="B49" s="2"/>
      <c r="C49" s="1">
        <v>7250</v>
      </c>
      <c r="D49" s="1">
        <v>7400</v>
      </c>
      <c r="E49" s="1">
        <v>7225</v>
      </c>
      <c r="F49" s="1">
        <v>7400</v>
      </c>
      <c r="G49" s="1">
        <v>161193000</v>
      </c>
      <c r="H49" s="8">
        <f t="shared" si="0"/>
        <v>1.7182130584192441E-2</v>
      </c>
      <c r="I49" s="8">
        <f t="shared" si="1"/>
        <v>0.20816326530612245</v>
      </c>
    </row>
    <row r="50" spans="1:9" x14ac:dyDescent="0.2">
      <c r="A50" s="2">
        <f ca="1">IFERROR(__xludf.DUMMYFUNCTION("""COMPUTED_VALUE"""),45366.6666666666)</f>
        <v>45366.666666666599</v>
      </c>
      <c r="B50" s="2"/>
      <c r="C50" s="1">
        <v>7450</v>
      </c>
      <c r="D50" s="1">
        <v>7500</v>
      </c>
      <c r="E50" s="1">
        <v>7275</v>
      </c>
      <c r="F50" s="1">
        <v>7400</v>
      </c>
      <c r="G50" s="1">
        <v>250581100</v>
      </c>
      <c r="H50" s="8">
        <f t="shared" si="0"/>
        <v>0</v>
      </c>
      <c r="I50" s="8">
        <f t="shared" si="1"/>
        <v>0.20816326530612245</v>
      </c>
    </row>
    <row r="51" spans="1:9" x14ac:dyDescent="0.2">
      <c r="A51" s="2">
        <f ca="1">IFERROR(__xludf.DUMMYFUNCTION("""COMPUTED_VALUE"""),45369.6666666666)</f>
        <v>45369.666666666599</v>
      </c>
      <c r="B51" s="2"/>
      <c r="C51" s="1">
        <v>7425</v>
      </c>
      <c r="D51" s="1">
        <v>7425</v>
      </c>
      <c r="E51" s="1">
        <v>7175</v>
      </c>
      <c r="F51" s="1">
        <v>7175</v>
      </c>
      <c r="G51" s="1">
        <v>105778200</v>
      </c>
      <c r="H51" s="8">
        <f t="shared" si="0"/>
        <v>-3.0405405405405407E-2</v>
      </c>
      <c r="I51" s="8">
        <f t="shared" si="1"/>
        <v>0.17142857142857143</v>
      </c>
    </row>
    <row r="52" spans="1:9" x14ac:dyDescent="0.2">
      <c r="A52" s="2">
        <f ca="1">IFERROR(__xludf.DUMMYFUNCTION("""COMPUTED_VALUE"""),45370.6666666666)</f>
        <v>45370.666666666599</v>
      </c>
      <c r="B52" s="2"/>
      <c r="C52" s="1">
        <v>7250</v>
      </c>
      <c r="D52" s="1">
        <v>7350</v>
      </c>
      <c r="E52" s="1">
        <v>7225</v>
      </c>
      <c r="F52" s="1">
        <v>7275</v>
      </c>
      <c r="G52" s="1">
        <v>100836600</v>
      </c>
      <c r="H52" s="8">
        <f t="shared" si="0"/>
        <v>1.3937282229965157E-2</v>
      </c>
      <c r="I52" s="8">
        <f t="shared" si="1"/>
        <v>0.18775510204081633</v>
      </c>
    </row>
    <row r="53" spans="1:9" x14ac:dyDescent="0.2">
      <c r="A53" s="2">
        <f ca="1">IFERROR(__xludf.DUMMYFUNCTION("""COMPUTED_VALUE"""),45371.6666666666)</f>
        <v>45371.666666666599</v>
      </c>
      <c r="B53" s="2"/>
      <c r="C53" s="1">
        <v>7050</v>
      </c>
      <c r="D53" s="1">
        <v>7050</v>
      </c>
      <c r="E53" s="1">
        <v>7000</v>
      </c>
      <c r="F53" s="1">
        <v>7050</v>
      </c>
      <c r="G53" s="1">
        <v>83416700</v>
      </c>
      <c r="H53" s="8">
        <f t="shared" si="0"/>
        <v>-3.0927835051546393E-2</v>
      </c>
      <c r="I53" s="8">
        <f t="shared" si="1"/>
        <v>0.15102040816326531</v>
      </c>
    </row>
    <row r="54" spans="1:9" x14ac:dyDescent="0.2">
      <c r="A54" s="2">
        <f ca="1">IFERROR(__xludf.DUMMYFUNCTION("""COMPUTED_VALUE"""),45372.6666666666)</f>
        <v>45372.666666666599</v>
      </c>
      <c r="B54" s="2"/>
      <c r="C54" s="1">
        <v>7100</v>
      </c>
      <c r="D54" s="1">
        <v>7200</v>
      </c>
      <c r="E54" s="1">
        <v>7050</v>
      </c>
      <c r="F54" s="1">
        <v>7050</v>
      </c>
      <c r="G54" s="1">
        <v>81774800</v>
      </c>
      <c r="H54" s="8">
        <f t="shared" si="0"/>
        <v>0</v>
      </c>
      <c r="I54" s="8">
        <f t="shared" si="1"/>
        <v>0.15102040816326531</v>
      </c>
    </row>
    <row r="55" spans="1:9" x14ac:dyDescent="0.2">
      <c r="A55" s="2">
        <f ca="1">IFERROR(__xludf.DUMMYFUNCTION("""COMPUTED_VALUE"""),45373.6666666666)</f>
        <v>45373.666666666599</v>
      </c>
      <c r="B55" s="2"/>
      <c r="C55" s="1">
        <v>7000</v>
      </c>
      <c r="D55" s="1">
        <v>7075</v>
      </c>
      <c r="E55" s="1">
        <v>6950</v>
      </c>
      <c r="F55" s="1">
        <v>7050</v>
      </c>
      <c r="G55" s="1">
        <v>65219900</v>
      </c>
      <c r="H55" s="8">
        <f t="shared" si="0"/>
        <v>0</v>
      </c>
      <c r="I55" s="8">
        <f t="shared" si="1"/>
        <v>0.15102040816326531</v>
      </c>
    </row>
    <row r="56" spans="1:9" x14ac:dyDescent="0.2">
      <c r="A56" s="2">
        <f ca="1">IFERROR(__xludf.DUMMYFUNCTION("""COMPUTED_VALUE"""),45376.6666666666)</f>
        <v>45376.666666666599</v>
      </c>
      <c r="B56" s="2"/>
      <c r="C56" s="1">
        <v>7250</v>
      </c>
      <c r="D56" s="1">
        <v>7250</v>
      </c>
      <c r="E56" s="1">
        <v>7000</v>
      </c>
      <c r="F56" s="1">
        <v>7250</v>
      </c>
      <c r="G56" s="1">
        <v>78212700</v>
      </c>
      <c r="H56" s="8">
        <f t="shared" si="0"/>
        <v>2.8368794326241134E-2</v>
      </c>
      <c r="I56" s="8">
        <f t="shared" si="1"/>
        <v>0.18367346938775511</v>
      </c>
    </row>
    <row r="57" spans="1:9" x14ac:dyDescent="0.2">
      <c r="A57" s="2">
        <f ca="1">IFERROR(__xludf.DUMMYFUNCTION("""COMPUTED_VALUE"""),45377.6666666666)</f>
        <v>45377.666666666599</v>
      </c>
      <c r="B57" s="2"/>
      <c r="C57" s="1">
        <v>7225</v>
      </c>
      <c r="D57" s="1">
        <v>7225</v>
      </c>
      <c r="E57" s="1">
        <v>7125</v>
      </c>
      <c r="F57" s="1">
        <v>7175</v>
      </c>
      <c r="G57" s="1">
        <v>74274300</v>
      </c>
      <c r="H57" s="8">
        <f t="shared" si="0"/>
        <v>-1.0344827586206896E-2</v>
      </c>
      <c r="I57" s="8">
        <f t="shared" si="1"/>
        <v>0.17142857142857143</v>
      </c>
    </row>
    <row r="58" spans="1:9" x14ac:dyDescent="0.2">
      <c r="A58" s="2">
        <f ca="1">IFERROR(__xludf.DUMMYFUNCTION("""COMPUTED_VALUE"""),45378.6666666666)</f>
        <v>45378.666666666599</v>
      </c>
      <c r="B58" s="2"/>
      <c r="C58" s="1">
        <v>7200</v>
      </c>
      <c r="D58" s="1">
        <v>7250</v>
      </c>
      <c r="E58" s="1">
        <v>7175</v>
      </c>
      <c r="F58" s="1">
        <v>7175</v>
      </c>
      <c r="G58" s="1">
        <v>46295700</v>
      </c>
      <c r="H58" s="8">
        <f t="shared" si="0"/>
        <v>0</v>
      </c>
      <c r="I58" s="8">
        <f t="shared" si="1"/>
        <v>0.17142857142857143</v>
      </c>
    </row>
    <row r="59" spans="1:9" x14ac:dyDescent="0.2">
      <c r="A59" s="2">
        <f ca="1">IFERROR(__xludf.DUMMYFUNCTION("""COMPUTED_VALUE"""),45379.6666666666)</f>
        <v>45379.666666666599</v>
      </c>
      <c r="B59" s="2"/>
      <c r="C59" s="1">
        <v>7150</v>
      </c>
      <c r="D59" s="1">
        <v>7250</v>
      </c>
      <c r="E59" s="1">
        <v>7125</v>
      </c>
      <c r="F59" s="1">
        <v>7250</v>
      </c>
      <c r="G59" s="1">
        <v>90900900</v>
      </c>
      <c r="H59" s="8">
        <f t="shared" si="0"/>
        <v>1.0452961672473868E-2</v>
      </c>
      <c r="I59" s="8">
        <f t="shared" si="1"/>
        <v>0.18367346938775511</v>
      </c>
    </row>
    <row r="60" spans="1:9" x14ac:dyDescent="0.2">
      <c r="A60" s="2">
        <f ca="1">IFERROR(__xludf.DUMMYFUNCTION("""COMPUTED_VALUE"""),45383.6666666666)</f>
        <v>45383.666666666599</v>
      </c>
      <c r="B60" s="2"/>
      <c r="C60" s="1">
        <v>7250</v>
      </c>
      <c r="D60" s="1">
        <v>7250</v>
      </c>
      <c r="E60" s="1">
        <v>6750</v>
      </c>
      <c r="F60" s="1">
        <v>6900</v>
      </c>
      <c r="G60" s="1">
        <v>158358600</v>
      </c>
      <c r="H60" s="8">
        <f t="shared" si="0"/>
        <v>-4.8275862068965517E-2</v>
      </c>
      <c r="I60" s="8">
        <f t="shared" si="1"/>
        <v>0.12653061224489795</v>
      </c>
    </row>
    <row r="61" spans="1:9" x14ac:dyDescent="0.2">
      <c r="A61" s="2">
        <f ca="1">IFERROR(__xludf.DUMMYFUNCTION("""COMPUTED_VALUE"""),45384.6666666666)</f>
        <v>45384.666666666599</v>
      </c>
      <c r="B61" s="2"/>
      <c r="C61" s="1">
        <v>6900</v>
      </c>
      <c r="D61" s="1">
        <v>6900</v>
      </c>
      <c r="E61" s="1">
        <v>6700</v>
      </c>
      <c r="F61" s="1">
        <v>6900</v>
      </c>
      <c r="G61" s="1">
        <v>135764900</v>
      </c>
      <c r="H61" s="8">
        <f t="shared" si="0"/>
        <v>0</v>
      </c>
      <c r="I61" s="8">
        <f t="shared" si="1"/>
        <v>0.12653061224489795</v>
      </c>
    </row>
    <row r="62" spans="1:9" x14ac:dyDescent="0.2">
      <c r="A62" s="2">
        <f ca="1">IFERROR(__xludf.DUMMYFUNCTION("""COMPUTED_VALUE"""),45385.6666666666)</f>
        <v>45385.666666666599</v>
      </c>
      <c r="B62" s="2"/>
      <c r="C62" s="1">
        <v>6950</v>
      </c>
      <c r="D62" s="1">
        <v>6950</v>
      </c>
      <c r="E62" s="1">
        <v>6675</v>
      </c>
      <c r="F62" s="1">
        <v>6775</v>
      </c>
      <c r="G62" s="1">
        <v>115372600</v>
      </c>
      <c r="H62" s="8">
        <f t="shared" si="0"/>
        <v>-1.8115942028985508E-2</v>
      </c>
      <c r="I62" s="8">
        <f t="shared" si="1"/>
        <v>0.10612244897959183</v>
      </c>
    </row>
    <row r="63" spans="1:9" x14ac:dyDescent="0.2">
      <c r="A63" s="2">
        <f ca="1">IFERROR(__xludf.DUMMYFUNCTION("""COMPUTED_VALUE"""),45386.6666666666)</f>
        <v>45386.666666666599</v>
      </c>
      <c r="B63" s="2"/>
      <c r="C63" s="1">
        <v>6750</v>
      </c>
      <c r="D63" s="1">
        <v>6925</v>
      </c>
      <c r="E63" s="1">
        <v>6750</v>
      </c>
      <c r="F63" s="1">
        <v>6875</v>
      </c>
      <c r="G63" s="1">
        <v>63174900</v>
      </c>
      <c r="H63" s="8">
        <f t="shared" si="0"/>
        <v>1.4760147601476014E-2</v>
      </c>
      <c r="I63" s="8">
        <f t="shared" si="1"/>
        <v>0.12244897959183673</v>
      </c>
    </row>
    <row r="64" spans="1:9" x14ac:dyDescent="0.2">
      <c r="A64" s="2">
        <f ca="1">IFERROR(__xludf.DUMMYFUNCTION("""COMPUTED_VALUE"""),45387.6666666666)</f>
        <v>45387.666666666599</v>
      </c>
      <c r="B64" s="2"/>
      <c r="C64" s="1">
        <v>6825</v>
      </c>
      <c r="D64" s="1">
        <v>6900</v>
      </c>
      <c r="E64" s="1">
        <v>6825</v>
      </c>
      <c r="F64" s="1">
        <v>6825</v>
      </c>
      <c r="G64" s="1">
        <v>46111500</v>
      </c>
      <c r="H64" s="8">
        <f t="shared" si="0"/>
        <v>-7.2727272727272727E-3</v>
      </c>
      <c r="I64" s="8">
        <f t="shared" si="1"/>
        <v>0.11428571428571428</v>
      </c>
    </row>
    <row r="65" spans="1:9" x14ac:dyDescent="0.2">
      <c r="A65" s="2">
        <f ca="1">IFERROR(__xludf.DUMMYFUNCTION("""COMPUTED_VALUE"""),45398.6666666666)</f>
        <v>45398.666666666599</v>
      </c>
      <c r="B65" s="2"/>
      <c r="C65" s="1">
        <v>6350</v>
      </c>
      <c r="D65" s="1">
        <v>6725</v>
      </c>
      <c r="E65" s="1">
        <v>6300</v>
      </c>
      <c r="F65" s="1">
        <v>6625</v>
      </c>
      <c r="G65" s="1">
        <v>180012400</v>
      </c>
      <c r="H65" s="8">
        <f t="shared" si="0"/>
        <v>-2.9304029304029304E-2</v>
      </c>
      <c r="I65" s="8">
        <f t="shared" si="1"/>
        <v>8.1632653061224483E-2</v>
      </c>
    </row>
    <row r="66" spans="1:9" x14ac:dyDescent="0.2">
      <c r="A66" s="2">
        <f ca="1">IFERROR(__xludf.DUMMYFUNCTION("""COMPUTED_VALUE"""),45399.6666666666)</f>
        <v>45399.666666666599</v>
      </c>
      <c r="B66" s="2"/>
      <c r="C66" s="1">
        <v>6700</v>
      </c>
      <c r="D66" s="1">
        <v>6775</v>
      </c>
      <c r="E66" s="1">
        <v>6625</v>
      </c>
      <c r="F66" s="1">
        <v>6625</v>
      </c>
      <c r="G66" s="1">
        <v>83840200</v>
      </c>
      <c r="H66" s="8">
        <f t="shared" si="0"/>
        <v>0</v>
      </c>
      <c r="I66" s="8">
        <f t="shared" si="1"/>
        <v>8.1632653061224483E-2</v>
      </c>
    </row>
    <row r="67" spans="1:9" x14ac:dyDescent="0.2">
      <c r="A67" s="2">
        <f ca="1">IFERROR(__xludf.DUMMYFUNCTION("""COMPUTED_VALUE"""),45400.6666666666)</f>
        <v>45400.666666666599</v>
      </c>
      <c r="B67" s="2"/>
      <c r="C67" s="1">
        <v>6800</v>
      </c>
      <c r="D67" s="1">
        <v>6900</v>
      </c>
      <c r="E67" s="1">
        <v>6725</v>
      </c>
      <c r="F67" s="1">
        <v>6800</v>
      </c>
      <c r="G67" s="1">
        <v>106893900</v>
      </c>
      <c r="H67" s="8">
        <f t="shared" si="0"/>
        <v>2.6415094339622643E-2</v>
      </c>
      <c r="I67" s="8">
        <f t="shared" si="1"/>
        <v>0.11020408163265306</v>
      </c>
    </row>
    <row r="68" spans="1:9" x14ac:dyDescent="0.2">
      <c r="A68" s="2">
        <f ca="1">IFERROR(__xludf.DUMMYFUNCTION("""COMPUTED_VALUE"""),45401.6666666666)</f>
        <v>45401.666666666599</v>
      </c>
      <c r="B68" s="2"/>
      <c r="C68" s="1">
        <v>6725</v>
      </c>
      <c r="D68" s="1">
        <v>6800</v>
      </c>
      <c r="E68" s="1">
        <v>6650</v>
      </c>
      <c r="F68" s="1">
        <v>6725</v>
      </c>
      <c r="G68" s="1">
        <v>47943300</v>
      </c>
      <c r="H68" s="8">
        <f t="shared" ref="H68:H131" si="2">(F68-F67)/F67</f>
        <v>-1.1029411764705883E-2</v>
      </c>
      <c r="I68" s="8">
        <f t="shared" ref="I68:I131" si="3">(F68-$F$2)/$F$2</f>
        <v>9.7959183673469383E-2</v>
      </c>
    </row>
    <row r="69" spans="1:9" x14ac:dyDescent="0.2">
      <c r="A69" s="2">
        <f ca="1">IFERROR(__xludf.DUMMYFUNCTION("""COMPUTED_VALUE"""),45404.6666666666)</f>
        <v>45404.666666666599</v>
      </c>
      <c r="B69" s="2"/>
      <c r="C69" s="1">
        <v>6875</v>
      </c>
      <c r="D69" s="1">
        <v>6875</v>
      </c>
      <c r="E69" s="1">
        <v>6575</v>
      </c>
      <c r="F69" s="1">
        <v>6725</v>
      </c>
      <c r="G69" s="1">
        <v>121727900</v>
      </c>
      <c r="H69" s="8">
        <f t="shared" si="2"/>
        <v>0</v>
      </c>
      <c r="I69" s="8">
        <f t="shared" si="3"/>
        <v>9.7959183673469383E-2</v>
      </c>
    </row>
    <row r="70" spans="1:9" x14ac:dyDescent="0.2">
      <c r="A70" s="2">
        <f ca="1">IFERROR(__xludf.DUMMYFUNCTION("""COMPUTED_VALUE"""),45405.6666666666)</f>
        <v>45405.666666666599</v>
      </c>
      <c r="B70" s="2"/>
      <c r="C70" s="1">
        <v>6850</v>
      </c>
      <c r="D70" s="1">
        <v>6925</v>
      </c>
      <c r="E70" s="1">
        <v>6725</v>
      </c>
      <c r="F70" s="1">
        <v>6825</v>
      </c>
      <c r="G70" s="1">
        <v>106699200</v>
      </c>
      <c r="H70" s="8">
        <f t="shared" si="2"/>
        <v>1.4869888475836431E-2</v>
      </c>
      <c r="I70" s="8">
        <f t="shared" si="3"/>
        <v>0.11428571428571428</v>
      </c>
    </row>
    <row r="71" spans="1:9" x14ac:dyDescent="0.2">
      <c r="A71" s="2">
        <f ca="1">IFERROR(__xludf.DUMMYFUNCTION("""COMPUTED_VALUE"""),45406.6666666666)</f>
        <v>45406.666666666599</v>
      </c>
      <c r="B71" s="2"/>
      <c r="C71" s="1">
        <v>6925</v>
      </c>
      <c r="D71" s="1">
        <v>7050</v>
      </c>
      <c r="E71" s="1">
        <v>6900</v>
      </c>
      <c r="F71" s="1">
        <v>7050</v>
      </c>
      <c r="G71" s="1">
        <v>117586500</v>
      </c>
      <c r="H71" s="8">
        <f t="shared" si="2"/>
        <v>3.2967032967032968E-2</v>
      </c>
      <c r="I71" s="8">
        <f t="shared" si="3"/>
        <v>0.15102040816326531</v>
      </c>
    </row>
    <row r="72" spans="1:9" x14ac:dyDescent="0.2">
      <c r="A72" s="2">
        <f ca="1">IFERROR(__xludf.DUMMYFUNCTION("""COMPUTED_VALUE"""),45407.6666666666)</f>
        <v>45407.666666666599</v>
      </c>
      <c r="B72" s="2"/>
      <c r="C72" s="1">
        <v>7050</v>
      </c>
      <c r="D72" s="1">
        <v>7075</v>
      </c>
      <c r="E72" s="1">
        <v>6925</v>
      </c>
      <c r="F72" s="1">
        <v>6950</v>
      </c>
      <c r="G72" s="1">
        <v>111803500</v>
      </c>
      <c r="H72" s="8">
        <f t="shared" si="2"/>
        <v>-1.4184397163120567E-2</v>
      </c>
      <c r="I72" s="8">
        <f t="shared" si="3"/>
        <v>0.13469387755102041</v>
      </c>
    </row>
    <row r="73" spans="1:9" x14ac:dyDescent="0.2">
      <c r="A73" s="2">
        <f ca="1">IFERROR(__xludf.DUMMYFUNCTION("""COMPUTED_VALUE"""),45408.6666666666)</f>
        <v>45408.666666666599</v>
      </c>
      <c r="B73" s="2"/>
      <c r="C73" s="1">
        <v>7000</v>
      </c>
      <c r="D73" s="1">
        <v>7025</v>
      </c>
      <c r="E73" s="1">
        <v>6750</v>
      </c>
      <c r="F73" s="1">
        <v>6750</v>
      </c>
      <c r="G73" s="1">
        <v>125875000</v>
      </c>
      <c r="H73" s="8">
        <f t="shared" si="2"/>
        <v>-2.8776978417266189E-2</v>
      </c>
      <c r="I73" s="8">
        <f t="shared" si="3"/>
        <v>0.10204081632653061</v>
      </c>
    </row>
    <row r="74" spans="1:9" x14ac:dyDescent="0.2">
      <c r="A74" s="2">
        <f ca="1">IFERROR(__xludf.DUMMYFUNCTION("""COMPUTED_VALUE"""),45411.6666666666)</f>
        <v>45411.666666666599</v>
      </c>
      <c r="B74" s="2"/>
      <c r="C74" s="1">
        <v>6650</v>
      </c>
      <c r="D74" s="1">
        <v>6950</v>
      </c>
      <c r="E74" s="1">
        <v>6650</v>
      </c>
      <c r="F74" s="1">
        <v>6925</v>
      </c>
      <c r="G74" s="1">
        <v>77938400</v>
      </c>
      <c r="H74" s="8">
        <f t="shared" si="2"/>
        <v>2.5925925925925925E-2</v>
      </c>
      <c r="I74" s="8">
        <f t="shared" si="3"/>
        <v>0.1306122448979592</v>
      </c>
    </row>
    <row r="75" spans="1:9" x14ac:dyDescent="0.2">
      <c r="A75" s="2">
        <f ca="1">IFERROR(__xludf.DUMMYFUNCTION("""COMPUTED_VALUE"""),45412.6666666666)</f>
        <v>45412.666666666599</v>
      </c>
      <c r="B75" s="2"/>
      <c r="C75" s="1">
        <v>6800</v>
      </c>
      <c r="D75" s="1">
        <v>7050</v>
      </c>
      <c r="E75" s="1">
        <v>6775</v>
      </c>
      <c r="F75" s="1">
        <v>6900</v>
      </c>
      <c r="G75" s="1">
        <v>189991300</v>
      </c>
      <c r="H75" s="8">
        <f t="shared" si="2"/>
        <v>-3.6101083032490976E-3</v>
      </c>
      <c r="I75" s="8">
        <f t="shared" si="3"/>
        <v>0.12653061224489795</v>
      </c>
    </row>
    <row r="76" spans="1:9" x14ac:dyDescent="0.2">
      <c r="A76" s="2">
        <f ca="1">IFERROR(__xludf.DUMMYFUNCTION("""COMPUTED_VALUE"""),45414.6666666666)</f>
        <v>45414.666666666599</v>
      </c>
      <c r="B76" s="2"/>
      <c r="C76" s="1">
        <v>6800</v>
      </c>
      <c r="D76" s="1">
        <v>6800</v>
      </c>
      <c r="E76" s="1">
        <v>6050</v>
      </c>
      <c r="F76" s="1">
        <v>6325</v>
      </c>
      <c r="G76" s="1">
        <v>501849300</v>
      </c>
      <c r="H76" s="8">
        <f t="shared" si="2"/>
        <v>-8.3333333333333329E-2</v>
      </c>
      <c r="I76" s="8">
        <f t="shared" si="3"/>
        <v>3.2653061224489799E-2</v>
      </c>
    </row>
    <row r="77" spans="1:9" x14ac:dyDescent="0.2">
      <c r="A77" s="2">
        <f ca="1">IFERROR(__xludf.DUMMYFUNCTION("""COMPUTED_VALUE"""),45415.6666666666)</f>
        <v>45415.666666666599</v>
      </c>
      <c r="B77" s="2"/>
      <c r="C77" s="1">
        <v>6300</v>
      </c>
      <c r="D77" s="1">
        <v>6425</v>
      </c>
      <c r="E77" s="1">
        <v>6050</v>
      </c>
      <c r="F77" s="1">
        <v>6150</v>
      </c>
      <c r="G77" s="1">
        <v>269305400</v>
      </c>
      <c r="H77" s="8">
        <f t="shared" si="2"/>
        <v>-2.766798418972332E-2</v>
      </c>
      <c r="I77" s="8">
        <f t="shared" si="3"/>
        <v>4.0816326530612249E-3</v>
      </c>
    </row>
    <row r="78" spans="1:9" x14ac:dyDescent="0.2">
      <c r="A78" s="2">
        <f ca="1">IFERROR(__xludf.DUMMYFUNCTION("""COMPUTED_VALUE"""),45418.6666666666)</f>
        <v>45418.666666666599</v>
      </c>
      <c r="B78" s="2"/>
      <c r="C78" s="1">
        <v>6250</v>
      </c>
      <c r="D78" s="1">
        <v>6400</v>
      </c>
      <c r="E78" s="1">
        <v>6150</v>
      </c>
      <c r="F78" s="1">
        <v>6275</v>
      </c>
      <c r="G78" s="1">
        <v>184234200</v>
      </c>
      <c r="H78" s="8">
        <f t="shared" si="2"/>
        <v>2.032520325203252E-2</v>
      </c>
      <c r="I78" s="8">
        <f t="shared" si="3"/>
        <v>2.4489795918367346E-2</v>
      </c>
    </row>
    <row r="79" spans="1:9" x14ac:dyDescent="0.2">
      <c r="A79" s="2">
        <f ca="1">IFERROR(__xludf.DUMMYFUNCTION("""COMPUTED_VALUE"""),45419.6666666666)</f>
        <v>45419.666666666599</v>
      </c>
      <c r="B79" s="2"/>
      <c r="C79" s="1">
        <v>6325</v>
      </c>
      <c r="D79" s="1">
        <v>6400</v>
      </c>
      <c r="E79" s="1">
        <v>6250</v>
      </c>
      <c r="F79" s="1">
        <v>6275</v>
      </c>
      <c r="G79" s="1">
        <v>130410300</v>
      </c>
      <c r="H79" s="8">
        <f t="shared" si="2"/>
        <v>0</v>
      </c>
      <c r="I79" s="8">
        <f t="shared" si="3"/>
        <v>2.4489795918367346E-2</v>
      </c>
    </row>
    <row r="80" spans="1:9" x14ac:dyDescent="0.2">
      <c r="A80" s="2">
        <f ca="1">IFERROR(__xludf.DUMMYFUNCTION("""COMPUTED_VALUE"""),45420.6666666666)</f>
        <v>45420.666666666599</v>
      </c>
      <c r="B80" s="2"/>
      <c r="C80" s="1">
        <v>6325</v>
      </c>
      <c r="D80" s="1">
        <v>6450</v>
      </c>
      <c r="E80" s="1">
        <v>6250</v>
      </c>
      <c r="F80" s="1">
        <v>6275</v>
      </c>
      <c r="G80" s="1">
        <v>117065300</v>
      </c>
      <c r="H80" s="8">
        <f t="shared" si="2"/>
        <v>0</v>
      </c>
      <c r="I80" s="8">
        <f t="shared" si="3"/>
        <v>2.4489795918367346E-2</v>
      </c>
    </row>
    <row r="81" spans="1:9" x14ac:dyDescent="0.2">
      <c r="A81" s="2">
        <f ca="1">IFERROR(__xludf.DUMMYFUNCTION("""COMPUTED_VALUE"""),45425.6666666666)</f>
        <v>45425.666666666599</v>
      </c>
      <c r="B81" s="2"/>
      <c r="C81" s="1">
        <v>6200</v>
      </c>
      <c r="D81" s="1">
        <v>6275</v>
      </c>
      <c r="E81" s="1">
        <v>6125</v>
      </c>
      <c r="F81" s="1">
        <v>6200</v>
      </c>
      <c r="G81" s="1">
        <v>128638300</v>
      </c>
      <c r="H81" s="8">
        <f t="shared" si="2"/>
        <v>-1.1952191235059761E-2</v>
      </c>
      <c r="I81" s="8">
        <f t="shared" si="3"/>
        <v>1.2244897959183673E-2</v>
      </c>
    </row>
    <row r="82" spans="1:9" x14ac:dyDescent="0.2">
      <c r="A82" s="2">
        <f ca="1">IFERROR(__xludf.DUMMYFUNCTION("""COMPUTED_VALUE"""),45426.6666666666)</f>
        <v>45426.666666666599</v>
      </c>
      <c r="B82" s="2"/>
      <c r="C82" s="1">
        <v>6175</v>
      </c>
      <c r="D82" s="1">
        <v>6300</v>
      </c>
      <c r="E82" s="1">
        <v>6175</v>
      </c>
      <c r="F82" s="1">
        <v>6200</v>
      </c>
      <c r="G82" s="1">
        <v>94048400</v>
      </c>
      <c r="H82" s="8">
        <f t="shared" si="2"/>
        <v>0</v>
      </c>
      <c r="I82" s="8">
        <f t="shared" si="3"/>
        <v>1.2244897959183673E-2</v>
      </c>
    </row>
    <row r="83" spans="1:9" x14ac:dyDescent="0.2">
      <c r="A83" s="2">
        <f ca="1">IFERROR(__xludf.DUMMYFUNCTION("""COMPUTED_VALUE"""),45427.6666666666)</f>
        <v>45427.666666666599</v>
      </c>
      <c r="B83" s="2"/>
      <c r="C83" s="1">
        <v>6200</v>
      </c>
      <c r="D83" s="1">
        <v>6400</v>
      </c>
      <c r="E83" s="1">
        <v>6200</v>
      </c>
      <c r="F83" s="1">
        <v>6375</v>
      </c>
      <c r="G83" s="1">
        <v>80923000</v>
      </c>
      <c r="H83" s="8">
        <f t="shared" si="2"/>
        <v>2.8225806451612902E-2</v>
      </c>
      <c r="I83" s="8">
        <f t="shared" si="3"/>
        <v>4.0816326530612242E-2</v>
      </c>
    </row>
    <row r="84" spans="1:9" x14ac:dyDescent="0.2">
      <c r="A84" s="2">
        <f ca="1">IFERROR(__xludf.DUMMYFUNCTION("""COMPUTED_VALUE"""),45428.6666666666)</f>
        <v>45428.666666666599</v>
      </c>
      <c r="B84" s="2"/>
      <c r="C84" s="1">
        <v>6450</v>
      </c>
      <c r="D84" s="1">
        <v>6500</v>
      </c>
      <c r="E84" s="1">
        <v>6325</v>
      </c>
      <c r="F84" s="1">
        <v>6350</v>
      </c>
      <c r="G84" s="1">
        <v>114806300</v>
      </c>
      <c r="H84" s="8">
        <f t="shared" si="2"/>
        <v>-3.9215686274509803E-3</v>
      </c>
      <c r="I84" s="8">
        <f t="shared" si="3"/>
        <v>3.6734693877551024E-2</v>
      </c>
    </row>
    <row r="85" spans="1:9" x14ac:dyDescent="0.2">
      <c r="A85" s="2">
        <f ca="1">IFERROR(__xludf.DUMMYFUNCTION("""COMPUTED_VALUE"""),45429.6666666666)</f>
        <v>45429.666666666599</v>
      </c>
      <c r="B85" s="2"/>
      <c r="C85" s="1">
        <v>6350</v>
      </c>
      <c r="D85" s="1">
        <v>6650</v>
      </c>
      <c r="E85" s="1">
        <v>6350</v>
      </c>
      <c r="F85" s="1">
        <v>6575</v>
      </c>
      <c r="G85" s="1">
        <v>133153900</v>
      </c>
      <c r="H85" s="8">
        <f t="shared" si="2"/>
        <v>3.5433070866141732E-2</v>
      </c>
      <c r="I85" s="8">
        <f t="shared" si="3"/>
        <v>7.3469387755102047E-2</v>
      </c>
    </row>
    <row r="86" spans="1:9" x14ac:dyDescent="0.2">
      <c r="A86" s="2">
        <f ca="1">IFERROR(__xludf.DUMMYFUNCTION("""COMPUTED_VALUE"""),45432.6666666666)</f>
        <v>45432.666666666599</v>
      </c>
      <c r="B86" s="2"/>
      <c r="C86" s="1">
        <v>6550</v>
      </c>
      <c r="D86" s="1">
        <v>6625</v>
      </c>
      <c r="E86" s="1">
        <v>6200</v>
      </c>
      <c r="F86" s="1">
        <v>6325</v>
      </c>
      <c r="G86" s="1">
        <v>168796000</v>
      </c>
      <c r="H86" s="8">
        <f t="shared" si="2"/>
        <v>-3.8022813688212927E-2</v>
      </c>
      <c r="I86" s="8">
        <f t="shared" si="3"/>
        <v>3.2653061224489799E-2</v>
      </c>
    </row>
    <row r="87" spans="1:9" x14ac:dyDescent="0.2">
      <c r="A87" s="2">
        <f ca="1">IFERROR(__xludf.DUMMYFUNCTION("""COMPUTED_VALUE"""),45433.6666666666)</f>
        <v>45433.666666666599</v>
      </c>
      <c r="B87" s="2"/>
      <c r="C87" s="1">
        <v>6225</v>
      </c>
      <c r="D87" s="1">
        <v>6275</v>
      </c>
      <c r="E87" s="1">
        <v>5975</v>
      </c>
      <c r="F87" s="1">
        <v>6025</v>
      </c>
      <c r="G87" s="1">
        <v>307362900</v>
      </c>
      <c r="H87" s="8">
        <f t="shared" si="2"/>
        <v>-4.7430830039525688E-2</v>
      </c>
      <c r="I87" s="8">
        <f t="shared" si="3"/>
        <v>-1.6326530612244899E-2</v>
      </c>
    </row>
    <row r="88" spans="1:9" x14ac:dyDescent="0.2">
      <c r="A88" s="2">
        <f ca="1">IFERROR(__xludf.DUMMYFUNCTION("""COMPUTED_VALUE"""),45434.6666666666)</f>
        <v>45434.666666666599</v>
      </c>
      <c r="B88" s="2"/>
      <c r="C88" s="1">
        <v>6000</v>
      </c>
      <c r="D88" s="1">
        <v>6150</v>
      </c>
      <c r="E88" s="1">
        <v>5950</v>
      </c>
      <c r="F88" s="1">
        <v>6050</v>
      </c>
      <c r="G88" s="1">
        <v>171675900</v>
      </c>
      <c r="H88" s="8">
        <f t="shared" si="2"/>
        <v>4.1493775933609959E-3</v>
      </c>
      <c r="I88" s="8">
        <f t="shared" si="3"/>
        <v>-1.2244897959183673E-2</v>
      </c>
    </row>
    <row r="89" spans="1:9" x14ac:dyDescent="0.2">
      <c r="A89" s="2">
        <f ca="1">IFERROR(__xludf.DUMMYFUNCTION("""COMPUTED_VALUE"""),45439.6666666666)</f>
        <v>45439.666666666599</v>
      </c>
      <c r="B89" s="2"/>
      <c r="C89" s="1">
        <v>6025</v>
      </c>
      <c r="D89" s="1">
        <v>6050</v>
      </c>
      <c r="E89" s="1">
        <v>5825</v>
      </c>
      <c r="F89" s="1">
        <v>5825</v>
      </c>
      <c r="G89" s="1">
        <v>258450900</v>
      </c>
      <c r="H89" s="8">
        <f t="shared" si="2"/>
        <v>-3.71900826446281E-2</v>
      </c>
      <c r="I89" s="8">
        <f t="shared" si="3"/>
        <v>-4.8979591836734691E-2</v>
      </c>
    </row>
    <row r="90" spans="1:9" x14ac:dyDescent="0.2">
      <c r="A90" s="2">
        <f ca="1">IFERROR(__xludf.DUMMYFUNCTION("""COMPUTED_VALUE"""),45440.6666666666)</f>
        <v>45440.666666666599</v>
      </c>
      <c r="B90" s="2"/>
      <c r="C90" s="1">
        <v>5850</v>
      </c>
      <c r="D90" s="1">
        <v>6025</v>
      </c>
      <c r="E90" s="1">
        <v>5825</v>
      </c>
      <c r="F90" s="1">
        <v>5950</v>
      </c>
      <c r="G90" s="1">
        <v>93701700</v>
      </c>
      <c r="H90" s="8">
        <f t="shared" si="2"/>
        <v>2.1459227467811159E-2</v>
      </c>
      <c r="I90" s="8">
        <f t="shared" si="3"/>
        <v>-2.8571428571428571E-2</v>
      </c>
    </row>
    <row r="91" spans="1:9" x14ac:dyDescent="0.2">
      <c r="A91" s="2">
        <f ca="1">IFERROR(__xludf.DUMMYFUNCTION("""COMPUTED_VALUE"""),45441.6666666666)</f>
        <v>45441.666666666599</v>
      </c>
      <c r="B91" s="2"/>
      <c r="C91" s="1">
        <v>5825</v>
      </c>
      <c r="D91" s="1">
        <v>5875</v>
      </c>
      <c r="E91" s="1">
        <v>5700</v>
      </c>
      <c r="F91" s="1">
        <v>5800</v>
      </c>
      <c r="G91" s="1">
        <v>169386300</v>
      </c>
      <c r="H91" s="8">
        <f t="shared" si="2"/>
        <v>-2.5210084033613446E-2</v>
      </c>
      <c r="I91" s="8">
        <f t="shared" si="3"/>
        <v>-5.3061224489795916E-2</v>
      </c>
    </row>
    <row r="92" spans="1:9" x14ac:dyDescent="0.2">
      <c r="A92" s="2">
        <f ca="1">IFERROR(__xludf.DUMMYFUNCTION("""COMPUTED_VALUE"""),45442.6666666666)</f>
        <v>45442.666666666599</v>
      </c>
      <c r="B92" s="2"/>
      <c r="C92" s="1">
        <v>5775</v>
      </c>
      <c r="D92" s="1">
        <v>6000</v>
      </c>
      <c r="E92" s="1">
        <v>5525</v>
      </c>
      <c r="F92" s="1">
        <v>5875</v>
      </c>
      <c r="G92" s="1">
        <v>236632600</v>
      </c>
      <c r="H92" s="8">
        <f t="shared" si="2"/>
        <v>1.2931034482758621E-2</v>
      </c>
      <c r="I92" s="8">
        <f t="shared" si="3"/>
        <v>-4.0816326530612242E-2</v>
      </c>
    </row>
    <row r="93" spans="1:9" x14ac:dyDescent="0.2">
      <c r="A93" s="2">
        <f ca="1">IFERROR(__xludf.DUMMYFUNCTION("""COMPUTED_VALUE"""),45443.6666666666)</f>
        <v>45443.666666666599</v>
      </c>
      <c r="B93" s="2"/>
      <c r="C93" s="1">
        <v>6000</v>
      </c>
      <c r="D93" s="1">
        <v>6025</v>
      </c>
      <c r="E93" s="1">
        <v>5900</v>
      </c>
      <c r="F93" s="1">
        <v>5900</v>
      </c>
      <c r="G93" s="1">
        <v>169567000</v>
      </c>
      <c r="H93" s="8">
        <f t="shared" si="2"/>
        <v>4.2553191489361703E-3</v>
      </c>
      <c r="I93" s="8">
        <f t="shared" si="3"/>
        <v>-3.6734693877551024E-2</v>
      </c>
    </row>
    <row r="94" spans="1:9" x14ac:dyDescent="0.2">
      <c r="A94" s="2">
        <f ca="1">IFERROR(__xludf.DUMMYFUNCTION("""COMPUTED_VALUE"""),45446.6666666666)</f>
        <v>45446.666666666599</v>
      </c>
      <c r="B94" s="2"/>
      <c r="C94" s="1">
        <v>6075</v>
      </c>
      <c r="D94" s="1">
        <v>6150</v>
      </c>
      <c r="E94" s="1">
        <v>6025</v>
      </c>
      <c r="F94" s="1">
        <v>6100</v>
      </c>
      <c r="G94" s="1">
        <v>92525600</v>
      </c>
      <c r="H94" s="8">
        <f t="shared" si="2"/>
        <v>3.3898305084745763E-2</v>
      </c>
      <c r="I94" s="8">
        <f t="shared" si="3"/>
        <v>-4.0816326530612249E-3</v>
      </c>
    </row>
    <row r="95" spans="1:9" x14ac:dyDescent="0.2">
      <c r="A95" s="2">
        <f ca="1">IFERROR(__xludf.DUMMYFUNCTION("""COMPUTED_VALUE"""),45447.6666666666)</f>
        <v>45447.666666666599</v>
      </c>
      <c r="B95" s="2"/>
      <c r="C95" s="1">
        <v>6150</v>
      </c>
      <c r="D95" s="1">
        <v>6275</v>
      </c>
      <c r="E95" s="1">
        <v>6125</v>
      </c>
      <c r="F95" s="1">
        <v>6150</v>
      </c>
      <c r="G95" s="1">
        <v>137800600</v>
      </c>
      <c r="H95" s="8">
        <f t="shared" si="2"/>
        <v>8.1967213114754103E-3</v>
      </c>
      <c r="I95" s="8">
        <f t="shared" si="3"/>
        <v>4.0816326530612249E-3</v>
      </c>
    </row>
    <row r="96" spans="1:9" x14ac:dyDescent="0.2">
      <c r="A96" s="2">
        <f ca="1">IFERROR(__xludf.DUMMYFUNCTION("""COMPUTED_VALUE"""),45448.6666666666)</f>
        <v>45448.666666666599</v>
      </c>
      <c r="B96" s="2"/>
      <c r="C96" s="1">
        <v>6125</v>
      </c>
      <c r="D96" s="1">
        <v>6150</v>
      </c>
      <c r="E96" s="1">
        <v>5975</v>
      </c>
      <c r="F96" s="1">
        <v>6000</v>
      </c>
      <c r="G96" s="1">
        <v>102327300</v>
      </c>
      <c r="H96" s="8">
        <f t="shared" si="2"/>
        <v>-2.4390243902439025E-2</v>
      </c>
      <c r="I96" s="8">
        <f t="shared" si="3"/>
        <v>-2.0408163265306121E-2</v>
      </c>
    </row>
    <row r="97" spans="1:9" x14ac:dyDescent="0.2">
      <c r="A97" s="2">
        <f ca="1">IFERROR(__xludf.DUMMYFUNCTION("""COMPUTED_VALUE"""),45449.6666666666)</f>
        <v>45449.666666666599</v>
      </c>
      <c r="B97" s="2"/>
      <c r="C97" s="1">
        <v>6125</v>
      </c>
      <c r="D97" s="1">
        <v>6200</v>
      </c>
      <c r="E97" s="1">
        <v>6075</v>
      </c>
      <c r="F97" s="1">
        <v>6175</v>
      </c>
      <c r="G97" s="1">
        <v>85735200</v>
      </c>
      <c r="H97" s="8">
        <f t="shared" si="2"/>
        <v>2.9166666666666667E-2</v>
      </c>
      <c r="I97" s="8">
        <f t="shared" si="3"/>
        <v>8.1632653061224497E-3</v>
      </c>
    </row>
    <row r="98" spans="1:9" x14ac:dyDescent="0.2">
      <c r="A98" s="2">
        <f ca="1">IFERROR(__xludf.DUMMYFUNCTION("""COMPUTED_VALUE"""),45450.6666666666)</f>
        <v>45450.666666666599</v>
      </c>
      <c r="B98" s="2"/>
      <c r="C98" s="1">
        <v>6250</v>
      </c>
      <c r="D98" s="1">
        <v>6275</v>
      </c>
      <c r="E98" s="1">
        <v>6150</v>
      </c>
      <c r="F98" s="1">
        <v>6275</v>
      </c>
      <c r="G98" s="1">
        <v>99092800</v>
      </c>
      <c r="H98" s="8">
        <f t="shared" si="2"/>
        <v>1.6194331983805668E-2</v>
      </c>
      <c r="I98" s="8">
        <f t="shared" si="3"/>
        <v>2.4489795918367346E-2</v>
      </c>
    </row>
    <row r="99" spans="1:9" x14ac:dyDescent="0.2">
      <c r="A99" s="2">
        <f ca="1">IFERROR(__xludf.DUMMYFUNCTION("""COMPUTED_VALUE"""),45453.6666666666)</f>
        <v>45453.666666666599</v>
      </c>
      <c r="B99" s="2"/>
      <c r="C99" s="1">
        <v>6275</v>
      </c>
      <c r="D99" s="1">
        <v>6350</v>
      </c>
      <c r="E99" s="1">
        <v>6200</v>
      </c>
      <c r="F99" s="1">
        <v>6275</v>
      </c>
      <c r="G99" s="1">
        <v>80154400</v>
      </c>
      <c r="H99" s="8">
        <f t="shared" si="2"/>
        <v>0</v>
      </c>
      <c r="I99" s="8">
        <f t="shared" si="3"/>
        <v>2.4489795918367346E-2</v>
      </c>
    </row>
    <row r="100" spans="1:9" x14ac:dyDescent="0.2">
      <c r="A100" s="2">
        <f ca="1">IFERROR(__xludf.DUMMYFUNCTION("""COMPUTED_VALUE"""),45454.6666666666)</f>
        <v>45454.666666666599</v>
      </c>
      <c r="B100" s="2"/>
      <c r="C100" s="1">
        <v>6200</v>
      </c>
      <c r="D100" s="1">
        <v>6250</v>
      </c>
      <c r="E100" s="1">
        <v>6125</v>
      </c>
      <c r="F100" s="1">
        <v>6125</v>
      </c>
      <c r="G100" s="1">
        <v>56254400</v>
      </c>
      <c r="H100" s="8">
        <f t="shared" si="2"/>
        <v>-2.3904382470119521E-2</v>
      </c>
      <c r="I100" s="8">
        <f t="shared" si="3"/>
        <v>0</v>
      </c>
    </row>
    <row r="101" spans="1:9" x14ac:dyDescent="0.2">
      <c r="A101" s="2">
        <f ca="1">IFERROR(__xludf.DUMMYFUNCTION("""COMPUTED_VALUE"""),45455.6666666666)</f>
        <v>45455.666666666599</v>
      </c>
      <c r="B101" s="2"/>
      <c r="C101" s="1">
        <v>6050</v>
      </c>
      <c r="D101" s="1">
        <v>6075</v>
      </c>
      <c r="E101" s="1">
        <v>5900</v>
      </c>
      <c r="F101" s="1">
        <v>5925</v>
      </c>
      <c r="G101" s="1">
        <v>120857200</v>
      </c>
      <c r="H101" s="8">
        <f t="shared" si="2"/>
        <v>-3.2653061224489799E-2</v>
      </c>
      <c r="I101" s="8">
        <f t="shared" si="3"/>
        <v>-3.2653061224489799E-2</v>
      </c>
    </row>
    <row r="102" spans="1:9" x14ac:dyDescent="0.2">
      <c r="A102" s="2">
        <f ca="1">IFERROR(__xludf.DUMMYFUNCTION("""COMPUTED_VALUE"""),45456.6666666666)</f>
        <v>45456.666666666599</v>
      </c>
      <c r="B102" s="2"/>
      <c r="C102" s="1">
        <v>5975</v>
      </c>
      <c r="D102" s="1">
        <v>6000</v>
      </c>
      <c r="E102" s="1">
        <v>5850</v>
      </c>
      <c r="F102" s="1">
        <v>5875</v>
      </c>
      <c r="G102" s="1">
        <v>162616700</v>
      </c>
      <c r="H102" s="8">
        <f t="shared" si="2"/>
        <v>-8.4388185654008432E-3</v>
      </c>
      <c r="I102" s="8">
        <f t="shared" si="3"/>
        <v>-4.0816326530612242E-2</v>
      </c>
    </row>
    <row r="103" spans="1:9" x14ac:dyDescent="0.2">
      <c r="A103" s="2">
        <f ca="1">IFERROR(__xludf.DUMMYFUNCTION("""COMPUTED_VALUE"""),45457.6666666666)</f>
        <v>45457.666666666599</v>
      </c>
      <c r="B103" s="2"/>
      <c r="C103" s="1">
        <v>5850</v>
      </c>
      <c r="D103" s="1">
        <v>5875</v>
      </c>
      <c r="E103" s="1">
        <v>5650</v>
      </c>
      <c r="F103" s="1">
        <v>5750</v>
      </c>
      <c r="G103" s="1">
        <v>203241500</v>
      </c>
      <c r="H103" s="8">
        <f t="shared" si="2"/>
        <v>-2.1276595744680851E-2</v>
      </c>
      <c r="I103" s="8">
        <f t="shared" si="3"/>
        <v>-6.1224489795918366E-2</v>
      </c>
    </row>
    <row r="104" spans="1:9" x14ac:dyDescent="0.2">
      <c r="A104" s="2">
        <f ca="1">IFERROR(__xludf.DUMMYFUNCTION("""COMPUTED_VALUE"""),45462.6666666666)</f>
        <v>45462.666666666599</v>
      </c>
      <c r="B104" s="2"/>
      <c r="C104" s="1">
        <v>5775</v>
      </c>
      <c r="D104" s="1">
        <v>5850</v>
      </c>
      <c r="E104" s="1">
        <v>5675</v>
      </c>
      <c r="F104" s="1">
        <v>5750</v>
      </c>
      <c r="G104" s="1">
        <v>116004200</v>
      </c>
      <c r="H104" s="8">
        <f t="shared" si="2"/>
        <v>0</v>
      </c>
      <c r="I104" s="8">
        <f t="shared" si="3"/>
        <v>-6.1224489795918366E-2</v>
      </c>
    </row>
    <row r="105" spans="1:9" x14ac:dyDescent="0.2">
      <c r="A105" s="2">
        <f ca="1">IFERROR(__xludf.DUMMYFUNCTION("""COMPUTED_VALUE"""),45463.6666666666)</f>
        <v>45463.666666666599</v>
      </c>
      <c r="B105" s="2"/>
      <c r="C105" s="1">
        <v>5825</v>
      </c>
      <c r="D105" s="1">
        <v>5950</v>
      </c>
      <c r="E105" s="1">
        <v>5750</v>
      </c>
      <c r="F105" s="1">
        <v>5950</v>
      </c>
      <c r="G105" s="1">
        <v>82660000</v>
      </c>
      <c r="H105" s="8">
        <f t="shared" si="2"/>
        <v>3.4782608695652174E-2</v>
      </c>
      <c r="I105" s="8">
        <f t="shared" si="3"/>
        <v>-2.8571428571428571E-2</v>
      </c>
    </row>
    <row r="106" spans="1:9" x14ac:dyDescent="0.2">
      <c r="A106" s="2">
        <f ca="1">IFERROR(__xludf.DUMMYFUNCTION("""COMPUTED_VALUE"""),45464.6666666666)</f>
        <v>45464.666666666599</v>
      </c>
      <c r="B106" s="2"/>
      <c r="C106" s="1">
        <v>6050</v>
      </c>
      <c r="D106" s="1">
        <v>6200</v>
      </c>
      <c r="E106" s="1">
        <v>6025</v>
      </c>
      <c r="F106" s="1">
        <v>6125</v>
      </c>
      <c r="G106" s="1">
        <v>184240600</v>
      </c>
      <c r="H106" s="8">
        <f t="shared" si="2"/>
        <v>2.9411764705882353E-2</v>
      </c>
      <c r="I106" s="8">
        <f t="shared" si="3"/>
        <v>0</v>
      </c>
    </row>
    <row r="107" spans="1:9" x14ac:dyDescent="0.2">
      <c r="A107" s="2">
        <f ca="1">IFERROR(__xludf.DUMMYFUNCTION("""COMPUTED_VALUE"""),45467.6666666666)</f>
        <v>45467.666666666599</v>
      </c>
      <c r="B107" s="2"/>
      <c r="C107" s="1">
        <v>6075</v>
      </c>
      <c r="D107" s="1">
        <v>6125</v>
      </c>
      <c r="E107" s="1">
        <v>6000</v>
      </c>
      <c r="F107" s="1">
        <v>6000</v>
      </c>
      <c r="G107" s="1">
        <v>58831900</v>
      </c>
      <c r="H107" s="8">
        <f t="shared" si="2"/>
        <v>-2.0408163265306121E-2</v>
      </c>
      <c r="I107" s="8">
        <f t="shared" si="3"/>
        <v>-2.0408163265306121E-2</v>
      </c>
    </row>
    <row r="108" spans="1:9" x14ac:dyDescent="0.2">
      <c r="A108" s="2">
        <f ca="1">IFERROR(__xludf.DUMMYFUNCTION("""COMPUTED_VALUE"""),45468.6666666666)</f>
        <v>45468.666666666599</v>
      </c>
      <c r="B108" s="2"/>
      <c r="C108" s="1">
        <v>5925</v>
      </c>
      <c r="D108" s="1">
        <v>5975</v>
      </c>
      <c r="E108" s="1">
        <v>5825</v>
      </c>
      <c r="F108" s="1">
        <v>5925</v>
      </c>
      <c r="G108" s="1">
        <v>159983800</v>
      </c>
      <c r="H108" s="8">
        <f t="shared" si="2"/>
        <v>-1.2500000000000001E-2</v>
      </c>
      <c r="I108" s="8">
        <f t="shared" si="3"/>
        <v>-3.2653061224489799E-2</v>
      </c>
    </row>
    <row r="109" spans="1:9" x14ac:dyDescent="0.2">
      <c r="A109" s="2">
        <f ca="1">IFERROR(__xludf.DUMMYFUNCTION("""COMPUTED_VALUE"""),45469.6666666666)</f>
        <v>45469.666666666599</v>
      </c>
      <c r="B109" s="2"/>
      <c r="C109" s="1">
        <v>5950</v>
      </c>
      <c r="D109" s="1">
        <v>6025</v>
      </c>
      <c r="E109" s="1">
        <v>5850</v>
      </c>
      <c r="F109" s="1">
        <v>5850</v>
      </c>
      <c r="G109" s="1">
        <v>92895700</v>
      </c>
      <c r="H109" s="8">
        <f t="shared" si="2"/>
        <v>-1.2658227848101266E-2</v>
      </c>
      <c r="I109" s="8">
        <f t="shared" si="3"/>
        <v>-4.4897959183673466E-2</v>
      </c>
    </row>
    <row r="110" spans="1:9" x14ac:dyDescent="0.2">
      <c r="A110" s="2">
        <f ca="1">IFERROR(__xludf.DUMMYFUNCTION("""COMPUTED_VALUE"""),45470.6666666666)</f>
        <v>45470.666666666599</v>
      </c>
      <c r="B110" s="2"/>
      <c r="C110" s="1">
        <v>5900</v>
      </c>
      <c r="D110" s="1">
        <v>6075</v>
      </c>
      <c r="E110" s="1">
        <v>5875</v>
      </c>
      <c r="F110" s="1">
        <v>6000</v>
      </c>
      <c r="G110" s="1">
        <v>117602400</v>
      </c>
      <c r="H110" s="8">
        <f t="shared" si="2"/>
        <v>2.564102564102564E-2</v>
      </c>
      <c r="I110" s="8">
        <f t="shared" si="3"/>
        <v>-2.0408163265306121E-2</v>
      </c>
    </row>
    <row r="111" spans="1:9" x14ac:dyDescent="0.2">
      <c r="A111" s="2">
        <f ca="1">IFERROR(__xludf.DUMMYFUNCTION("""COMPUTED_VALUE"""),45471.6666666666)</f>
        <v>45471.666666666599</v>
      </c>
      <c r="B111" s="2"/>
      <c r="C111" s="1">
        <v>6000</v>
      </c>
      <c r="D111" s="1">
        <v>6250</v>
      </c>
      <c r="E111" s="1">
        <v>6000</v>
      </c>
      <c r="F111" s="1">
        <v>6150</v>
      </c>
      <c r="G111" s="1">
        <v>191371600</v>
      </c>
      <c r="H111" s="8">
        <f t="shared" si="2"/>
        <v>2.5000000000000001E-2</v>
      </c>
      <c r="I111" s="8">
        <f t="shared" si="3"/>
        <v>4.0816326530612249E-3</v>
      </c>
    </row>
    <row r="112" spans="1:9" x14ac:dyDescent="0.2">
      <c r="A112" s="2">
        <f ca="1">IFERROR(__xludf.DUMMYFUNCTION("""COMPUTED_VALUE"""),45474.6666666666)</f>
        <v>45474.666666666599</v>
      </c>
      <c r="B112" s="2"/>
      <c r="C112" s="1">
        <v>6175</v>
      </c>
      <c r="D112" s="1">
        <v>6250</v>
      </c>
      <c r="E112" s="1">
        <v>6100</v>
      </c>
      <c r="F112" s="1">
        <v>6250</v>
      </c>
      <c r="G112" s="1">
        <v>100408200</v>
      </c>
      <c r="H112" s="8">
        <f t="shared" si="2"/>
        <v>1.6260162601626018E-2</v>
      </c>
      <c r="I112" s="8">
        <f t="shared" si="3"/>
        <v>2.0408163265306121E-2</v>
      </c>
    </row>
    <row r="113" spans="1:9" x14ac:dyDescent="0.2">
      <c r="A113" s="2">
        <f ca="1">IFERROR(__xludf.DUMMYFUNCTION("""COMPUTED_VALUE"""),45475.6666666666)</f>
        <v>45475.666666666599</v>
      </c>
      <c r="B113" s="2"/>
      <c r="C113" s="1">
        <v>6275</v>
      </c>
      <c r="D113" s="1">
        <v>6350</v>
      </c>
      <c r="E113" s="1">
        <v>6150</v>
      </c>
      <c r="F113" s="1">
        <v>6200</v>
      </c>
      <c r="G113" s="1">
        <v>159356600</v>
      </c>
      <c r="H113" s="8">
        <f t="shared" si="2"/>
        <v>-8.0000000000000002E-3</v>
      </c>
      <c r="I113" s="8">
        <f t="shared" si="3"/>
        <v>1.2244897959183673E-2</v>
      </c>
    </row>
    <row r="114" spans="1:9" x14ac:dyDescent="0.2">
      <c r="A114" s="2">
        <f ca="1">IFERROR(__xludf.DUMMYFUNCTION("""COMPUTED_VALUE"""),45476.6666666666)</f>
        <v>45476.666666666599</v>
      </c>
      <c r="B114" s="2"/>
      <c r="C114" s="1">
        <v>6275</v>
      </c>
      <c r="D114" s="1">
        <v>6300</v>
      </c>
      <c r="E114" s="1">
        <v>6100</v>
      </c>
      <c r="F114" s="1">
        <v>6225</v>
      </c>
      <c r="G114" s="1">
        <v>70017100</v>
      </c>
      <c r="H114" s="8">
        <f t="shared" si="2"/>
        <v>4.0322580645161289E-3</v>
      </c>
      <c r="I114" s="8">
        <f t="shared" si="3"/>
        <v>1.6326530612244899E-2</v>
      </c>
    </row>
    <row r="115" spans="1:9" x14ac:dyDescent="0.2">
      <c r="A115" s="2">
        <f ca="1">IFERROR(__xludf.DUMMYFUNCTION("""COMPUTED_VALUE"""),45477.6666666666)</f>
        <v>45477.666666666599</v>
      </c>
      <c r="B115" s="2"/>
      <c r="C115" s="1">
        <v>6250</v>
      </c>
      <c r="D115" s="1">
        <v>6400</v>
      </c>
      <c r="E115" s="1">
        <v>6225</v>
      </c>
      <c r="F115" s="1">
        <v>6250</v>
      </c>
      <c r="G115" s="1">
        <v>90147800</v>
      </c>
      <c r="H115" s="8">
        <f t="shared" si="2"/>
        <v>4.0160642570281121E-3</v>
      </c>
      <c r="I115" s="8">
        <f t="shared" si="3"/>
        <v>2.0408163265306121E-2</v>
      </c>
    </row>
    <row r="116" spans="1:9" x14ac:dyDescent="0.2">
      <c r="A116" s="2">
        <f ca="1">IFERROR(__xludf.DUMMYFUNCTION("""COMPUTED_VALUE"""),45478.6666666666)</f>
        <v>45478.666666666599</v>
      </c>
      <c r="B116" s="2"/>
      <c r="C116" s="1">
        <v>6325</v>
      </c>
      <c r="D116" s="1">
        <v>6500</v>
      </c>
      <c r="E116" s="1">
        <v>6300</v>
      </c>
      <c r="F116" s="1">
        <v>6425</v>
      </c>
      <c r="G116" s="1">
        <v>111646800</v>
      </c>
      <c r="H116" s="8">
        <f t="shared" si="2"/>
        <v>2.8000000000000001E-2</v>
      </c>
      <c r="I116" s="8">
        <f t="shared" si="3"/>
        <v>4.8979591836734691E-2</v>
      </c>
    </row>
    <row r="117" spans="1:9" x14ac:dyDescent="0.2">
      <c r="A117" s="2">
        <f ca="1">IFERROR(__xludf.DUMMYFUNCTION("""COMPUTED_VALUE"""),45481.6666666666)</f>
        <v>45481.666666666599</v>
      </c>
      <c r="B117" s="2"/>
      <c r="C117" s="1">
        <v>6400</v>
      </c>
      <c r="D117" s="1">
        <v>6425</v>
      </c>
      <c r="E117" s="1">
        <v>6200</v>
      </c>
      <c r="F117" s="1">
        <v>6225</v>
      </c>
      <c r="G117" s="1">
        <v>138144000</v>
      </c>
      <c r="H117" s="8">
        <f t="shared" si="2"/>
        <v>-3.1128404669260701E-2</v>
      </c>
      <c r="I117" s="8">
        <f t="shared" si="3"/>
        <v>1.6326530612244899E-2</v>
      </c>
    </row>
    <row r="118" spans="1:9" x14ac:dyDescent="0.2">
      <c r="A118" s="2">
        <f ca="1">IFERROR(__xludf.DUMMYFUNCTION("""COMPUTED_VALUE"""),45482.6666666666)</f>
        <v>45482.666666666599</v>
      </c>
      <c r="B118" s="2"/>
      <c r="C118" s="1">
        <v>6225</v>
      </c>
      <c r="D118" s="1">
        <v>6400</v>
      </c>
      <c r="E118" s="1">
        <v>6200</v>
      </c>
      <c r="F118" s="1">
        <v>6375</v>
      </c>
      <c r="G118" s="1">
        <v>84177600</v>
      </c>
      <c r="H118" s="8">
        <f t="shared" si="2"/>
        <v>2.4096385542168676E-2</v>
      </c>
      <c r="I118" s="8">
        <f t="shared" si="3"/>
        <v>4.0816326530612242E-2</v>
      </c>
    </row>
    <row r="119" spans="1:9" x14ac:dyDescent="0.2">
      <c r="A119" s="2">
        <f ca="1">IFERROR(__xludf.DUMMYFUNCTION("""COMPUTED_VALUE"""),45483.6666666666)</f>
        <v>45483.666666666599</v>
      </c>
      <c r="B119" s="2"/>
      <c r="C119" s="1">
        <v>6375</v>
      </c>
      <c r="D119" s="1">
        <v>6450</v>
      </c>
      <c r="E119" s="1">
        <v>6300</v>
      </c>
      <c r="F119" s="1">
        <v>6375</v>
      </c>
      <c r="G119" s="1">
        <v>59685300</v>
      </c>
      <c r="H119" s="8">
        <f t="shared" si="2"/>
        <v>0</v>
      </c>
      <c r="I119" s="8">
        <f t="shared" si="3"/>
        <v>4.0816326530612242E-2</v>
      </c>
    </row>
    <row r="120" spans="1:9" x14ac:dyDescent="0.2">
      <c r="A120" s="2">
        <f ca="1">IFERROR(__xludf.DUMMYFUNCTION("""COMPUTED_VALUE"""),45484.6666666666)</f>
        <v>45484.666666666599</v>
      </c>
      <c r="B120" s="2"/>
      <c r="C120" s="1">
        <v>6400</v>
      </c>
      <c r="D120" s="1">
        <v>6425</v>
      </c>
      <c r="E120" s="1">
        <v>6350</v>
      </c>
      <c r="F120" s="1">
        <v>6400</v>
      </c>
      <c r="G120" s="1">
        <v>66789800</v>
      </c>
      <c r="H120" s="8">
        <f t="shared" si="2"/>
        <v>3.9215686274509803E-3</v>
      </c>
      <c r="I120" s="8">
        <f t="shared" si="3"/>
        <v>4.4897959183673466E-2</v>
      </c>
    </row>
    <row r="121" spans="1:9" x14ac:dyDescent="0.2">
      <c r="A121" s="2">
        <f ca="1">IFERROR(__xludf.DUMMYFUNCTION("""COMPUTED_VALUE"""),45485.6666666666)</f>
        <v>45485.666666666599</v>
      </c>
      <c r="B121" s="2"/>
      <c r="C121" s="1">
        <v>6450</v>
      </c>
      <c r="D121" s="1">
        <v>6550</v>
      </c>
      <c r="E121" s="1">
        <v>6400</v>
      </c>
      <c r="F121" s="1">
        <v>6425</v>
      </c>
      <c r="G121" s="1">
        <v>136132200</v>
      </c>
      <c r="H121" s="8">
        <f t="shared" si="2"/>
        <v>3.90625E-3</v>
      </c>
      <c r="I121" s="8">
        <f t="shared" si="3"/>
        <v>4.8979591836734691E-2</v>
      </c>
    </row>
    <row r="122" spans="1:9" x14ac:dyDescent="0.2">
      <c r="A122" s="2">
        <f ca="1">IFERROR(__xludf.DUMMYFUNCTION("""COMPUTED_VALUE"""),45488.6666666666)</f>
        <v>45488.666666666599</v>
      </c>
      <c r="B122" s="2"/>
      <c r="C122" s="1">
        <v>6450</v>
      </c>
      <c r="D122" s="1">
        <v>6450</v>
      </c>
      <c r="E122" s="1">
        <v>6300</v>
      </c>
      <c r="F122" s="1">
        <v>6350</v>
      </c>
      <c r="G122" s="1">
        <v>66071800</v>
      </c>
      <c r="H122" s="8">
        <f t="shared" si="2"/>
        <v>-1.1673151750972763E-2</v>
      </c>
      <c r="I122" s="8">
        <f t="shared" si="3"/>
        <v>3.6734693877551024E-2</v>
      </c>
    </row>
    <row r="123" spans="1:9" x14ac:dyDescent="0.2">
      <c r="A123" s="2">
        <f ca="1">IFERROR(__xludf.DUMMYFUNCTION("""COMPUTED_VALUE"""),45489.6666666666)</f>
        <v>45489.666666666599</v>
      </c>
      <c r="B123" s="2"/>
      <c r="C123" s="1">
        <v>6400</v>
      </c>
      <c r="D123" s="1">
        <v>6400</v>
      </c>
      <c r="E123" s="1">
        <v>6300</v>
      </c>
      <c r="F123" s="1">
        <v>6350</v>
      </c>
      <c r="G123" s="1">
        <v>64687900</v>
      </c>
      <c r="H123" s="8">
        <f t="shared" si="2"/>
        <v>0</v>
      </c>
      <c r="I123" s="8">
        <f t="shared" si="3"/>
        <v>3.6734693877551024E-2</v>
      </c>
    </row>
    <row r="124" spans="1:9" x14ac:dyDescent="0.2">
      <c r="A124" s="2">
        <f ca="1">IFERROR(__xludf.DUMMYFUNCTION("""COMPUTED_VALUE"""),45490.6666666666)</f>
        <v>45490.666666666599</v>
      </c>
      <c r="B124" s="2"/>
      <c r="C124" s="1">
        <v>6450</v>
      </c>
      <c r="D124" s="1">
        <v>6525</v>
      </c>
      <c r="E124" s="1">
        <v>6375</v>
      </c>
      <c r="F124" s="1">
        <v>6450</v>
      </c>
      <c r="G124" s="1">
        <v>109729800</v>
      </c>
      <c r="H124" s="8">
        <f t="shared" si="2"/>
        <v>1.5748031496062992E-2</v>
      </c>
      <c r="I124" s="8">
        <f t="shared" si="3"/>
        <v>5.3061224489795916E-2</v>
      </c>
    </row>
    <row r="125" spans="1:9" x14ac:dyDescent="0.2">
      <c r="A125" s="2">
        <f ca="1">IFERROR(__xludf.DUMMYFUNCTION("""COMPUTED_VALUE"""),45491.6666666666)</f>
        <v>45491.666666666599</v>
      </c>
      <c r="B125" s="2"/>
      <c r="C125" s="1">
        <v>6550</v>
      </c>
      <c r="D125" s="1">
        <v>6600</v>
      </c>
      <c r="E125" s="1">
        <v>6500</v>
      </c>
      <c r="F125" s="1">
        <v>6550</v>
      </c>
      <c r="G125" s="1">
        <v>132532000</v>
      </c>
      <c r="H125" s="8">
        <f t="shared" si="2"/>
        <v>1.5503875968992248E-2</v>
      </c>
      <c r="I125" s="8">
        <f t="shared" si="3"/>
        <v>6.9387755102040816E-2</v>
      </c>
    </row>
    <row r="126" spans="1:9" x14ac:dyDescent="0.2">
      <c r="A126" s="2">
        <f ca="1">IFERROR(__xludf.DUMMYFUNCTION("""COMPUTED_VALUE"""),45492.6666666666)</f>
        <v>45492.666666666599</v>
      </c>
      <c r="B126" s="2"/>
      <c r="C126" s="1">
        <v>6500</v>
      </c>
      <c r="D126" s="1">
        <v>6525</v>
      </c>
      <c r="E126" s="1">
        <v>6450</v>
      </c>
      <c r="F126" s="1">
        <v>6525</v>
      </c>
      <c r="G126" s="1">
        <v>63165500</v>
      </c>
      <c r="H126" s="8">
        <f t="shared" si="2"/>
        <v>-3.8167938931297708E-3</v>
      </c>
      <c r="I126" s="8">
        <f t="shared" si="3"/>
        <v>6.5306122448979598E-2</v>
      </c>
    </row>
    <row r="127" spans="1:9" x14ac:dyDescent="0.2">
      <c r="A127" s="2">
        <f ca="1">IFERROR(__xludf.DUMMYFUNCTION("""COMPUTED_VALUE"""),45495.6666666666)</f>
        <v>45495.666666666599</v>
      </c>
      <c r="B127" s="2"/>
      <c r="C127" s="1">
        <v>6575</v>
      </c>
      <c r="D127" s="1">
        <v>6700</v>
      </c>
      <c r="E127" s="1">
        <v>6525</v>
      </c>
      <c r="F127" s="1">
        <v>6700</v>
      </c>
      <c r="G127" s="1">
        <v>110467000</v>
      </c>
      <c r="H127" s="8">
        <f t="shared" si="2"/>
        <v>2.681992337164751E-2</v>
      </c>
      <c r="I127" s="8">
        <f t="shared" si="3"/>
        <v>9.3877551020408165E-2</v>
      </c>
    </row>
    <row r="128" spans="1:9" x14ac:dyDescent="0.2">
      <c r="A128" s="2">
        <f ca="1">IFERROR(__xludf.DUMMYFUNCTION("""COMPUTED_VALUE"""),45496.6666666666)</f>
        <v>45496.666666666599</v>
      </c>
      <c r="B128" s="2"/>
      <c r="C128" s="1">
        <v>6750</v>
      </c>
      <c r="D128" s="1">
        <v>6750</v>
      </c>
      <c r="E128" s="1">
        <v>6550</v>
      </c>
      <c r="F128" s="1">
        <v>6625</v>
      </c>
      <c r="G128" s="1">
        <v>77861700</v>
      </c>
      <c r="H128" s="8">
        <f t="shared" si="2"/>
        <v>-1.1194029850746268E-2</v>
      </c>
      <c r="I128" s="8">
        <f t="shared" si="3"/>
        <v>8.1632653061224483E-2</v>
      </c>
    </row>
    <row r="129" spans="1:9" x14ac:dyDescent="0.2">
      <c r="A129" s="2">
        <f ca="1">IFERROR(__xludf.DUMMYFUNCTION("""COMPUTED_VALUE"""),45497.6666666666)</f>
        <v>45497.666666666599</v>
      </c>
      <c r="B129" s="2"/>
      <c r="C129" s="1">
        <v>6500</v>
      </c>
      <c r="D129" s="1">
        <v>6575</v>
      </c>
      <c r="E129" s="1">
        <v>6475</v>
      </c>
      <c r="F129" s="1">
        <v>6475</v>
      </c>
      <c r="G129" s="1">
        <v>63940900</v>
      </c>
      <c r="H129" s="8">
        <f t="shared" si="2"/>
        <v>-2.2641509433962263E-2</v>
      </c>
      <c r="I129" s="8">
        <f t="shared" si="3"/>
        <v>5.7142857142857141E-2</v>
      </c>
    </row>
    <row r="130" spans="1:9" x14ac:dyDescent="0.2">
      <c r="A130" s="2">
        <f ca="1">IFERROR(__xludf.DUMMYFUNCTION("""COMPUTED_VALUE"""),45498.6666666666)</f>
        <v>45498.666666666599</v>
      </c>
      <c r="B130" s="2"/>
      <c r="C130" s="1">
        <v>6450</v>
      </c>
      <c r="D130" s="1">
        <v>6575</v>
      </c>
      <c r="E130" s="1">
        <v>6400</v>
      </c>
      <c r="F130" s="1">
        <v>6575</v>
      </c>
      <c r="G130" s="1">
        <v>66655400</v>
      </c>
      <c r="H130" s="8">
        <f t="shared" si="2"/>
        <v>1.5444015444015444E-2</v>
      </c>
      <c r="I130" s="8">
        <f t="shared" si="3"/>
        <v>7.3469387755102047E-2</v>
      </c>
    </row>
    <row r="131" spans="1:9" x14ac:dyDescent="0.2">
      <c r="A131" s="2">
        <f ca="1">IFERROR(__xludf.DUMMYFUNCTION("""COMPUTED_VALUE"""),45499.6666666666)</f>
        <v>45499.666666666599</v>
      </c>
      <c r="B131" s="2"/>
      <c r="C131" s="1">
        <v>6575</v>
      </c>
      <c r="D131" s="1">
        <v>6625</v>
      </c>
      <c r="E131" s="1">
        <v>6500</v>
      </c>
      <c r="F131" s="1">
        <v>6550</v>
      </c>
      <c r="G131" s="1">
        <v>76519500</v>
      </c>
      <c r="H131" s="8">
        <f t="shared" si="2"/>
        <v>-3.8022813688212928E-3</v>
      </c>
      <c r="I131" s="8">
        <f t="shared" si="3"/>
        <v>6.9387755102040816E-2</v>
      </c>
    </row>
    <row r="132" spans="1:9" x14ac:dyDescent="0.2">
      <c r="A132" s="2">
        <f ca="1">IFERROR(__xludf.DUMMYFUNCTION("""COMPUTED_VALUE"""),45502.6666666666)</f>
        <v>45502.666666666599</v>
      </c>
      <c r="B132" s="2"/>
      <c r="C132" s="1">
        <v>6550</v>
      </c>
      <c r="D132" s="1">
        <v>6550</v>
      </c>
      <c r="E132" s="1">
        <v>6450</v>
      </c>
      <c r="F132" s="1">
        <v>6475</v>
      </c>
      <c r="G132" s="1">
        <v>54435300</v>
      </c>
      <c r="H132" s="8">
        <f t="shared" ref="H132:H195" si="4">(F132-F131)/F131</f>
        <v>-1.1450381679389313E-2</v>
      </c>
      <c r="I132" s="8">
        <f t="shared" ref="I132:I195" si="5">(F132-$F$2)/$F$2</f>
        <v>5.7142857142857141E-2</v>
      </c>
    </row>
    <row r="133" spans="1:9" x14ac:dyDescent="0.2">
      <c r="A133" s="2">
        <f ca="1">IFERROR(__xludf.DUMMYFUNCTION("""COMPUTED_VALUE"""),45503.6666666666)</f>
        <v>45503.666666666599</v>
      </c>
      <c r="B133" s="2"/>
      <c r="C133" s="1">
        <v>6475</v>
      </c>
      <c r="D133" s="1">
        <v>6550</v>
      </c>
      <c r="E133" s="1">
        <v>6375</v>
      </c>
      <c r="F133" s="1">
        <v>6475</v>
      </c>
      <c r="G133" s="1">
        <v>86701400</v>
      </c>
      <c r="H133" s="8">
        <f t="shared" si="4"/>
        <v>0</v>
      </c>
      <c r="I133" s="8">
        <f t="shared" si="5"/>
        <v>5.7142857142857141E-2</v>
      </c>
    </row>
    <row r="134" spans="1:9" x14ac:dyDescent="0.2">
      <c r="A134" s="2">
        <f ca="1">IFERROR(__xludf.DUMMYFUNCTION("""COMPUTED_VALUE"""),45504.6666666666)</f>
        <v>45504.666666666599</v>
      </c>
      <c r="B134" s="2"/>
      <c r="C134" s="1">
        <v>6400</v>
      </c>
      <c r="D134" s="1">
        <v>6475</v>
      </c>
      <c r="E134" s="1">
        <v>6375</v>
      </c>
      <c r="F134" s="1">
        <v>6400</v>
      </c>
      <c r="G134" s="1">
        <v>99004100</v>
      </c>
      <c r="H134" s="8">
        <f t="shared" si="4"/>
        <v>-1.1583011583011582E-2</v>
      </c>
      <c r="I134" s="8">
        <f t="shared" si="5"/>
        <v>4.4897959183673466E-2</v>
      </c>
    </row>
    <row r="135" spans="1:9" x14ac:dyDescent="0.2">
      <c r="A135" s="2">
        <f ca="1">IFERROR(__xludf.DUMMYFUNCTION("""COMPUTED_VALUE"""),45505.6666666666)</f>
        <v>45505.666666666599</v>
      </c>
      <c r="B135" s="2"/>
      <c r="C135" s="1">
        <v>6550</v>
      </c>
      <c r="D135" s="1">
        <v>6750</v>
      </c>
      <c r="E135" s="1">
        <v>6500</v>
      </c>
      <c r="F135" s="1">
        <v>6750</v>
      </c>
      <c r="G135" s="1">
        <v>163086200</v>
      </c>
      <c r="H135" s="8">
        <f t="shared" si="4"/>
        <v>5.46875E-2</v>
      </c>
      <c r="I135" s="8">
        <f t="shared" si="5"/>
        <v>0.10204081632653061</v>
      </c>
    </row>
    <row r="136" spans="1:9" x14ac:dyDescent="0.2">
      <c r="A136" s="2">
        <f ca="1">IFERROR(__xludf.DUMMYFUNCTION("""COMPUTED_VALUE"""),45506.6666666666)</f>
        <v>45506.666666666599</v>
      </c>
      <c r="B136" s="2"/>
      <c r="C136" s="1">
        <v>6700</v>
      </c>
      <c r="D136" s="1">
        <v>6875</v>
      </c>
      <c r="E136" s="1">
        <v>6675</v>
      </c>
      <c r="F136" s="1">
        <v>6800</v>
      </c>
      <c r="G136" s="1">
        <v>167892400</v>
      </c>
      <c r="H136" s="8">
        <f t="shared" si="4"/>
        <v>7.4074074074074077E-3</v>
      </c>
      <c r="I136" s="8">
        <f t="shared" si="5"/>
        <v>0.11020408163265306</v>
      </c>
    </row>
    <row r="137" spans="1:9" x14ac:dyDescent="0.2">
      <c r="A137" s="2">
        <f ca="1">IFERROR(__xludf.DUMMYFUNCTION("""COMPUTED_VALUE"""),45509.6666666666)</f>
        <v>45509.666666666599</v>
      </c>
      <c r="B137" s="2"/>
      <c r="C137" s="1">
        <v>6700</v>
      </c>
      <c r="D137" s="1">
        <v>6725</v>
      </c>
      <c r="E137" s="1">
        <v>6500</v>
      </c>
      <c r="F137" s="1">
        <v>6575</v>
      </c>
      <c r="G137" s="1">
        <v>184384000</v>
      </c>
      <c r="H137" s="8">
        <f t="shared" si="4"/>
        <v>-3.3088235294117647E-2</v>
      </c>
      <c r="I137" s="8">
        <f t="shared" si="5"/>
        <v>7.3469387755102047E-2</v>
      </c>
    </row>
    <row r="138" spans="1:9" x14ac:dyDescent="0.2">
      <c r="A138" s="2">
        <f ca="1">IFERROR(__xludf.DUMMYFUNCTION("""COMPUTED_VALUE"""),45510.6666666666)</f>
        <v>45510.666666666599</v>
      </c>
      <c r="B138" s="2"/>
      <c r="C138" s="1">
        <v>6650</v>
      </c>
      <c r="D138" s="1">
        <v>6700</v>
      </c>
      <c r="E138" s="1">
        <v>6525</v>
      </c>
      <c r="F138" s="1">
        <v>6625</v>
      </c>
      <c r="G138" s="1">
        <v>95785000</v>
      </c>
      <c r="H138" s="8">
        <f t="shared" si="4"/>
        <v>7.6045627376425855E-3</v>
      </c>
      <c r="I138" s="8">
        <f t="shared" si="5"/>
        <v>8.1632653061224483E-2</v>
      </c>
    </row>
    <row r="139" spans="1:9" x14ac:dyDescent="0.2">
      <c r="A139" s="2">
        <f ca="1">IFERROR(__xludf.DUMMYFUNCTION("""COMPUTED_VALUE"""),45511.6666666666)</f>
        <v>45511.666666666599</v>
      </c>
      <c r="B139" s="2"/>
      <c r="C139" s="1">
        <v>6725</v>
      </c>
      <c r="D139" s="1">
        <v>6775</v>
      </c>
      <c r="E139" s="1">
        <v>6650</v>
      </c>
      <c r="F139" s="1">
        <v>6775</v>
      </c>
      <c r="G139" s="1">
        <v>84634200</v>
      </c>
      <c r="H139" s="8">
        <f t="shared" si="4"/>
        <v>2.2641509433962263E-2</v>
      </c>
      <c r="I139" s="8">
        <f t="shared" si="5"/>
        <v>0.10612244897959183</v>
      </c>
    </row>
    <row r="140" spans="1:9" x14ac:dyDescent="0.2">
      <c r="A140" s="2">
        <f ca="1">IFERROR(__xludf.DUMMYFUNCTION("""COMPUTED_VALUE"""),45512.6666666666)</f>
        <v>45512.666666666599</v>
      </c>
      <c r="B140" s="2"/>
      <c r="C140" s="1">
        <v>6800</v>
      </c>
      <c r="D140" s="1">
        <v>6850</v>
      </c>
      <c r="E140" s="1">
        <v>6725</v>
      </c>
      <c r="F140" s="1">
        <v>6800</v>
      </c>
      <c r="G140" s="1">
        <v>81408500</v>
      </c>
      <c r="H140" s="8">
        <f t="shared" si="4"/>
        <v>3.6900369003690036E-3</v>
      </c>
      <c r="I140" s="8">
        <f t="shared" si="5"/>
        <v>0.11020408163265306</v>
      </c>
    </row>
    <row r="141" spans="1:9" x14ac:dyDescent="0.2">
      <c r="A141" s="2">
        <f ca="1">IFERROR(__xludf.DUMMYFUNCTION("""COMPUTED_VALUE"""),45513.6666666666)</f>
        <v>45513.666666666599</v>
      </c>
      <c r="B141" s="2"/>
      <c r="C141" s="1">
        <v>6825</v>
      </c>
      <c r="D141" s="1">
        <v>6900</v>
      </c>
      <c r="E141" s="1">
        <v>6800</v>
      </c>
      <c r="F141" s="1">
        <v>6850</v>
      </c>
      <c r="G141" s="1">
        <v>79710700</v>
      </c>
      <c r="H141" s="8">
        <f t="shared" si="4"/>
        <v>7.3529411764705881E-3</v>
      </c>
      <c r="I141" s="8">
        <f t="shared" si="5"/>
        <v>0.11836734693877551</v>
      </c>
    </row>
    <row r="142" spans="1:9" x14ac:dyDescent="0.2">
      <c r="A142" s="2">
        <f ca="1">IFERROR(__xludf.DUMMYFUNCTION("""COMPUTED_VALUE"""),45516.6666666666)</f>
        <v>45516.666666666599</v>
      </c>
      <c r="B142" s="2"/>
      <c r="C142" s="1">
        <v>6875</v>
      </c>
      <c r="D142" s="1">
        <v>6900</v>
      </c>
      <c r="E142" s="1">
        <v>6775</v>
      </c>
      <c r="F142" s="1">
        <v>6900</v>
      </c>
      <c r="G142" s="1">
        <v>50756000</v>
      </c>
      <c r="H142" s="8">
        <f t="shared" si="4"/>
        <v>7.2992700729927005E-3</v>
      </c>
      <c r="I142" s="8">
        <f t="shared" si="5"/>
        <v>0.12653061224489795</v>
      </c>
    </row>
    <row r="143" spans="1:9" x14ac:dyDescent="0.2">
      <c r="A143" s="2">
        <f ca="1">IFERROR(__xludf.DUMMYFUNCTION("""COMPUTED_VALUE"""),45517.6666666666)</f>
        <v>45517.666666666599</v>
      </c>
      <c r="B143" s="2"/>
      <c r="C143" s="1">
        <v>6850</v>
      </c>
      <c r="D143" s="1">
        <v>7000</v>
      </c>
      <c r="E143" s="1">
        <v>6850</v>
      </c>
      <c r="F143" s="1">
        <v>7000</v>
      </c>
      <c r="G143" s="1">
        <v>68666000</v>
      </c>
      <c r="H143" s="8">
        <f t="shared" si="4"/>
        <v>1.4492753623188406E-2</v>
      </c>
      <c r="I143" s="8">
        <f t="shared" si="5"/>
        <v>0.14285714285714285</v>
      </c>
    </row>
    <row r="144" spans="1:9" x14ac:dyDescent="0.2">
      <c r="A144" s="2">
        <f ca="1">IFERROR(__xludf.DUMMYFUNCTION("""COMPUTED_VALUE"""),45518.6666666666)</f>
        <v>45518.666666666599</v>
      </c>
      <c r="B144" s="2"/>
      <c r="C144" s="1">
        <v>7075</v>
      </c>
      <c r="D144" s="1">
        <v>7100</v>
      </c>
      <c r="E144" s="1">
        <v>7025</v>
      </c>
      <c r="F144" s="1">
        <v>7075</v>
      </c>
      <c r="G144" s="1">
        <v>97695100</v>
      </c>
      <c r="H144" s="8">
        <f t="shared" si="4"/>
        <v>1.0714285714285714E-2</v>
      </c>
      <c r="I144" s="8">
        <f t="shared" si="5"/>
        <v>0.15510204081632653</v>
      </c>
    </row>
    <row r="145" spans="1:9" x14ac:dyDescent="0.2">
      <c r="A145" s="2">
        <f ca="1">IFERROR(__xludf.DUMMYFUNCTION("""COMPUTED_VALUE"""),45519.6666666666)</f>
        <v>45519.666666666599</v>
      </c>
      <c r="B145" s="2"/>
      <c r="C145" s="1">
        <v>7075</v>
      </c>
      <c r="D145" s="1">
        <v>7075</v>
      </c>
      <c r="E145" s="1">
        <v>6925</v>
      </c>
      <c r="F145" s="1">
        <v>7025</v>
      </c>
      <c r="G145" s="1">
        <v>75955500</v>
      </c>
      <c r="H145" s="8">
        <f t="shared" si="4"/>
        <v>-7.0671378091872791E-3</v>
      </c>
      <c r="I145" s="8">
        <f t="shared" si="5"/>
        <v>0.14693877551020409</v>
      </c>
    </row>
    <row r="146" spans="1:9" x14ac:dyDescent="0.2">
      <c r="A146" s="2">
        <f ca="1">IFERROR(__xludf.DUMMYFUNCTION("""COMPUTED_VALUE"""),45520.6666666666)</f>
        <v>45520.666666666599</v>
      </c>
      <c r="B146" s="2"/>
      <c r="C146" s="1">
        <v>7075</v>
      </c>
      <c r="D146" s="1">
        <v>7125</v>
      </c>
      <c r="E146" s="1">
        <v>7025</v>
      </c>
      <c r="F146" s="1">
        <v>7075</v>
      </c>
      <c r="G146" s="1">
        <v>64266400</v>
      </c>
      <c r="H146" s="8">
        <f t="shared" si="4"/>
        <v>7.1174377224199285E-3</v>
      </c>
      <c r="I146" s="8">
        <f t="shared" si="5"/>
        <v>0.15510204081632653</v>
      </c>
    </row>
    <row r="147" spans="1:9" x14ac:dyDescent="0.2">
      <c r="A147" s="2">
        <f ca="1">IFERROR(__xludf.DUMMYFUNCTION("""COMPUTED_VALUE"""),45523.6666666666)</f>
        <v>45523.666666666599</v>
      </c>
      <c r="B147" s="2"/>
      <c r="C147" s="1">
        <v>7075</v>
      </c>
      <c r="D147" s="1">
        <v>7150</v>
      </c>
      <c r="E147" s="1">
        <v>7025</v>
      </c>
      <c r="F147" s="1">
        <v>7150</v>
      </c>
      <c r="G147" s="1">
        <v>50246100</v>
      </c>
      <c r="H147" s="8">
        <f t="shared" si="4"/>
        <v>1.0600706713780919E-2</v>
      </c>
      <c r="I147" s="8">
        <f t="shared" si="5"/>
        <v>0.16734693877551021</v>
      </c>
    </row>
    <row r="148" spans="1:9" x14ac:dyDescent="0.2">
      <c r="A148" s="2">
        <f ca="1">IFERROR(__xludf.DUMMYFUNCTION("""COMPUTED_VALUE"""),45524.6666666666)</f>
        <v>45524.666666666599</v>
      </c>
      <c r="B148" s="2"/>
      <c r="C148" s="1">
        <v>7200</v>
      </c>
      <c r="D148" s="1">
        <v>7350</v>
      </c>
      <c r="E148" s="1">
        <v>7150</v>
      </c>
      <c r="F148" s="1">
        <v>7200</v>
      </c>
      <c r="G148" s="1">
        <v>102615900</v>
      </c>
      <c r="H148" s="8">
        <f t="shared" si="4"/>
        <v>6.993006993006993E-3</v>
      </c>
      <c r="I148" s="8">
        <f t="shared" si="5"/>
        <v>0.17551020408163265</v>
      </c>
    </row>
    <row r="149" spans="1:9" x14ac:dyDescent="0.2">
      <c r="A149" s="2">
        <f ca="1">IFERROR(__xludf.DUMMYFUNCTION("""COMPUTED_VALUE"""),45525.6666666666)</f>
        <v>45525.666666666599</v>
      </c>
      <c r="B149" s="2"/>
      <c r="C149" s="1">
        <v>7300</v>
      </c>
      <c r="D149" s="1">
        <v>7300</v>
      </c>
      <c r="E149" s="1">
        <v>7225</v>
      </c>
      <c r="F149" s="1">
        <v>7250</v>
      </c>
      <c r="G149" s="1">
        <v>88487800</v>
      </c>
      <c r="H149" s="8">
        <f t="shared" si="4"/>
        <v>6.9444444444444441E-3</v>
      </c>
      <c r="I149" s="8">
        <f t="shared" si="5"/>
        <v>0.18367346938775511</v>
      </c>
    </row>
    <row r="150" spans="1:9" x14ac:dyDescent="0.2">
      <c r="A150" s="2">
        <f ca="1">IFERROR(__xludf.DUMMYFUNCTION("""COMPUTED_VALUE"""),45526.6666666666)</f>
        <v>45526.666666666599</v>
      </c>
      <c r="B150" s="2"/>
      <c r="C150" s="1">
        <v>7150</v>
      </c>
      <c r="D150" s="1">
        <v>7175</v>
      </c>
      <c r="E150" s="1">
        <v>6925</v>
      </c>
      <c r="F150" s="1">
        <v>7050</v>
      </c>
      <c r="G150" s="1">
        <v>157323000</v>
      </c>
      <c r="H150" s="8">
        <f t="shared" si="4"/>
        <v>-2.7586206896551724E-2</v>
      </c>
      <c r="I150" s="8">
        <f t="shared" si="5"/>
        <v>0.15102040816326531</v>
      </c>
    </row>
    <row r="151" spans="1:9" x14ac:dyDescent="0.2">
      <c r="A151" s="2">
        <f ca="1">IFERROR(__xludf.DUMMYFUNCTION("""COMPUTED_VALUE"""),45527.6666666666)</f>
        <v>45527.666666666599</v>
      </c>
      <c r="B151" s="2"/>
      <c r="C151" s="1">
        <v>7000</v>
      </c>
      <c r="D151" s="1">
        <v>7075</v>
      </c>
      <c r="E151" s="1">
        <v>6975</v>
      </c>
      <c r="F151" s="1">
        <v>7050</v>
      </c>
      <c r="G151" s="1">
        <v>111752100</v>
      </c>
      <c r="H151" s="8">
        <f t="shared" si="4"/>
        <v>0</v>
      </c>
      <c r="I151" s="8">
        <f t="shared" si="5"/>
        <v>0.15102040816326531</v>
      </c>
    </row>
    <row r="152" spans="1:9" x14ac:dyDescent="0.2">
      <c r="A152" s="2">
        <f ca="1">IFERROR(__xludf.DUMMYFUNCTION("""COMPUTED_VALUE"""),45530.6666666666)</f>
        <v>45530.666666666599</v>
      </c>
      <c r="B152" s="2"/>
      <c r="C152" s="1">
        <v>7050</v>
      </c>
      <c r="D152" s="1">
        <v>7100</v>
      </c>
      <c r="E152" s="1">
        <v>7000</v>
      </c>
      <c r="F152" s="1">
        <v>7050</v>
      </c>
      <c r="G152" s="1">
        <v>78515400</v>
      </c>
      <c r="H152" s="8">
        <f t="shared" si="4"/>
        <v>0</v>
      </c>
      <c r="I152" s="8">
        <f t="shared" si="5"/>
        <v>0.15102040816326531</v>
      </c>
    </row>
    <row r="153" spans="1:9" x14ac:dyDescent="0.2">
      <c r="A153" s="2">
        <f ca="1">IFERROR(__xludf.DUMMYFUNCTION("""COMPUTED_VALUE"""),45531.6666666666)</f>
        <v>45531.666666666599</v>
      </c>
      <c r="B153" s="2"/>
      <c r="C153" s="1">
        <v>7025</v>
      </c>
      <c r="D153" s="1">
        <v>7050</v>
      </c>
      <c r="E153" s="1">
        <v>6925</v>
      </c>
      <c r="F153" s="1">
        <v>7025</v>
      </c>
      <c r="G153" s="1">
        <v>91686700</v>
      </c>
      <c r="H153" s="8">
        <f t="shared" si="4"/>
        <v>-3.5460992907801418E-3</v>
      </c>
      <c r="I153" s="8">
        <f t="shared" si="5"/>
        <v>0.14693877551020409</v>
      </c>
    </row>
    <row r="154" spans="1:9" x14ac:dyDescent="0.2">
      <c r="A154" s="2">
        <f ca="1">IFERROR(__xludf.DUMMYFUNCTION("""COMPUTED_VALUE"""),45532.6666666666)</f>
        <v>45532.666666666599</v>
      </c>
      <c r="B154" s="2"/>
      <c r="C154" s="1">
        <v>7025</v>
      </c>
      <c r="D154" s="1">
        <v>7225</v>
      </c>
      <c r="E154" s="1">
        <v>7000</v>
      </c>
      <c r="F154" s="1">
        <v>7225</v>
      </c>
      <c r="G154" s="1">
        <v>114606200</v>
      </c>
      <c r="H154" s="8">
        <f t="shared" si="4"/>
        <v>2.8469750889679714E-2</v>
      </c>
      <c r="I154" s="8">
        <f t="shared" si="5"/>
        <v>0.17959183673469387</v>
      </c>
    </row>
    <row r="155" spans="1:9" x14ac:dyDescent="0.2">
      <c r="A155" s="2">
        <f ca="1">IFERROR(__xludf.DUMMYFUNCTION("""COMPUTED_VALUE"""),45533.6666666666)</f>
        <v>45533.666666666599</v>
      </c>
      <c r="B155" s="2"/>
      <c r="C155" s="1">
        <v>7300</v>
      </c>
      <c r="D155" s="1">
        <v>7300</v>
      </c>
      <c r="E155" s="1">
        <v>7100</v>
      </c>
      <c r="F155" s="1">
        <v>7100</v>
      </c>
      <c r="G155" s="1">
        <v>94475900</v>
      </c>
      <c r="H155" s="8">
        <f t="shared" si="4"/>
        <v>-1.7301038062283738E-2</v>
      </c>
      <c r="I155" s="8">
        <f t="shared" si="5"/>
        <v>0.15918367346938775</v>
      </c>
    </row>
    <row r="156" spans="1:9" x14ac:dyDescent="0.2">
      <c r="A156" s="2">
        <f ca="1">IFERROR(__xludf.DUMMYFUNCTION("""COMPUTED_VALUE"""),45534.6666666666)</f>
        <v>45534.666666666599</v>
      </c>
      <c r="B156" s="2"/>
      <c r="C156" s="1">
        <v>7100</v>
      </c>
      <c r="D156" s="1">
        <v>7175</v>
      </c>
      <c r="E156" s="1">
        <v>7075</v>
      </c>
      <c r="F156" s="1">
        <v>7125</v>
      </c>
      <c r="G156" s="1">
        <v>153760500</v>
      </c>
      <c r="H156" s="8">
        <f t="shared" si="4"/>
        <v>3.5211267605633804E-3</v>
      </c>
      <c r="I156" s="8">
        <f t="shared" si="5"/>
        <v>0.16326530612244897</v>
      </c>
    </row>
    <row r="157" spans="1:9" x14ac:dyDescent="0.2">
      <c r="A157" s="2">
        <f ca="1">IFERROR(__xludf.DUMMYFUNCTION("""COMPUTED_VALUE"""),45537.6666666666)</f>
        <v>45537.666666666599</v>
      </c>
      <c r="B157" s="2"/>
      <c r="C157" s="1">
        <v>7200</v>
      </c>
      <c r="D157" s="1">
        <v>7275</v>
      </c>
      <c r="E157" s="1">
        <v>7125</v>
      </c>
      <c r="F157" s="1">
        <v>7200</v>
      </c>
      <c r="G157" s="1">
        <v>82176000</v>
      </c>
      <c r="H157" s="8">
        <f t="shared" si="4"/>
        <v>1.0526315789473684E-2</v>
      </c>
      <c r="I157" s="8">
        <f t="shared" si="5"/>
        <v>0.17551020408163265</v>
      </c>
    </row>
    <row r="158" spans="1:9" x14ac:dyDescent="0.2">
      <c r="A158" s="2">
        <f ca="1">IFERROR(__xludf.DUMMYFUNCTION("""COMPUTED_VALUE"""),45538.6666666666)</f>
        <v>45538.666666666599</v>
      </c>
      <c r="B158" s="2"/>
      <c r="C158" s="1">
        <v>7200</v>
      </c>
      <c r="D158" s="1">
        <v>7250</v>
      </c>
      <c r="E158" s="1">
        <v>7050</v>
      </c>
      <c r="F158" s="1">
        <v>7075</v>
      </c>
      <c r="G158" s="1">
        <v>75100800</v>
      </c>
      <c r="H158" s="8">
        <f t="shared" si="4"/>
        <v>-1.7361111111111112E-2</v>
      </c>
      <c r="I158" s="8">
        <f t="shared" si="5"/>
        <v>0.15510204081632653</v>
      </c>
    </row>
    <row r="159" spans="1:9" x14ac:dyDescent="0.2">
      <c r="A159" s="2">
        <f ca="1">IFERROR(__xludf.DUMMYFUNCTION("""COMPUTED_VALUE"""),45539.6666666666)</f>
        <v>45539.666666666599</v>
      </c>
      <c r="B159" s="2"/>
      <c r="C159" s="1">
        <v>7000</v>
      </c>
      <c r="D159" s="1">
        <v>7175</v>
      </c>
      <c r="E159" s="1">
        <v>7000</v>
      </c>
      <c r="F159" s="1">
        <v>7175</v>
      </c>
      <c r="G159" s="1">
        <v>78781500</v>
      </c>
      <c r="H159" s="8">
        <f t="shared" si="4"/>
        <v>1.4134275618374558E-2</v>
      </c>
      <c r="I159" s="8">
        <f t="shared" si="5"/>
        <v>0.17142857142857143</v>
      </c>
    </row>
    <row r="160" spans="1:9" x14ac:dyDescent="0.2">
      <c r="A160" s="2">
        <f ca="1">IFERROR(__xludf.DUMMYFUNCTION("""COMPUTED_VALUE"""),45540.6666666666)</f>
        <v>45540.666666666599</v>
      </c>
      <c r="B160" s="2"/>
      <c r="C160" s="1">
        <v>7125</v>
      </c>
      <c r="D160" s="1">
        <v>7225</v>
      </c>
      <c r="E160" s="1">
        <v>7125</v>
      </c>
      <c r="F160" s="1">
        <v>7175</v>
      </c>
      <c r="G160" s="1">
        <v>59432000</v>
      </c>
      <c r="H160" s="8">
        <f t="shared" si="4"/>
        <v>0</v>
      </c>
      <c r="I160" s="8">
        <f t="shared" si="5"/>
        <v>0.17142857142857143</v>
      </c>
    </row>
    <row r="161" spans="1:9" x14ac:dyDescent="0.2">
      <c r="A161" s="2">
        <f ca="1">IFERROR(__xludf.DUMMYFUNCTION("""COMPUTED_VALUE"""),45541.6666666666)</f>
        <v>45541.666666666599</v>
      </c>
      <c r="B161" s="2"/>
      <c r="C161" s="1">
        <v>7175</v>
      </c>
      <c r="D161" s="1">
        <v>7275</v>
      </c>
      <c r="E161" s="1">
        <v>7150</v>
      </c>
      <c r="F161" s="1">
        <v>7250</v>
      </c>
      <c r="G161" s="1">
        <v>63619300</v>
      </c>
      <c r="H161" s="8">
        <f t="shared" si="4"/>
        <v>1.0452961672473868E-2</v>
      </c>
      <c r="I161" s="8">
        <f t="shared" si="5"/>
        <v>0.18367346938775511</v>
      </c>
    </row>
    <row r="162" spans="1:9" x14ac:dyDescent="0.2">
      <c r="A162" s="2">
        <f ca="1">IFERROR(__xludf.DUMMYFUNCTION("""COMPUTED_VALUE"""),45544.6666666666)</f>
        <v>45544.666666666599</v>
      </c>
      <c r="B162" s="2"/>
      <c r="C162" s="1">
        <v>7250</v>
      </c>
      <c r="D162" s="1">
        <v>7250</v>
      </c>
      <c r="E162" s="1">
        <v>7200</v>
      </c>
      <c r="F162" s="1">
        <v>7250</v>
      </c>
      <c r="G162" s="1">
        <v>71430300</v>
      </c>
      <c r="H162" s="8">
        <f t="shared" si="4"/>
        <v>0</v>
      </c>
      <c r="I162" s="8">
        <f t="shared" si="5"/>
        <v>0.18367346938775511</v>
      </c>
    </row>
    <row r="163" spans="1:9" x14ac:dyDescent="0.2">
      <c r="A163" s="2">
        <f ca="1">IFERROR(__xludf.DUMMYFUNCTION("""COMPUTED_VALUE"""),45545.6666666666)</f>
        <v>45545.666666666599</v>
      </c>
      <c r="B163" s="2"/>
      <c r="C163" s="1">
        <v>7250</v>
      </c>
      <c r="D163" s="1">
        <v>7275</v>
      </c>
      <c r="E163" s="1">
        <v>7225</v>
      </c>
      <c r="F163" s="1">
        <v>7250</v>
      </c>
      <c r="G163" s="1">
        <v>73515700</v>
      </c>
      <c r="H163" s="8">
        <f t="shared" si="4"/>
        <v>0</v>
      </c>
      <c r="I163" s="8">
        <f t="shared" si="5"/>
        <v>0.18367346938775511</v>
      </c>
    </row>
    <row r="164" spans="1:9" x14ac:dyDescent="0.2">
      <c r="A164" s="2">
        <f ca="1">IFERROR(__xludf.DUMMYFUNCTION("""COMPUTED_VALUE"""),45546.6666666666)</f>
        <v>45546.666666666599</v>
      </c>
      <c r="B164" s="2"/>
      <c r="C164" s="1">
        <v>7300</v>
      </c>
      <c r="D164" s="1">
        <v>7400</v>
      </c>
      <c r="E164" s="1">
        <v>7275</v>
      </c>
      <c r="F164" s="1">
        <v>7375</v>
      </c>
      <c r="G164" s="1">
        <v>91822300</v>
      </c>
      <c r="H164" s="8">
        <f t="shared" si="4"/>
        <v>1.7241379310344827E-2</v>
      </c>
      <c r="I164" s="8">
        <f t="shared" si="5"/>
        <v>0.20408163265306123</v>
      </c>
    </row>
    <row r="165" spans="1:9" x14ac:dyDescent="0.2">
      <c r="A165" s="2">
        <f ca="1">IFERROR(__xludf.DUMMYFUNCTION("""COMPUTED_VALUE"""),45547.6666666666)</f>
        <v>45547.666666666599</v>
      </c>
      <c r="B165" s="2"/>
      <c r="C165" s="1">
        <v>7375</v>
      </c>
      <c r="D165" s="1">
        <v>7425</v>
      </c>
      <c r="E165" s="1">
        <v>7300</v>
      </c>
      <c r="F165" s="1">
        <v>7300</v>
      </c>
      <c r="G165" s="1">
        <v>68253700</v>
      </c>
      <c r="H165" s="8">
        <f t="shared" si="4"/>
        <v>-1.0169491525423728E-2</v>
      </c>
      <c r="I165" s="8">
        <f t="shared" si="5"/>
        <v>0.19183673469387755</v>
      </c>
    </row>
    <row r="166" spans="1:9" x14ac:dyDescent="0.2">
      <c r="A166" s="2">
        <f ca="1">IFERROR(__xludf.DUMMYFUNCTION("""COMPUTED_VALUE"""),45548.6666666666)</f>
        <v>45548.666666666599</v>
      </c>
      <c r="B166" s="2"/>
      <c r="C166" s="1">
        <v>7300</v>
      </c>
      <c r="D166" s="1">
        <v>7300</v>
      </c>
      <c r="E166" s="1">
        <v>7225</v>
      </c>
      <c r="F166" s="1">
        <v>7275</v>
      </c>
      <c r="G166" s="1">
        <v>45854000</v>
      </c>
      <c r="H166" s="8">
        <f t="shared" si="4"/>
        <v>-3.4246575342465752E-3</v>
      </c>
      <c r="I166" s="8">
        <f t="shared" si="5"/>
        <v>0.18775510204081633</v>
      </c>
    </row>
    <row r="167" spans="1:9" x14ac:dyDescent="0.2">
      <c r="A167" s="2">
        <f ca="1">IFERROR(__xludf.DUMMYFUNCTION("""COMPUTED_VALUE"""),45552.6666666666)</f>
        <v>45552.666666666599</v>
      </c>
      <c r="B167" s="2"/>
      <c r="C167" s="1">
        <v>7325</v>
      </c>
      <c r="D167" s="1">
        <v>7450</v>
      </c>
      <c r="E167" s="1">
        <v>7300</v>
      </c>
      <c r="F167" s="1">
        <v>7425</v>
      </c>
      <c r="G167" s="1">
        <v>96421400</v>
      </c>
      <c r="H167" s="8">
        <f t="shared" si="4"/>
        <v>2.0618556701030927E-2</v>
      </c>
      <c r="I167" s="8">
        <f t="shared" si="5"/>
        <v>0.21224489795918366</v>
      </c>
    </row>
    <row r="168" spans="1:9" x14ac:dyDescent="0.2">
      <c r="A168" s="2">
        <f ca="1">IFERROR(__xludf.DUMMYFUNCTION("""COMPUTED_VALUE"""),45553.6666666666)</f>
        <v>45553.666666666599</v>
      </c>
      <c r="B168" s="2"/>
      <c r="C168" s="1">
        <v>7375</v>
      </c>
      <c r="D168" s="1">
        <v>7450</v>
      </c>
      <c r="E168" s="1">
        <v>7350</v>
      </c>
      <c r="F168" s="1">
        <v>7400</v>
      </c>
      <c r="G168" s="1">
        <v>47279000</v>
      </c>
      <c r="H168" s="8">
        <f t="shared" si="4"/>
        <v>-3.3670033670033669E-3</v>
      </c>
      <c r="I168" s="8">
        <f t="shared" si="5"/>
        <v>0.20816326530612245</v>
      </c>
    </row>
    <row r="169" spans="1:9" x14ac:dyDescent="0.2">
      <c r="A169" s="2">
        <f ca="1">IFERROR(__xludf.DUMMYFUNCTION("""COMPUTED_VALUE"""),45554.6666666666)</f>
        <v>45554.666666666599</v>
      </c>
      <c r="B169" s="2"/>
      <c r="C169" s="1">
        <v>7450</v>
      </c>
      <c r="D169" s="1">
        <v>7550</v>
      </c>
      <c r="E169" s="1">
        <v>7400</v>
      </c>
      <c r="F169" s="1">
        <v>7400</v>
      </c>
      <c r="G169" s="1">
        <v>124377800</v>
      </c>
      <c r="H169" s="8">
        <f t="shared" si="4"/>
        <v>0</v>
      </c>
      <c r="I169" s="8">
        <f t="shared" si="5"/>
        <v>0.20816326530612245</v>
      </c>
    </row>
    <row r="170" spans="1:9" x14ac:dyDescent="0.2">
      <c r="A170" s="2">
        <f ca="1">IFERROR(__xludf.DUMMYFUNCTION("""COMPUTED_VALUE"""),45555.6666666666)</f>
        <v>45555.666666666599</v>
      </c>
      <c r="B170" s="2"/>
      <c r="C170" s="1">
        <v>7400</v>
      </c>
      <c r="D170" s="1">
        <v>7425</v>
      </c>
      <c r="E170" s="1">
        <v>7300</v>
      </c>
      <c r="F170" s="1">
        <v>7300</v>
      </c>
      <c r="G170" s="1">
        <v>97901700</v>
      </c>
      <c r="H170" s="8">
        <f t="shared" si="4"/>
        <v>-1.3513513513513514E-2</v>
      </c>
      <c r="I170" s="8">
        <f t="shared" si="5"/>
        <v>0.19183673469387755</v>
      </c>
    </row>
    <row r="171" spans="1:9" x14ac:dyDescent="0.2">
      <c r="A171" s="2">
        <f ca="1">IFERROR(__xludf.DUMMYFUNCTION("""COMPUTED_VALUE"""),45558.6666666666)</f>
        <v>45558.666666666599</v>
      </c>
      <c r="B171" s="2"/>
      <c r="C171" s="1">
        <v>7325</v>
      </c>
      <c r="D171" s="1">
        <v>7450</v>
      </c>
      <c r="E171" s="1">
        <v>7300</v>
      </c>
      <c r="F171" s="1">
        <v>7450</v>
      </c>
      <c r="G171" s="1">
        <v>79675600</v>
      </c>
      <c r="H171" s="8">
        <f t="shared" si="4"/>
        <v>2.0547945205479451E-2</v>
      </c>
      <c r="I171" s="8">
        <f t="shared" si="5"/>
        <v>0.21632653061224491</v>
      </c>
    </row>
    <row r="172" spans="1:9" x14ac:dyDescent="0.2">
      <c r="A172" s="2">
        <f ca="1">IFERROR(__xludf.DUMMYFUNCTION("""COMPUTED_VALUE"""),45559.6666666666)</f>
        <v>45559.666666666599</v>
      </c>
      <c r="B172" s="2"/>
      <c r="C172" s="1">
        <v>7400</v>
      </c>
      <c r="D172" s="1">
        <v>7475</v>
      </c>
      <c r="E172" s="1">
        <v>7375</v>
      </c>
      <c r="F172" s="1">
        <v>7425</v>
      </c>
      <c r="G172" s="1">
        <v>81817100</v>
      </c>
      <c r="H172" s="8">
        <f t="shared" si="4"/>
        <v>-3.3557046979865771E-3</v>
      </c>
      <c r="I172" s="8">
        <f t="shared" si="5"/>
        <v>0.21224489795918366</v>
      </c>
    </row>
    <row r="173" spans="1:9" x14ac:dyDescent="0.2">
      <c r="A173" s="2">
        <f ca="1">IFERROR(__xludf.DUMMYFUNCTION("""COMPUTED_VALUE"""),45560.6666666666)</f>
        <v>45560.666666666599</v>
      </c>
      <c r="B173" s="2"/>
      <c r="C173" s="1">
        <v>7350</v>
      </c>
      <c r="D173" s="1">
        <v>7350</v>
      </c>
      <c r="E173" s="1">
        <v>7050</v>
      </c>
      <c r="F173" s="1">
        <v>7200</v>
      </c>
      <c r="G173" s="1">
        <v>192197100</v>
      </c>
      <c r="H173" s="8">
        <f t="shared" si="4"/>
        <v>-3.0303030303030304E-2</v>
      </c>
      <c r="I173" s="8">
        <f t="shared" si="5"/>
        <v>0.17551020408163265</v>
      </c>
    </row>
    <row r="174" spans="1:9" x14ac:dyDescent="0.2">
      <c r="A174" s="2">
        <f ca="1">IFERROR(__xludf.DUMMYFUNCTION("""COMPUTED_VALUE"""),45561.6666666666)</f>
        <v>45561.666666666599</v>
      </c>
      <c r="B174" s="2"/>
      <c r="C174" s="1">
        <v>7175</v>
      </c>
      <c r="D174" s="1">
        <v>7200</v>
      </c>
      <c r="E174" s="1">
        <v>7100</v>
      </c>
      <c r="F174" s="1">
        <v>7175</v>
      </c>
      <c r="G174" s="1">
        <v>173044000</v>
      </c>
      <c r="H174" s="8">
        <f t="shared" si="4"/>
        <v>-3.472222222222222E-3</v>
      </c>
      <c r="I174" s="8">
        <f t="shared" si="5"/>
        <v>0.17142857142857143</v>
      </c>
    </row>
    <row r="175" spans="1:9" x14ac:dyDescent="0.2">
      <c r="A175" s="2">
        <f ca="1">IFERROR(__xludf.DUMMYFUNCTION("""COMPUTED_VALUE"""),45562.6666666666)</f>
        <v>45562.666666666599</v>
      </c>
      <c r="B175" s="2"/>
      <c r="C175" s="1">
        <v>7025</v>
      </c>
      <c r="D175" s="1">
        <v>7125</v>
      </c>
      <c r="E175" s="1">
        <v>7000</v>
      </c>
      <c r="F175" s="1">
        <v>7050</v>
      </c>
      <c r="G175" s="1">
        <v>161405200</v>
      </c>
      <c r="H175" s="8">
        <f t="shared" si="4"/>
        <v>-1.7421602787456445E-2</v>
      </c>
      <c r="I175" s="8">
        <f t="shared" si="5"/>
        <v>0.15102040816326531</v>
      </c>
    </row>
    <row r="176" spans="1:9" x14ac:dyDescent="0.2">
      <c r="A176" s="2">
        <f ca="1">IFERROR(__xludf.DUMMYFUNCTION("""COMPUTED_VALUE"""),45565.6666666666)</f>
        <v>45565.666666666599</v>
      </c>
      <c r="B176" s="2"/>
      <c r="C176" s="1">
        <v>7000</v>
      </c>
      <c r="D176" s="1">
        <v>7025</v>
      </c>
      <c r="E176" s="1">
        <v>6875</v>
      </c>
      <c r="F176" s="1">
        <v>6925</v>
      </c>
      <c r="G176" s="1">
        <v>166203500</v>
      </c>
      <c r="H176" s="8">
        <f t="shared" si="4"/>
        <v>-1.7730496453900711E-2</v>
      </c>
      <c r="I176" s="8">
        <f t="shared" si="5"/>
        <v>0.1306122448979592</v>
      </c>
    </row>
    <row r="177" spans="1:9" x14ac:dyDescent="0.2">
      <c r="A177" s="2">
        <f ca="1">IFERROR(__xludf.DUMMYFUNCTION("""COMPUTED_VALUE"""),45566.6666666666)</f>
        <v>45566.666666666599</v>
      </c>
      <c r="B177" s="2"/>
      <c r="C177" s="1">
        <v>7000</v>
      </c>
      <c r="D177" s="1">
        <v>7075</v>
      </c>
      <c r="E177" s="1">
        <v>6950</v>
      </c>
      <c r="F177" s="1">
        <v>7050</v>
      </c>
      <c r="G177" s="1">
        <v>82690100</v>
      </c>
      <c r="H177" s="8">
        <f t="shared" si="4"/>
        <v>1.8050541516245487E-2</v>
      </c>
      <c r="I177" s="8">
        <f t="shared" si="5"/>
        <v>0.15102040816326531</v>
      </c>
    </row>
    <row r="178" spans="1:9" x14ac:dyDescent="0.2">
      <c r="A178" s="2">
        <f ca="1">IFERROR(__xludf.DUMMYFUNCTION("""COMPUTED_VALUE"""),45567.6666666666)</f>
        <v>45567.666666666599</v>
      </c>
      <c r="B178" s="2"/>
      <c r="C178" s="1">
        <v>7025</v>
      </c>
      <c r="D178" s="1">
        <v>7100</v>
      </c>
      <c r="E178" s="1">
        <v>6925</v>
      </c>
      <c r="F178" s="1">
        <v>6975</v>
      </c>
      <c r="G178" s="1">
        <v>91076400</v>
      </c>
      <c r="H178" s="8">
        <f t="shared" si="4"/>
        <v>-1.0638297872340425E-2</v>
      </c>
      <c r="I178" s="8">
        <f t="shared" si="5"/>
        <v>0.13877551020408163</v>
      </c>
    </row>
    <row r="179" spans="1:9" x14ac:dyDescent="0.2">
      <c r="A179" s="2">
        <f ca="1">IFERROR(__xludf.DUMMYFUNCTION("""COMPUTED_VALUE"""),45568.6666666666)</f>
        <v>45568.666666666599</v>
      </c>
      <c r="B179" s="2"/>
      <c r="C179" s="1">
        <v>7000</v>
      </c>
      <c r="D179" s="1">
        <v>7075</v>
      </c>
      <c r="E179" s="1">
        <v>6900</v>
      </c>
      <c r="F179" s="1">
        <v>7050</v>
      </c>
      <c r="G179" s="1">
        <v>86264900</v>
      </c>
      <c r="H179" s="8">
        <f t="shared" si="4"/>
        <v>1.0752688172043012E-2</v>
      </c>
      <c r="I179" s="8">
        <f t="shared" si="5"/>
        <v>0.15102040816326531</v>
      </c>
    </row>
    <row r="180" spans="1:9" x14ac:dyDescent="0.2">
      <c r="A180" s="2">
        <f ca="1">IFERROR(__xludf.DUMMYFUNCTION("""COMPUTED_VALUE"""),45569.6666666666)</f>
        <v>45569.666666666599</v>
      </c>
      <c r="B180" s="2"/>
      <c r="C180" s="1">
        <v>7025</v>
      </c>
      <c r="D180" s="1">
        <v>7050</v>
      </c>
      <c r="E180" s="1">
        <v>6900</v>
      </c>
      <c r="F180" s="1">
        <v>6950</v>
      </c>
      <c r="G180" s="1">
        <v>79485300</v>
      </c>
      <c r="H180" s="8">
        <f t="shared" si="4"/>
        <v>-1.4184397163120567E-2</v>
      </c>
      <c r="I180" s="8">
        <f t="shared" si="5"/>
        <v>0.13469387755102041</v>
      </c>
    </row>
    <row r="181" spans="1:9" x14ac:dyDescent="0.2">
      <c r="A181" s="2">
        <f ca="1">IFERROR(__xludf.DUMMYFUNCTION("""COMPUTED_VALUE"""),45572.6666666666)</f>
        <v>45572.666666666599</v>
      </c>
      <c r="B181" s="2"/>
      <c r="C181" s="1">
        <v>6925</v>
      </c>
      <c r="D181" s="1">
        <v>6925</v>
      </c>
      <c r="E181" s="1">
        <v>6800</v>
      </c>
      <c r="F181" s="1">
        <v>6875</v>
      </c>
      <c r="G181" s="1">
        <v>103943100</v>
      </c>
      <c r="H181" s="8">
        <f t="shared" si="4"/>
        <v>-1.0791366906474821E-2</v>
      </c>
      <c r="I181" s="8">
        <f t="shared" si="5"/>
        <v>0.12244897959183673</v>
      </c>
    </row>
    <row r="182" spans="1:9" x14ac:dyDescent="0.2">
      <c r="A182" s="2">
        <f ca="1">IFERROR(__xludf.DUMMYFUNCTION("""COMPUTED_VALUE"""),45573.6666666666)</f>
        <v>45573.666666666599</v>
      </c>
      <c r="B182" s="2"/>
      <c r="C182" s="1">
        <v>6825</v>
      </c>
      <c r="D182" s="1">
        <v>7175</v>
      </c>
      <c r="E182" s="1">
        <v>6775</v>
      </c>
      <c r="F182" s="1">
        <v>7075</v>
      </c>
      <c r="G182" s="1">
        <v>132141500</v>
      </c>
      <c r="H182" s="8">
        <f t="shared" si="4"/>
        <v>2.9090909090909091E-2</v>
      </c>
      <c r="I182" s="8">
        <f t="shared" si="5"/>
        <v>0.15510204081632653</v>
      </c>
    </row>
    <row r="183" spans="1:9" x14ac:dyDescent="0.2">
      <c r="A183" s="2">
        <f ca="1">IFERROR(__xludf.DUMMYFUNCTION("""COMPUTED_VALUE"""),45574.6666666666)</f>
        <v>45574.666666666599</v>
      </c>
      <c r="B183" s="2"/>
      <c r="C183" s="1">
        <v>7075</v>
      </c>
      <c r="D183" s="1">
        <v>7175</v>
      </c>
      <c r="E183" s="1">
        <v>6950</v>
      </c>
      <c r="F183" s="1">
        <v>6950</v>
      </c>
      <c r="G183" s="1">
        <v>76515700</v>
      </c>
      <c r="H183" s="8">
        <f t="shared" si="4"/>
        <v>-1.7667844522968199E-2</v>
      </c>
      <c r="I183" s="8">
        <f t="shared" si="5"/>
        <v>0.13469387755102041</v>
      </c>
    </row>
    <row r="184" spans="1:9" x14ac:dyDescent="0.2">
      <c r="A184" s="2">
        <f ca="1">IFERROR(__xludf.DUMMYFUNCTION("""COMPUTED_VALUE"""),45575.6666666666)</f>
        <v>45575.666666666599</v>
      </c>
      <c r="B184" s="2"/>
      <c r="C184" s="1">
        <v>6925</v>
      </c>
      <c r="D184" s="1">
        <v>7050</v>
      </c>
      <c r="E184" s="1">
        <v>6900</v>
      </c>
      <c r="F184" s="1">
        <v>6950</v>
      </c>
      <c r="G184" s="1">
        <v>44291900</v>
      </c>
      <c r="H184" s="8">
        <f t="shared" si="4"/>
        <v>0</v>
      </c>
      <c r="I184" s="8">
        <f t="shared" si="5"/>
        <v>0.13469387755102041</v>
      </c>
    </row>
    <row r="185" spans="1:9" x14ac:dyDescent="0.2">
      <c r="A185" s="2">
        <f ca="1">IFERROR(__xludf.DUMMYFUNCTION("""COMPUTED_VALUE"""),45576.6666666666)</f>
        <v>45576.666666666599</v>
      </c>
      <c r="B185" s="2"/>
      <c r="C185" s="1">
        <v>7025</v>
      </c>
      <c r="D185" s="1">
        <v>7025</v>
      </c>
      <c r="E185" s="1">
        <v>6925</v>
      </c>
      <c r="F185" s="1">
        <v>6950</v>
      </c>
      <c r="G185" s="1">
        <v>45331500</v>
      </c>
      <c r="H185" s="8">
        <f t="shared" si="4"/>
        <v>0</v>
      </c>
      <c r="I185" s="8">
        <f t="shared" si="5"/>
        <v>0.13469387755102041</v>
      </c>
    </row>
    <row r="186" spans="1:9" x14ac:dyDescent="0.2">
      <c r="A186" s="2">
        <f ca="1">IFERROR(__xludf.DUMMYFUNCTION("""COMPUTED_VALUE"""),45579.6666666666)</f>
        <v>45579.666666666599</v>
      </c>
      <c r="B186" s="2"/>
      <c r="C186" s="1">
        <v>6925</v>
      </c>
      <c r="D186" s="1">
        <v>6975</v>
      </c>
      <c r="E186" s="1">
        <v>6900</v>
      </c>
      <c r="F186" s="1">
        <v>6925</v>
      </c>
      <c r="G186" s="1">
        <v>55885300</v>
      </c>
      <c r="H186" s="8">
        <f t="shared" si="4"/>
        <v>-3.5971223021582736E-3</v>
      </c>
      <c r="I186" s="8">
        <f t="shared" si="5"/>
        <v>0.1306122448979592</v>
      </c>
    </row>
    <row r="187" spans="1:9" x14ac:dyDescent="0.2">
      <c r="A187" s="2">
        <f ca="1">IFERROR(__xludf.DUMMYFUNCTION("""COMPUTED_VALUE"""),45580.6666666666)</f>
        <v>45580.666666666599</v>
      </c>
      <c r="B187" s="2"/>
      <c r="C187" s="1">
        <v>7000</v>
      </c>
      <c r="D187" s="1">
        <v>7100</v>
      </c>
      <c r="E187" s="1">
        <v>6925</v>
      </c>
      <c r="F187" s="1">
        <v>7050</v>
      </c>
      <c r="G187" s="1">
        <v>90358600</v>
      </c>
      <c r="H187" s="8">
        <f t="shared" si="4"/>
        <v>1.8050541516245487E-2</v>
      </c>
      <c r="I187" s="8">
        <f t="shared" si="5"/>
        <v>0.15102040816326531</v>
      </c>
    </row>
    <row r="188" spans="1:9" x14ac:dyDescent="0.2">
      <c r="A188" s="2">
        <f ca="1">IFERROR(__xludf.DUMMYFUNCTION("""COMPUTED_VALUE"""),45581.6666666666)</f>
        <v>45581.666666666599</v>
      </c>
      <c r="B188" s="2"/>
      <c r="C188" s="1">
        <v>7050</v>
      </c>
      <c r="D188" s="1">
        <v>7075</v>
      </c>
      <c r="E188" s="1">
        <v>6925</v>
      </c>
      <c r="F188" s="1">
        <v>7000</v>
      </c>
      <c r="G188" s="1">
        <v>133022500</v>
      </c>
      <c r="H188" s="8">
        <f t="shared" si="4"/>
        <v>-7.0921985815602835E-3</v>
      </c>
      <c r="I188" s="8">
        <f t="shared" si="5"/>
        <v>0.14285714285714285</v>
      </c>
    </row>
    <row r="189" spans="1:9" x14ac:dyDescent="0.2">
      <c r="A189" s="2">
        <f ca="1">IFERROR(__xludf.DUMMYFUNCTION("""COMPUTED_VALUE"""),45582.6666666666)</f>
        <v>45582.666666666599</v>
      </c>
      <c r="B189" s="2"/>
      <c r="C189" s="1">
        <v>7050</v>
      </c>
      <c r="D189" s="1">
        <v>7250</v>
      </c>
      <c r="E189" s="1">
        <v>7000</v>
      </c>
      <c r="F189" s="1">
        <v>7225</v>
      </c>
      <c r="G189" s="1">
        <v>90219900</v>
      </c>
      <c r="H189" s="8">
        <f t="shared" si="4"/>
        <v>3.214285714285714E-2</v>
      </c>
      <c r="I189" s="8">
        <f t="shared" si="5"/>
        <v>0.17959183673469387</v>
      </c>
    </row>
    <row r="190" spans="1:9" x14ac:dyDescent="0.2">
      <c r="A190" s="2">
        <f ca="1">IFERROR(__xludf.DUMMYFUNCTION("""COMPUTED_VALUE"""),45583.6666666666)</f>
        <v>45583.666666666599</v>
      </c>
      <c r="B190" s="2"/>
      <c r="C190" s="1">
        <v>7275</v>
      </c>
      <c r="D190" s="1">
        <v>7300</v>
      </c>
      <c r="E190" s="1">
        <v>7175</v>
      </c>
      <c r="F190" s="1">
        <v>7175</v>
      </c>
      <c r="G190" s="1">
        <v>57379200</v>
      </c>
      <c r="H190" s="8">
        <f t="shared" si="4"/>
        <v>-6.920415224913495E-3</v>
      </c>
      <c r="I190" s="8">
        <f t="shared" si="5"/>
        <v>0.17142857142857143</v>
      </c>
    </row>
    <row r="191" spans="1:9" x14ac:dyDescent="0.2">
      <c r="A191" s="2">
        <f ca="1">IFERROR(__xludf.DUMMYFUNCTION("""COMPUTED_VALUE"""),45586.6666666666)</f>
        <v>45586.666666666599</v>
      </c>
      <c r="B191" s="2"/>
      <c r="C191" s="1">
        <v>7250</v>
      </c>
      <c r="D191" s="1">
        <v>7250</v>
      </c>
      <c r="E191" s="1">
        <v>7125</v>
      </c>
      <c r="F191" s="1">
        <v>7200</v>
      </c>
      <c r="G191" s="1">
        <v>43056000</v>
      </c>
      <c r="H191" s="8">
        <f t="shared" si="4"/>
        <v>3.4843205574912892E-3</v>
      </c>
      <c r="I191" s="8">
        <f t="shared" si="5"/>
        <v>0.17551020408163265</v>
      </c>
    </row>
    <row r="192" spans="1:9" x14ac:dyDescent="0.2">
      <c r="A192" s="2">
        <f ca="1">IFERROR(__xludf.DUMMYFUNCTION("""COMPUTED_VALUE"""),45587.6666666666)</f>
        <v>45587.666666666599</v>
      </c>
      <c r="B192" s="2"/>
      <c r="C192" s="1">
        <v>7150</v>
      </c>
      <c r="D192" s="1">
        <v>7175</v>
      </c>
      <c r="E192" s="1">
        <v>7075</v>
      </c>
      <c r="F192" s="1">
        <v>7075</v>
      </c>
      <c r="G192" s="1">
        <v>43582700</v>
      </c>
      <c r="H192" s="8">
        <f t="shared" si="4"/>
        <v>-1.7361111111111112E-2</v>
      </c>
      <c r="I192" s="8">
        <f t="shared" si="5"/>
        <v>0.15510204081632653</v>
      </c>
    </row>
    <row r="193" spans="1:9" x14ac:dyDescent="0.2">
      <c r="A193" s="2">
        <f ca="1">IFERROR(__xludf.DUMMYFUNCTION("""COMPUTED_VALUE"""),45588.6666666666)</f>
        <v>45588.666666666599</v>
      </c>
      <c r="B193" s="2"/>
      <c r="C193" s="1">
        <v>7075</v>
      </c>
      <c r="D193" s="1">
        <v>7125</v>
      </c>
      <c r="E193" s="1">
        <v>7025</v>
      </c>
      <c r="F193" s="1">
        <v>7075</v>
      </c>
      <c r="G193" s="1">
        <v>38222900</v>
      </c>
      <c r="H193" s="8">
        <f t="shared" si="4"/>
        <v>0</v>
      </c>
      <c r="I193" s="8">
        <f t="shared" si="5"/>
        <v>0.15510204081632653</v>
      </c>
    </row>
    <row r="194" spans="1:9" x14ac:dyDescent="0.2">
      <c r="A194" s="2">
        <f ca="1">IFERROR(__xludf.DUMMYFUNCTION("""COMPUTED_VALUE"""),45589.6666666666)</f>
        <v>45589.666666666599</v>
      </c>
      <c r="B194" s="2"/>
      <c r="C194" s="1">
        <v>7000</v>
      </c>
      <c r="D194" s="1">
        <v>7150</v>
      </c>
      <c r="E194" s="1">
        <v>6975</v>
      </c>
      <c r="F194" s="1">
        <v>6975</v>
      </c>
      <c r="G194" s="1">
        <v>65877100</v>
      </c>
      <c r="H194" s="8">
        <f t="shared" si="4"/>
        <v>-1.4134275618374558E-2</v>
      </c>
      <c r="I194" s="8">
        <f t="shared" si="5"/>
        <v>0.13877551020408163</v>
      </c>
    </row>
    <row r="195" spans="1:9" x14ac:dyDescent="0.2">
      <c r="A195" s="2">
        <f ca="1">IFERROR(__xludf.DUMMYFUNCTION("""COMPUTED_VALUE"""),45590.6666666666)</f>
        <v>45590.666666666599</v>
      </c>
      <c r="B195" s="2"/>
      <c r="C195" s="1">
        <v>6975</v>
      </c>
      <c r="D195" s="1">
        <v>7050</v>
      </c>
      <c r="E195" s="1">
        <v>6975</v>
      </c>
      <c r="F195" s="1">
        <v>7050</v>
      </c>
      <c r="G195" s="1">
        <v>34637500</v>
      </c>
      <c r="H195" s="8">
        <f t="shared" si="4"/>
        <v>1.0752688172043012E-2</v>
      </c>
      <c r="I195" s="8">
        <f t="shared" si="5"/>
        <v>0.15102040816326531</v>
      </c>
    </row>
    <row r="196" spans="1:9" x14ac:dyDescent="0.2">
      <c r="A196" s="2">
        <f ca="1">IFERROR(__xludf.DUMMYFUNCTION("""COMPUTED_VALUE"""),45593.6666666666)</f>
        <v>45593.666666666599</v>
      </c>
      <c r="B196" s="2"/>
      <c r="C196" s="1">
        <v>7075</v>
      </c>
      <c r="D196" s="1">
        <v>7075</v>
      </c>
      <c r="E196" s="1">
        <v>6800</v>
      </c>
      <c r="F196" s="1">
        <v>6825</v>
      </c>
      <c r="G196" s="1">
        <v>114500800</v>
      </c>
      <c r="H196" s="8">
        <f t="shared" ref="H196:H259" si="6">(F196-F195)/F195</f>
        <v>-3.1914893617021274E-2</v>
      </c>
      <c r="I196" s="8">
        <f t="shared" ref="I196:I259" si="7">(F196-$F$2)/$F$2</f>
        <v>0.11428571428571428</v>
      </c>
    </row>
    <row r="197" spans="1:9" x14ac:dyDescent="0.2">
      <c r="A197" s="2">
        <f ca="1">IFERROR(__xludf.DUMMYFUNCTION("""COMPUTED_VALUE"""),45594.6666666666)</f>
        <v>45594.666666666599</v>
      </c>
      <c r="B197" s="2"/>
      <c r="C197" s="1">
        <v>6800</v>
      </c>
      <c r="D197" s="1">
        <v>6850</v>
      </c>
      <c r="E197" s="1">
        <v>6725</v>
      </c>
      <c r="F197" s="1">
        <v>6825</v>
      </c>
      <c r="G197" s="1">
        <v>91267000</v>
      </c>
      <c r="H197" s="8">
        <f t="shared" si="6"/>
        <v>0</v>
      </c>
      <c r="I197" s="8">
        <f t="shared" si="7"/>
        <v>0.11428571428571428</v>
      </c>
    </row>
    <row r="198" spans="1:9" x14ac:dyDescent="0.2">
      <c r="A198" s="2">
        <f ca="1">IFERROR(__xludf.DUMMYFUNCTION("""COMPUTED_VALUE"""),45595.6666666666)</f>
        <v>45595.666666666599</v>
      </c>
      <c r="B198" s="2"/>
      <c r="C198" s="1">
        <v>6575</v>
      </c>
      <c r="D198" s="1">
        <v>6775</v>
      </c>
      <c r="E198" s="1">
        <v>6575</v>
      </c>
      <c r="F198" s="1">
        <v>6750</v>
      </c>
      <c r="G198" s="1">
        <v>122132700</v>
      </c>
      <c r="H198" s="8">
        <f t="shared" si="6"/>
        <v>-1.098901098901099E-2</v>
      </c>
      <c r="I198" s="8">
        <f t="shared" si="7"/>
        <v>0.10204081632653061</v>
      </c>
    </row>
    <row r="199" spans="1:9" x14ac:dyDescent="0.2">
      <c r="A199" s="2">
        <f ca="1">IFERROR(__xludf.DUMMYFUNCTION("""COMPUTED_VALUE"""),45596.6666666666)</f>
        <v>45596.666666666599</v>
      </c>
      <c r="B199" s="2"/>
      <c r="C199" s="1">
        <v>6750</v>
      </c>
      <c r="D199" s="1">
        <v>6825</v>
      </c>
      <c r="E199" s="1">
        <v>6700</v>
      </c>
      <c r="F199" s="1">
        <v>6700</v>
      </c>
      <c r="G199" s="1">
        <v>126730700</v>
      </c>
      <c r="H199" s="8">
        <f t="shared" si="6"/>
        <v>-7.4074074074074077E-3</v>
      </c>
      <c r="I199" s="8">
        <f t="shared" si="7"/>
        <v>9.3877551020408165E-2</v>
      </c>
    </row>
    <row r="200" spans="1:9" x14ac:dyDescent="0.2">
      <c r="A200" s="2">
        <f ca="1">IFERROR(__xludf.DUMMYFUNCTION("""COMPUTED_VALUE"""),45597.6666666666)</f>
        <v>45597.666666666599</v>
      </c>
      <c r="B200" s="2"/>
      <c r="C200" s="1">
        <v>6725</v>
      </c>
      <c r="D200" s="1">
        <v>6725</v>
      </c>
      <c r="E200" s="1">
        <v>6550</v>
      </c>
      <c r="F200" s="1">
        <v>6650</v>
      </c>
      <c r="G200" s="1">
        <v>101423100</v>
      </c>
      <c r="H200" s="8">
        <f t="shared" si="6"/>
        <v>-7.462686567164179E-3</v>
      </c>
      <c r="I200" s="8">
        <f t="shared" si="7"/>
        <v>8.5714285714285715E-2</v>
      </c>
    </row>
    <row r="201" spans="1:9" x14ac:dyDescent="0.2">
      <c r="A201" s="2">
        <f ca="1">IFERROR(__xludf.DUMMYFUNCTION("""COMPUTED_VALUE"""),45600.6666666666)</f>
        <v>45600.666666666599</v>
      </c>
      <c r="B201" s="2"/>
      <c r="C201" s="1">
        <v>6600</v>
      </c>
      <c r="D201" s="1">
        <v>6800</v>
      </c>
      <c r="E201" s="1">
        <v>6525</v>
      </c>
      <c r="F201" s="1">
        <v>6750</v>
      </c>
      <c r="G201" s="1">
        <v>80208800</v>
      </c>
      <c r="H201" s="8">
        <f t="shared" si="6"/>
        <v>1.5037593984962405E-2</v>
      </c>
      <c r="I201" s="8">
        <f t="shared" si="7"/>
        <v>0.10204081632653061</v>
      </c>
    </row>
    <row r="202" spans="1:9" x14ac:dyDescent="0.2">
      <c r="A202" s="2">
        <f ca="1">IFERROR(__xludf.DUMMYFUNCTION("""COMPUTED_VALUE"""),45601.6666666666)</f>
        <v>45601.666666666599</v>
      </c>
      <c r="B202" s="2"/>
      <c r="C202" s="1">
        <v>6725</v>
      </c>
      <c r="D202" s="1">
        <v>6950</v>
      </c>
      <c r="E202" s="1">
        <v>6675</v>
      </c>
      <c r="F202" s="1">
        <v>6925</v>
      </c>
      <c r="G202" s="1">
        <v>88661200</v>
      </c>
      <c r="H202" s="8">
        <f t="shared" si="6"/>
        <v>2.5925925925925925E-2</v>
      </c>
      <c r="I202" s="8">
        <f t="shared" si="7"/>
        <v>0.1306122448979592</v>
      </c>
    </row>
    <row r="203" spans="1:9" x14ac:dyDescent="0.2">
      <c r="A203" s="2">
        <f ca="1">IFERROR(__xludf.DUMMYFUNCTION("""COMPUTED_VALUE"""),45602.6666666666)</f>
        <v>45602.666666666599</v>
      </c>
      <c r="B203" s="2"/>
      <c r="C203" s="1">
        <v>6925</v>
      </c>
      <c r="D203" s="1">
        <v>6925</v>
      </c>
      <c r="E203" s="1">
        <v>6550</v>
      </c>
      <c r="F203" s="1">
        <v>6550</v>
      </c>
      <c r="G203" s="1">
        <v>147272800</v>
      </c>
      <c r="H203" s="8">
        <f t="shared" si="6"/>
        <v>-5.4151624548736461E-2</v>
      </c>
      <c r="I203" s="8">
        <f t="shared" si="7"/>
        <v>6.9387755102040816E-2</v>
      </c>
    </row>
    <row r="204" spans="1:9" x14ac:dyDescent="0.2">
      <c r="A204" s="2">
        <f ca="1">IFERROR(__xludf.DUMMYFUNCTION("""COMPUTED_VALUE"""),45603.6666666666)</f>
        <v>45603.666666666599</v>
      </c>
      <c r="B204" s="2"/>
      <c r="C204" s="1">
        <v>6500</v>
      </c>
      <c r="D204" s="1">
        <v>6550</v>
      </c>
      <c r="E204" s="1">
        <v>6425</v>
      </c>
      <c r="F204" s="1">
        <v>6425</v>
      </c>
      <c r="G204" s="1">
        <v>154758500</v>
      </c>
      <c r="H204" s="8">
        <f t="shared" si="6"/>
        <v>-1.9083969465648856E-2</v>
      </c>
      <c r="I204" s="8">
        <f t="shared" si="7"/>
        <v>4.8979591836734691E-2</v>
      </c>
    </row>
    <row r="205" spans="1:9" x14ac:dyDescent="0.2">
      <c r="A205" s="2">
        <f ca="1">IFERROR(__xludf.DUMMYFUNCTION("""COMPUTED_VALUE"""),45604.6666666666)</f>
        <v>45604.666666666599</v>
      </c>
      <c r="B205" s="2"/>
      <c r="C205" s="1">
        <v>6425</v>
      </c>
      <c r="D205" s="1">
        <v>6525</v>
      </c>
      <c r="E205" s="1">
        <v>6275</v>
      </c>
      <c r="F205" s="1">
        <v>6325</v>
      </c>
      <c r="G205" s="1">
        <v>192423000</v>
      </c>
      <c r="H205" s="8">
        <f t="shared" si="6"/>
        <v>-1.556420233463035E-2</v>
      </c>
      <c r="I205" s="8">
        <f t="shared" si="7"/>
        <v>3.2653061224489799E-2</v>
      </c>
    </row>
    <row r="206" spans="1:9" x14ac:dyDescent="0.2">
      <c r="A206" s="2">
        <f ca="1">IFERROR(__xludf.DUMMYFUNCTION("""COMPUTED_VALUE"""),45607.6666666666)</f>
        <v>45607.666666666599</v>
      </c>
      <c r="B206" s="2"/>
      <c r="C206" s="1">
        <v>6300</v>
      </c>
      <c r="D206" s="1">
        <v>6450</v>
      </c>
      <c r="E206" s="1">
        <v>6150</v>
      </c>
      <c r="F206" s="1">
        <v>6350</v>
      </c>
      <c r="G206" s="1">
        <v>125606000</v>
      </c>
      <c r="H206" s="8">
        <f t="shared" si="6"/>
        <v>3.952569169960474E-3</v>
      </c>
      <c r="I206" s="8">
        <f t="shared" si="7"/>
        <v>3.6734693877551024E-2</v>
      </c>
    </row>
    <row r="207" spans="1:9" x14ac:dyDescent="0.2">
      <c r="A207" s="2">
        <f ca="1">IFERROR(__xludf.DUMMYFUNCTION("""COMPUTED_VALUE"""),45608.6666666666)</f>
        <v>45608.666666666599</v>
      </c>
      <c r="B207" s="2"/>
      <c r="C207" s="1">
        <v>6375</v>
      </c>
      <c r="D207" s="1">
        <v>6450</v>
      </c>
      <c r="E207" s="1">
        <v>6325</v>
      </c>
      <c r="F207" s="1">
        <v>6375</v>
      </c>
      <c r="G207" s="1">
        <v>117281700</v>
      </c>
      <c r="H207" s="8">
        <f t="shared" si="6"/>
        <v>3.937007874015748E-3</v>
      </c>
      <c r="I207" s="8">
        <f t="shared" si="7"/>
        <v>4.0816326530612242E-2</v>
      </c>
    </row>
    <row r="208" spans="1:9" x14ac:dyDescent="0.2">
      <c r="A208" s="2">
        <f ca="1">IFERROR(__xludf.DUMMYFUNCTION("""COMPUTED_VALUE"""),45609.6666666666)</f>
        <v>45609.666666666599</v>
      </c>
      <c r="B208" s="2"/>
      <c r="C208" s="1">
        <v>6500</v>
      </c>
      <c r="D208" s="1">
        <v>6550</v>
      </c>
      <c r="E208" s="1">
        <v>6400</v>
      </c>
      <c r="F208" s="1">
        <v>6425</v>
      </c>
      <c r="G208" s="1">
        <v>102748300</v>
      </c>
      <c r="H208" s="8">
        <f t="shared" si="6"/>
        <v>7.8431372549019607E-3</v>
      </c>
      <c r="I208" s="8">
        <f t="shared" si="7"/>
        <v>4.8979591836734691E-2</v>
      </c>
    </row>
    <row r="209" spans="1:9" x14ac:dyDescent="0.2">
      <c r="A209" s="2">
        <f ca="1">IFERROR(__xludf.DUMMYFUNCTION("""COMPUTED_VALUE"""),45610.6666666666)</f>
        <v>45610.666666666599</v>
      </c>
      <c r="B209" s="2"/>
      <c r="C209" s="1">
        <v>6375</v>
      </c>
      <c r="D209" s="1">
        <v>6475</v>
      </c>
      <c r="E209" s="1">
        <v>6350</v>
      </c>
      <c r="F209" s="1">
        <v>6375</v>
      </c>
      <c r="G209" s="1">
        <v>69750600</v>
      </c>
      <c r="H209" s="8">
        <f t="shared" si="6"/>
        <v>-7.7821011673151752E-3</v>
      </c>
      <c r="I209" s="8">
        <f t="shared" si="7"/>
        <v>4.0816326530612242E-2</v>
      </c>
    </row>
    <row r="210" spans="1:9" x14ac:dyDescent="0.2">
      <c r="A210" s="2">
        <f ca="1">IFERROR(__xludf.DUMMYFUNCTION("""COMPUTED_VALUE"""),45611.6666666666)</f>
        <v>45611.666666666599</v>
      </c>
      <c r="B210" s="2"/>
      <c r="C210" s="1">
        <v>6300</v>
      </c>
      <c r="D210" s="1">
        <v>6400</v>
      </c>
      <c r="E210" s="1">
        <v>6300</v>
      </c>
      <c r="F210" s="1">
        <v>6350</v>
      </c>
      <c r="G210" s="1">
        <v>41079700</v>
      </c>
      <c r="H210" s="8">
        <f t="shared" si="6"/>
        <v>-3.9215686274509803E-3</v>
      </c>
      <c r="I210" s="8">
        <f t="shared" si="7"/>
        <v>3.6734693877551024E-2</v>
      </c>
    </row>
    <row r="211" spans="1:9" x14ac:dyDescent="0.2">
      <c r="A211" s="2">
        <f ca="1">IFERROR(__xludf.DUMMYFUNCTION("""COMPUTED_VALUE"""),45614.6666666666)</f>
        <v>45614.666666666599</v>
      </c>
      <c r="B211" s="2"/>
      <c r="C211" s="1">
        <v>6350</v>
      </c>
      <c r="D211" s="1">
        <v>6425</v>
      </c>
      <c r="E211" s="1">
        <v>6225</v>
      </c>
      <c r="F211" s="1">
        <v>6325</v>
      </c>
      <c r="G211" s="1">
        <v>77471700</v>
      </c>
      <c r="H211" s="8">
        <f t="shared" si="6"/>
        <v>-3.937007874015748E-3</v>
      </c>
      <c r="I211" s="8">
        <f t="shared" si="7"/>
        <v>3.2653061224489799E-2</v>
      </c>
    </row>
    <row r="212" spans="1:9" x14ac:dyDescent="0.2">
      <c r="A212" s="2">
        <f ca="1">IFERROR(__xludf.DUMMYFUNCTION("""COMPUTED_VALUE"""),45615.6666666666)</f>
        <v>45615.666666666599</v>
      </c>
      <c r="B212" s="2"/>
      <c r="C212" s="1">
        <v>6375</v>
      </c>
      <c r="D212" s="1">
        <v>6375</v>
      </c>
      <c r="E212" s="1">
        <v>6225</v>
      </c>
      <c r="F212" s="1">
        <v>6250</v>
      </c>
      <c r="G212" s="1">
        <v>95495700</v>
      </c>
      <c r="H212" s="8">
        <f t="shared" si="6"/>
        <v>-1.1857707509881422E-2</v>
      </c>
      <c r="I212" s="8">
        <f t="shared" si="7"/>
        <v>2.0408163265306121E-2</v>
      </c>
    </row>
    <row r="213" spans="1:9" x14ac:dyDescent="0.2">
      <c r="A213" s="2">
        <f ca="1">IFERROR(__xludf.DUMMYFUNCTION("""COMPUTED_VALUE"""),45616.6666666666)</f>
        <v>45616.666666666599</v>
      </c>
      <c r="B213" s="2"/>
      <c r="C213" s="1">
        <v>6325</v>
      </c>
      <c r="D213" s="1">
        <v>6350</v>
      </c>
      <c r="E213" s="1">
        <v>6200</v>
      </c>
      <c r="F213" s="1">
        <v>6225</v>
      </c>
      <c r="G213" s="1">
        <v>68707200</v>
      </c>
      <c r="H213" s="8">
        <f t="shared" si="6"/>
        <v>-4.0000000000000001E-3</v>
      </c>
      <c r="I213" s="8">
        <f t="shared" si="7"/>
        <v>1.6326530612244899E-2</v>
      </c>
    </row>
    <row r="214" spans="1:9" x14ac:dyDescent="0.2">
      <c r="A214" s="2">
        <f ca="1">IFERROR(__xludf.DUMMYFUNCTION("""COMPUTED_VALUE"""),45617.6666666666)</f>
        <v>45617.666666666599</v>
      </c>
      <c r="B214" s="2"/>
      <c r="C214" s="1">
        <v>6225</v>
      </c>
      <c r="D214" s="1">
        <v>6225</v>
      </c>
      <c r="E214" s="1">
        <v>6125</v>
      </c>
      <c r="F214" s="1">
        <v>6150</v>
      </c>
      <c r="G214" s="1">
        <v>76579300</v>
      </c>
      <c r="H214" s="8">
        <f t="shared" si="6"/>
        <v>-1.2048192771084338E-2</v>
      </c>
      <c r="I214" s="8">
        <f t="shared" si="7"/>
        <v>4.0816326530612249E-3</v>
      </c>
    </row>
    <row r="215" spans="1:9" x14ac:dyDescent="0.2">
      <c r="A215" s="2">
        <f ca="1">IFERROR(__xludf.DUMMYFUNCTION("""COMPUTED_VALUE"""),45618.6666666666)</f>
        <v>45618.666666666599</v>
      </c>
      <c r="B215" s="2"/>
      <c r="C215" s="1">
        <v>6125</v>
      </c>
      <c r="D215" s="1">
        <v>6300</v>
      </c>
      <c r="E215" s="1">
        <v>6100</v>
      </c>
      <c r="F215" s="1">
        <v>6250</v>
      </c>
      <c r="G215" s="1">
        <v>80236400</v>
      </c>
      <c r="H215" s="8">
        <f t="shared" si="6"/>
        <v>1.6260162601626018E-2</v>
      </c>
      <c r="I215" s="8">
        <f t="shared" si="7"/>
        <v>2.0408163265306121E-2</v>
      </c>
    </row>
    <row r="216" spans="1:9" x14ac:dyDescent="0.2">
      <c r="A216" s="2">
        <f ca="1">IFERROR(__xludf.DUMMYFUNCTION("""COMPUTED_VALUE"""),45621.6666666666)</f>
        <v>45621.666666666599</v>
      </c>
      <c r="B216" s="2"/>
      <c r="C216" s="1">
        <v>6325</v>
      </c>
      <c r="D216" s="1">
        <v>6600</v>
      </c>
      <c r="E216" s="1">
        <v>6325</v>
      </c>
      <c r="F216" s="1">
        <v>6575</v>
      </c>
      <c r="G216" s="1">
        <v>183449100</v>
      </c>
      <c r="H216" s="8">
        <f t="shared" si="6"/>
        <v>5.1999999999999998E-2</v>
      </c>
      <c r="I216" s="8">
        <f t="shared" si="7"/>
        <v>7.3469387755102047E-2</v>
      </c>
    </row>
    <row r="217" spans="1:9" x14ac:dyDescent="0.2">
      <c r="A217" s="2">
        <f ca="1">IFERROR(__xludf.DUMMYFUNCTION("""COMPUTED_VALUE"""),45622.6666666666)</f>
        <v>45622.666666666599</v>
      </c>
      <c r="B217" s="2"/>
      <c r="C217" s="1">
        <v>6600</v>
      </c>
      <c r="D217" s="1">
        <v>6600</v>
      </c>
      <c r="E217" s="1">
        <v>6325</v>
      </c>
      <c r="F217" s="1">
        <v>6400</v>
      </c>
      <c r="G217" s="1">
        <v>107194300</v>
      </c>
      <c r="H217" s="8">
        <f t="shared" si="6"/>
        <v>-2.6615969581749048E-2</v>
      </c>
      <c r="I217" s="8">
        <f t="shared" si="7"/>
        <v>4.4897959183673466E-2</v>
      </c>
    </row>
    <row r="218" spans="1:9" x14ac:dyDescent="0.2">
      <c r="A218" s="2">
        <f ca="1">IFERROR(__xludf.DUMMYFUNCTION("""COMPUTED_VALUE"""),45624.6666666666)</f>
        <v>45624.666666666599</v>
      </c>
      <c r="B218" s="2"/>
      <c r="C218" s="1">
        <v>6350</v>
      </c>
      <c r="D218" s="1">
        <v>6525</v>
      </c>
      <c r="E218" s="1">
        <v>6350</v>
      </c>
      <c r="F218" s="1">
        <v>6450</v>
      </c>
      <c r="G218" s="1">
        <v>81883200</v>
      </c>
      <c r="H218" s="8">
        <f t="shared" si="6"/>
        <v>7.8125E-3</v>
      </c>
      <c r="I218" s="8">
        <f t="shared" si="7"/>
        <v>5.3061224489795916E-2</v>
      </c>
    </row>
    <row r="219" spans="1:9" x14ac:dyDescent="0.2">
      <c r="A219" s="2">
        <f ca="1">IFERROR(__xludf.DUMMYFUNCTION("""COMPUTED_VALUE"""),45625.6666666666)</f>
        <v>45625.666666666599</v>
      </c>
      <c r="B219" s="2"/>
      <c r="C219" s="1">
        <v>6325</v>
      </c>
      <c r="D219" s="1">
        <v>6375</v>
      </c>
      <c r="E219" s="1">
        <v>6125</v>
      </c>
      <c r="F219" s="1">
        <v>6150</v>
      </c>
      <c r="G219" s="1">
        <v>157628700</v>
      </c>
      <c r="H219" s="8">
        <f t="shared" si="6"/>
        <v>-4.6511627906976744E-2</v>
      </c>
      <c r="I219" s="8">
        <f t="shared" si="7"/>
        <v>4.0816326530612249E-3</v>
      </c>
    </row>
    <row r="220" spans="1:9" x14ac:dyDescent="0.2">
      <c r="A220" s="2">
        <f ca="1">IFERROR(__xludf.DUMMYFUNCTION("""COMPUTED_VALUE"""),45628.6666666666)</f>
        <v>45628.666666666599</v>
      </c>
      <c r="B220" s="2"/>
      <c r="C220" s="1">
        <v>6175</v>
      </c>
      <c r="D220" s="1">
        <v>6250</v>
      </c>
      <c r="E220" s="1">
        <v>5975</v>
      </c>
      <c r="F220" s="1">
        <v>6000</v>
      </c>
      <c r="G220" s="1">
        <v>114555300</v>
      </c>
      <c r="H220" s="8">
        <f t="shared" si="6"/>
        <v>-2.4390243902439025E-2</v>
      </c>
      <c r="I220" s="8">
        <f t="shared" si="7"/>
        <v>-2.0408163265306121E-2</v>
      </c>
    </row>
    <row r="221" spans="1:9" x14ac:dyDescent="0.2">
      <c r="A221" s="2">
        <f ca="1">IFERROR(__xludf.DUMMYFUNCTION("""COMPUTED_VALUE"""),45629.6666666666)</f>
        <v>45629.666666666599</v>
      </c>
      <c r="B221" s="2"/>
      <c r="C221" s="1">
        <v>6100</v>
      </c>
      <c r="D221" s="1">
        <v>6275</v>
      </c>
      <c r="E221" s="1">
        <v>6100</v>
      </c>
      <c r="F221" s="1">
        <v>6275</v>
      </c>
      <c r="G221" s="1">
        <v>99509800</v>
      </c>
      <c r="H221" s="8">
        <f t="shared" si="6"/>
        <v>4.583333333333333E-2</v>
      </c>
      <c r="I221" s="8">
        <f t="shared" si="7"/>
        <v>2.4489795918367346E-2</v>
      </c>
    </row>
    <row r="222" spans="1:9" x14ac:dyDescent="0.2">
      <c r="A222" s="2">
        <f ca="1">IFERROR(__xludf.DUMMYFUNCTION("""COMPUTED_VALUE"""),45630.6666666666)</f>
        <v>45630.666666666599</v>
      </c>
      <c r="B222" s="2"/>
      <c r="C222" s="1">
        <v>6275</v>
      </c>
      <c r="D222" s="1">
        <v>6450</v>
      </c>
      <c r="E222" s="1">
        <v>6225</v>
      </c>
      <c r="F222" s="1">
        <v>6375</v>
      </c>
      <c r="G222" s="1">
        <v>75260000</v>
      </c>
      <c r="H222" s="8">
        <f t="shared" si="6"/>
        <v>1.5936254980079681E-2</v>
      </c>
      <c r="I222" s="8">
        <f t="shared" si="7"/>
        <v>4.0816326530612242E-2</v>
      </c>
    </row>
    <row r="223" spans="1:9" x14ac:dyDescent="0.2">
      <c r="A223" s="2">
        <f ca="1">IFERROR(__xludf.DUMMYFUNCTION("""COMPUTED_VALUE"""),45631.6666666666)</f>
        <v>45631.666666666599</v>
      </c>
      <c r="B223" s="2"/>
      <c r="C223" s="1">
        <v>6350</v>
      </c>
      <c r="D223" s="1">
        <v>6375</v>
      </c>
      <c r="E223" s="1">
        <v>6150</v>
      </c>
      <c r="F223" s="1">
        <v>6150</v>
      </c>
      <c r="G223" s="1">
        <v>69528700</v>
      </c>
      <c r="H223" s="8">
        <f t="shared" si="6"/>
        <v>-3.5294117647058823E-2</v>
      </c>
      <c r="I223" s="8">
        <f t="shared" si="7"/>
        <v>4.0816326530612249E-3</v>
      </c>
    </row>
    <row r="224" spans="1:9" x14ac:dyDescent="0.2">
      <c r="A224" s="2">
        <f ca="1">IFERROR(__xludf.DUMMYFUNCTION("""COMPUTED_VALUE"""),45632.6666666666)</f>
        <v>45632.666666666599</v>
      </c>
      <c r="B224" s="2"/>
      <c r="C224" s="1">
        <v>6200</v>
      </c>
      <c r="D224" s="1">
        <v>6275</v>
      </c>
      <c r="E224" s="1">
        <v>6125</v>
      </c>
      <c r="F224" s="1">
        <v>6225</v>
      </c>
      <c r="G224" s="1">
        <v>75989700</v>
      </c>
      <c r="H224" s="8">
        <f t="shared" si="6"/>
        <v>1.2195121951219513E-2</v>
      </c>
      <c r="I224" s="8">
        <f t="shared" si="7"/>
        <v>1.6326530612244899E-2</v>
      </c>
    </row>
    <row r="225" spans="1:9" x14ac:dyDescent="0.2">
      <c r="A225" s="2">
        <f ca="1">IFERROR(__xludf.DUMMYFUNCTION("""COMPUTED_VALUE"""),45635.6666666666)</f>
        <v>45635.666666666599</v>
      </c>
      <c r="B225" s="2"/>
      <c r="C225" s="1">
        <v>6175</v>
      </c>
      <c r="D225" s="1">
        <v>6375</v>
      </c>
      <c r="E225" s="1">
        <v>6175</v>
      </c>
      <c r="F225" s="1">
        <v>6375</v>
      </c>
      <c r="G225" s="1">
        <v>74220300</v>
      </c>
      <c r="H225" s="8">
        <f t="shared" si="6"/>
        <v>2.4096385542168676E-2</v>
      </c>
      <c r="I225" s="8">
        <f t="shared" si="7"/>
        <v>4.0816326530612242E-2</v>
      </c>
    </row>
    <row r="226" spans="1:9" x14ac:dyDescent="0.2">
      <c r="A226" s="2">
        <f ca="1">IFERROR(__xludf.DUMMYFUNCTION("""COMPUTED_VALUE"""),45636.6666666666)</f>
        <v>45636.666666666599</v>
      </c>
      <c r="B226" s="2"/>
      <c r="C226" s="1">
        <v>6275</v>
      </c>
      <c r="D226" s="1">
        <v>6325</v>
      </c>
      <c r="E226" s="1">
        <v>6225</v>
      </c>
      <c r="F226" s="1">
        <v>6300</v>
      </c>
      <c r="G226" s="1">
        <v>92245000</v>
      </c>
      <c r="H226" s="8">
        <f t="shared" si="6"/>
        <v>-1.1764705882352941E-2</v>
      </c>
      <c r="I226" s="8">
        <f t="shared" si="7"/>
        <v>2.8571428571428571E-2</v>
      </c>
    </row>
    <row r="227" spans="1:9" x14ac:dyDescent="0.2">
      <c r="A227" s="2">
        <f ca="1">IFERROR(__xludf.DUMMYFUNCTION("""COMPUTED_VALUE"""),45637.6666666666)</f>
        <v>45637.666666666599</v>
      </c>
      <c r="B227" s="2"/>
      <c r="C227" s="1">
        <v>6300</v>
      </c>
      <c r="D227" s="1">
        <v>6400</v>
      </c>
      <c r="E227" s="1">
        <v>6300</v>
      </c>
      <c r="F227" s="1">
        <v>6300</v>
      </c>
      <c r="G227" s="1">
        <v>62509600</v>
      </c>
      <c r="H227" s="8">
        <f t="shared" si="6"/>
        <v>0</v>
      </c>
      <c r="I227" s="8">
        <f t="shared" si="7"/>
        <v>2.8571428571428571E-2</v>
      </c>
    </row>
    <row r="228" spans="1:9" x14ac:dyDescent="0.2">
      <c r="A228" s="2">
        <f ca="1">IFERROR(__xludf.DUMMYFUNCTION("""COMPUTED_VALUE"""),45638.6666666666)</f>
        <v>45638.666666666599</v>
      </c>
      <c r="B228" s="2"/>
      <c r="C228" s="1">
        <v>6200</v>
      </c>
      <c r="D228" s="1">
        <v>6225</v>
      </c>
      <c r="E228" s="1">
        <v>6100</v>
      </c>
      <c r="F228" s="1">
        <v>6125</v>
      </c>
      <c r="G228" s="1">
        <v>96707500</v>
      </c>
      <c r="H228" s="8">
        <f t="shared" si="6"/>
        <v>-2.7777777777777776E-2</v>
      </c>
      <c r="I228" s="8">
        <f t="shared" si="7"/>
        <v>0</v>
      </c>
    </row>
    <row r="229" spans="1:9" x14ac:dyDescent="0.2">
      <c r="A229" s="2">
        <f ca="1">IFERROR(__xludf.DUMMYFUNCTION("""COMPUTED_VALUE"""),45639.6666666666)</f>
        <v>45639.666666666599</v>
      </c>
      <c r="B229" s="2"/>
      <c r="C229" s="1">
        <v>6025</v>
      </c>
      <c r="D229" s="1">
        <v>6100</v>
      </c>
      <c r="E229" s="1">
        <v>5975</v>
      </c>
      <c r="F229" s="1">
        <v>6025</v>
      </c>
      <c r="G229" s="1">
        <v>135581400</v>
      </c>
      <c r="H229" s="8">
        <f t="shared" si="6"/>
        <v>-1.6326530612244899E-2</v>
      </c>
      <c r="I229" s="8">
        <f t="shared" si="7"/>
        <v>-1.6326530612244899E-2</v>
      </c>
    </row>
    <row r="230" spans="1:9" x14ac:dyDescent="0.2">
      <c r="A230" s="2">
        <f ca="1">IFERROR(__xludf.DUMMYFUNCTION("""COMPUTED_VALUE"""),45642.6666666666)</f>
        <v>45642.666666666599</v>
      </c>
      <c r="B230" s="2"/>
      <c r="C230" s="1">
        <v>5900</v>
      </c>
      <c r="D230" s="1">
        <v>6100</v>
      </c>
      <c r="E230" s="1">
        <v>5900</v>
      </c>
      <c r="F230" s="1">
        <v>6075</v>
      </c>
      <c r="G230" s="1">
        <v>105375900</v>
      </c>
      <c r="H230" s="8">
        <f t="shared" si="6"/>
        <v>8.2987551867219917E-3</v>
      </c>
      <c r="I230" s="8">
        <f t="shared" si="7"/>
        <v>-8.1632653061224497E-3</v>
      </c>
    </row>
    <row r="231" spans="1:9" x14ac:dyDescent="0.2">
      <c r="A231" s="2">
        <f ca="1">IFERROR(__xludf.DUMMYFUNCTION("""COMPUTED_VALUE"""),45643.6666666666)</f>
        <v>45643.666666666599</v>
      </c>
      <c r="B231" s="2"/>
      <c r="C231" s="1">
        <v>6050</v>
      </c>
      <c r="D231" s="1">
        <v>6075</v>
      </c>
      <c r="E231" s="1">
        <v>5925</v>
      </c>
      <c r="F231" s="1">
        <v>5950</v>
      </c>
      <c r="G231" s="1">
        <v>72109300</v>
      </c>
      <c r="H231" s="8">
        <f t="shared" si="6"/>
        <v>-2.0576131687242798E-2</v>
      </c>
      <c r="I231" s="8">
        <f t="shared" si="7"/>
        <v>-2.8571428571428571E-2</v>
      </c>
    </row>
    <row r="232" spans="1:9" x14ac:dyDescent="0.2">
      <c r="A232" s="2">
        <f ca="1">IFERROR(__xludf.DUMMYFUNCTION("""COMPUTED_VALUE"""),45644.6666666666)</f>
        <v>45644.666666666599</v>
      </c>
      <c r="B232" s="2"/>
      <c r="C232" s="1">
        <v>5925</v>
      </c>
      <c r="D232" s="1">
        <v>6000</v>
      </c>
      <c r="E232" s="1">
        <v>5775</v>
      </c>
      <c r="F232" s="1">
        <v>5825</v>
      </c>
      <c r="G232" s="1">
        <v>153164600</v>
      </c>
      <c r="H232" s="8">
        <f t="shared" si="6"/>
        <v>-2.100840336134454E-2</v>
      </c>
      <c r="I232" s="8">
        <f t="shared" si="7"/>
        <v>-4.8979591836734691E-2</v>
      </c>
    </row>
    <row r="233" spans="1:9" x14ac:dyDescent="0.2">
      <c r="A233" s="2">
        <f ca="1">IFERROR(__xludf.DUMMYFUNCTION("""COMPUTED_VALUE"""),45645.6666666666)</f>
        <v>45645.666666666599</v>
      </c>
      <c r="B233" s="2"/>
      <c r="C233" s="1">
        <v>5625</v>
      </c>
      <c r="D233" s="1">
        <v>5725</v>
      </c>
      <c r="E233" s="1">
        <v>5600</v>
      </c>
      <c r="F233" s="1">
        <v>5675</v>
      </c>
      <c r="G233" s="1">
        <v>277793000</v>
      </c>
      <c r="H233" s="8">
        <f t="shared" si="6"/>
        <v>-2.575107296137339E-2</v>
      </c>
      <c r="I233" s="8">
        <f t="shared" si="7"/>
        <v>-7.3469387755102047E-2</v>
      </c>
    </row>
    <row r="234" spans="1:9" x14ac:dyDescent="0.2">
      <c r="A234" s="2">
        <f ca="1">IFERROR(__xludf.DUMMYFUNCTION("""COMPUTED_VALUE"""),45646.6666666666)</f>
        <v>45646.666666666599</v>
      </c>
      <c r="B234" s="2"/>
      <c r="C234" s="1">
        <v>5675</v>
      </c>
      <c r="D234" s="1">
        <v>5750</v>
      </c>
      <c r="E234" s="1">
        <v>5625</v>
      </c>
      <c r="F234" s="1">
        <v>5675</v>
      </c>
      <c r="G234" s="1">
        <v>148568600</v>
      </c>
      <c r="H234" s="8">
        <f t="shared" si="6"/>
        <v>0</v>
      </c>
      <c r="I234" s="8">
        <f t="shared" si="7"/>
        <v>-7.3469387755102047E-2</v>
      </c>
    </row>
    <row r="235" spans="1:9" x14ac:dyDescent="0.2">
      <c r="A235" s="2">
        <f ca="1">IFERROR(__xludf.DUMMYFUNCTION("""COMPUTED_VALUE"""),45649.6666666666)</f>
        <v>45649.666666666599</v>
      </c>
      <c r="B235" s="2"/>
      <c r="C235" s="1">
        <v>5800</v>
      </c>
      <c r="D235" s="1">
        <v>5875</v>
      </c>
      <c r="E235" s="1">
        <v>5725</v>
      </c>
      <c r="F235" s="1">
        <v>5825</v>
      </c>
      <c r="G235" s="1">
        <v>82910100</v>
      </c>
      <c r="H235" s="8">
        <f t="shared" si="6"/>
        <v>2.643171806167401E-2</v>
      </c>
      <c r="I235" s="8">
        <f t="shared" si="7"/>
        <v>-4.8979591836734691E-2</v>
      </c>
    </row>
    <row r="236" spans="1:9" x14ac:dyDescent="0.2">
      <c r="A236" s="2">
        <f ca="1">IFERROR(__xludf.DUMMYFUNCTION("""COMPUTED_VALUE"""),45650.6666666666)</f>
        <v>45650.666666666599</v>
      </c>
      <c r="B236" s="2"/>
      <c r="C236" s="1">
        <v>5825</v>
      </c>
      <c r="D236" s="1">
        <v>5875</v>
      </c>
      <c r="E236" s="1">
        <v>5750</v>
      </c>
      <c r="F236" s="1">
        <v>5750</v>
      </c>
      <c r="G236" s="1">
        <v>41240900</v>
      </c>
      <c r="H236" s="8">
        <f t="shared" si="6"/>
        <v>-1.2875536480686695E-2</v>
      </c>
      <c r="I236" s="8">
        <f t="shared" si="7"/>
        <v>-6.1224489795918366E-2</v>
      </c>
    </row>
    <row r="237" spans="1:9" x14ac:dyDescent="0.2">
      <c r="A237" s="2">
        <f ca="1">IFERROR(__xludf.DUMMYFUNCTION("""COMPUTED_VALUE"""),45653.6666666666)</f>
        <v>45653.666666666599</v>
      </c>
      <c r="B237" s="2"/>
      <c r="C237" s="1">
        <v>5750</v>
      </c>
      <c r="D237" s="1">
        <v>5850</v>
      </c>
      <c r="E237" s="1">
        <v>5750</v>
      </c>
      <c r="F237" s="1">
        <v>5800</v>
      </c>
      <c r="G237" s="1">
        <v>46126800</v>
      </c>
      <c r="H237" s="8">
        <f t="shared" si="6"/>
        <v>8.6956521739130436E-3</v>
      </c>
      <c r="I237" s="8">
        <f t="shared" si="7"/>
        <v>-5.3061224489795916E-2</v>
      </c>
    </row>
    <row r="238" spans="1:9" x14ac:dyDescent="0.2">
      <c r="A238" s="2">
        <f ca="1">IFERROR(__xludf.DUMMYFUNCTION("""COMPUTED_VALUE"""),45656.6666666666)</f>
        <v>45656.666666666599</v>
      </c>
      <c r="B238" s="2"/>
      <c r="C238" s="1">
        <v>5675</v>
      </c>
      <c r="D238" s="1">
        <v>5750</v>
      </c>
      <c r="E238" s="1">
        <v>5650</v>
      </c>
      <c r="F238" s="1">
        <v>5700</v>
      </c>
      <c r="G238" s="1">
        <v>96782100</v>
      </c>
      <c r="H238" s="8">
        <f t="shared" si="6"/>
        <v>-1.7241379310344827E-2</v>
      </c>
      <c r="I238" s="8">
        <f t="shared" si="7"/>
        <v>-6.9387755102040816E-2</v>
      </c>
    </row>
    <row r="239" spans="1:9" x14ac:dyDescent="0.2">
      <c r="A239" s="2">
        <f ca="1">IFERROR(__xludf.DUMMYFUNCTION("""COMPUTED_VALUE"""),45659.6666666666)</f>
        <v>45659.666666666599</v>
      </c>
      <c r="B239" s="2"/>
      <c r="C239" s="1">
        <v>5700</v>
      </c>
      <c r="D239" s="1">
        <v>5850</v>
      </c>
      <c r="E239" s="1">
        <v>5700</v>
      </c>
      <c r="F239" s="1">
        <v>5850</v>
      </c>
      <c r="G239" s="1">
        <v>82914600</v>
      </c>
      <c r="H239" s="8">
        <f t="shared" si="6"/>
        <v>2.6315789473684209E-2</v>
      </c>
      <c r="I239" s="8">
        <f t="shared" si="7"/>
        <v>-4.4897959183673466E-2</v>
      </c>
    </row>
    <row r="240" spans="1:9" x14ac:dyDescent="0.2">
      <c r="A240" s="2">
        <f ca="1">IFERROR(__xludf.DUMMYFUNCTION("""COMPUTED_VALUE"""),45660.6666666666)</f>
        <v>45660.666666666599</v>
      </c>
      <c r="B240" s="2"/>
      <c r="C240" s="1">
        <v>5850</v>
      </c>
      <c r="D240" s="1">
        <v>5875</v>
      </c>
      <c r="E240" s="1">
        <v>5775</v>
      </c>
      <c r="F240" s="1">
        <v>5800</v>
      </c>
      <c r="G240" s="1">
        <v>58067100</v>
      </c>
      <c r="H240" s="8">
        <f t="shared" si="6"/>
        <v>-8.5470085470085479E-3</v>
      </c>
      <c r="I240" s="8">
        <f t="shared" si="7"/>
        <v>-5.3061224489795916E-2</v>
      </c>
    </row>
    <row r="241" spans="1:9" x14ac:dyDescent="0.2">
      <c r="A241" s="2">
        <f ca="1">IFERROR(__xludf.DUMMYFUNCTION("""COMPUTED_VALUE"""),45663.6666666666)</f>
        <v>45663.666666666599</v>
      </c>
      <c r="B241" s="2"/>
      <c r="C241" s="1">
        <v>5825</v>
      </c>
      <c r="D241" s="1">
        <v>5825</v>
      </c>
      <c r="E241" s="1">
        <v>5650</v>
      </c>
      <c r="F241" s="1">
        <v>5675</v>
      </c>
      <c r="G241" s="1">
        <v>68443700</v>
      </c>
      <c r="H241" s="8">
        <f t="shared" si="6"/>
        <v>-2.1551724137931036E-2</v>
      </c>
      <c r="I241" s="8">
        <f t="shared" si="7"/>
        <v>-7.3469387755102047E-2</v>
      </c>
    </row>
    <row r="242" spans="1:9" x14ac:dyDescent="0.2">
      <c r="A242" s="2">
        <f ca="1">IFERROR(__xludf.DUMMYFUNCTION("""COMPUTED_VALUE"""),45664.6666666666)</f>
        <v>45664.666666666599</v>
      </c>
      <c r="B242" s="2"/>
      <c r="C242" s="1">
        <v>5600</v>
      </c>
      <c r="D242" s="1">
        <v>5650</v>
      </c>
      <c r="E242" s="1">
        <v>5550</v>
      </c>
      <c r="F242" s="1">
        <v>5600</v>
      </c>
      <c r="G242" s="1">
        <v>96982300</v>
      </c>
      <c r="H242" s="8">
        <f t="shared" si="6"/>
        <v>-1.3215859030837005E-2</v>
      </c>
      <c r="I242" s="8">
        <f t="shared" si="7"/>
        <v>-8.5714285714285715E-2</v>
      </c>
    </row>
    <row r="243" spans="1:9" x14ac:dyDescent="0.2">
      <c r="A243" s="2">
        <f ca="1">IFERROR(__xludf.DUMMYFUNCTION("""COMPUTED_VALUE"""),45665.6666666666)</f>
        <v>45665.666666666599</v>
      </c>
      <c r="B243" s="2"/>
      <c r="C243" s="1">
        <v>5600</v>
      </c>
      <c r="D243" s="1">
        <v>5750</v>
      </c>
      <c r="E243" s="1">
        <v>5600</v>
      </c>
      <c r="F243" s="1">
        <v>5750</v>
      </c>
      <c r="G243" s="1">
        <v>118246100</v>
      </c>
      <c r="H243" s="8">
        <f t="shared" si="6"/>
        <v>2.6785714285714284E-2</v>
      </c>
      <c r="I243" s="8">
        <f t="shared" si="7"/>
        <v>-6.1224489795918366E-2</v>
      </c>
    </row>
    <row r="244" spans="1:9" x14ac:dyDescent="0.2">
      <c r="A244" s="2">
        <f ca="1">IFERROR(__xludf.DUMMYFUNCTION("""COMPUTED_VALUE"""),45666.6666666666)</f>
        <v>45666.666666666599</v>
      </c>
      <c r="B244" s="2"/>
      <c r="C244" s="1">
        <v>5725</v>
      </c>
      <c r="D244" s="1">
        <v>5775</v>
      </c>
      <c r="E244" s="1">
        <v>5700</v>
      </c>
      <c r="F244" s="1">
        <v>5750</v>
      </c>
      <c r="G244" s="1">
        <v>56491700</v>
      </c>
      <c r="H244" s="8">
        <f t="shared" si="6"/>
        <v>0</v>
      </c>
      <c r="I244" s="8">
        <f t="shared" si="7"/>
        <v>-6.1224489795918366E-2</v>
      </c>
    </row>
    <row r="245" spans="1:9" x14ac:dyDescent="0.2">
      <c r="A245" s="2">
        <f ca="1">IFERROR(__xludf.DUMMYFUNCTION("""COMPUTED_VALUE"""),45667.6666666666)</f>
        <v>45667.666666666599</v>
      </c>
      <c r="B245" s="2"/>
      <c r="C245" s="1">
        <v>5750</v>
      </c>
      <c r="D245" s="1">
        <v>5775</v>
      </c>
      <c r="E245" s="1">
        <v>5600</v>
      </c>
      <c r="F245" s="1">
        <v>5600</v>
      </c>
      <c r="G245" s="1">
        <v>77751500</v>
      </c>
      <c r="H245" s="8">
        <f t="shared" si="6"/>
        <v>-2.6086956521739129E-2</v>
      </c>
      <c r="I245" s="8">
        <f t="shared" si="7"/>
        <v>-8.5714285714285715E-2</v>
      </c>
    </row>
    <row r="246" spans="1:9" x14ac:dyDescent="0.2">
      <c r="A246" s="2">
        <f ca="1">IFERROR(__xludf.DUMMYFUNCTION("""COMPUTED_VALUE"""),45670.6666666666)</f>
        <v>45670.666666666599</v>
      </c>
      <c r="B246" s="2"/>
      <c r="C246" s="1">
        <v>5500</v>
      </c>
      <c r="D246" s="1">
        <v>5550</v>
      </c>
      <c r="E246" s="1">
        <v>5475</v>
      </c>
      <c r="F246" s="1">
        <v>5525</v>
      </c>
      <c r="G246" s="1">
        <v>99953900</v>
      </c>
      <c r="H246" s="8">
        <f t="shared" si="6"/>
        <v>-1.3392857142857142E-2</v>
      </c>
      <c r="I246" s="8">
        <f t="shared" si="7"/>
        <v>-9.7959183673469383E-2</v>
      </c>
    </row>
    <row r="247" spans="1:9" x14ac:dyDescent="0.2">
      <c r="A247" s="2">
        <f ca="1">IFERROR(__xludf.DUMMYFUNCTION("""COMPUTED_VALUE"""),45671.6666666666)</f>
        <v>45671.666666666599</v>
      </c>
      <c r="B247" s="2"/>
      <c r="C247" s="1">
        <v>5425</v>
      </c>
      <c r="D247" s="1">
        <v>5575</v>
      </c>
      <c r="E247" s="1">
        <v>5400</v>
      </c>
      <c r="F247" s="1">
        <v>5400</v>
      </c>
      <c r="G247" s="1">
        <v>97351900</v>
      </c>
      <c r="H247" s="8">
        <f t="shared" si="6"/>
        <v>-2.2624434389140271E-2</v>
      </c>
      <c r="I247" s="8">
        <f t="shared" si="7"/>
        <v>-0.11836734693877551</v>
      </c>
    </row>
    <row r="248" spans="1:9" x14ac:dyDescent="0.2">
      <c r="A248" s="2">
        <f ca="1">IFERROR(__xludf.DUMMYFUNCTION("""COMPUTED_VALUE"""),45672.6666666666)</f>
        <v>45672.666666666599</v>
      </c>
      <c r="B248" s="2"/>
      <c r="C248" s="1">
        <v>5475</v>
      </c>
      <c r="D248" s="1">
        <v>5825</v>
      </c>
      <c r="E248" s="1">
        <v>5450</v>
      </c>
      <c r="F248" s="1">
        <v>5750</v>
      </c>
      <c r="G248" s="1">
        <v>194025700</v>
      </c>
      <c r="H248" s="8">
        <f t="shared" si="6"/>
        <v>6.4814814814814811E-2</v>
      </c>
      <c r="I248" s="8">
        <f t="shared" si="7"/>
        <v>-6.1224489795918366E-2</v>
      </c>
    </row>
    <row r="249" spans="1:9" x14ac:dyDescent="0.2">
      <c r="A249" s="2">
        <f ca="1">IFERROR(__xludf.DUMMYFUNCTION("""COMPUTED_VALUE"""),45673.6666666666)</f>
        <v>45673.666666666599</v>
      </c>
      <c r="B249" s="2"/>
      <c r="C249" s="1">
        <v>6075</v>
      </c>
      <c r="D249" s="1">
        <v>6200</v>
      </c>
      <c r="E249" s="1">
        <v>5850</v>
      </c>
      <c r="F249" s="1">
        <v>5875</v>
      </c>
      <c r="G249" s="1">
        <v>204359900</v>
      </c>
      <c r="H249" s="8">
        <f t="shared" si="6"/>
        <v>2.1739130434782608E-2</v>
      </c>
      <c r="I249" s="8">
        <f t="shared" si="7"/>
        <v>-4.0816326530612242E-2</v>
      </c>
    </row>
    <row r="250" spans="1:9" x14ac:dyDescent="0.2">
      <c r="A250" s="2">
        <f ca="1">IFERROR(__xludf.DUMMYFUNCTION("""COMPUTED_VALUE"""),45674.6666666666)</f>
        <v>45674.666666666599</v>
      </c>
      <c r="B250" s="2"/>
      <c r="C250" s="1">
        <v>5800</v>
      </c>
      <c r="D250" s="1">
        <v>6050</v>
      </c>
      <c r="E250" s="1">
        <v>5750</v>
      </c>
      <c r="F250" s="1">
        <v>5875</v>
      </c>
      <c r="G250" s="1">
        <v>114054600</v>
      </c>
      <c r="H250" s="8">
        <f t="shared" si="6"/>
        <v>0</v>
      </c>
      <c r="I250" s="8">
        <f t="shared" si="7"/>
        <v>-4.0816326530612242E-2</v>
      </c>
    </row>
    <row r="251" spans="1:9" x14ac:dyDescent="0.2">
      <c r="A251" s="2">
        <f ca="1">IFERROR(__xludf.DUMMYFUNCTION("""COMPUTED_VALUE"""),45677.6666666666)</f>
        <v>45677.666666666599</v>
      </c>
      <c r="B251" s="2"/>
      <c r="C251" s="1">
        <v>6000</v>
      </c>
      <c r="D251" s="1">
        <v>6050</v>
      </c>
      <c r="E251" s="1">
        <v>5925</v>
      </c>
      <c r="F251" s="1">
        <v>6000</v>
      </c>
      <c r="G251" s="1">
        <v>84338400</v>
      </c>
      <c r="H251" s="8">
        <f t="shared" si="6"/>
        <v>2.1276595744680851E-2</v>
      </c>
      <c r="I251" s="8">
        <f t="shared" si="7"/>
        <v>-2.0408163265306121E-2</v>
      </c>
    </row>
    <row r="252" spans="1:9" x14ac:dyDescent="0.2">
      <c r="A252" s="2">
        <f ca="1">IFERROR(__xludf.DUMMYFUNCTION("""COMPUTED_VALUE"""),45678.6666666666)</f>
        <v>45678.666666666599</v>
      </c>
      <c r="B252" s="2"/>
      <c r="C252" s="1">
        <v>6100</v>
      </c>
      <c r="D252" s="1">
        <v>6175</v>
      </c>
      <c r="E252" s="1">
        <v>6025</v>
      </c>
      <c r="F252" s="1">
        <v>6050</v>
      </c>
      <c r="G252" s="1">
        <v>115355900</v>
      </c>
      <c r="H252" s="8">
        <f t="shared" si="6"/>
        <v>8.3333333333333332E-3</v>
      </c>
      <c r="I252" s="8">
        <f t="shared" si="7"/>
        <v>-1.2244897959183673E-2</v>
      </c>
    </row>
    <row r="253" spans="1:9" x14ac:dyDescent="0.2">
      <c r="A253" s="2">
        <f ca="1">IFERROR(__xludf.DUMMYFUNCTION("""COMPUTED_VALUE"""),45679.6666666666)</f>
        <v>45679.666666666599</v>
      </c>
      <c r="B253" s="2"/>
      <c r="C253" s="1">
        <v>6150</v>
      </c>
      <c r="D253" s="1">
        <v>6200</v>
      </c>
      <c r="E253" s="1">
        <v>6100</v>
      </c>
      <c r="F253" s="1">
        <v>6150</v>
      </c>
      <c r="G253" s="1">
        <v>117929800</v>
      </c>
      <c r="H253" s="8">
        <f t="shared" si="6"/>
        <v>1.6528925619834711E-2</v>
      </c>
      <c r="I253" s="8">
        <f t="shared" si="7"/>
        <v>4.0816326530612249E-3</v>
      </c>
    </row>
    <row r="254" spans="1:9" x14ac:dyDescent="0.2">
      <c r="A254" s="2">
        <f ca="1">IFERROR(__xludf.DUMMYFUNCTION("""COMPUTED_VALUE"""),45680.6666666666)</f>
        <v>45680.666666666599</v>
      </c>
      <c r="B254" s="2"/>
      <c r="C254" s="1">
        <v>6200</v>
      </c>
      <c r="D254" s="1">
        <v>6300</v>
      </c>
      <c r="E254" s="1">
        <v>6175</v>
      </c>
      <c r="F254" s="1">
        <v>6175</v>
      </c>
      <c r="G254" s="1">
        <v>120893700</v>
      </c>
      <c r="H254" s="8">
        <f t="shared" si="6"/>
        <v>4.0650406504065045E-3</v>
      </c>
      <c r="I254" s="8">
        <f t="shared" si="7"/>
        <v>8.1632653061224497E-3</v>
      </c>
    </row>
    <row r="255" spans="1:9" x14ac:dyDescent="0.2">
      <c r="A255" s="2">
        <f ca="1">IFERROR(__xludf.DUMMYFUNCTION("""COMPUTED_VALUE"""),45681.6666666666)</f>
        <v>45681.666666666599</v>
      </c>
      <c r="B255" s="2"/>
      <c r="C255" s="1">
        <v>6250</v>
      </c>
      <c r="D255" s="1">
        <v>6250</v>
      </c>
      <c r="E255" s="1">
        <v>6125</v>
      </c>
      <c r="F255" s="1">
        <v>6125</v>
      </c>
      <c r="G255" s="1">
        <v>96161800</v>
      </c>
      <c r="H255" s="8">
        <f t="shared" si="6"/>
        <v>-8.0971659919028341E-3</v>
      </c>
      <c r="I255" s="8">
        <f t="shared" si="7"/>
        <v>0</v>
      </c>
    </row>
    <row r="256" spans="1:9" x14ac:dyDescent="0.2">
      <c r="A256" s="2">
        <f ca="1">IFERROR(__xludf.DUMMYFUNCTION("""COMPUTED_VALUE"""),45687.6666666666)</f>
        <v>45687.666666666599</v>
      </c>
      <c r="B256" s="2"/>
      <c r="C256" s="1">
        <v>6100</v>
      </c>
      <c r="D256" s="1">
        <v>6225</v>
      </c>
      <c r="E256" s="1">
        <v>6075</v>
      </c>
      <c r="F256" s="1">
        <v>6100</v>
      </c>
      <c r="G256" s="1">
        <v>101400400</v>
      </c>
      <c r="H256" s="8">
        <f t="shared" si="6"/>
        <v>-4.0816326530612249E-3</v>
      </c>
      <c r="I256" s="8">
        <f t="shared" si="7"/>
        <v>-4.0816326530612249E-3</v>
      </c>
    </row>
    <row r="257" spans="1:9" x14ac:dyDescent="0.2">
      <c r="A257" s="2">
        <f ca="1">IFERROR(__xludf.DUMMYFUNCTION("""COMPUTED_VALUE"""),45688.6666666666)</f>
        <v>45688.666666666599</v>
      </c>
      <c r="B257" s="2"/>
      <c r="C257" s="1">
        <v>6175</v>
      </c>
      <c r="D257" s="1">
        <v>6225</v>
      </c>
      <c r="E257" s="1">
        <v>6025</v>
      </c>
      <c r="F257" s="1">
        <v>6025</v>
      </c>
      <c r="G257" s="1">
        <v>107861000</v>
      </c>
      <c r="H257" s="8">
        <f t="shared" si="6"/>
        <v>-1.2295081967213115E-2</v>
      </c>
      <c r="I257" s="8">
        <f t="shared" si="7"/>
        <v>-1.6326530612244899E-2</v>
      </c>
    </row>
    <row r="258" spans="1:9" x14ac:dyDescent="0.2">
      <c r="A258" s="2">
        <f ca="1">IFERROR(__xludf.DUMMYFUNCTION("""COMPUTED_VALUE"""),45691.6666666666)</f>
        <v>45691.666666666599</v>
      </c>
      <c r="B258" s="2"/>
      <c r="C258" s="1">
        <v>5975</v>
      </c>
      <c r="D258" s="1">
        <v>6000</v>
      </c>
      <c r="E258" s="1">
        <v>5700</v>
      </c>
      <c r="F258" s="1">
        <v>5800</v>
      </c>
      <c r="G258" s="1">
        <v>182181700</v>
      </c>
      <c r="H258" s="8">
        <f t="shared" si="6"/>
        <v>-3.7344398340248962E-2</v>
      </c>
      <c r="I258" s="8">
        <f t="shared" si="7"/>
        <v>-5.3061224489795916E-2</v>
      </c>
    </row>
    <row r="259" spans="1:9" x14ac:dyDescent="0.2">
      <c r="A259" s="2">
        <f ca="1">IFERROR(__xludf.DUMMYFUNCTION("""COMPUTED_VALUE"""),45692.6666666666)</f>
        <v>45692.666666666599</v>
      </c>
      <c r="B259" s="2"/>
      <c r="C259" s="1">
        <v>5825</v>
      </c>
      <c r="D259" s="1">
        <v>5850</v>
      </c>
      <c r="E259" s="1">
        <v>5625</v>
      </c>
      <c r="F259" s="1">
        <v>5675</v>
      </c>
      <c r="G259" s="1">
        <v>121871500</v>
      </c>
      <c r="H259" s="8">
        <f t="shared" si="6"/>
        <v>-2.1551724137931036E-2</v>
      </c>
      <c r="I259" s="8">
        <f t="shared" si="7"/>
        <v>-7.3469387755102047E-2</v>
      </c>
    </row>
    <row r="260" spans="1:9" x14ac:dyDescent="0.2">
      <c r="A260" s="2">
        <f ca="1">IFERROR(__xludf.DUMMYFUNCTION("""COMPUTED_VALUE"""),45693.6666666666)</f>
        <v>45693.666666666599</v>
      </c>
      <c r="B260" s="2"/>
      <c r="C260" s="1">
        <v>5600</v>
      </c>
      <c r="D260" s="1">
        <v>5600</v>
      </c>
      <c r="E260" s="1">
        <v>5475</v>
      </c>
      <c r="F260" s="1">
        <v>5525</v>
      </c>
      <c r="G260" s="1">
        <v>185656000</v>
      </c>
      <c r="H260" s="8">
        <f t="shared" ref="H260:H323" si="8">(F260-F259)/F259</f>
        <v>-2.643171806167401E-2</v>
      </c>
      <c r="I260" s="8">
        <f t="shared" ref="I260:I323" si="9">(F260-$F$2)/$F$2</f>
        <v>-9.7959183673469383E-2</v>
      </c>
    </row>
    <row r="261" spans="1:9" x14ac:dyDescent="0.2">
      <c r="A261" s="2">
        <f ca="1">IFERROR(__xludf.DUMMYFUNCTION("""COMPUTED_VALUE"""),45694.6666666666)</f>
        <v>45694.666666666599</v>
      </c>
      <c r="B261" s="2"/>
      <c r="C261" s="1">
        <v>5425</v>
      </c>
      <c r="D261" s="1">
        <v>5425</v>
      </c>
      <c r="E261" s="1">
        <v>5000</v>
      </c>
      <c r="F261" s="1">
        <v>5100</v>
      </c>
      <c r="G261" s="1">
        <v>642118700</v>
      </c>
      <c r="H261" s="8">
        <f t="shared" si="8"/>
        <v>-7.6923076923076927E-2</v>
      </c>
      <c r="I261" s="8">
        <f t="shared" si="9"/>
        <v>-0.16734693877551021</v>
      </c>
    </row>
    <row r="262" spans="1:9" x14ac:dyDescent="0.2">
      <c r="A262" s="2">
        <f ca="1">IFERROR(__xludf.DUMMYFUNCTION("""COMPUTED_VALUE"""),45695.6666666666)</f>
        <v>45695.666666666599</v>
      </c>
      <c r="B262" s="2"/>
      <c r="C262" s="1">
        <v>5000</v>
      </c>
      <c r="D262" s="1">
        <v>5150</v>
      </c>
      <c r="E262" s="1">
        <v>4950</v>
      </c>
      <c r="F262" s="1">
        <v>5150</v>
      </c>
      <c r="G262" s="1">
        <v>407896100</v>
      </c>
      <c r="H262" s="8">
        <f t="shared" si="8"/>
        <v>9.8039215686274508E-3</v>
      </c>
      <c r="I262" s="8">
        <f t="shared" si="9"/>
        <v>-0.15918367346938775</v>
      </c>
    </row>
    <row r="263" spans="1:9" x14ac:dyDescent="0.2">
      <c r="A263" s="2">
        <f ca="1">IFERROR(__xludf.DUMMYFUNCTION("""COMPUTED_VALUE"""),45698.6666666666)</f>
        <v>45698.666666666599</v>
      </c>
      <c r="B263" s="2"/>
      <c r="C263" s="1">
        <v>5150</v>
      </c>
      <c r="D263" s="1">
        <v>5150</v>
      </c>
      <c r="E263" s="1">
        <v>4990</v>
      </c>
      <c r="F263" s="1">
        <v>5000</v>
      </c>
      <c r="G263" s="1">
        <v>169384300</v>
      </c>
      <c r="H263" s="8">
        <f t="shared" si="8"/>
        <v>-2.9126213592233011E-2</v>
      </c>
      <c r="I263" s="8">
        <f t="shared" si="9"/>
        <v>-0.18367346938775511</v>
      </c>
    </row>
    <row r="264" spans="1:9" x14ac:dyDescent="0.2">
      <c r="A264" s="2">
        <f ca="1">IFERROR(__xludf.DUMMYFUNCTION("""COMPUTED_VALUE"""),45699.6666666666)</f>
        <v>45699.666666666599</v>
      </c>
      <c r="B264" s="2"/>
      <c r="C264" s="1">
        <v>4750</v>
      </c>
      <c r="D264" s="1">
        <v>4950</v>
      </c>
      <c r="E264" s="1">
        <v>4750</v>
      </c>
      <c r="F264" s="1">
        <v>4880</v>
      </c>
      <c r="G264" s="1">
        <v>316743200</v>
      </c>
      <c r="H264" s="8">
        <f t="shared" si="8"/>
        <v>-2.4E-2</v>
      </c>
      <c r="I264" s="8">
        <f t="shared" si="9"/>
        <v>-0.20326530612244897</v>
      </c>
    </row>
    <row r="265" spans="1:9" x14ac:dyDescent="0.2">
      <c r="A265" s="2">
        <f ca="1">IFERROR(__xludf.DUMMYFUNCTION("""COMPUTED_VALUE"""),45700.6666666666)</f>
        <v>45700.666666666599</v>
      </c>
      <c r="B265" s="2"/>
      <c r="C265" s="1">
        <v>4920</v>
      </c>
      <c r="D265" s="1">
        <v>4950</v>
      </c>
      <c r="E265" s="1">
        <v>4830</v>
      </c>
      <c r="F265" s="1">
        <v>4940</v>
      </c>
      <c r="G265" s="1">
        <v>225073300</v>
      </c>
      <c r="H265" s="8">
        <f t="shared" si="8"/>
        <v>1.2295081967213115E-2</v>
      </c>
      <c r="I265" s="8">
        <f t="shared" si="9"/>
        <v>-0.19346938775510203</v>
      </c>
    </row>
    <row r="266" spans="1:9" x14ac:dyDescent="0.2">
      <c r="A266" s="2">
        <f ca="1">IFERROR(__xludf.DUMMYFUNCTION("""COMPUTED_VALUE"""),45701.6666666666)</f>
        <v>45701.666666666599</v>
      </c>
      <c r="B266" s="2"/>
      <c r="C266" s="1">
        <v>4940</v>
      </c>
      <c r="D266" s="1">
        <v>5075</v>
      </c>
      <c r="E266" s="1">
        <v>4900</v>
      </c>
      <c r="F266" s="1">
        <v>5025</v>
      </c>
      <c r="G266" s="1">
        <v>215271400</v>
      </c>
      <c r="H266" s="8">
        <f t="shared" si="8"/>
        <v>1.7206477732793522E-2</v>
      </c>
      <c r="I266" s="8">
        <f t="shared" si="9"/>
        <v>-0.17959183673469387</v>
      </c>
    </row>
    <row r="267" spans="1:9" x14ac:dyDescent="0.2">
      <c r="A267" s="2">
        <f ca="1">IFERROR(__xludf.DUMMYFUNCTION("""COMPUTED_VALUE"""),45702.6666666666)</f>
        <v>45702.666666666599</v>
      </c>
      <c r="B267" s="2"/>
      <c r="C267" s="1">
        <v>5100</v>
      </c>
      <c r="D267" s="1">
        <v>5200</v>
      </c>
      <c r="E267" s="1">
        <v>4970</v>
      </c>
      <c r="F267" s="1">
        <v>5125</v>
      </c>
      <c r="G267" s="1">
        <v>239709300</v>
      </c>
      <c r="H267" s="8">
        <f t="shared" si="8"/>
        <v>1.9900497512437811E-2</v>
      </c>
      <c r="I267" s="8">
        <f t="shared" si="9"/>
        <v>-0.16326530612244897</v>
      </c>
    </row>
    <row r="268" spans="1:9" x14ac:dyDescent="0.2">
      <c r="A268" s="2">
        <f ca="1">IFERROR(__xludf.DUMMYFUNCTION("""COMPUTED_VALUE"""),45705.6666666666)</f>
        <v>45705.666666666599</v>
      </c>
      <c r="B268" s="2"/>
      <c r="C268" s="1">
        <v>5200</v>
      </c>
      <c r="D268" s="1">
        <v>5475</v>
      </c>
      <c r="E268" s="1">
        <v>5175</v>
      </c>
      <c r="F268" s="1">
        <v>5425</v>
      </c>
      <c r="G268" s="1">
        <v>223837300</v>
      </c>
      <c r="H268" s="8">
        <f t="shared" si="8"/>
        <v>5.8536585365853662E-2</v>
      </c>
      <c r="I268" s="8">
        <f t="shared" si="9"/>
        <v>-0.11428571428571428</v>
      </c>
    </row>
    <row r="269" spans="1:9" x14ac:dyDescent="0.2">
      <c r="A269" s="2">
        <f ca="1">IFERROR(__xludf.DUMMYFUNCTION("""COMPUTED_VALUE"""),45706.6666666666)</f>
        <v>45706.666666666599</v>
      </c>
      <c r="B269" s="2"/>
      <c r="C269" s="1">
        <v>5450</v>
      </c>
      <c r="D269" s="1">
        <v>5550</v>
      </c>
      <c r="E269" s="1">
        <v>5375</v>
      </c>
      <c r="F269" s="1">
        <v>5450</v>
      </c>
      <c r="G269" s="1">
        <v>157430200</v>
      </c>
      <c r="H269" s="8">
        <f t="shared" si="8"/>
        <v>4.608294930875576E-3</v>
      </c>
      <c r="I269" s="8">
        <f t="shared" si="9"/>
        <v>-0.11020408163265306</v>
      </c>
    </row>
    <row r="270" spans="1:9" x14ac:dyDescent="0.2">
      <c r="A270" s="2">
        <f ca="1">IFERROR(__xludf.DUMMYFUNCTION("""COMPUTED_VALUE"""),45707.6666666666)</f>
        <v>45707.666666666599</v>
      </c>
      <c r="B270" s="2"/>
      <c r="C270" s="1">
        <v>5375</v>
      </c>
      <c r="D270" s="1">
        <v>5400</v>
      </c>
      <c r="E270" s="1">
        <v>5125</v>
      </c>
      <c r="F270" s="1">
        <v>5175</v>
      </c>
      <c r="G270" s="1">
        <v>204335500</v>
      </c>
      <c r="H270" s="8">
        <f t="shared" si="8"/>
        <v>-5.0458715596330278E-2</v>
      </c>
      <c r="I270" s="8">
        <f t="shared" si="9"/>
        <v>-0.15510204081632653</v>
      </c>
    </row>
    <row r="271" spans="1:9" x14ac:dyDescent="0.2">
      <c r="A271" s="2">
        <f ca="1">IFERROR(__xludf.DUMMYFUNCTION("""COMPUTED_VALUE"""),45708.6666666666)</f>
        <v>45708.666666666599</v>
      </c>
      <c r="B271" s="2"/>
      <c r="C271" s="1">
        <v>5125</v>
      </c>
      <c r="D271" s="1">
        <v>5225</v>
      </c>
      <c r="E271" s="1">
        <v>5100</v>
      </c>
      <c r="F271" s="1">
        <v>5150</v>
      </c>
      <c r="G271" s="1">
        <v>98363500</v>
      </c>
      <c r="H271" s="8">
        <f t="shared" si="8"/>
        <v>-4.830917874396135E-3</v>
      </c>
      <c r="I271" s="8">
        <f t="shared" si="9"/>
        <v>-0.15918367346938775</v>
      </c>
    </row>
    <row r="272" spans="1:9" x14ac:dyDescent="0.2">
      <c r="A272" s="2">
        <f ca="1">IFERROR(__xludf.DUMMYFUNCTION("""COMPUTED_VALUE"""),45709.6666666666)</f>
        <v>45709.666666666599</v>
      </c>
      <c r="B272" s="2"/>
      <c r="C272" s="1">
        <v>5000</v>
      </c>
      <c r="D272" s="1">
        <v>5100</v>
      </c>
      <c r="E272" s="1">
        <v>5000</v>
      </c>
      <c r="F272" s="1">
        <v>5075</v>
      </c>
      <c r="G272" s="1">
        <v>152528600</v>
      </c>
      <c r="H272" s="8">
        <f t="shared" si="8"/>
        <v>-1.4563106796116505E-2</v>
      </c>
      <c r="I272" s="8">
        <f t="shared" si="9"/>
        <v>-0.17142857142857143</v>
      </c>
    </row>
    <row r="273" spans="1:9" x14ac:dyDescent="0.2">
      <c r="A273" s="2">
        <f ca="1">IFERROR(__xludf.DUMMYFUNCTION("""COMPUTED_VALUE"""),45712.6666666666)</f>
        <v>45712.666666666599</v>
      </c>
      <c r="B273" s="2"/>
      <c r="C273" s="1">
        <v>5050</v>
      </c>
      <c r="D273" s="1">
        <v>5075</v>
      </c>
      <c r="E273" s="1">
        <v>4980</v>
      </c>
      <c r="F273" s="1">
        <v>5025</v>
      </c>
      <c r="G273" s="1">
        <v>127578500</v>
      </c>
      <c r="H273" s="8">
        <f t="shared" si="8"/>
        <v>-9.852216748768473E-3</v>
      </c>
      <c r="I273" s="8">
        <f t="shared" si="9"/>
        <v>-0.17959183673469387</v>
      </c>
    </row>
    <row r="274" spans="1:9" x14ac:dyDescent="0.2">
      <c r="A274" s="2">
        <f ca="1">IFERROR(__xludf.DUMMYFUNCTION("""COMPUTED_VALUE"""),45713.6666666666)</f>
        <v>45713.666666666599</v>
      </c>
      <c r="B274" s="2"/>
      <c r="C274" s="1">
        <v>5000</v>
      </c>
      <c r="D274" s="1">
        <v>5025</v>
      </c>
      <c r="E274" s="1">
        <v>4860</v>
      </c>
      <c r="F274" s="1">
        <v>4870</v>
      </c>
      <c r="G274" s="1">
        <v>224607800</v>
      </c>
      <c r="H274" s="8">
        <f t="shared" si="8"/>
        <v>-3.0845771144278607E-2</v>
      </c>
      <c r="I274" s="8">
        <f t="shared" si="9"/>
        <v>-0.20489795918367346</v>
      </c>
    </row>
    <row r="275" spans="1:9" x14ac:dyDescent="0.2">
      <c r="A275" s="2">
        <f ca="1">IFERROR(__xludf.DUMMYFUNCTION("""COMPUTED_VALUE"""),45714.6666666666)</f>
        <v>45714.666666666599</v>
      </c>
      <c r="B275" s="2"/>
      <c r="C275" s="1">
        <v>4860</v>
      </c>
      <c r="D275" s="1">
        <v>4980</v>
      </c>
      <c r="E275" s="1">
        <v>4850</v>
      </c>
      <c r="F275" s="1">
        <v>4920</v>
      </c>
      <c r="G275" s="1">
        <v>161836900</v>
      </c>
      <c r="H275" s="8">
        <f t="shared" si="8"/>
        <v>1.0266940451745379E-2</v>
      </c>
      <c r="I275" s="8">
        <f t="shared" si="9"/>
        <v>-0.19673469387755102</v>
      </c>
    </row>
    <row r="276" spans="1:9" x14ac:dyDescent="0.2">
      <c r="A276" s="2">
        <f ca="1">IFERROR(__xludf.DUMMYFUNCTION("""COMPUTED_VALUE"""),45715.6666666666)</f>
        <v>45715.666666666599</v>
      </c>
      <c r="B276" s="2"/>
      <c r="C276" s="1">
        <v>4930</v>
      </c>
      <c r="D276" s="1">
        <v>4950</v>
      </c>
      <c r="E276" s="1">
        <v>4660</v>
      </c>
      <c r="F276" s="1">
        <v>4660</v>
      </c>
      <c r="G276" s="1">
        <v>334919800</v>
      </c>
      <c r="H276" s="8">
        <f t="shared" si="8"/>
        <v>-5.2845528455284556E-2</v>
      </c>
      <c r="I276" s="8">
        <f t="shared" si="9"/>
        <v>-0.23918367346938776</v>
      </c>
    </row>
    <row r="277" spans="1:9" x14ac:dyDescent="0.2">
      <c r="A277" s="2">
        <f ca="1">IFERROR(__xludf.DUMMYFUNCTION("""COMPUTED_VALUE"""),45716.6666666666)</f>
        <v>45716.666666666599</v>
      </c>
      <c r="B277" s="2"/>
      <c r="C277" s="1">
        <v>4620</v>
      </c>
      <c r="D277" s="1">
        <v>4690</v>
      </c>
      <c r="E277" s="1">
        <v>4550</v>
      </c>
      <c r="F277" s="1">
        <v>4600</v>
      </c>
      <c r="G277" s="1">
        <v>464696700</v>
      </c>
      <c r="H277" s="8">
        <f t="shared" si="8"/>
        <v>-1.2875536480686695E-2</v>
      </c>
      <c r="I277" s="8">
        <f t="shared" si="9"/>
        <v>-0.24897959183673468</v>
      </c>
    </row>
    <row r="278" spans="1:9" x14ac:dyDescent="0.2">
      <c r="A278" s="2">
        <f ca="1">IFERROR(__xludf.DUMMYFUNCTION("""COMPUTED_VALUE"""),45719.6666666666)</f>
        <v>45719.666666666599</v>
      </c>
      <c r="B278" s="2"/>
      <c r="C278" s="1">
        <v>4750</v>
      </c>
      <c r="D278" s="1">
        <v>4980</v>
      </c>
      <c r="E278" s="1">
        <v>4700</v>
      </c>
      <c r="F278" s="1">
        <v>4900</v>
      </c>
      <c r="G278" s="1">
        <v>257118300</v>
      </c>
      <c r="H278" s="8">
        <f t="shared" si="8"/>
        <v>6.5217391304347824E-2</v>
      </c>
      <c r="I278" s="8">
        <f t="shared" si="9"/>
        <v>-0.2</v>
      </c>
    </row>
    <row r="279" spans="1:9" x14ac:dyDescent="0.2">
      <c r="A279" s="2">
        <f ca="1">IFERROR(__xludf.DUMMYFUNCTION("""COMPUTED_VALUE"""),45720.6666666666)</f>
        <v>45720.666666666599</v>
      </c>
      <c r="B279" s="2"/>
      <c r="C279" s="1">
        <v>4900</v>
      </c>
      <c r="D279" s="1">
        <v>4920</v>
      </c>
      <c r="E279" s="1">
        <v>4750</v>
      </c>
      <c r="F279" s="1">
        <v>4840</v>
      </c>
      <c r="G279" s="1">
        <v>144346500</v>
      </c>
      <c r="H279" s="8">
        <f t="shared" si="8"/>
        <v>-1.2244897959183673E-2</v>
      </c>
      <c r="I279" s="8">
        <f t="shared" si="9"/>
        <v>-0.20979591836734693</v>
      </c>
    </row>
    <row r="280" spans="1:9" x14ac:dyDescent="0.2">
      <c r="A280" s="2">
        <f ca="1">IFERROR(__xludf.DUMMYFUNCTION("""COMPUTED_VALUE"""),45721.6666666666)</f>
        <v>45721.666666666599</v>
      </c>
      <c r="B280" s="2"/>
      <c r="C280" s="1">
        <v>4860</v>
      </c>
      <c r="D280" s="1">
        <v>5050</v>
      </c>
      <c r="E280" s="1">
        <v>4860</v>
      </c>
      <c r="F280" s="1">
        <v>4860</v>
      </c>
      <c r="G280" s="1">
        <v>252222800</v>
      </c>
      <c r="H280" s="8">
        <f t="shared" si="8"/>
        <v>4.1322314049586778E-3</v>
      </c>
      <c r="I280" s="8">
        <f t="shared" si="9"/>
        <v>-0.20653061224489797</v>
      </c>
    </row>
    <row r="281" spans="1:9" x14ac:dyDescent="0.2">
      <c r="A281" s="2">
        <f ca="1">IFERROR(__xludf.DUMMYFUNCTION("""COMPUTED_VALUE"""),45722.6666666666)</f>
        <v>45722.666666666599</v>
      </c>
      <c r="B281" s="2"/>
      <c r="C281" s="1">
        <v>4910</v>
      </c>
      <c r="D281" s="1">
        <v>4980</v>
      </c>
      <c r="E281" s="1">
        <v>4870</v>
      </c>
      <c r="F281" s="1">
        <v>4870</v>
      </c>
      <c r="G281" s="1">
        <v>194909200</v>
      </c>
      <c r="H281" s="8">
        <f t="shared" si="8"/>
        <v>2.05761316872428E-3</v>
      </c>
      <c r="I281" s="8">
        <f t="shared" si="9"/>
        <v>-0.20489795918367346</v>
      </c>
    </row>
    <row r="282" spans="1:9" x14ac:dyDescent="0.2">
      <c r="A282" s="2">
        <f ca="1">IFERROR(__xludf.DUMMYFUNCTION("""COMPUTED_VALUE"""),45723.6666666666)</f>
        <v>45723.666666666599</v>
      </c>
      <c r="B282" s="2"/>
      <c r="C282" s="1">
        <v>4870</v>
      </c>
      <c r="D282" s="1">
        <v>4870</v>
      </c>
      <c r="E282" s="1">
        <v>4810</v>
      </c>
      <c r="F282" s="1">
        <v>4840</v>
      </c>
      <c r="G282" s="1">
        <v>117916600</v>
      </c>
      <c r="H282" s="8">
        <f t="shared" si="8"/>
        <v>-6.1601642710472282E-3</v>
      </c>
      <c r="I282" s="8">
        <f t="shared" si="9"/>
        <v>-0.20979591836734693</v>
      </c>
    </row>
    <row r="283" spans="1:9" x14ac:dyDescent="0.2">
      <c r="A283" s="2">
        <f ca="1">IFERROR(__xludf.DUMMYFUNCTION("""COMPUTED_VALUE"""),45726.6666666666)</f>
        <v>45726.666666666599</v>
      </c>
      <c r="B283" s="2"/>
      <c r="C283" s="1">
        <v>4730</v>
      </c>
      <c r="D283" s="1">
        <v>4760</v>
      </c>
      <c r="E283" s="1">
        <v>4660</v>
      </c>
      <c r="F283" s="1">
        <v>4710</v>
      </c>
      <c r="G283" s="1">
        <v>231152200</v>
      </c>
      <c r="H283" s="8">
        <f t="shared" si="8"/>
        <v>-2.6859504132231406E-2</v>
      </c>
      <c r="I283" s="8">
        <f t="shared" si="9"/>
        <v>-0.2310204081632653</v>
      </c>
    </row>
    <row r="284" spans="1:9" x14ac:dyDescent="0.2">
      <c r="A284" s="2">
        <f ca="1">IFERROR(__xludf.DUMMYFUNCTION("""COMPUTED_VALUE"""),45727.6666666666)</f>
        <v>45727.666666666599</v>
      </c>
      <c r="B284" s="2"/>
      <c r="C284" s="1">
        <v>4650</v>
      </c>
      <c r="D284" s="1">
        <v>4780</v>
      </c>
      <c r="E284" s="1">
        <v>4640</v>
      </c>
      <c r="F284" s="1">
        <v>4740</v>
      </c>
      <c r="G284" s="1">
        <v>150738100</v>
      </c>
      <c r="H284" s="8">
        <f t="shared" si="8"/>
        <v>6.369426751592357E-3</v>
      </c>
      <c r="I284" s="8">
        <f t="shared" si="9"/>
        <v>-0.22612244897959183</v>
      </c>
    </row>
    <row r="285" spans="1:9" x14ac:dyDescent="0.2">
      <c r="A285" s="2">
        <f ca="1">IFERROR(__xludf.DUMMYFUNCTION("""COMPUTED_VALUE"""),45728.6666666666)</f>
        <v>45728.666666666599</v>
      </c>
      <c r="B285" s="2"/>
      <c r="C285" s="1">
        <v>4750</v>
      </c>
      <c r="D285" s="1">
        <v>4880</v>
      </c>
      <c r="E285" s="1">
        <v>4750</v>
      </c>
      <c r="F285" s="1">
        <v>4880</v>
      </c>
      <c r="G285" s="1">
        <v>129973900</v>
      </c>
      <c r="H285" s="8">
        <f t="shared" si="8"/>
        <v>2.9535864978902954E-2</v>
      </c>
      <c r="I285" s="8">
        <f t="shared" si="9"/>
        <v>-0.20326530612244897</v>
      </c>
    </row>
    <row r="286" spans="1:9" x14ac:dyDescent="0.2">
      <c r="A286" s="2">
        <f ca="1">IFERROR(__xludf.DUMMYFUNCTION("""COMPUTED_VALUE"""),45729.6666666666)</f>
        <v>45729.666666666599</v>
      </c>
      <c r="B286" s="2"/>
      <c r="C286" s="1">
        <v>4940</v>
      </c>
      <c r="D286" s="1">
        <v>4940</v>
      </c>
      <c r="E286" s="1">
        <v>4710</v>
      </c>
      <c r="F286" s="1">
        <v>4740</v>
      </c>
      <c r="G286" s="1">
        <v>176286000</v>
      </c>
      <c r="H286" s="8">
        <f t="shared" si="8"/>
        <v>-2.8688524590163935E-2</v>
      </c>
      <c r="I286" s="8">
        <f t="shared" si="9"/>
        <v>-0.22612244897959183</v>
      </c>
    </row>
    <row r="287" spans="1:9" x14ac:dyDescent="0.2">
      <c r="A287" s="2">
        <f ca="1">IFERROR(__xludf.DUMMYFUNCTION("""COMPUTED_VALUE"""),45730.6666666666)</f>
        <v>45730.666666666599</v>
      </c>
      <c r="B287" s="2"/>
      <c r="C287" s="1">
        <v>4640</v>
      </c>
      <c r="D287" s="1">
        <v>4800</v>
      </c>
      <c r="E287" s="1">
        <v>4640</v>
      </c>
      <c r="F287" s="1">
        <v>4740</v>
      </c>
      <c r="G287" s="1">
        <v>154331400</v>
      </c>
      <c r="H287" s="8">
        <f t="shared" si="8"/>
        <v>0</v>
      </c>
      <c r="I287" s="8">
        <f t="shared" si="9"/>
        <v>-0.22612244897959183</v>
      </c>
    </row>
    <row r="288" spans="1:9" x14ac:dyDescent="0.2">
      <c r="A288" s="2">
        <f ca="1">IFERROR(__xludf.DUMMYFUNCTION("""COMPUTED_VALUE"""),45733.6666666666)</f>
        <v>45733.666666666599</v>
      </c>
      <c r="B288" s="2"/>
      <c r="C288" s="1">
        <v>4740</v>
      </c>
      <c r="D288" s="1">
        <v>4770</v>
      </c>
      <c r="E288" s="1">
        <v>4660</v>
      </c>
      <c r="F288" s="1">
        <v>4680</v>
      </c>
      <c r="G288" s="1">
        <v>135692800</v>
      </c>
      <c r="H288" s="8">
        <f t="shared" si="8"/>
        <v>-1.2658227848101266E-2</v>
      </c>
      <c r="I288" s="8">
        <f t="shared" si="9"/>
        <v>-0.23591836734693877</v>
      </c>
    </row>
    <row r="289" spans="1:9" x14ac:dyDescent="0.2">
      <c r="A289" s="2">
        <f ca="1">IFERROR(__xludf.DUMMYFUNCTION("""COMPUTED_VALUE"""),45734.6666666666)</f>
        <v>45734.666666666599</v>
      </c>
      <c r="B289" s="2"/>
      <c r="C289" s="1">
        <v>4680</v>
      </c>
      <c r="D289" s="1">
        <v>4690</v>
      </c>
      <c r="E289" s="1">
        <v>4300</v>
      </c>
      <c r="F289" s="1">
        <v>4530</v>
      </c>
      <c r="G289" s="1">
        <v>387565100</v>
      </c>
      <c r="H289" s="8">
        <f t="shared" si="8"/>
        <v>-3.2051282051282048E-2</v>
      </c>
      <c r="I289" s="8">
        <f t="shared" si="9"/>
        <v>-0.26040816326530614</v>
      </c>
    </row>
    <row r="290" spans="1:9" x14ac:dyDescent="0.2">
      <c r="A290" s="2">
        <f ca="1">IFERROR(__xludf.DUMMYFUNCTION("""COMPUTED_VALUE"""),45735.6666666666)</f>
        <v>45735.666666666599</v>
      </c>
      <c r="B290" s="2"/>
      <c r="C290" s="1">
        <v>4530</v>
      </c>
      <c r="D290" s="1">
        <v>4700</v>
      </c>
      <c r="E290" s="1">
        <v>4440</v>
      </c>
      <c r="F290" s="1">
        <v>4680</v>
      </c>
      <c r="G290" s="1">
        <v>273084800</v>
      </c>
      <c r="H290" s="8">
        <f t="shared" si="8"/>
        <v>3.3112582781456956E-2</v>
      </c>
      <c r="I290" s="8">
        <f t="shared" si="9"/>
        <v>-0.23591836734693877</v>
      </c>
    </row>
    <row r="291" spans="1:9" x14ac:dyDescent="0.2">
      <c r="A291" s="2">
        <f ca="1">IFERROR(__xludf.DUMMYFUNCTION("""COMPUTED_VALUE"""),45736.6666666666)</f>
        <v>45736.666666666599</v>
      </c>
      <c r="B291" s="2"/>
      <c r="C291" s="1">
        <v>4760</v>
      </c>
      <c r="D291" s="1">
        <v>4770</v>
      </c>
      <c r="E291" s="1">
        <v>4610</v>
      </c>
      <c r="F291" s="1">
        <v>4620</v>
      </c>
      <c r="G291" s="1">
        <v>138209700</v>
      </c>
      <c r="H291" s="8">
        <f t="shared" si="8"/>
        <v>-1.282051282051282E-2</v>
      </c>
      <c r="I291" s="8">
        <f t="shared" si="9"/>
        <v>-0.24571428571428572</v>
      </c>
    </row>
    <row r="292" spans="1:9" x14ac:dyDescent="0.2">
      <c r="A292" s="2">
        <f ca="1">IFERROR(__xludf.DUMMYFUNCTION("""COMPUTED_VALUE"""),45737.6666666666)</f>
        <v>45737.666666666599</v>
      </c>
      <c r="B292" s="2"/>
      <c r="C292" s="1">
        <v>4600</v>
      </c>
      <c r="D292" s="1">
        <v>4610</v>
      </c>
      <c r="E292" s="1">
        <v>4380</v>
      </c>
      <c r="F292" s="1">
        <v>4410</v>
      </c>
      <c r="G292" s="1">
        <v>374396400</v>
      </c>
      <c r="H292" s="8">
        <f t="shared" si="8"/>
        <v>-4.5454545454545456E-2</v>
      </c>
      <c r="I292" s="8">
        <f t="shared" si="9"/>
        <v>-0.28000000000000003</v>
      </c>
    </row>
    <row r="293" spans="1:9" x14ac:dyDescent="0.2">
      <c r="A293" s="2">
        <f ca="1">IFERROR(__xludf.DUMMYFUNCTION("""COMPUTED_VALUE"""),45740.6666666666)</f>
        <v>45740.666666666599</v>
      </c>
      <c r="B293" s="2"/>
      <c r="C293" s="1">
        <v>4350</v>
      </c>
      <c r="D293" s="1">
        <v>4530</v>
      </c>
      <c r="E293" s="1">
        <v>4250</v>
      </c>
      <c r="F293" s="1">
        <v>4460</v>
      </c>
      <c r="G293" s="1">
        <v>319017400</v>
      </c>
      <c r="H293" s="8">
        <f t="shared" si="8"/>
        <v>1.1337868480725623E-2</v>
      </c>
      <c r="I293" s="8">
        <f t="shared" si="9"/>
        <v>-0.27183673469387754</v>
      </c>
    </row>
    <row r="294" spans="1:9" x14ac:dyDescent="0.2">
      <c r="A294" s="2">
        <f ca="1">IFERROR(__xludf.DUMMYFUNCTION("""COMPUTED_VALUE"""),45741.6666666666)</f>
        <v>45741.666666666599</v>
      </c>
      <c r="B294" s="2"/>
      <c r="C294" s="1">
        <v>4500</v>
      </c>
      <c r="D294" s="1">
        <v>4810</v>
      </c>
      <c r="E294" s="1">
        <v>4500</v>
      </c>
      <c r="F294" s="1">
        <v>4740</v>
      </c>
      <c r="G294" s="1">
        <v>313034100</v>
      </c>
      <c r="H294" s="8">
        <f t="shared" si="8"/>
        <v>6.2780269058295965E-2</v>
      </c>
      <c r="I294" s="8">
        <f t="shared" si="9"/>
        <v>-0.22612244897959183</v>
      </c>
    </row>
    <row r="295" spans="1:9" x14ac:dyDescent="0.2">
      <c r="A295" s="2">
        <f ca="1">IFERROR(__xludf.DUMMYFUNCTION("""COMPUTED_VALUE"""),45742.6666666666)</f>
        <v>45742.666666666599</v>
      </c>
      <c r="B295" s="2"/>
      <c r="C295" s="1">
        <v>4980</v>
      </c>
      <c r="D295" s="1">
        <v>5175</v>
      </c>
      <c r="E295" s="1">
        <v>4930</v>
      </c>
      <c r="F295" s="1">
        <v>5150</v>
      </c>
      <c r="G295" s="1">
        <v>582172700</v>
      </c>
      <c r="H295" s="8">
        <f t="shared" si="8"/>
        <v>8.6497890295358648E-2</v>
      </c>
      <c r="I295" s="8">
        <f t="shared" si="9"/>
        <v>-0.15918367346938775</v>
      </c>
    </row>
    <row r="296" spans="1:9" x14ac:dyDescent="0.2">
      <c r="A296" s="2">
        <f ca="1">IFERROR(__xludf.DUMMYFUNCTION("""COMPUTED_VALUE"""),45743.6666666666)</f>
        <v>45743.666666666599</v>
      </c>
      <c r="B296" s="2"/>
      <c r="C296" s="1">
        <v>5150</v>
      </c>
      <c r="D296" s="1">
        <v>5250</v>
      </c>
      <c r="E296" s="1">
        <v>5050</v>
      </c>
      <c r="F296" s="1">
        <v>5200</v>
      </c>
      <c r="G296" s="1">
        <v>301025300</v>
      </c>
      <c r="H296" s="8">
        <f t="shared" si="8"/>
        <v>9.7087378640776691E-3</v>
      </c>
      <c r="I296" s="8">
        <f t="shared" si="9"/>
        <v>-0.15102040816326531</v>
      </c>
    </row>
    <row r="297" spans="1:9" x14ac:dyDescent="0.2">
      <c r="A297" s="2">
        <f ca="1">IFERROR(__xludf.DUMMYFUNCTION("""COMPUTED_VALUE"""),45755.6666666666)</f>
        <v>45755.666666666599</v>
      </c>
      <c r="B297" s="2"/>
      <c r="C297" s="1">
        <v>4500</v>
      </c>
      <c r="D297" s="1">
        <v>4830</v>
      </c>
      <c r="E297" s="1">
        <v>4500</v>
      </c>
      <c r="F297" s="1">
        <v>4670</v>
      </c>
      <c r="G297" s="1">
        <v>738455000</v>
      </c>
      <c r="H297" s="8">
        <f t="shared" si="8"/>
        <v>-0.10192307692307692</v>
      </c>
      <c r="I297" s="8">
        <f t="shared" si="9"/>
        <v>-0.23755102040816325</v>
      </c>
    </row>
    <row r="298" spans="1:9" x14ac:dyDescent="0.2">
      <c r="A298" s="2">
        <f ca="1">IFERROR(__xludf.DUMMYFUNCTION("""COMPUTED_VALUE"""),45756.6666666666)</f>
        <v>45756.666666666599</v>
      </c>
      <c r="B298" s="2"/>
      <c r="C298" s="1">
        <v>4630</v>
      </c>
      <c r="D298" s="1">
        <v>4790</v>
      </c>
      <c r="E298" s="1">
        <v>4630</v>
      </c>
      <c r="F298" s="1">
        <v>4710</v>
      </c>
      <c r="G298" s="1">
        <v>316821100</v>
      </c>
      <c r="H298" s="8">
        <f t="shared" si="8"/>
        <v>8.5653104925053538E-3</v>
      </c>
      <c r="I298" s="8">
        <f t="shared" si="9"/>
        <v>-0.2310204081632653</v>
      </c>
    </row>
    <row r="299" spans="1:9" x14ac:dyDescent="0.2">
      <c r="A299" s="2">
        <f ca="1">IFERROR(__xludf.DUMMYFUNCTION("""COMPUTED_VALUE"""),45757.6666666666)</f>
        <v>45757.666666666599</v>
      </c>
      <c r="B299" s="2"/>
      <c r="C299" s="1">
        <v>5200</v>
      </c>
      <c r="D299" s="1">
        <v>5225</v>
      </c>
      <c r="E299" s="1">
        <v>4970</v>
      </c>
      <c r="F299" s="1">
        <v>5025</v>
      </c>
      <c r="G299" s="1">
        <v>559966600</v>
      </c>
      <c r="H299" s="8">
        <f t="shared" si="8"/>
        <v>6.6878980891719744E-2</v>
      </c>
      <c r="I299" s="8">
        <f t="shared" si="9"/>
        <v>-0.17959183673469387</v>
      </c>
    </row>
    <row r="300" spans="1:9" x14ac:dyDescent="0.2">
      <c r="A300" s="2">
        <f ca="1">IFERROR(__xludf.DUMMYFUNCTION("""COMPUTED_VALUE"""),45758.6666666666)</f>
        <v>45758.666666666599</v>
      </c>
      <c r="B300" s="2"/>
      <c r="C300" s="1">
        <v>5000</v>
      </c>
      <c r="D300" s="1">
        <v>5175</v>
      </c>
      <c r="E300" s="1">
        <v>4950</v>
      </c>
      <c r="F300" s="1">
        <v>5100</v>
      </c>
      <c r="G300" s="1">
        <v>384917500</v>
      </c>
      <c r="H300" s="8">
        <f t="shared" si="8"/>
        <v>1.4925373134328358E-2</v>
      </c>
      <c r="I300" s="8">
        <f t="shared" si="9"/>
        <v>-0.16734693877551021</v>
      </c>
    </row>
    <row r="301" spans="1:9" x14ac:dyDescent="0.2">
      <c r="A301" s="2">
        <f ca="1">IFERROR(__xludf.DUMMYFUNCTION("""COMPUTED_VALUE"""),45761.6666666666)</f>
        <v>45761.666666666599</v>
      </c>
      <c r="B301" s="2"/>
      <c r="C301" s="1">
        <v>4650</v>
      </c>
      <c r="D301" s="1">
        <v>4750</v>
      </c>
      <c r="E301" s="1">
        <v>4650</v>
      </c>
      <c r="F301" s="1">
        <v>4750</v>
      </c>
      <c r="G301" s="1">
        <v>423716000</v>
      </c>
      <c r="H301" s="8">
        <f t="shared" si="8"/>
        <v>-6.8627450980392163E-2</v>
      </c>
      <c r="I301" s="8">
        <f t="shared" si="9"/>
        <v>-0.22448979591836735</v>
      </c>
    </row>
    <row r="302" spans="1:9" x14ac:dyDescent="0.2">
      <c r="A302" s="2">
        <f ca="1">IFERROR(__xludf.DUMMYFUNCTION("""COMPUTED_VALUE"""),45762.6666666666)</f>
        <v>45762.666666666599</v>
      </c>
      <c r="B302" s="2"/>
      <c r="C302" s="1">
        <v>4800</v>
      </c>
      <c r="D302" s="1">
        <v>4820</v>
      </c>
      <c r="E302" s="1">
        <v>4710</v>
      </c>
      <c r="F302" s="1">
        <v>4710</v>
      </c>
      <c r="G302" s="1">
        <v>230981700</v>
      </c>
      <c r="H302" s="8">
        <f t="shared" si="8"/>
        <v>-8.4210526315789472E-3</v>
      </c>
      <c r="I302" s="8">
        <f t="shared" si="9"/>
        <v>-0.2310204081632653</v>
      </c>
    </row>
    <row r="303" spans="1:9" x14ac:dyDescent="0.2">
      <c r="A303" s="2">
        <f ca="1">IFERROR(__xludf.DUMMYFUNCTION("""COMPUTED_VALUE"""),45763.6666666666)</f>
        <v>45763.666666666599</v>
      </c>
      <c r="B303" s="2"/>
      <c r="C303" s="1">
        <v>4740</v>
      </c>
      <c r="D303" s="1">
        <v>4750</v>
      </c>
      <c r="E303" s="1">
        <v>4590</v>
      </c>
      <c r="F303" s="1">
        <v>4630</v>
      </c>
      <c r="G303" s="1">
        <v>201660000</v>
      </c>
      <c r="H303" s="8">
        <f t="shared" si="8"/>
        <v>-1.6985138004246284E-2</v>
      </c>
      <c r="I303" s="8">
        <f t="shared" si="9"/>
        <v>-0.24408163265306124</v>
      </c>
    </row>
    <row r="304" spans="1:9" x14ac:dyDescent="0.2">
      <c r="A304" s="2">
        <f ca="1">IFERROR(__xludf.DUMMYFUNCTION("""COMPUTED_VALUE"""),45764.6666666666)</f>
        <v>45764.666666666599</v>
      </c>
      <c r="B304" s="2"/>
      <c r="C304" s="1">
        <v>4630</v>
      </c>
      <c r="D304" s="1">
        <v>4660</v>
      </c>
      <c r="E304" s="1">
        <v>4570</v>
      </c>
      <c r="F304" s="1">
        <v>4600</v>
      </c>
      <c r="G304" s="1">
        <v>165381400</v>
      </c>
      <c r="H304" s="8">
        <f t="shared" si="8"/>
        <v>-6.4794816414686825E-3</v>
      </c>
      <c r="I304" s="8">
        <f t="shared" si="9"/>
        <v>-0.24897959183673468</v>
      </c>
    </row>
    <row r="305" spans="1:9" x14ac:dyDescent="0.2">
      <c r="A305" s="2">
        <f ca="1">IFERROR(__xludf.DUMMYFUNCTION("""COMPUTED_VALUE"""),45768.6666666666)</f>
        <v>45768.666666666599</v>
      </c>
      <c r="B305" s="2"/>
      <c r="C305" s="1">
        <v>4600</v>
      </c>
      <c r="D305" s="1">
        <v>4640</v>
      </c>
      <c r="E305" s="1">
        <v>4560</v>
      </c>
      <c r="F305" s="1">
        <v>4610</v>
      </c>
      <c r="G305" s="1">
        <v>83034600</v>
      </c>
      <c r="H305" s="8">
        <f t="shared" si="8"/>
        <v>2.1739130434782609E-3</v>
      </c>
      <c r="I305" s="8">
        <f t="shared" si="9"/>
        <v>-0.2473469387755102</v>
      </c>
    </row>
    <row r="306" spans="1:9" x14ac:dyDescent="0.2">
      <c r="A306" s="2">
        <f ca="1">IFERROR(__xludf.DUMMYFUNCTION("""COMPUTED_VALUE"""),45769.6666666666)</f>
        <v>45769.666666666599</v>
      </c>
      <c r="B306" s="2"/>
      <c r="C306" s="1">
        <v>4610</v>
      </c>
      <c r="D306" s="1">
        <v>4720</v>
      </c>
      <c r="E306" s="1">
        <v>4590</v>
      </c>
      <c r="F306" s="1">
        <v>4720</v>
      </c>
      <c r="G306" s="1">
        <v>126426200</v>
      </c>
      <c r="H306" s="8">
        <f t="shared" si="8"/>
        <v>2.3861171366594359E-2</v>
      </c>
      <c r="I306" s="8">
        <f t="shared" si="9"/>
        <v>-0.22938775510204082</v>
      </c>
    </row>
    <row r="307" spans="1:9" x14ac:dyDescent="0.2">
      <c r="A307" s="2">
        <f ca="1">IFERROR(__xludf.DUMMYFUNCTION("""COMPUTED_VALUE"""),45770.6666666666)</f>
        <v>45770.666666666599</v>
      </c>
      <c r="B307" s="2"/>
      <c r="C307" s="1">
        <v>4780</v>
      </c>
      <c r="D307" s="1">
        <v>4900</v>
      </c>
      <c r="E307" s="1">
        <v>4740</v>
      </c>
      <c r="F307" s="1">
        <v>4900</v>
      </c>
      <c r="G307" s="1">
        <v>273395600</v>
      </c>
      <c r="H307" s="8">
        <f t="shared" si="8"/>
        <v>3.8135593220338986E-2</v>
      </c>
      <c r="I307" s="8">
        <f t="shared" si="9"/>
        <v>-0.2</v>
      </c>
    </row>
    <row r="308" spans="1:9" x14ac:dyDescent="0.2">
      <c r="A308" s="2">
        <f ca="1">IFERROR(__xludf.DUMMYFUNCTION("""COMPUTED_VALUE"""),45771.6666666666)</f>
        <v>45771.666666666599</v>
      </c>
      <c r="B308" s="2"/>
      <c r="C308" s="1">
        <v>4950</v>
      </c>
      <c r="D308" s="1">
        <v>5025</v>
      </c>
      <c r="E308" s="1">
        <v>4860</v>
      </c>
      <c r="F308" s="1">
        <v>4890</v>
      </c>
      <c r="G308" s="1">
        <v>282970000</v>
      </c>
      <c r="H308" s="8">
        <f t="shared" si="8"/>
        <v>-2.0408163265306124E-3</v>
      </c>
      <c r="I308" s="8">
        <f t="shared" si="9"/>
        <v>-0.20163265306122449</v>
      </c>
    </row>
    <row r="309" spans="1:9" x14ac:dyDescent="0.2">
      <c r="A309" s="2">
        <f ca="1">IFERROR(__xludf.DUMMYFUNCTION("""COMPUTED_VALUE"""),45772.6666666666)</f>
        <v>45772.666666666599</v>
      </c>
      <c r="B309" s="2"/>
      <c r="C309" s="1">
        <v>4960</v>
      </c>
      <c r="D309" s="1">
        <v>4960</v>
      </c>
      <c r="E309" s="1">
        <v>4900</v>
      </c>
      <c r="F309" s="1">
        <v>4900</v>
      </c>
      <c r="G309" s="1">
        <v>134208400</v>
      </c>
      <c r="H309" s="8">
        <f t="shared" si="8"/>
        <v>2.0449897750511249E-3</v>
      </c>
      <c r="I309" s="8">
        <f t="shared" si="9"/>
        <v>-0.2</v>
      </c>
    </row>
    <row r="310" spans="1:9" x14ac:dyDescent="0.2">
      <c r="A310" s="2">
        <f ca="1">IFERROR(__xludf.DUMMYFUNCTION("""COMPUTED_VALUE"""),45775.6666666666)</f>
        <v>45775.666666666599</v>
      </c>
      <c r="B310" s="2"/>
      <c r="C310" s="1">
        <v>4950</v>
      </c>
      <c r="D310" s="1">
        <v>4980</v>
      </c>
      <c r="E310" s="1">
        <v>4890</v>
      </c>
      <c r="F310" s="1">
        <v>4920</v>
      </c>
      <c r="G310" s="1">
        <v>90697900</v>
      </c>
      <c r="H310" s="8">
        <f t="shared" si="8"/>
        <v>4.0816326530612249E-3</v>
      </c>
      <c r="I310" s="8">
        <f t="shared" si="9"/>
        <v>-0.19673469387755102</v>
      </c>
    </row>
    <row r="311" spans="1:9" x14ac:dyDescent="0.2">
      <c r="A311" s="2">
        <f ca="1">IFERROR(__xludf.DUMMYFUNCTION("""COMPUTED_VALUE"""),45776.6666666666)</f>
        <v>45776.666666666599</v>
      </c>
      <c r="B311" s="2"/>
      <c r="C311" s="1">
        <v>4930</v>
      </c>
      <c r="D311" s="1">
        <v>4950</v>
      </c>
      <c r="E311" s="1">
        <v>4880</v>
      </c>
      <c r="F311" s="1">
        <v>4940</v>
      </c>
      <c r="G311" s="1">
        <v>108857600</v>
      </c>
      <c r="H311" s="8">
        <f t="shared" si="8"/>
        <v>4.0650406504065045E-3</v>
      </c>
      <c r="I311" s="8">
        <f t="shared" si="9"/>
        <v>-0.19346938775510203</v>
      </c>
    </row>
    <row r="312" spans="1:9" x14ac:dyDescent="0.2">
      <c r="A312" s="2">
        <f ca="1">IFERROR(__xludf.DUMMYFUNCTION("""COMPUTED_VALUE"""),45777.6666666666)</f>
        <v>45777.666666666599</v>
      </c>
      <c r="B312" s="2"/>
      <c r="C312" s="1">
        <v>4900</v>
      </c>
      <c r="D312" s="1">
        <v>4920</v>
      </c>
      <c r="E312" s="1">
        <v>4810</v>
      </c>
      <c r="F312" s="1">
        <v>4890</v>
      </c>
      <c r="G312" s="1">
        <v>278360600</v>
      </c>
      <c r="H312" s="8">
        <f t="shared" si="8"/>
        <v>-1.0121457489878543E-2</v>
      </c>
      <c r="I312" s="8">
        <f t="shared" si="9"/>
        <v>-0.20163265306122449</v>
      </c>
    </row>
    <row r="313" spans="1:9" x14ac:dyDescent="0.2">
      <c r="A313" s="2">
        <f ca="1">IFERROR(__xludf.DUMMYFUNCTION("""COMPUTED_VALUE"""),45779.6666666666)</f>
        <v>45779.666666666599</v>
      </c>
      <c r="B313" s="2"/>
      <c r="C313" s="1">
        <v>4980</v>
      </c>
      <c r="D313" s="1">
        <v>4980</v>
      </c>
      <c r="E313" s="1">
        <v>4910</v>
      </c>
      <c r="F313" s="1">
        <v>4960</v>
      </c>
      <c r="G313" s="1">
        <v>146800800</v>
      </c>
      <c r="H313" s="8">
        <f t="shared" si="8"/>
        <v>1.4314928425357873E-2</v>
      </c>
      <c r="I313" s="8">
        <f t="shared" si="9"/>
        <v>-0.19020408163265307</v>
      </c>
    </row>
    <row r="314" spans="1:9" x14ac:dyDescent="0.2">
      <c r="A314" s="2">
        <f ca="1">IFERROR(__xludf.DUMMYFUNCTION("""COMPUTED_VALUE"""),45782.6666666666)</f>
        <v>45782.666666666599</v>
      </c>
      <c r="B314" s="2"/>
      <c r="C314" s="1">
        <v>4990</v>
      </c>
      <c r="D314" s="1">
        <v>5100</v>
      </c>
      <c r="E314" s="1">
        <v>4960</v>
      </c>
      <c r="F314" s="1">
        <v>4980</v>
      </c>
      <c r="G314" s="1">
        <v>154073100</v>
      </c>
      <c r="H314" s="8">
        <f t="shared" si="8"/>
        <v>4.0322580645161289E-3</v>
      </c>
      <c r="I314" s="8">
        <f t="shared" si="9"/>
        <v>-0.18693877551020407</v>
      </c>
    </row>
    <row r="315" spans="1:9" x14ac:dyDescent="0.2">
      <c r="A315" s="2">
        <f ca="1">IFERROR(__xludf.DUMMYFUNCTION("""COMPUTED_VALUE"""),45783.6666666666)</f>
        <v>45783.666666666599</v>
      </c>
      <c r="B315" s="2"/>
      <c r="C315" s="1">
        <v>5025</v>
      </c>
      <c r="D315" s="1">
        <v>5050</v>
      </c>
      <c r="E315" s="1">
        <v>4980</v>
      </c>
      <c r="F315" s="1">
        <v>4980</v>
      </c>
      <c r="G315" s="1">
        <v>120165500</v>
      </c>
      <c r="H315" s="8">
        <f t="shared" si="8"/>
        <v>0</v>
      </c>
      <c r="I315" s="8">
        <f t="shared" si="9"/>
        <v>-0.18693877551020407</v>
      </c>
    </row>
    <row r="316" spans="1:9" x14ac:dyDescent="0.2">
      <c r="A316" s="2">
        <f ca="1">IFERROR(__xludf.DUMMYFUNCTION("""COMPUTED_VALUE"""),45784.6666666666)</f>
        <v>45784.666666666599</v>
      </c>
      <c r="B316" s="2"/>
      <c r="C316" s="1">
        <v>5050</v>
      </c>
      <c r="D316" s="1">
        <v>5050</v>
      </c>
      <c r="E316" s="1">
        <v>4950</v>
      </c>
      <c r="F316" s="1">
        <v>4950</v>
      </c>
      <c r="G316" s="1">
        <v>100674600</v>
      </c>
      <c r="H316" s="8">
        <f t="shared" si="8"/>
        <v>-6.024096385542169E-3</v>
      </c>
      <c r="I316" s="8">
        <f t="shared" si="9"/>
        <v>-0.19183673469387755</v>
      </c>
    </row>
    <row r="317" spans="1:9" x14ac:dyDescent="0.2">
      <c r="A317" s="2">
        <f ca="1">IFERROR(__xludf.DUMMYFUNCTION("""COMPUTED_VALUE"""),45785.6666666666)</f>
        <v>45785.666666666599</v>
      </c>
      <c r="B317" s="2"/>
      <c r="C317" s="1">
        <v>4960</v>
      </c>
      <c r="D317" s="1">
        <v>5025</v>
      </c>
      <c r="E317" s="1">
        <v>4790</v>
      </c>
      <c r="F317" s="1">
        <v>4790</v>
      </c>
      <c r="G317" s="1">
        <v>205199700</v>
      </c>
      <c r="H317" s="8">
        <f t="shared" si="8"/>
        <v>-3.2323232323232323E-2</v>
      </c>
      <c r="I317" s="8">
        <f t="shared" si="9"/>
        <v>-0.21795918367346939</v>
      </c>
    </row>
    <row r="318" spans="1:9" x14ac:dyDescent="0.2">
      <c r="A318" s="2">
        <f ca="1">IFERROR(__xludf.DUMMYFUNCTION("""COMPUTED_VALUE"""),45786.6666666666)</f>
        <v>45786.666666666599</v>
      </c>
      <c r="B318" s="2"/>
      <c r="C318" s="1">
        <v>4790</v>
      </c>
      <c r="D318" s="1">
        <v>4830</v>
      </c>
      <c r="E318" s="1">
        <v>4750</v>
      </c>
      <c r="F318" s="1">
        <v>4770</v>
      </c>
      <c r="G318" s="1">
        <v>164014200</v>
      </c>
      <c r="H318" s="8">
        <f t="shared" si="8"/>
        <v>-4.1753653444676405E-3</v>
      </c>
      <c r="I318" s="8">
        <f t="shared" si="9"/>
        <v>-0.22122448979591836</v>
      </c>
    </row>
    <row r="319" spans="1:9" x14ac:dyDescent="0.2">
      <c r="A319" s="2">
        <f ca="1">IFERROR(__xludf.DUMMYFUNCTION("""COMPUTED_VALUE"""),45791.6666666666)</f>
        <v>45791.666666666599</v>
      </c>
      <c r="B319" s="2"/>
      <c r="C319" s="1">
        <v>4890</v>
      </c>
      <c r="D319" s="1">
        <v>5050</v>
      </c>
      <c r="E319" s="1">
        <v>4880</v>
      </c>
      <c r="F319" s="1">
        <v>5050</v>
      </c>
      <c r="G319" s="1">
        <v>342468200</v>
      </c>
      <c r="H319" s="8">
        <f t="shared" si="8"/>
        <v>5.8700209643605873E-2</v>
      </c>
      <c r="I319" s="8">
        <f t="shared" si="9"/>
        <v>-0.17551020408163265</v>
      </c>
    </row>
    <row r="320" spans="1:9" x14ac:dyDescent="0.2">
      <c r="A320" s="2">
        <f ca="1">IFERROR(__xludf.DUMMYFUNCTION("""COMPUTED_VALUE"""),45792.6666666666)</f>
        <v>45792.666666666599</v>
      </c>
      <c r="B320" s="2"/>
      <c r="C320" s="1">
        <v>5075</v>
      </c>
      <c r="D320" s="1">
        <v>5400</v>
      </c>
      <c r="E320" s="1">
        <v>5050</v>
      </c>
      <c r="F320" s="1">
        <v>5325</v>
      </c>
      <c r="G320" s="1">
        <v>300147300</v>
      </c>
      <c r="H320" s="8">
        <f t="shared" si="8"/>
        <v>5.4455445544554455E-2</v>
      </c>
      <c r="I320" s="8">
        <f t="shared" si="9"/>
        <v>-0.1306122448979592</v>
      </c>
    </row>
    <row r="321" spans="1:9" x14ac:dyDescent="0.2">
      <c r="A321" s="2">
        <f ca="1">IFERROR(__xludf.DUMMYFUNCTION("""COMPUTED_VALUE"""),45793.6666666666)</f>
        <v>45793.666666666599</v>
      </c>
      <c r="B321" s="2"/>
      <c r="C321" s="1">
        <v>5425</v>
      </c>
      <c r="D321" s="1">
        <v>5475</v>
      </c>
      <c r="E321" s="1">
        <v>5200</v>
      </c>
      <c r="F321" s="1">
        <v>5475</v>
      </c>
      <c r="G321" s="1">
        <v>229382100</v>
      </c>
      <c r="H321" s="8">
        <f t="shared" si="8"/>
        <v>2.8169014084507043E-2</v>
      </c>
      <c r="I321" s="8">
        <f t="shared" si="9"/>
        <v>-0.10612244897959183</v>
      </c>
    </row>
    <row r="322" spans="1:9" x14ac:dyDescent="0.2">
      <c r="A322" s="2">
        <f ca="1">IFERROR(__xludf.DUMMYFUNCTION("""COMPUTED_VALUE"""),45796.6666666666)</f>
        <v>45796.666666666599</v>
      </c>
      <c r="B322" s="2"/>
      <c r="C322" s="1">
        <v>5450</v>
      </c>
      <c r="D322" s="1">
        <v>5575</v>
      </c>
      <c r="E322" s="1">
        <v>5400</v>
      </c>
      <c r="F322" s="1">
        <v>5525</v>
      </c>
      <c r="G322" s="1">
        <v>191440600</v>
      </c>
      <c r="H322" s="8">
        <f t="shared" si="8"/>
        <v>9.1324200913242004E-3</v>
      </c>
      <c r="I322" s="8">
        <f t="shared" si="9"/>
        <v>-9.7959183673469383E-2</v>
      </c>
    </row>
    <row r="323" spans="1:9" x14ac:dyDescent="0.2">
      <c r="A323" s="2">
        <f ca="1">IFERROR(__xludf.DUMMYFUNCTION("""COMPUTED_VALUE"""),45797.6666666666)</f>
        <v>45797.666666666599</v>
      </c>
      <c r="B323" s="2"/>
      <c r="C323" s="1">
        <v>5500</v>
      </c>
      <c r="D323" s="1">
        <v>5550</v>
      </c>
      <c r="E323" s="1">
        <v>5350</v>
      </c>
      <c r="F323" s="1">
        <v>5400</v>
      </c>
      <c r="G323" s="1">
        <v>145525700</v>
      </c>
      <c r="H323" s="8">
        <f t="shared" si="8"/>
        <v>-2.2624434389140271E-2</v>
      </c>
      <c r="I323" s="8">
        <f t="shared" si="9"/>
        <v>-0.11836734693877551</v>
      </c>
    </row>
    <row r="324" spans="1:9" x14ac:dyDescent="0.2">
      <c r="A324" s="2">
        <f ca="1">IFERROR(__xludf.DUMMYFUNCTION("""COMPUTED_VALUE"""),45798.6666666666)</f>
        <v>45798.666666666599</v>
      </c>
      <c r="B324" s="2"/>
      <c r="C324" s="1">
        <v>5400</v>
      </c>
      <c r="D324" s="1">
        <v>5550</v>
      </c>
      <c r="E324" s="1">
        <v>5375</v>
      </c>
      <c r="F324" s="1">
        <v>5450</v>
      </c>
      <c r="G324" s="1">
        <v>167077200</v>
      </c>
      <c r="H324" s="8">
        <f t="shared" ref="H324:H387" si="10">(F324-F323)/F323</f>
        <v>9.2592592592592587E-3</v>
      </c>
      <c r="I324" s="8">
        <f t="shared" ref="I324:I387" si="11">(F324-$F$2)/$F$2</f>
        <v>-0.11020408163265306</v>
      </c>
    </row>
    <row r="325" spans="1:9" x14ac:dyDescent="0.2">
      <c r="A325" s="2">
        <f ca="1">IFERROR(__xludf.DUMMYFUNCTION("""COMPUTED_VALUE"""),45799.6666666666)</f>
        <v>45799.666666666599</v>
      </c>
      <c r="B325" s="2"/>
      <c r="C325" s="1">
        <v>5450</v>
      </c>
      <c r="D325" s="1">
        <v>5500</v>
      </c>
      <c r="E325" s="1">
        <v>5400</v>
      </c>
      <c r="F325" s="1">
        <v>5450</v>
      </c>
      <c r="G325" s="1">
        <v>137585600</v>
      </c>
      <c r="H325" s="8">
        <f t="shared" si="10"/>
        <v>0</v>
      </c>
      <c r="I325" s="8">
        <f t="shared" si="11"/>
        <v>-0.11020408163265306</v>
      </c>
    </row>
    <row r="326" spans="1:9" x14ac:dyDescent="0.2">
      <c r="A326" s="2">
        <f ca="1">IFERROR(__xludf.DUMMYFUNCTION("""COMPUTED_VALUE"""),45800.6666666666)</f>
        <v>45800.666666666599</v>
      </c>
      <c r="B326" s="2"/>
      <c r="C326" s="1">
        <v>5500</v>
      </c>
      <c r="D326" s="1">
        <v>5500</v>
      </c>
      <c r="E326" s="1">
        <v>5375</v>
      </c>
      <c r="F326" s="1">
        <v>5425</v>
      </c>
      <c r="G326" s="1">
        <v>86586500</v>
      </c>
      <c r="H326" s="8">
        <f t="shared" si="10"/>
        <v>-4.5871559633027525E-3</v>
      </c>
      <c r="I326" s="8">
        <f t="shared" si="11"/>
        <v>-0.11428571428571428</v>
      </c>
    </row>
    <row r="327" spans="1:9" x14ac:dyDescent="0.2">
      <c r="A327" s="2">
        <f ca="1">IFERROR(__xludf.DUMMYFUNCTION("""COMPUTED_VALUE"""),45803.6666666666)</f>
        <v>45803.666666666599</v>
      </c>
      <c r="B327" s="2"/>
      <c r="C327" s="1">
        <v>5425</v>
      </c>
      <c r="D327" s="1">
        <v>5475</v>
      </c>
      <c r="E327" s="1">
        <v>5300</v>
      </c>
      <c r="F327" s="1">
        <v>5475</v>
      </c>
      <c r="G327" s="1">
        <v>102960800</v>
      </c>
      <c r="H327" s="8">
        <f t="shared" si="10"/>
        <v>9.2165898617511521E-3</v>
      </c>
      <c r="I327" s="8">
        <f t="shared" si="11"/>
        <v>-0.10612244897959183</v>
      </c>
    </row>
    <row r="328" spans="1:9" x14ac:dyDescent="0.2">
      <c r="A328" s="2">
        <f ca="1">IFERROR(__xludf.DUMMYFUNCTION("""COMPUTED_VALUE"""),45804.6666666666)</f>
        <v>45804.666666666599</v>
      </c>
      <c r="B328" s="2"/>
      <c r="C328" s="1">
        <v>5500</v>
      </c>
      <c r="D328" s="1">
        <v>5500</v>
      </c>
      <c r="E328" s="1">
        <v>5400</v>
      </c>
      <c r="F328" s="1">
        <v>5400</v>
      </c>
      <c r="G328" s="1">
        <v>86083800</v>
      </c>
      <c r="H328" s="8">
        <f t="shared" si="10"/>
        <v>-1.3698630136986301E-2</v>
      </c>
      <c r="I328" s="8">
        <f t="shared" si="11"/>
        <v>-0.11836734693877551</v>
      </c>
    </row>
    <row r="329" spans="1:9" x14ac:dyDescent="0.2">
      <c r="A329" s="2">
        <f ca="1">IFERROR(__xludf.DUMMYFUNCTION("""COMPUTED_VALUE"""),45805.6666666666)</f>
        <v>45805.666666666599</v>
      </c>
      <c r="B329" s="2"/>
      <c r="C329" s="1">
        <v>5400</v>
      </c>
      <c r="D329" s="1">
        <v>5425</v>
      </c>
      <c r="E329" s="1">
        <v>5300</v>
      </c>
      <c r="F329" s="1">
        <v>5300</v>
      </c>
      <c r="G329" s="1">
        <v>190669100</v>
      </c>
      <c r="H329" s="8">
        <f t="shared" si="10"/>
        <v>-1.8518518518518517E-2</v>
      </c>
      <c r="I329" s="8">
        <f t="shared" si="11"/>
        <v>-0.13469387755102041</v>
      </c>
    </row>
    <row r="330" spans="1:9" x14ac:dyDescent="0.2">
      <c r="A330" s="2">
        <f ca="1">IFERROR(__xludf.DUMMYFUNCTION("""COMPUTED_VALUE"""),45810.6666666666)</f>
        <v>45810.666666666599</v>
      </c>
      <c r="B330" s="2"/>
      <c r="C330" s="1">
        <v>5200</v>
      </c>
      <c r="D330" s="1">
        <v>5250</v>
      </c>
      <c r="E330" s="1">
        <v>5025</v>
      </c>
      <c r="F330" s="1">
        <v>5075</v>
      </c>
      <c r="G330" s="1">
        <v>373474500</v>
      </c>
      <c r="H330" s="8">
        <f t="shared" si="10"/>
        <v>-4.2452830188679243E-2</v>
      </c>
      <c r="I330" s="8">
        <f t="shared" si="11"/>
        <v>-0.17142857142857143</v>
      </c>
    </row>
    <row r="331" spans="1:9" x14ac:dyDescent="0.2">
      <c r="A331" s="2">
        <f ca="1">IFERROR(__xludf.DUMMYFUNCTION("""COMPUTED_VALUE"""),45811.6666666666)</f>
        <v>45811.666666666599</v>
      </c>
      <c r="B331" s="2"/>
      <c r="C331" s="1">
        <v>5100</v>
      </c>
      <c r="D331" s="1">
        <v>5125</v>
      </c>
      <c r="E331" s="1">
        <v>4950</v>
      </c>
      <c r="F331" s="1">
        <v>5050</v>
      </c>
      <c r="G331" s="1">
        <v>169321800</v>
      </c>
      <c r="H331" s="8">
        <f t="shared" si="10"/>
        <v>-4.9261083743842365E-3</v>
      </c>
      <c r="I331" s="8">
        <f t="shared" si="11"/>
        <v>-0.17551020408163265</v>
      </c>
    </row>
    <row r="332" spans="1:9" x14ac:dyDescent="0.2">
      <c r="A332" s="2">
        <f ca="1">IFERROR(__xludf.DUMMYFUNCTION("""COMPUTED_VALUE"""),45812.6666666666)</f>
        <v>45812.666666666599</v>
      </c>
      <c r="B332" s="2"/>
      <c r="C332" s="1">
        <v>5125</v>
      </c>
      <c r="D332" s="1">
        <v>5125</v>
      </c>
      <c r="E332" s="1">
        <v>4980</v>
      </c>
      <c r="F332" s="1">
        <v>5025</v>
      </c>
      <c r="G332" s="1">
        <v>139577800</v>
      </c>
      <c r="H332" s="8">
        <f t="shared" si="10"/>
        <v>-4.9504950495049506E-3</v>
      </c>
      <c r="I332" s="8">
        <f t="shared" si="11"/>
        <v>-0.17959183673469387</v>
      </c>
    </row>
    <row r="333" spans="1:9" x14ac:dyDescent="0.2">
      <c r="A333" s="2">
        <f ca="1">IFERROR(__xludf.DUMMYFUNCTION("""COMPUTED_VALUE"""),45813.6666666666)</f>
        <v>45813.666666666599</v>
      </c>
      <c r="B333" s="2"/>
      <c r="C333" s="1">
        <v>5050</v>
      </c>
      <c r="D333" s="1">
        <v>5075</v>
      </c>
      <c r="E333" s="1">
        <v>5000</v>
      </c>
      <c r="F333" s="1">
        <v>5075</v>
      </c>
      <c r="G333" s="1">
        <v>69179700</v>
      </c>
      <c r="H333" s="8">
        <f t="shared" si="10"/>
        <v>9.9502487562189053E-3</v>
      </c>
      <c r="I333" s="8">
        <f t="shared" si="11"/>
        <v>-0.17142857142857143</v>
      </c>
    </row>
    <row r="334" spans="1:9" x14ac:dyDescent="0.2">
      <c r="A334" s="2">
        <f ca="1">IFERROR(__xludf.DUMMYFUNCTION("""COMPUTED_VALUE"""),45818.6666666666)</f>
        <v>45818.666666666599</v>
      </c>
      <c r="B334" s="2"/>
      <c r="C334" s="1">
        <v>5075</v>
      </c>
      <c r="D334" s="1">
        <v>5250</v>
      </c>
      <c r="E334" s="1">
        <v>5075</v>
      </c>
      <c r="F334" s="1">
        <v>5250</v>
      </c>
      <c r="G334" s="1">
        <v>158265000</v>
      </c>
      <c r="H334" s="8">
        <f t="shared" si="10"/>
        <v>3.4482758620689655E-2</v>
      </c>
      <c r="I334" s="8">
        <f t="shared" si="11"/>
        <v>-0.14285714285714285</v>
      </c>
    </row>
    <row r="335" spans="1:9" x14ac:dyDescent="0.2">
      <c r="A335" s="2">
        <f ca="1">IFERROR(__xludf.DUMMYFUNCTION("""COMPUTED_VALUE"""),45819.6666666666)</f>
        <v>45819.666666666599</v>
      </c>
      <c r="B335" s="2"/>
      <c r="C335" s="1">
        <v>5300</v>
      </c>
      <c r="D335" s="1">
        <v>5300</v>
      </c>
      <c r="E335" s="1">
        <v>5150</v>
      </c>
      <c r="F335" s="1">
        <v>5200</v>
      </c>
      <c r="G335" s="1">
        <v>90666100</v>
      </c>
      <c r="H335" s="8">
        <f t="shared" si="10"/>
        <v>-9.5238095238095247E-3</v>
      </c>
      <c r="I335" s="8">
        <f t="shared" si="11"/>
        <v>-0.15102040816326531</v>
      </c>
    </row>
    <row r="336" spans="1:9" x14ac:dyDescent="0.2">
      <c r="A336" s="2">
        <f ca="1">IFERROR(__xludf.DUMMYFUNCTION("""COMPUTED_VALUE"""),45820.6666666666)</f>
        <v>45820.666666666599</v>
      </c>
      <c r="B336" s="2"/>
      <c r="C336" s="1">
        <v>5225</v>
      </c>
      <c r="D336" s="1">
        <v>5225</v>
      </c>
      <c r="E336" s="1">
        <v>5125</v>
      </c>
      <c r="F336" s="1">
        <v>5175</v>
      </c>
      <c r="G336" s="1">
        <v>72423700</v>
      </c>
      <c r="H336" s="8">
        <f t="shared" si="10"/>
        <v>-4.807692307692308E-3</v>
      </c>
      <c r="I336" s="8">
        <f t="shared" si="11"/>
        <v>-0.15510204081632653</v>
      </c>
    </row>
    <row r="337" spans="1:9" x14ac:dyDescent="0.2">
      <c r="A337" s="2">
        <f ca="1">IFERROR(__xludf.DUMMYFUNCTION("""COMPUTED_VALUE"""),45821.6666666666)</f>
        <v>45821.666666666599</v>
      </c>
      <c r="B337" s="2"/>
      <c r="C337" s="1">
        <v>5175</v>
      </c>
      <c r="D337" s="1">
        <v>5250</v>
      </c>
      <c r="E337" s="1">
        <v>5100</v>
      </c>
      <c r="F337" s="1">
        <v>5150</v>
      </c>
      <c r="G337" s="1">
        <v>128071000</v>
      </c>
      <c r="H337" s="8">
        <f t="shared" si="10"/>
        <v>-4.830917874396135E-3</v>
      </c>
      <c r="I337" s="8">
        <f t="shared" si="11"/>
        <v>-0.15918367346938775</v>
      </c>
    </row>
    <row r="338" spans="1:9" x14ac:dyDescent="0.2">
      <c r="A338" s="2">
        <f ca="1">IFERROR(__xludf.DUMMYFUNCTION("""COMPUTED_VALUE"""),45824.6666666666)</f>
        <v>45824.666666666599</v>
      </c>
      <c r="B338" s="2"/>
      <c r="C338" s="1">
        <v>5150</v>
      </c>
      <c r="D338" s="1">
        <v>5200</v>
      </c>
      <c r="E338" s="1">
        <v>5100</v>
      </c>
      <c r="F338" s="1">
        <v>5150</v>
      </c>
      <c r="G338" s="1">
        <v>61695600</v>
      </c>
      <c r="H338" s="8">
        <f t="shared" si="10"/>
        <v>0</v>
      </c>
      <c r="I338" s="8">
        <f t="shared" si="11"/>
        <v>-0.15918367346938775</v>
      </c>
    </row>
    <row r="339" spans="1:9" x14ac:dyDescent="0.2">
      <c r="A339" s="2">
        <f ca="1">IFERROR(__xludf.DUMMYFUNCTION("""COMPUTED_VALUE"""),45825.6666666666)</f>
        <v>45825.666666666599</v>
      </c>
      <c r="B339" s="2"/>
      <c r="C339" s="1">
        <v>5175</v>
      </c>
      <c r="D339" s="1">
        <v>5225</v>
      </c>
      <c r="E339" s="1">
        <v>5100</v>
      </c>
      <c r="F339" s="1">
        <v>5100</v>
      </c>
      <c r="G339" s="1">
        <v>70657700</v>
      </c>
      <c r="H339" s="8">
        <f t="shared" si="10"/>
        <v>-9.7087378640776691E-3</v>
      </c>
      <c r="I339" s="8">
        <f t="shared" si="11"/>
        <v>-0.16734693877551021</v>
      </c>
    </row>
    <row r="340" spans="1:9" x14ac:dyDescent="0.2">
      <c r="A340" s="2">
        <f ca="1">IFERROR(__xludf.DUMMYFUNCTION("""COMPUTED_VALUE"""),45826.6666666666)</f>
        <v>45826.666666666599</v>
      </c>
      <c r="B340" s="2"/>
      <c r="C340" s="1">
        <v>5075</v>
      </c>
      <c r="D340" s="1">
        <v>5100</v>
      </c>
      <c r="E340" s="1">
        <v>5025</v>
      </c>
      <c r="F340" s="1">
        <v>5075</v>
      </c>
      <c r="G340" s="1">
        <v>53353000</v>
      </c>
      <c r="H340" s="8">
        <f t="shared" si="10"/>
        <v>-4.9019607843137254E-3</v>
      </c>
      <c r="I340" s="8">
        <f t="shared" si="11"/>
        <v>-0.17142857142857143</v>
      </c>
    </row>
    <row r="341" spans="1:9" x14ac:dyDescent="0.2">
      <c r="A341" s="2">
        <f ca="1">IFERROR(__xludf.DUMMYFUNCTION("""COMPUTED_VALUE"""),45827.6666666666)</f>
        <v>45827.666666666599</v>
      </c>
      <c r="B341" s="2"/>
      <c r="C341" s="1">
        <v>5050</v>
      </c>
      <c r="D341" s="1">
        <v>5050</v>
      </c>
      <c r="E341" s="1">
        <v>4910</v>
      </c>
      <c r="F341" s="1">
        <v>4970</v>
      </c>
      <c r="G341" s="1">
        <v>114769600</v>
      </c>
      <c r="H341" s="8">
        <f t="shared" si="10"/>
        <v>-2.0689655172413793E-2</v>
      </c>
      <c r="I341" s="8">
        <f t="shared" si="11"/>
        <v>-0.18857142857142858</v>
      </c>
    </row>
    <row r="342" spans="1:9" x14ac:dyDescent="0.2">
      <c r="A342" s="2">
        <f ca="1">IFERROR(__xludf.DUMMYFUNCTION("""COMPUTED_VALUE"""),45828.6666666666)</f>
        <v>45828.666666666599</v>
      </c>
      <c r="B342" s="2"/>
      <c r="C342" s="1">
        <v>4940</v>
      </c>
      <c r="D342" s="1">
        <v>4990</v>
      </c>
      <c r="E342" s="1">
        <v>4830</v>
      </c>
      <c r="F342" s="1">
        <v>4930</v>
      </c>
      <c r="G342" s="1">
        <v>301154300</v>
      </c>
      <c r="H342" s="8">
        <f t="shared" si="10"/>
        <v>-8.0482897384305842E-3</v>
      </c>
      <c r="I342" s="8">
        <f t="shared" si="11"/>
        <v>-0.19510204081632654</v>
      </c>
    </row>
    <row r="343" spans="1:9" x14ac:dyDescent="0.2">
      <c r="A343" s="2">
        <f ca="1">IFERROR(__xludf.DUMMYFUNCTION("""COMPUTED_VALUE"""),45831.6666666666)</f>
        <v>45831.666666666599</v>
      </c>
      <c r="B343" s="2"/>
      <c r="C343" s="1">
        <v>4870</v>
      </c>
      <c r="D343" s="1">
        <v>4930</v>
      </c>
      <c r="E343" s="1">
        <v>4800</v>
      </c>
      <c r="F343" s="1">
        <v>4920</v>
      </c>
      <c r="G343" s="1">
        <v>119439200</v>
      </c>
      <c r="H343" s="8">
        <f t="shared" si="10"/>
        <v>-2.0283975659229209E-3</v>
      </c>
      <c r="I343" s="8">
        <f t="shared" si="11"/>
        <v>-0.19673469387755102</v>
      </c>
    </row>
    <row r="344" spans="1:9" x14ac:dyDescent="0.2">
      <c r="A344" s="2">
        <f ca="1">IFERROR(__xludf.DUMMYFUNCTION("""COMPUTED_VALUE"""),45832.6666666666)</f>
        <v>45832.666666666599</v>
      </c>
      <c r="B344" s="2"/>
      <c r="C344" s="1">
        <v>5050</v>
      </c>
      <c r="D344" s="1">
        <v>5125</v>
      </c>
      <c r="E344" s="1">
        <v>5025</v>
      </c>
      <c r="F344" s="1">
        <v>5025</v>
      </c>
      <c r="G344" s="1">
        <v>126563900</v>
      </c>
      <c r="H344" s="8">
        <f t="shared" si="10"/>
        <v>2.1341463414634148E-2</v>
      </c>
      <c r="I344" s="8">
        <f t="shared" si="11"/>
        <v>-0.17959183673469387</v>
      </c>
    </row>
    <row r="345" spans="1:9" x14ac:dyDescent="0.2">
      <c r="A345" s="2">
        <f ca="1">IFERROR(__xludf.DUMMYFUNCTION("""COMPUTED_VALUE"""),45833.6666666666)</f>
        <v>45833.666666666599</v>
      </c>
      <c r="B345" s="2"/>
      <c r="C345" s="1">
        <v>5025</v>
      </c>
      <c r="D345" s="1">
        <v>5050</v>
      </c>
      <c r="E345" s="1">
        <v>4880</v>
      </c>
      <c r="F345" s="1">
        <v>4880</v>
      </c>
      <c r="G345" s="1">
        <v>139963400</v>
      </c>
      <c r="H345" s="8">
        <f t="shared" si="10"/>
        <v>-2.8855721393034824E-2</v>
      </c>
      <c r="I345" s="8">
        <f t="shared" si="11"/>
        <v>-0.20326530612244897</v>
      </c>
    </row>
    <row r="346" spans="1:9" x14ac:dyDescent="0.2">
      <c r="A346" s="2">
        <f ca="1">IFERROR(__xludf.DUMMYFUNCTION("""COMPUTED_VALUE"""),45834.6666666666)</f>
        <v>45834.666666666599</v>
      </c>
      <c r="B346" s="2"/>
      <c r="C346" s="1">
        <v>4950</v>
      </c>
      <c r="D346" s="1">
        <v>5025</v>
      </c>
      <c r="E346" s="1">
        <v>4910</v>
      </c>
      <c r="F346" s="1">
        <v>5025</v>
      </c>
      <c r="G346" s="1">
        <v>94704500</v>
      </c>
      <c r="H346" s="8">
        <f t="shared" si="10"/>
        <v>2.9713114754098359E-2</v>
      </c>
      <c r="I346" s="8">
        <f t="shared" si="11"/>
        <v>-0.17959183673469387</v>
      </c>
    </row>
    <row r="347" spans="1:9" x14ac:dyDescent="0.2">
      <c r="A347" s="2">
        <f ca="1">IFERROR(__xludf.DUMMYFUNCTION("""COMPUTED_VALUE"""),45838.6666666666)</f>
        <v>45838.666666666599</v>
      </c>
      <c r="B347" s="2"/>
      <c r="C347" s="1">
        <v>5050</v>
      </c>
      <c r="D347" s="1">
        <v>5050</v>
      </c>
      <c r="E347" s="1">
        <v>4880</v>
      </c>
      <c r="F347" s="1">
        <v>4880</v>
      </c>
      <c r="G347" s="1">
        <v>220479900</v>
      </c>
      <c r="H347" s="8">
        <f t="shared" si="10"/>
        <v>-2.8855721393034824E-2</v>
      </c>
      <c r="I347" s="8">
        <f t="shared" si="11"/>
        <v>-0.20326530612244897</v>
      </c>
    </row>
    <row r="348" spans="1:9" x14ac:dyDescent="0.2">
      <c r="A348" s="2">
        <f ca="1">IFERROR(__xludf.DUMMYFUNCTION("""COMPUTED_VALUE"""),45839.6666666666)</f>
        <v>45839.666666666599</v>
      </c>
      <c r="B348" s="2"/>
      <c r="C348" s="1">
        <v>4900</v>
      </c>
      <c r="D348" s="1">
        <v>4910</v>
      </c>
      <c r="E348" s="1">
        <v>4710</v>
      </c>
      <c r="F348" s="1">
        <v>4750</v>
      </c>
      <c r="G348" s="1">
        <v>319875800</v>
      </c>
      <c r="H348" s="8">
        <f t="shared" si="10"/>
        <v>-2.663934426229508E-2</v>
      </c>
      <c r="I348" s="8">
        <f t="shared" si="11"/>
        <v>-0.22448979591836735</v>
      </c>
    </row>
    <row r="349" spans="1:9" x14ac:dyDescent="0.2">
      <c r="A349" s="2">
        <f ca="1">IFERROR(__xludf.DUMMYFUNCTION("""COMPUTED_VALUE"""),45840.6666666666)</f>
        <v>45840.666666666599</v>
      </c>
      <c r="B349" s="2"/>
      <c r="C349" s="1">
        <v>4730</v>
      </c>
      <c r="D349" s="1">
        <v>4770</v>
      </c>
      <c r="E349" s="1">
        <v>4710</v>
      </c>
      <c r="F349" s="1">
        <v>4770</v>
      </c>
      <c r="G349" s="1">
        <v>159152200</v>
      </c>
      <c r="H349" s="8">
        <f t="shared" si="10"/>
        <v>4.2105263157894736E-3</v>
      </c>
      <c r="I349" s="8">
        <f t="shared" si="11"/>
        <v>-0.22122448979591836</v>
      </c>
    </row>
    <row r="350" spans="1:9" x14ac:dyDescent="0.2">
      <c r="A350" s="2">
        <f ca="1">IFERROR(__xludf.DUMMYFUNCTION("""COMPUTED_VALUE"""),45841.6666666666)</f>
        <v>45841.666666666599</v>
      </c>
      <c r="B350" s="2"/>
      <c r="C350" s="1">
        <v>4780</v>
      </c>
      <c r="D350" s="1">
        <v>4850</v>
      </c>
      <c r="E350" s="1">
        <v>4720</v>
      </c>
      <c r="F350" s="1">
        <v>4740</v>
      </c>
      <c r="G350" s="1">
        <v>103849000</v>
      </c>
      <c r="H350" s="8">
        <f t="shared" si="10"/>
        <v>-6.2893081761006293E-3</v>
      </c>
      <c r="I350" s="8">
        <f t="shared" si="11"/>
        <v>-0.22612244897959183</v>
      </c>
    </row>
    <row r="351" spans="1:9" x14ac:dyDescent="0.2">
      <c r="A351" s="2">
        <f ca="1">IFERROR(__xludf.DUMMYFUNCTION("""COMPUTED_VALUE"""),45842.6666666666)</f>
        <v>45842.666666666599</v>
      </c>
      <c r="B351" s="2"/>
      <c r="C351" s="1">
        <v>4750</v>
      </c>
      <c r="D351" s="1">
        <v>4790</v>
      </c>
      <c r="E351" s="1">
        <v>4700</v>
      </c>
      <c r="F351" s="1">
        <v>4740</v>
      </c>
      <c r="G351" s="1">
        <v>104170500</v>
      </c>
      <c r="H351" s="8">
        <f t="shared" si="10"/>
        <v>0</v>
      </c>
      <c r="I351" s="8">
        <f t="shared" si="11"/>
        <v>-0.22612244897959183</v>
      </c>
    </row>
    <row r="352" spans="1:9" x14ac:dyDescent="0.2">
      <c r="A352" s="2">
        <f ca="1">IFERROR(__xludf.DUMMYFUNCTION("""COMPUTED_VALUE"""),45845.6666666666)</f>
        <v>45845.666666666599</v>
      </c>
      <c r="B352" s="2"/>
      <c r="C352" s="1">
        <v>4740</v>
      </c>
      <c r="D352" s="1">
        <v>4750</v>
      </c>
      <c r="E352" s="1">
        <v>4680</v>
      </c>
      <c r="F352" s="1">
        <v>4740</v>
      </c>
      <c r="G352" s="1">
        <v>120538300</v>
      </c>
      <c r="H352" s="8">
        <f t="shared" si="10"/>
        <v>0</v>
      </c>
      <c r="I352" s="8">
        <f t="shared" si="11"/>
        <v>-0.22612244897959183</v>
      </c>
    </row>
    <row r="353" spans="1:9" x14ac:dyDescent="0.2">
      <c r="A353" s="2">
        <f ca="1">IFERROR(__xludf.DUMMYFUNCTION("""COMPUTED_VALUE"""),45846.6666666666)</f>
        <v>45846.666666666599</v>
      </c>
      <c r="B353" s="2"/>
      <c r="C353" s="1">
        <v>4710</v>
      </c>
      <c r="D353" s="1">
        <v>4750</v>
      </c>
      <c r="E353" s="1">
        <v>4700</v>
      </c>
      <c r="F353" s="1">
        <v>4720</v>
      </c>
      <c r="G353" s="1">
        <v>132853800</v>
      </c>
      <c r="H353" s="8">
        <f t="shared" si="10"/>
        <v>-4.2194092827004216E-3</v>
      </c>
      <c r="I353" s="8">
        <f t="shared" si="11"/>
        <v>-0.22938775510204082</v>
      </c>
    </row>
    <row r="354" spans="1:9" x14ac:dyDescent="0.2">
      <c r="A354" s="2">
        <f ca="1">IFERROR(__xludf.DUMMYFUNCTION("""COMPUTED_VALUE"""),45847.6666666666)</f>
        <v>45847.666666666599</v>
      </c>
      <c r="B354" s="2"/>
      <c r="C354" s="1">
        <v>4720</v>
      </c>
      <c r="D354" s="1">
        <v>4760</v>
      </c>
      <c r="E354" s="1">
        <v>4670</v>
      </c>
      <c r="F354" s="1">
        <v>4710</v>
      </c>
      <c r="G354" s="1">
        <v>110198500</v>
      </c>
      <c r="H354" s="8">
        <f t="shared" si="10"/>
        <v>-2.1186440677966102E-3</v>
      </c>
      <c r="I354" s="8">
        <f t="shared" si="11"/>
        <v>-0.2310204081632653</v>
      </c>
    </row>
    <row r="355" spans="1:9" x14ac:dyDescent="0.2">
      <c r="A355" s="2">
        <f ca="1">IFERROR(__xludf.DUMMYFUNCTION("""COMPUTED_VALUE"""),45848.6666666666)</f>
        <v>45848.666666666599</v>
      </c>
      <c r="B355" s="2"/>
      <c r="C355" s="1">
        <v>4750</v>
      </c>
      <c r="D355" s="1">
        <v>4830</v>
      </c>
      <c r="E355" s="1">
        <v>4730</v>
      </c>
      <c r="F355" s="1">
        <v>4820</v>
      </c>
      <c r="G355" s="1">
        <v>160889700</v>
      </c>
      <c r="H355" s="8">
        <f t="shared" si="10"/>
        <v>2.3354564755838639E-2</v>
      </c>
      <c r="I355" s="8">
        <f t="shared" si="11"/>
        <v>-0.21306122448979592</v>
      </c>
    </row>
    <row r="356" spans="1:9" x14ac:dyDescent="0.2">
      <c r="A356" s="2">
        <f ca="1">IFERROR(__xludf.DUMMYFUNCTION("""COMPUTED_VALUE"""),45849.6666666666)</f>
        <v>45849.666666666599</v>
      </c>
      <c r="B356" s="2"/>
      <c r="C356" s="1">
        <v>4850</v>
      </c>
      <c r="D356" s="1">
        <v>4990</v>
      </c>
      <c r="E356" s="1">
        <v>4830</v>
      </c>
      <c r="F356" s="1">
        <v>4970</v>
      </c>
      <c r="G356" s="1">
        <v>219980300</v>
      </c>
      <c r="H356" s="8">
        <f t="shared" si="10"/>
        <v>3.1120331950207469E-2</v>
      </c>
      <c r="I356" s="8">
        <f t="shared" si="11"/>
        <v>-0.18857142857142858</v>
      </c>
    </row>
    <row r="357" spans="1:9" x14ac:dyDescent="0.2">
      <c r="A357" s="2">
        <f ca="1">IFERROR(__xludf.DUMMYFUNCTION("""COMPUTED_VALUE"""),45852.6666666666)</f>
        <v>45852.666666666599</v>
      </c>
      <c r="B357" s="2"/>
      <c r="C357" s="1">
        <v>4980</v>
      </c>
      <c r="D357" s="1">
        <v>4990</v>
      </c>
      <c r="E357" s="1">
        <v>4670</v>
      </c>
      <c r="F357" s="1">
        <v>4690</v>
      </c>
      <c r="G357" s="1">
        <v>429438700</v>
      </c>
      <c r="H357" s="8">
        <f t="shared" si="10"/>
        <v>-5.6338028169014086E-2</v>
      </c>
      <c r="I357" s="8">
        <f t="shared" si="11"/>
        <v>-0.23428571428571429</v>
      </c>
    </row>
    <row r="358" spans="1:9" x14ac:dyDescent="0.2">
      <c r="A358" s="2">
        <f ca="1">IFERROR(__xludf.DUMMYFUNCTION("""COMPUTED_VALUE"""),45853.6666666666)</f>
        <v>45853.666666666599</v>
      </c>
      <c r="B358" s="2"/>
      <c r="C358" s="1">
        <v>4700</v>
      </c>
      <c r="D358" s="1">
        <v>4740</v>
      </c>
      <c r="E358" s="1">
        <v>4690</v>
      </c>
      <c r="F358" s="1">
        <v>4700</v>
      </c>
      <c r="G358" s="1">
        <v>206958200</v>
      </c>
      <c r="H358" s="8">
        <f t="shared" si="10"/>
        <v>2.1321961620469083E-3</v>
      </c>
      <c r="I358" s="8">
        <f t="shared" si="11"/>
        <v>-0.23265306122448978</v>
      </c>
    </row>
    <row r="359" spans="1:9" x14ac:dyDescent="0.2">
      <c r="A359" s="2">
        <f ca="1">IFERROR(__xludf.DUMMYFUNCTION("""COMPUTED_VALUE"""),45854.6666666666)</f>
        <v>45854.666666666599</v>
      </c>
      <c r="B359" s="2"/>
      <c r="C359" s="1">
        <v>4730</v>
      </c>
      <c r="D359" s="1">
        <v>4760</v>
      </c>
      <c r="E359" s="1">
        <v>4680</v>
      </c>
      <c r="F359" s="1">
        <v>4690</v>
      </c>
      <c r="G359" s="1">
        <v>323831100</v>
      </c>
      <c r="H359" s="8">
        <f t="shared" si="10"/>
        <v>-2.1276595744680851E-3</v>
      </c>
      <c r="I359" s="8">
        <f t="shared" si="11"/>
        <v>-0.23428571428571429</v>
      </c>
    </row>
    <row r="360" spans="1:9" x14ac:dyDescent="0.2">
      <c r="A360" s="2">
        <f ca="1">IFERROR(__xludf.DUMMYFUNCTION("""COMPUTED_VALUE"""),45855.6666666666)</f>
        <v>45855.666666666599</v>
      </c>
      <c r="B360" s="2"/>
      <c r="C360" s="1">
        <v>4700</v>
      </c>
      <c r="D360" s="1">
        <v>4720</v>
      </c>
      <c r="E360" s="1">
        <v>4680</v>
      </c>
      <c r="F360" s="1">
        <v>4720</v>
      </c>
      <c r="G360" s="1">
        <v>120304000</v>
      </c>
      <c r="H360" s="8">
        <f t="shared" si="10"/>
        <v>6.3965884861407248E-3</v>
      </c>
      <c r="I360" s="8">
        <f t="shared" si="11"/>
        <v>-0.22938775510204082</v>
      </c>
    </row>
    <row r="361" spans="1:9" x14ac:dyDescent="0.2">
      <c r="A361" s="2">
        <f ca="1">IFERROR(__xludf.DUMMYFUNCTION("""COMPUTED_VALUE"""),45856.6666666666)</f>
        <v>45856.666666666599</v>
      </c>
      <c r="B361" s="2"/>
      <c r="C361" s="1">
        <v>4760</v>
      </c>
      <c r="D361" s="1">
        <v>4810</v>
      </c>
      <c r="E361" s="1">
        <v>4720</v>
      </c>
      <c r="F361" s="1">
        <v>4740</v>
      </c>
      <c r="G361" s="1">
        <v>161262400</v>
      </c>
      <c r="H361" s="8">
        <f t="shared" si="10"/>
        <v>4.2372881355932203E-3</v>
      </c>
      <c r="I361" s="8">
        <f t="shared" si="11"/>
        <v>-0.22612244897959183</v>
      </c>
    </row>
    <row r="362" spans="1:9" x14ac:dyDescent="0.2">
      <c r="A362" s="2">
        <f ca="1">IFERROR(__xludf.DUMMYFUNCTION("""COMPUTED_VALUE"""),45859.6666666666)</f>
        <v>45859.666666666599</v>
      </c>
      <c r="B362" s="2"/>
      <c r="C362" s="1">
        <v>4770</v>
      </c>
      <c r="D362" s="1">
        <v>4770</v>
      </c>
      <c r="E362" s="1">
        <v>4680</v>
      </c>
      <c r="F362" s="1">
        <v>4680</v>
      </c>
      <c r="G362" s="1">
        <v>103387400</v>
      </c>
      <c r="H362" s="8">
        <f t="shared" si="10"/>
        <v>-1.2658227848101266E-2</v>
      </c>
      <c r="I362" s="8">
        <f t="shared" si="11"/>
        <v>-0.23591836734693877</v>
      </c>
    </row>
    <row r="363" spans="1:9" x14ac:dyDescent="0.2">
      <c r="A363" s="2">
        <f ca="1">IFERROR(__xludf.DUMMYFUNCTION("""COMPUTED_VALUE"""),45860.6666666666)</f>
        <v>45860.666666666599</v>
      </c>
      <c r="B363" s="2"/>
      <c r="C363" s="1">
        <v>4680</v>
      </c>
      <c r="D363" s="1">
        <v>4710</v>
      </c>
      <c r="E363" s="1">
        <v>4650</v>
      </c>
      <c r="F363" s="1">
        <v>4660</v>
      </c>
      <c r="G363" s="1">
        <v>132984400</v>
      </c>
      <c r="H363" s="8">
        <f t="shared" si="10"/>
        <v>-4.2735042735042739E-3</v>
      </c>
      <c r="I363" s="8">
        <f t="shared" si="11"/>
        <v>-0.23918367346938776</v>
      </c>
    </row>
    <row r="364" spans="1:9" x14ac:dyDescent="0.2">
      <c r="A364" s="2">
        <f ca="1">IFERROR(__xludf.DUMMYFUNCTION("""COMPUTED_VALUE"""),45861.6666666666)</f>
        <v>45861.666666666599</v>
      </c>
      <c r="B364" s="2"/>
      <c r="C364" s="1">
        <v>4660</v>
      </c>
      <c r="D364" s="1">
        <v>4690</v>
      </c>
      <c r="E364" s="1">
        <v>4660</v>
      </c>
      <c r="F364" s="1">
        <v>4680</v>
      </c>
      <c r="G364" s="1">
        <v>115298400</v>
      </c>
      <c r="H364" s="8">
        <f t="shared" si="10"/>
        <v>4.2918454935622317E-3</v>
      </c>
      <c r="I364" s="8">
        <f t="shared" si="11"/>
        <v>-0.23591836734693877</v>
      </c>
    </row>
    <row r="365" spans="1:9" x14ac:dyDescent="0.2">
      <c r="A365" s="2">
        <f ca="1">IFERROR(__xludf.DUMMYFUNCTION("""COMPUTED_VALUE"""),45862.6666666666)</f>
        <v>45862.666666666599</v>
      </c>
      <c r="B365" s="2"/>
      <c r="C365" s="1">
        <v>4690</v>
      </c>
      <c r="D365" s="1">
        <v>4840</v>
      </c>
      <c r="E365" s="1">
        <v>4680</v>
      </c>
      <c r="F365" s="1">
        <v>4800</v>
      </c>
      <c r="G365" s="1">
        <v>273623100</v>
      </c>
      <c r="H365" s="8">
        <f t="shared" si="10"/>
        <v>2.564102564102564E-2</v>
      </c>
      <c r="I365" s="8">
        <f t="shared" si="11"/>
        <v>-0.21632653061224491</v>
      </c>
    </row>
    <row r="366" spans="1:9" x14ac:dyDescent="0.2">
      <c r="A366" s="2">
        <f ca="1">IFERROR(__xludf.DUMMYFUNCTION("""COMPUTED_VALUE"""),45863.6666666666)</f>
        <v>45863.666666666599</v>
      </c>
      <c r="B366" s="2"/>
      <c r="C366" s="1">
        <v>4800</v>
      </c>
      <c r="D366" s="1">
        <v>4800</v>
      </c>
      <c r="E366" s="1">
        <v>4690</v>
      </c>
      <c r="F366" s="1">
        <v>4690</v>
      </c>
      <c r="G366" s="1">
        <v>88471700</v>
      </c>
      <c r="H366" s="8">
        <f t="shared" si="10"/>
        <v>-2.2916666666666665E-2</v>
      </c>
      <c r="I366" s="8">
        <f t="shared" si="11"/>
        <v>-0.23428571428571429</v>
      </c>
    </row>
    <row r="367" spans="1:9" x14ac:dyDescent="0.2">
      <c r="A367" s="2">
        <f ca="1">IFERROR(__xludf.DUMMYFUNCTION("""COMPUTED_VALUE"""),45866.6666666666)</f>
        <v>45866.666666666599</v>
      </c>
      <c r="B367" s="2"/>
      <c r="C367" s="1">
        <v>4730</v>
      </c>
      <c r="D367" s="1">
        <v>4750</v>
      </c>
      <c r="E367" s="1">
        <v>4690</v>
      </c>
      <c r="F367" s="1">
        <v>4700</v>
      </c>
      <c r="G367" s="1">
        <v>112048900</v>
      </c>
      <c r="H367" s="8">
        <f t="shared" si="10"/>
        <v>2.1321961620469083E-3</v>
      </c>
      <c r="I367" s="8">
        <f t="shared" si="11"/>
        <v>-0.23265306122448978</v>
      </c>
    </row>
    <row r="368" spans="1:9" x14ac:dyDescent="0.2">
      <c r="A368" s="2">
        <f ca="1">IFERROR(__xludf.DUMMYFUNCTION("""COMPUTED_VALUE"""),45867.6666666666)</f>
        <v>45867.666666666599</v>
      </c>
      <c r="B368" s="2"/>
      <c r="C368" s="1">
        <v>4700</v>
      </c>
      <c r="D368" s="1">
        <v>4720</v>
      </c>
      <c r="E368" s="1">
        <v>4690</v>
      </c>
      <c r="F368" s="1">
        <v>4710</v>
      </c>
      <c r="G368" s="1">
        <v>74422700</v>
      </c>
      <c r="H368" s="8">
        <f t="shared" si="10"/>
        <v>2.1276595744680851E-3</v>
      </c>
      <c r="I368" s="8">
        <f t="shared" si="11"/>
        <v>-0.2310204081632653</v>
      </c>
    </row>
    <row r="369" spans="1:9" x14ac:dyDescent="0.2">
      <c r="A369" s="2">
        <f ca="1">IFERROR(__xludf.DUMMYFUNCTION("""COMPUTED_VALUE"""),45868.6666666666)</f>
        <v>45868.666666666599</v>
      </c>
      <c r="B369" s="2"/>
      <c r="C369" s="1">
        <v>4710</v>
      </c>
      <c r="D369" s="1">
        <v>4720</v>
      </c>
      <c r="E369" s="1">
        <v>4620</v>
      </c>
      <c r="F369" s="1">
        <v>4620</v>
      </c>
      <c r="G369" s="1">
        <v>141263400</v>
      </c>
      <c r="H369" s="8">
        <f t="shared" si="10"/>
        <v>-1.9108280254777069E-2</v>
      </c>
      <c r="I369" s="8">
        <f t="shared" si="11"/>
        <v>-0.24571428571428572</v>
      </c>
    </row>
    <row r="370" spans="1:9" x14ac:dyDescent="0.2">
      <c r="A370" s="2">
        <f ca="1">IFERROR(__xludf.DUMMYFUNCTION("""COMPUTED_VALUE"""),45869.6666666666)</f>
        <v>45869.666666666599</v>
      </c>
      <c r="B370" s="2"/>
      <c r="C370" s="1">
        <v>4610</v>
      </c>
      <c r="D370" s="1">
        <v>4640</v>
      </c>
      <c r="E370" s="1">
        <v>4510</v>
      </c>
      <c r="F370" s="1">
        <v>4510</v>
      </c>
      <c r="G370" s="1">
        <v>155903600</v>
      </c>
      <c r="H370" s="8">
        <f t="shared" si="10"/>
        <v>-2.3809523809523808E-2</v>
      </c>
      <c r="I370" s="8">
        <f t="shared" si="11"/>
        <v>-0.2636734693877551</v>
      </c>
    </row>
    <row r="371" spans="1:9" x14ac:dyDescent="0.2">
      <c r="A371" s="2">
        <f ca="1">IFERROR(__xludf.DUMMYFUNCTION("""COMPUTED_VALUE"""),45870.6666666666)</f>
        <v>45870.666666666599</v>
      </c>
      <c r="B371" s="2"/>
      <c r="C371" s="1">
        <v>4570</v>
      </c>
      <c r="D371" s="1">
        <v>4610</v>
      </c>
      <c r="E371" s="1">
        <v>4510</v>
      </c>
      <c r="F371" s="1">
        <v>4530</v>
      </c>
      <c r="G371" s="1">
        <v>157949900</v>
      </c>
      <c r="H371" s="8">
        <f t="shared" si="10"/>
        <v>4.434589800443459E-3</v>
      </c>
      <c r="I371" s="8">
        <f t="shared" si="11"/>
        <v>-0.26040816326530614</v>
      </c>
    </row>
    <row r="372" spans="1:9" x14ac:dyDescent="0.2">
      <c r="A372" s="2">
        <f ca="1">IFERROR(__xludf.DUMMYFUNCTION("""COMPUTED_VALUE"""),45873.6666666666)</f>
        <v>45873.666666666599</v>
      </c>
      <c r="B372" s="2"/>
      <c r="C372" s="1">
        <v>4530</v>
      </c>
      <c r="D372" s="1">
        <v>4630</v>
      </c>
      <c r="E372" s="1">
        <v>4510</v>
      </c>
      <c r="F372" s="1">
        <v>4620</v>
      </c>
      <c r="G372" s="1">
        <v>174404800</v>
      </c>
      <c r="H372" s="8">
        <f t="shared" si="10"/>
        <v>1.9867549668874173E-2</v>
      </c>
      <c r="I372" s="8">
        <f t="shared" si="11"/>
        <v>-0.24571428571428572</v>
      </c>
    </row>
    <row r="373" spans="1:9" x14ac:dyDescent="0.2">
      <c r="A373" s="2">
        <f ca="1">IFERROR(__xludf.DUMMYFUNCTION("""COMPUTED_VALUE"""),45874.6666666666)</f>
        <v>45874.666666666599</v>
      </c>
      <c r="B373" s="2"/>
      <c r="C373" s="1">
        <v>4690</v>
      </c>
      <c r="D373" s="1">
        <v>4780</v>
      </c>
      <c r="E373" s="1">
        <v>4660</v>
      </c>
      <c r="F373" s="1">
        <v>4750</v>
      </c>
      <c r="G373" s="1">
        <v>277668300</v>
      </c>
      <c r="H373" s="8">
        <f t="shared" si="10"/>
        <v>2.813852813852814E-2</v>
      </c>
      <c r="I373" s="8">
        <f t="shared" si="11"/>
        <v>-0.22448979591836735</v>
      </c>
    </row>
    <row r="374" spans="1:9" x14ac:dyDescent="0.2">
      <c r="A374" s="2">
        <f ca="1">IFERROR(__xludf.DUMMYFUNCTION("""COMPUTED_VALUE"""),45875.6666666666)</f>
        <v>45875.666666666599</v>
      </c>
      <c r="B374" s="2"/>
      <c r="C374" s="1">
        <v>4750</v>
      </c>
      <c r="D374" s="1">
        <v>4750</v>
      </c>
      <c r="E374" s="1">
        <v>4690</v>
      </c>
      <c r="F374" s="1">
        <v>4700</v>
      </c>
      <c r="G374" s="1">
        <v>79277900</v>
      </c>
      <c r="H374" s="8">
        <f t="shared" si="10"/>
        <v>-1.0526315789473684E-2</v>
      </c>
      <c r="I374" s="8">
        <f t="shared" si="11"/>
        <v>-0.23265306122448978</v>
      </c>
    </row>
    <row r="375" spans="1:9" x14ac:dyDescent="0.2">
      <c r="A375" s="2">
        <f ca="1">IFERROR(__xludf.DUMMYFUNCTION("""COMPUTED_VALUE"""),45876.6666666666)</f>
        <v>45876.666666666599</v>
      </c>
      <c r="B375" s="2"/>
      <c r="C375" s="1">
        <v>4740</v>
      </c>
      <c r="D375" s="1">
        <v>4740</v>
      </c>
      <c r="E375" s="1">
        <v>4680</v>
      </c>
      <c r="F375" s="1">
        <v>4680</v>
      </c>
      <c r="G375" s="1">
        <v>61453100</v>
      </c>
      <c r="H375" s="8">
        <f t="shared" si="10"/>
        <v>-4.2553191489361703E-3</v>
      </c>
      <c r="I375" s="8">
        <f t="shared" si="11"/>
        <v>-0.23591836734693877</v>
      </c>
    </row>
    <row r="376" spans="1:9" x14ac:dyDescent="0.2">
      <c r="A376" s="2">
        <f ca="1">IFERROR(__xludf.DUMMYFUNCTION("""COMPUTED_VALUE"""),45877.6666666666)</f>
        <v>45877.666666666599</v>
      </c>
      <c r="B376" s="2"/>
      <c r="C376" s="1">
        <v>4680</v>
      </c>
      <c r="D376" s="1">
        <v>4700</v>
      </c>
      <c r="E376" s="1">
        <v>4660</v>
      </c>
      <c r="F376" s="1">
        <v>4670</v>
      </c>
      <c r="G376" s="1">
        <v>71516700</v>
      </c>
      <c r="H376" s="8">
        <f t="shared" si="10"/>
        <v>-2.136752136752137E-3</v>
      </c>
      <c r="I376" s="8">
        <f t="shared" si="11"/>
        <v>-0.23755102040816325</v>
      </c>
    </row>
    <row r="377" spans="1:9" x14ac:dyDescent="0.2">
      <c r="A377" s="2">
        <f ca="1">IFERROR(__xludf.DUMMYFUNCTION("""COMPUTED_VALUE"""),45880.6666666666)</f>
        <v>45880.666666666599</v>
      </c>
      <c r="B377" s="2"/>
      <c r="C377" s="1">
        <v>4710</v>
      </c>
      <c r="D377" s="1">
        <v>4780</v>
      </c>
      <c r="E377" s="1">
        <v>4700</v>
      </c>
      <c r="F377" s="1">
        <v>4720</v>
      </c>
      <c r="G377" s="1">
        <v>105204200</v>
      </c>
      <c r="H377" s="8">
        <f t="shared" si="10"/>
        <v>1.0706638115631691E-2</v>
      </c>
      <c r="I377" s="8">
        <f t="shared" si="11"/>
        <v>-0.22938775510204082</v>
      </c>
    </row>
    <row r="378" spans="1:9" x14ac:dyDescent="0.2">
      <c r="A378" s="2">
        <f ca="1">IFERROR(__xludf.DUMMYFUNCTION("""COMPUTED_VALUE"""),45881.6666666666)</f>
        <v>45881.666666666599</v>
      </c>
      <c r="B378" s="2"/>
      <c r="C378" s="1">
        <v>4770</v>
      </c>
      <c r="D378" s="1">
        <v>4920</v>
      </c>
      <c r="E378" s="1">
        <v>4750</v>
      </c>
      <c r="F378" s="1">
        <v>4910</v>
      </c>
      <c r="G378" s="1">
        <v>301599000</v>
      </c>
      <c r="H378" s="8">
        <f t="shared" si="10"/>
        <v>4.025423728813559E-2</v>
      </c>
      <c r="I378" s="8">
        <f t="shared" si="11"/>
        <v>-0.1983673469387755</v>
      </c>
    </row>
    <row r="379" spans="1:9" x14ac:dyDescent="0.2">
      <c r="A379" s="2">
        <f ca="1">IFERROR(__xludf.DUMMYFUNCTION("""COMPUTED_VALUE"""),45882.6666666666)</f>
        <v>45882.666666666599</v>
      </c>
      <c r="B379" s="2"/>
      <c r="C379" s="1">
        <v>4930</v>
      </c>
      <c r="D379" s="1">
        <v>4970</v>
      </c>
      <c r="E379" s="1">
        <v>4860</v>
      </c>
      <c r="F379" s="1">
        <v>4870</v>
      </c>
      <c r="G379" s="1">
        <v>180844900</v>
      </c>
      <c r="H379" s="8">
        <f t="shared" si="10"/>
        <v>-8.1466395112016286E-3</v>
      </c>
      <c r="I379" s="8">
        <f t="shared" si="11"/>
        <v>-0.20489795918367346</v>
      </c>
    </row>
    <row r="380" spans="1:9" x14ac:dyDescent="0.2">
      <c r="A380" s="2">
        <f ca="1">IFERROR(__xludf.DUMMYFUNCTION("""COMPUTED_VALUE"""),45883.6666666666)</f>
        <v>45883.666666666599</v>
      </c>
      <c r="B380" s="2"/>
      <c r="C380" s="1">
        <v>4910</v>
      </c>
      <c r="D380" s="1">
        <v>4930</v>
      </c>
      <c r="E380" s="1">
        <v>4840</v>
      </c>
      <c r="F380" s="1">
        <v>4850</v>
      </c>
      <c r="G380" s="1">
        <v>109457100</v>
      </c>
      <c r="H380" s="8">
        <f t="shared" si="10"/>
        <v>-4.1067761806981521E-3</v>
      </c>
      <c r="I380" s="8">
        <f t="shared" si="11"/>
        <v>-0.20816326530612245</v>
      </c>
    </row>
    <row r="381" spans="1:9" x14ac:dyDescent="0.2">
      <c r="A381" s="2">
        <f ca="1">IFERROR(__xludf.DUMMYFUNCTION("""COMPUTED_VALUE"""),45884.6666666666)</f>
        <v>45884.666666666599</v>
      </c>
      <c r="B381" s="2"/>
      <c r="C381" s="1">
        <v>4890</v>
      </c>
      <c r="D381" s="1">
        <v>4930</v>
      </c>
      <c r="E381" s="1">
        <v>4850</v>
      </c>
      <c r="F381" s="1">
        <v>4850</v>
      </c>
      <c r="G381" s="1">
        <v>126685400</v>
      </c>
      <c r="H381" s="8">
        <f t="shared" si="10"/>
        <v>0</v>
      </c>
      <c r="I381" s="8">
        <f t="shared" si="11"/>
        <v>-0.20816326530612245</v>
      </c>
    </row>
    <row r="382" spans="1:9" x14ac:dyDescent="0.2">
      <c r="A382" s="2">
        <f ca="1">IFERROR(__xludf.DUMMYFUNCTION("""COMPUTED_VALUE"""),45888.6666666666)</f>
        <v>45888.666666666599</v>
      </c>
      <c r="B382" s="2"/>
      <c r="C382" s="1">
        <v>4860</v>
      </c>
      <c r="D382" s="1">
        <v>4870</v>
      </c>
      <c r="E382" s="1">
        <v>4780</v>
      </c>
      <c r="F382" s="1">
        <v>4800</v>
      </c>
      <c r="G382" s="1">
        <v>116454000</v>
      </c>
      <c r="H382" s="8">
        <f t="shared" si="10"/>
        <v>-1.0309278350515464E-2</v>
      </c>
      <c r="I382" s="8">
        <f t="shared" si="11"/>
        <v>-0.21632653061224491</v>
      </c>
    </row>
    <row r="383" spans="1:9" x14ac:dyDescent="0.2">
      <c r="A383" s="2">
        <f ca="1">IFERROR(__xludf.DUMMYFUNCTION("""COMPUTED_VALUE"""),45889.6666666666)</f>
        <v>45889.666666666599</v>
      </c>
      <c r="B383" s="2"/>
      <c r="C383" s="1">
        <v>4790</v>
      </c>
      <c r="D383" s="1">
        <v>4950</v>
      </c>
      <c r="E383" s="1">
        <v>4780</v>
      </c>
      <c r="F383" s="1">
        <v>4950</v>
      </c>
      <c r="G383" s="1">
        <v>144622900</v>
      </c>
      <c r="H383" s="8">
        <f t="shared" si="10"/>
        <v>3.125E-2</v>
      </c>
      <c r="I383" s="8">
        <f t="shared" si="11"/>
        <v>-0.19183673469387755</v>
      </c>
    </row>
    <row r="384" spans="1:9" x14ac:dyDescent="0.2">
      <c r="A384" s="2">
        <f ca="1">IFERROR(__xludf.DUMMYFUNCTION("""COMPUTED_VALUE"""),45890.6666666666)</f>
        <v>45890.666666666599</v>
      </c>
      <c r="B384" s="2"/>
      <c r="C384" s="1">
        <v>4950</v>
      </c>
      <c r="D384" s="1">
        <v>4950</v>
      </c>
      <c r="E384" s="1">
        <v>4860</v>
      </c>
      <c r="F384" s="1">
        <v>4900</v>
      </c>
      <c r="G384" s="1">
        <v>132019200</v>
      </c>
      <c r="H384" s="8">
        <f t="shared" si="10"/>
        <v>-1.0101010101010102E-2</v>
      </c>
      <c r="I384" s="8">
        <f t="shared" si="11"/>
        <v>-0.2</v>
      </c>
    </row>
    <row r="385" spans="1:9" x14ac:dyDescent="0.2">
      <c r="A385" s="2">
        <f ca="1">IFERROR(__xludf.DUMMYFUNCTION("""COMPUTED_VALUE"""),45891.6666666666)</f>
        <v>45891.666666666599</v>
      </c>
      <c r="B385" s="2"/>
      <c r="C385" s="1">
        <v>4920</v>
      </c>
      <c r="D385" s="1">
        <v>4920</v>
      </c>
      <c r="E385" s="1">
        <v>4870</v>
      </c>
      <c r="F385" s="1">
        <v>4890</v>
      </c>
      <c r="G385" s="1">
        <v>73104500</v>
      </c>
      <c r="H385" s="8">
        <f t="shared" si="10"/>
        <v>-2.0408163265306124E-3</v>
      </c>
      <c r="I385" s="8">
        <f t="shared" si="11"/>
        <v>-0.20163265306122449</v>
      </c>
    </row>
    <row r="386" spans="1:9" x14ac:dyDescent="0.2">
      <c r="A386" s="2">
        <f ca="1">IFERROR(__xludf.DUMMYFUNCTION("""COMPUTED_VALUE"""),45894.6666666666)</f>
        <v>45894.666666666599</v>
      </c>
      <c r="B386" s="2"/>
      <c r="C386" s="1">
        <v>4950</v>
      </c>
      <c r="D386" s="1">
        <v>4980</v>
      </c>
      <c r="E386" s="1">
        <v>4920</v>
      </c>
      <c r="F386" s="1">
        <v>4950</v>
      </c>
      <c r="G386" s="1">
        <v>149580800</v>
      </c>
      <c r="H386" s="8">
        <f t="shared" si="10"/>
        <v>1.2269938650306749E-2</v>
      </c>
      <c r="I386" s="8">
        <f t="shared" si="11"/>
        <v>-0.19183673469387755</v>
      </c>
    </row>
    <row r="387" spans="1:9" x14ac:dyDescent="0.2">
      <c r="A387" s="2">
        <f ca="1">IFERROR(__xludf.DUMMYFUNCTION("""COMPUTED_VALUE"""),45895.6666666666)</f>
        <v>45895.666666666599</v>
      </c>
      <c r="B387" s="2"/>
      <c r="C387" s="1">
        <v>4950</v>
      </c>
      <c r="D387" s="1">
        <v>4950</v>
      </c>
      <c r="E387" s="1">
        <v>4860</v>
      </c>
      <c r="F387" s="1">
        <v>4900</v>
      </c>
      <c r="G387" s="1">
        <v>308891700</v>
      </c>
      <c r="H387" s="8">
        <f t="shared" si="10"/>
        <v>-1.0101010101010102E-2</v>
      </c>
      <c r="I387" s="8">
        <f t="shared" si="11"/>
        <v>-0.2</v>
      </c>
    </row>
    <row r="388" spans="1:9" x14ac:dyDescent="0.2">
      <c r="A388" s="2">
        <f ca="1">IFERROR(__xludf.DUMMYFUNCTION("""COMPUTED_VALUE"""),45896.6666666666)</f>
        <v>45896.666666666599</v>
      </c>
      <c r="B388" s="2"/>
      <c r="C388" s="1">
        <v>4840</v>
      </c>
      <c r="D388" s="1">
        <v>4880</v>
      </c>
      <c r="E388" s="1">
        <v>4800</v>
      </c>
      <c r="F388" s="1">
        <v>4800</v>
      </c>
      <c r="G388" s="1">
        <v>113576300</v>
      </c>
      <c r="H388" s="8">
        <f t="shared" ref="H388:H451" si="12">(F388-F387)/F387</f>
        <v>-2.0408163265306121E-2</v>
      </c>
      <c r="I388" s="8">
        <f t="shared" ref="I388:I451" si="13">(F388-$F$2)/$F$2</f>
        <v>-0.21632653061224491</v>
      </c>
    </row>
    <row r="389" spans="1:9" x14ac:dyDescent="0.2">
      <c r="A389" s="2">
        <f ca="1">IFERROR(__xludf.DUMMYFUNCTION("""COMPUTED_VALUE"""),45897.6666666666)</f>
        <v>45897.666666666599</v>
      </c>
      <c r="B389" s="2"/>
      <c r="C389" s="1">
        <v>4790</v>
      </c>
      <c r="D389" s="1">
        <v>4850</v>
      </c>
      <c r="E389" s="1">
        <v>4770</v>
      </c>
      <c r="F389" s="1">
        <v>4770</v>
      </c>
      <c r="G389" s="1">
        <v>111707400</v>
      </c>
      <c r="H389" s="8">
        <f t="shared" si="12"/>
        <v>-6.2500000000000003E-3</v>
      </c>
      <c r="I389" s="8">
        <f t="shared" si="13"/>
        <v>-0.22122448979591836</v>
      </c>
    </row>
    <row r="390" spans="1:9" x14ac:dyDescent="0.2">
      <c r="A390" s="2">
        <f ca="1">IFERROR(__xludf.DUMMYFUNCTION("""COMPUTED_VALUE"""),45898.6666666666)</f>
        <v>45898.666666666599</v>
      </c>
      <c r="B390" s="2"/>
      <c r="C390" s="1">
        <v>4720</v>
      </c>
      <c r="D390" s="1">
        <v>4750</v>
      </c>
      <c r="E390" s="1">
        <v>4660</v>
      </c>
      <c r="F390" s="1">
        <v>4730</v>
      </c>
      <c r="G390" s="1">
        <v>176485100</v>
      </c>
      <c r="H390" s="8">
        <f t="shared" si="12"/>
        <v>-8.385744234800839E-3</v>
      </c>
      <c r="I390" s="8">
        <f t="shared" si="13"/>
        <v>-0.22775510204081634</v>
      </c>
    </row>
    <row r="391" spans="1:9" x14ac:dyDescent="0.2">
      <c r="A391" s="2">
        <f ca="1">IFERROR(__xludf.DUMMYFUNCTION("""COMPUTED_VALUE"""),45901.6666666666)</f>
        <v>45901.666666666599</v>
      </c>
      <c r="B391" s="2"/>
      <c r="C391" s="1">
        <v>4550</v>
      </c>
      <c r="D391" s="1">
        <v>4670</v>
      </c>
      <c r="E391" s="1">
        <v>4460</v>
      </c>
      <c r="F391" s="1">
        <v>4600</v>
      </c>
      <c r="G391" s="1">
        <v>320335300</v>
      </c>
      <c r="H391" s="8">
        <f t="shared" si="12"/>
        <v>-2.748414376321353E-2</v>
      </c>
      <c r="I391" s="8">
        <f t="shared" si="13"/>
        <v>-0.24897959183673468</v>
      </c>
    </row>
    <row r="392" spans="1:9" x14ac:dyDescent="0.2">
      <c r="A392" s="2">
        <f ca="1">IFERROR(__xludf.DUMMYFUNCTION("""COMPUTED_VALUE"""),45902.6666666666)</f>
        <v>45902.666666666599</v>
      </c>
      <c r="B392" s="2"/>
      <c r="C392" s="1">
        <v>4610</v>
      </c>
      <c r="D392" s="1">
        <v>4670</v>
      </c>
      <c r="E392" s="1">
        <v>4560</v>
      </c>
      <c r="F392" s="1">
        <v>4570</v>
      </c>
      <c r="G392" s="1">
        <v>150045600</v>
      </c>
      <c r="H392" s="8">
        <f t="shared" si="12"/>
        <v>-6.5217391304347823E-3</v>
      </c>
      <c r="I392" s="8">
        <f t="shared" si="13"/>
        <v>-0.25387755102040815</v>
      </c>
    </row>
    <row r="393" spans="1:9" x14ac:dyDescent="0.2">
      <c r="A393" s="2">
        <f ca="1">IFERROR(__xludf.DUMMYFUNCTION("""COMPUTED_VALUE"""),45903.6666666666)</f>
        <v>45903.666666666599</v>
      </c>
      <c r="B393" s="2"/>
      <c r="C393" s="1">
        <v>4620</v>
      </c>
      <c r="D393" s="1">
        <v>4660</v>
      </c>
      <c r="E393" s="1">
        <v>4570</v>
      </c>
      <c r="F393" s="1">
        <v>4620</v>
      </c>
      <c r="G393" s="1">
        <v>131617900</v>
      </c>
      <c r="H393" s="8">
        <f t="shared" si="12"/>
        <v>1.0940919037199124E-2</v>
      </c>
      <c r="I393" s="8">
        <f t="shared" si="13"/>
        <v>-0.24571428571428572</v>
      </c>
    </row>
    <row r="394" spans="1:9" x14ac:dyDescent="0.2">
      <c r="A394" s="2">
        <f ca="1">IFERROR(__xludf.DUMMYFUNCTION("""COMPUTED_VALUE"""),45904.6666666666)</f>
        <v>45904.666666666599</v>
      </c>
      <c r="B394" s="2"/>
      <c r="C394" s="1">
        <v>4630</v>
      </c>
      <c r="D394" s="1">
        <v>4680</v>
      </c>
      <c r="E394" s="1">
        <v>4620</v>
      </c>
      <c r="F394" s="1">
        <v>4680</v>
      </c>
      <c r="G394" s="1">
        <v>88735300</v>
      </c>
      <c r="H394" s="8">
        <f t="shared" si="12"/>
        <v>1.2987012987012988E-2</v>
      </c>
      <c r="I394" s="8">
        <f t="shared" si="13"/>
        <v>-0.23591836734693877</v>
      </c>
    </row>
    <row r="395" spans="1:9" x14ac:dyDescent="0.2">
      <c r="A395" s="2">
        <f ca="1">IFERROR(__xludf.DUMMYFUNCTION("""COMPUTED_VALUE"""),45908.6666666666)</f>
        <v>45908.666666666599</v>
      </c>
      <c r="B395" s="2"/>
      <c r="C395" s="1">
        <v>4750</v>
      </c>
      <c r="D395" s="1">
        <v>4750</v>
      </c>
      <c r="E395" s="1">
        <v>4460</v>
      </c>
      <c r="F395" s="1">
        <v>4490</v>
      </c>
      <c r="G395" s="1">
        <v>200234500</v>
      </c>
      <c r="H395" s="8">
        <f t="shared" si="12"/>
        <v>-4.05982905982906E-2</v>
      </c>
      <c r="I395" s="8">
        <f t="shared" si="13"/>
        <v>-0.26693877551020406</v>
      </c>
    </row>
    <row r="396" spans="1:9" x14ac:dyDescent="0.2">
      <c r="A396" s="2">
        <f ca="1">IFERROR(__xludf.DUMMYFUNCTION("""COMPUTED_VALUE"""),45909.6666666666)</f>
        <v>45909.666666666599</v>
      </c>
      <c r="B396" s="2"/>
      <c r="C396" s="1">
        <v>4450</v>
      </c>
      <c r="D396" s="1">
        <v>4480</v>
      </c>
      <c r="E396" s="1">
        <v>4310</v>
      </c>
      <c r="F396" s="1">
        <v>4310</v>
      </c>
      <c r="G396" s="1">
        <v>509366600</v>
      </c>
      <c r="H396" s="8">
        <f t="shared" si="12"/>
        <v>-4.0089086859688199E-2</v>
      </c>
      <c r="I396" s="8">
        <f t="shared" si="13"/>
        <v>-0.2963265306122449</v>
      </c>
    </row>
    <row r="397" spans="1:9" x14ac:dyDescent="0.2">
      <c r="A397" s="2">
        <f ca="1">IFERROR(__xludf.DUMMYFUNCTION("""COMPUTED_VALUE"""),45910.6666666666)</f>
        <v>45910.666666666599</v>
      </c>
      <c r="B397" s="2"/>
      <c r="C397" s="1">
        <v>4400</v>
      </c>
      <c r="D397" s="1">
        <v>4400</v>
      </c>
      <c r="E397" s="1">
        <v>4400</v>
      </c>
      <c r="F397" s="1">
        <v>4400</v>
      </c>
      <c r="G397" s="1">
        <v>801400</v>
      </c>
      <c r="H397" s="8">
        <f t="shared" si="12"/>
        <v>2.0881670533642691E-2</v>
      </c>
      <c r="I397" s="8">
        <f t="shared" si="13"/>
        <v>-0.28163265306122448</v>
      </c>
    </row>
    <row r="398" spans="1:9" x14ac:dyDescent="0.2">
      <c r="A398" s="2">
        <f ca="1">IFERROR(__xludf.DUMMYFUNCTION("""COMPUTED_VALUE"""),45911.6666666666)</f>
        <v>45911.666666666599</v>
      </c>
      <c r="B398" s="2"/>
      <c r="C398" s="1">
        <v>4480</v>
      </c>
      <c r="D398" s="1">
        <v>4540</v>
      </c>
      <c r="E398" s="1">
        <v>4450</v>
      </c>
      <c r="F398" s="1">
        <v>4480</v>
      </c>
      <c r="G398" s="1">
        <v>366697800</v>
      </c>
      <c r="H398" s="8">
        <f t="shared" si="12"/>
        <v>1.8181818181818181E-2</v>
      </c>
      <c r="I398" s="8">
        <f t="shared" si="13"/>
        <v>-0.26857142857142857</v>
      </c>
    </row>
    <row r="399" spans="1:9" x14ac:dyDescent="0.2">
      <c r="A399" s="2">
        <f ca="1">IFERROR(__xludf.DUMMYFUNCTION("""COMPUTED_VALUE"""),45912.6666666666)</f>
        <v>45912.666666666599</v>
      </c>
      <c r="B399" s="2"/>
      <c r="C399" s="1">
        <v>4500</v>
      </c>
      <c r="D399" s="1">
        <v>4550</v>
      </c>
      <c r="E399" s="1">
        <v>4480</v>
      </c>
      <c r="F399" s="1">
        <v>4520</v>
      </c>
      <c r="G399" s="1">
        <v>216960200</v>
      </c>
      <c r="H399" s="8">
        <f t="shared" si="12"/>
        <v>8.9285714285714281E-3</v>
      </c>
      <c r="I399" s="8">
        <f t="shared" si="13"/>
        <v>-0.26204081632653059</v>
      </c>
    </row>
    <row r="400" spans="1:9" x14ac:dyDescent="0.2">
      <c r="A400" s="2">
        <f ca="1">IFERROR(__xludf.DUMMYFUNCTION("""COMPUTED_VALUE"""),45915.6666666666)</f>
        <v>45915.666666666599</v>
      </c>
      <c r="B400" s="2"/>
      <c r="C400" s="1">
        <v>4550</v>
      </c>
      <c r="D400" s="1">
        <v>4640</v>
      </c>
      <c r="E400" s="1">
        <v>4520</v>
      </c>
      <c r="F400" s="1">
        <v>4530</v>
      </c>
      <c r="G400" s="1">
        <v>231346000</v>
      </c>
      <c r="H400" s="8">
        <f t="shared" si="12"/>
        <v>2.2123893805309734E-3</v>
      </c>
      <c r="I400" s="8">
        <f t="shared" si="13"/>
        <v>-0.26040816326530614</v>
      </c>
    </row>
    <row r="401" spans="1:9" x14ac:dyDescent="0.2">
      <c r="A401" s="2">
        <f ca="1">IFERROR(__xludf.DUMMYFUNCTION("""COMPUTED_VALUE"""),45916.6666666666)</f>
        <v>45916.666666666599</v>
      </c>
      <c r="B401" s="2"/>
      <c r="C401" s="1">
        <v>4570</v>
      </c>
      <c r="D401" s="1">
        <v>4570</v>
      </c>
      <c r="E401" s="1">
        <v>4460</v>
      </c>
      <c r="F401" s="1">
        <v>4480</v>
      </c>
      <c r="G401" s="1">
        <v>122027400</v>
      </c>
      <c r="H401" s="8">
        <f t="shared" si="12"/>
        <v>-1.1037527593818985E-2</v>
      </c>
      <c r="I401" s="8">
        <f t="shared" si="13"/>
        <v>-0.26857142857142857</v>
      </c>
    </row>
    <row r="402" spans="1:9" x14ac:dyDescent="0.2">
      <c r="A402" s="2">
        <f ca="1">IFERROR(__xludf.DUMMYFUNCTION("""COMPUTED_VALUE"""),45917.6666666666)</f>
        <v>45917.666666666599</v>
      </c>
      <c r="B402" s="2"/>
      <c r="C402" s="1">
        <v>4480</v>
      </c>
      <c r="D402" s="1">
        <v>4520</v>
      </c>
      <c r="E402" s="1">
        <v>4440</v>
      </c>
      <c r="F402" s="1">
        <v>4510</v>
      </c>
      <c r="G402" s="1">
        <v>232702500</v>
      </c>
      <c r="H402" s="8">
        <f t="shared" si="12"/>
        <v>6.6964285714285711E-3</v>
      </c>
      <c r="I402" s="8">
        <f t="shared" si="13"/>
        <v>-0.2636734693877551</v>
      </c>
    </row>
    <row r="403" spans="1:9" x14ac:dyDescent="0.2">
      <c r="A403" s="2">
        <f ca="1">IFERROR(__xludf.DUMMYFUNCTION("""COMPUTED_VALUE"""),45918.6666666666)</f>
        <v>45918.666666666599</v>
      </c>
      <c r="B403" s="2"/>
      <c r="C403" s="1">
        <v>4540</v>
      </c>
      <c r="D403" s="1">
        <v>4550</v>
      </c>
      <c r="E403" s="1">
        <v>4420</v>
      </c>
      <c r="F403" s="1">
        <v>4420</v>
      </c>
      <c r="G403" s="1">
        <v>177560000</v>
      </c>
      <c r="H403" s="8">
        <f t="shared" si="12"/>
        <v>-1.9955654101995565E-2</v>
      </c>
      <c r="I403" s="8">
        <f t="shared" si="13"/>
        <v>-0.27836734693877552</v>
      </c>
    </row>
    <row r="404" spans="1:9" x14ac:dyDescent="0.2">
      <c r="A404" s="2">
        <f ca="1">IFERROR(__xludf.DUMMYFUNCTION("""COMPUTED_VALUE"""),45919.6666666666)</f>
        <v>45919.666666666599</v>
      </c>
      <c r="B404" s="2"/>
      <c r="C404" s="1">
        <v>4350</v>
      </c>
      <c r="D404" s="1">
        <v>4420</v>
      </c>
      <c r="E404" s="1">
        <v>4330</v>
      </c>
      <c r="F404" s="1">
        <v>4380</v>
      </c>
      <c r="G404" s="1">
        <v>235975900</v>
      </c>
      <c r="H404" s="8">
        <f t="shared" si="12"/>
        <v>-9.0497737556561094E-3</v>
      </c>
      <c r="I404" s="8">
        <f t="shared" si="13"/>
        <v>-0.28489795918367344</v>
      </c>
    </row>
    <row r="405" spans="1:9" x14ac:dyDescent="0.2">
      <c r="A405" s="2">
        <f ca="1">IFERROR(__xludf.DUMMYFUNCTION("""COMPUTED_VALUE"""),45922.6666666666)</f>
        <v>45922.666666666599</v>
      </c>
      <c r="B405" s="2"/>
      <c r="C405" s="1">
        <v>4410</v>
      </c>
      <c r="D405" s="1">
        <v>4420</v>
      </c>
      <c r="E405" s="1">
        <v>4360</v>
      </c>
      <c r="F405" s="1">
        <v>4420</v>
      </c>
      <c r="G405" s="1">
        <v>107176100</v>
      </c>
      <c r="H405" s="8">
        <f t="shared" si="12"/>
        <v>9.1324200913242004E-3</v>
      </c>
      <c r="I405" s="8">
        <f t="shared" si="13"/>
        <v>-0.27836734693877552</v>
      </c>
    </row>
    <row r="406" spans="1:9" x14ac:dyDescent="0.2">
      <c r="A406" s="2">
        <f ca="1">IFERROR(__xludf.DUMMYFUNCTION("""COMPUTED_VALUE"""),45923.6666666666)</f>
        <v>45923.666666666599</v>
      </c>
      <c r="B406" s="2"/>
      <c r="C406" s="1">
        <v>4390</v>
      </c>
      <c r="D406" s="1">
        <v>4430</v>
      </c>
      <c r="E406" s="1">
        <v>4370</v>
      </c>
      <c r="F406" s="1">
        <v>4410</v>
      </c>
      <c r="G406" s="1">
        <v>90675500</v>
      </c>
      <c r="H406" s="8">
        <f t="shared" si="12"/>
        <v>-2.2624434389140274E-3</v>
      </c>
      <c r="I406" s="8">
        <f t="shared" si="13"/>
        <v>-0.28000000000000003</v>
      </c>
    </row>
    <row r="407" spans="1:9" x14ac:dyDescent="0.2">
      <c r="A407" s="2">
        <f ca="1">IFERROR(__xludf.DUMMYFUNCTION("""COMPUTED_VALUE"""),45924.6666666666)</f>
        <v>45924.666666666599</v>
      </c>
      <c r="B407" s="2"/>
      <c r="C407" s="1">
        <v>4410</v>
      </c>
      <c r="D407" s="1">
        <v>4430</v>
      </c>
      <c r="E407" s="1">
        <v>4390</v>
      </c>
      <c r="F407" s="1">
        <v>4390</v>
      </c>
      <c r="G407" s="1">
        <v>85439100</v>
      </c>
      <c r="H407" s="8">
        <f t="shared" si="12"/>
        <v>-4.5351473922902496E-3</v>
      </c>
      <c r="I407" s="8">
        <f t="shared" si="13"/>
        <v>-0.28326530612244899</v>
      </c>
    </row>
    <row r="408" spans="1:9" x14ac:dyDescent="0.2">
      <c r="A408" s="2">
        <f ca="1">IFERROR(__xludf.DUMMYFUNCTION("""COMPUTED_VALUE"""),45925.6666666666)</f>
        <v>45925.666666666599</v>
      </c>
      <c r="B408" s="2"/>
      <c r="C408" s="1">
        <v>4400</v>
      </c>
      <c r="D408" s="1">
        <v>4410</v>
      </c>
      <c r="E408" s="1">
        <v>4360</v>
      </c>
      <c r="F408" s="1">
        <v>4360</v>
      </c>
      <c r="G408" s="1">
        <v>73946900</v>
      </c>
      <c r="H408" s="8">
        <f t="shared" si="12"/>
        <v>-6.8337129840546698E-3</v>
      </c>
      <c r="I408" s="8">
        <f t="shared" si="13"/>
        <v>-0.28816326530612246</v>
      </c>
    </row>
    <row r="409" spans="1:9" x14ac:dyDescent="0.2">
      <c r="A409" s="2">
        <f ca="1">IFERROR(__xludf.DUMMYFUNCTION("""COMPUTED_VALUE"""),45926.6666666666)</f>
        <v>45926.666666666599</v>
      </c>
      <c r="B409" s="2"/>
      <c r="C409" s="1">
        <v>4350</v>
      </c>
      <c r="D409" s="1">
        <v>4430</v>
      </c>
      <c r="E409" s="1">
        <v>4350</v>
      </c>
      <c r="F409" s="1">
        <v>4420</v>
      </c>
      <c r="G409" s="1">
        <v>86572900</v>
      </c>
      <c r="H409" s="8">
        <f t="shared" si="12"/>
        <v>1.3761467889908258E-2</v>
      </c>
      <c r="I409" s="8">
        <f t="shared" si="13"/>
        <v>-0.27836734693877552</v>
      </c>
    </row>
    <row r="410" spans="1:9" x14ac:dyDescent="0.2">
      <c r="A410" s="2">
        <f ca="1">IFERROR(__xludf.DUMMYFUNCTION("""COMPUTED_VALUE"""),45929.6666666666)</f>
        <v>45929.666666666599</v>
      </c>
      <c r="B410" s="2"/>
      <c r="C410" s="1">
        <v>4420</v>
      </c>
      <c r="D410" s="1">
        <v>4430</v>
      </c>
      <c r="E410" s="1">
        <v>4400</v>
      </c>
      <c r="F410" s="1">
        <v>4400</v>
      </c>
      <c r="G410" s="1">
        <v>63753600</v>
      </c>
      <c r="H410" s="8">
        <f t="shared" si="12"/>
        <v>-4.5248868778280547E-3</v>
      </c>
      <c r="I410" s="8">
        <f t="shared" si="13"/>
        <v>-0.28163265306122448</v>
      </c>
    </row>
    <row r="411" spans="1:9" x14ac:dyDescent="0.2">
      <c r="A411" s="2">
        <f ca="1">IFERROR(__xludf.DUMMYFUNCTION("""COMPUTED_VALUE"""),45930.6666666666)</f>
        <v>45930.666666666599</v>
      </c>
      <c r="B411" s="2"/>
      <c r="C411" s="1">
        <v>4420</v>
      </c>
      <c r="D411" s="1">
        <v>4450</v>
      </c>
      <c r="E411" s="1">
        <v>4380</v>
      </c>
      <c r="F411" s="1">
        <v>4400</v>
      </c>
      <c r="G411" s="1">
        <v>108639600</v>
      </c>
      <c r="H411" s="8">
        <f t="shared" si="12"/>
        <v>0</v>
      </c>
      <c r="I411" s="8">
        <f t="shared" si="13"/>
        <v>-0.28163265306122448</v>
      </c>
    </row>
    <row r="412" spans="1:9" x14ac:dyDescent="0.2">
      <c r="A412" s="2">
        <f ca="1">IFERROR(__xludf.DUMMYFUNCTION("""COMPUTED_VALUE"""),45931.6666666666)</f>
        <v>45931.666666666599</v>
      </c>
      <c r="B412" s="2"/>
      <c r="C412" s="1">
        <v>4360</v>
      </c>
      <c r="D412" s="1">
        <v>4400</v>
      </c>
      <c r="E412" s="1">
        <v>4350</v>
      </c>
      <c r="F412" s="1">
        <v>4380</v>
      </c>
      <c r="G412" s="1">
        <v>92265100</v>
      </c>
      <c r="H412" s="8">
        <f t="shared" si="12"/>
        <v>-4.5454545454545452E-3</v>
      </c>
      <c r="I412" s="8">
        <f t="shared" si="13"/>
        <v>-0.28489795918367344</v>
      </c>
    </row>
    <row r="413" spans="1:9" x14ac:dyDescent="0.2">
      <c r="A413" s="2">
        <f ca="1">IFERROR(__xludf.DUMMYFUNCTION("""COMPUTED_VALUE"""),45932.6666666666)</f>
        <v>45932.666666666599</v>
      </c>
      <c r="B413" s="2"/>
      <c r="C413" s="1">
        <v>4410</v>
      </c>
      <c r="D413" s="1">
        <v>4440</v>
      </c>
      <c r="E413" s="1">
        <v>4360</v>
      </c>
      <c r="F413" s="1">
        <v>4360</v>
      </c>
      <c r="G413" s="1">
        <v>93387400</v>
      </c>
      <c r="H413" s="8">
        <f t="shared" si="12"/>
        <v>-4.5662100456621002E-3</v>
      </c>
      <c r="I413" s="8">
        <f t="shared" si="13"/>
        <v>-0.28816326530612246</v>
      </c>
    </row>
    <row r="414" spans="1:9" x14ac:dyDescent="0.2">
      <c r="A414" s="2">
        <f ca="1">IFERROR(__xludf.DUMMYFUNCTION("""COMPUTED_VALUE"""),45933.6666666666)</f>
        <v>45933.666666666599</v>
      </c>
      <c r="B414" s="2"/>
      <c r="C414" s="1">
        <v>4370</v>
      </c>
      <c r="D414" s="1">
        <v>4380</v>
      </c>
      <c r="E414" s="1">
        <v>4300</v>
      </c>
      <c r="F414" s="1">
        <v>4310</v>
      </c>
      <c r="G414" s="1">
        <v>102459100</v>
      </c>
      <c r="H414" s="8">
        <f t="shared" si="12"/>
        <v>-1.1467889908256881E-2</v>
      </c>
      <c r="I414" s="8">
        <f t="shared" si="13"/>
        <v>-0.2963265306122449</v>
      </c>
    </row>
    <row r="415" spans="1:9" x14ac:dyDescent="0.2">
      <c r="A415" s="2">
        <f ca="1">IFERROR(__xludf.DUMMYFUNCTION("""COMPUTED_VALUE"""),45936.6666666666)</f>
        <v>45936.666666666599</v>
      </c>
      <c r="B415" s="2"/>
      <c r="C415" s="1">
        <v>4320</v>
      </c>
      <c r="D415" s="1">
        <v>4330</v>
      </c>
      <c r="E415" s="1">
        <v>4260</v>
      </c>
      <c r="F415" s="1">
        <v>4260</v>
      </c>
      <c r="G415" s="1">
        <v>96040500</v>
      </c>
      <c r="H415" s="8">
        <f t="shared" si="12"/>
        <v>-1.1600928074245939E-2</v>
      </c>
      <c r="I415" s="8">
        <f t="shared" si="13"/>
        <v>-0.30448979591836733</v>
      </c>
    </row>
    <row r="416" spans="1:9" x14ac:dyDescent="0.2">
      <c r="A416" s="2">
        <f ca="1">IFERROR(__xludf.DUMMYFUNCTION("""COMPUTED_VALUE"""),45937.6666666666)</f>
        <v>45937.666666666599</v>
      </c>
      <c r="B416" s="2"/>
      <c r="C416" s="1">
        <v>4260</v>
      </c>
      <c r="D416" s="1">
        <v>4320</v>
      </c>
      <c r="E416" s="1">
        <v>4250</v>
      </c>
      <c r="F416" s="1">
        <v>4290</v>
      </c>
      <c r="G416" s="1">
        <v>100237500</v>
      </c>
      <c r="H416" s="8">
        <f t="shared" si="12"/>
        <v>7.0422535211267607E-3</v>
      </c>
      <c r="I416" s="8">
        <f t="shared" si="13"/>
        <v>-0.29959183673469386</v>
      </c>
    </row>
    <row r="417" spans="1:9" x14ac:dyDescent="0.2">
      <c r="A417" s="2">
        <f ca="1">IFERROR(__xludf.DUMMYFUNCTION("""COMPUTED_VALUE"""),45938.6666666666)</f>
        <v>45938.666666666599</v>
      </c>
      <c r="B417" s="2"/>
      <c r="C417" s="1">
        <v>4280</v>
      </c>
      <c r="D417" s="1">
        <v>4290</v>
      </c>
      <c r="E417" s="1">
        <v>4210</v>
      </c>
      <c r="F417" s="1">
        <v>4250</v>
      </c>
      <c r="G417" s="1">
        <v>97466800</v>
      </c>
      <c r="H417" s="8">
        <f t="shared" si="12"/>
        <v>-9.324009324009324E-3</v>
      </c>
      <c r="I417" s="8">
        <f t="shared" si="13"/>
        <v>-0.30612244897959184</v>
      </c>
    </row>
    <row r="418" spans="1:9" x14ac:dyDescent="0.2">
      <c r="A418" s="2">
        <f ca="1">IFERROR(__xludf.DUMMYFUNCTION("""COMPUTED_VALUE"""),45939.6666666666)</f>
        <v>45939.666666666599</v>
      </c>
      <c r="B418" s="2"/>
      <c r="C418" s="1">
        <v>4240</v>
      </c>
      <c r="D418" s="1">
        <v>4450</v>
      </c>
      <c r="E418" s="1">
        <v>4200</v>
      </c>
      <c r="F418" s="1">
        <v>4390</v>
      </c>
      <c r="G418" s="1">
        <v>183242600</v>
      </c>
      <c r="H418" s="8">
        <f t="shared" si="12"/>
        <v>3.2941176470588238E-2</v>
      </c>
      <c r="I418" s="8">
        <f t="shared" si="13"/>
        <v>-0.28326530612244899</v>
      </c>
    </row>
    <row r="419" spans="1:9" x14ac:dyDescent="0.2">
      <c r="A419" s="2">
        <f ca="1">IFERROR(__xludf.DUMMYFUNCTION("""COMPUTED_VALUE"""),45940.6666666666)</f>
        <v>45940.666666666599</v>
      </c>
      <c r="B419" s="2"/>
      <c r="C419" s="1">
        <v>4410</v>
      </c>
      <c r="D419" s="1">
        <v>4420</v>
      </c>
      <c r="E419" s="1">
        <v>4250</v>
      </c>
      <c r="F419" s="1">
        <v>4250</v>
      </c>
      <c r="G419" s="1">
        <v>139911200</v>
      </c>
      <c r="H419" s="8">
        <f t="shared" si="12"/>
        <v>-3.1890660592255128E-2</v>
      </c>
      <c r="I419" s="8">
        <f t="shared" si="13"/>
        <v>-0.30612244897959184</v>
      </c>
    </row>
    <row r="420" spans="1:9" x14ac:dyDescent="0.2">
      <c r="A420" s="2">
        <f ca="1">IFERROR(__xludf.DUMMYFUNCTION("""COMPUTED_VALUE"""),45943.6666666666)</f>
        <v>45943.666666666599</v>
      </c>
      <c r="B420" s="2"/>
      <c r="C420" s="1">
        <v>4210</v>
      </c>
      <c r="D420" s="1">
        <v>4240</v>
      </c>
      <c r="E420" s="1">
        <v>4200</v>
      </c>
      <c r="F420" s="1">
        <v>4230</v>
      </c>
      <c r="G420" s="1">
        <v>79178600</v>
      </c>
      <c r="H420" s="8">
        <f t="shared" si="12"/>
        <v>-4.7058823529411761E-3</v>
      </c>
      <c r="I420" s="8">
        <f t="shared" si="13"/>
        <v>-0.30938775510204081</v>
      </c>
    </row>
    <row r="421" spans="1:9" x14ac:dyDescent="0.2">
      <c r="A421" s="2">
        <f ca="1">IFERROR(__xludf.DUMMYFUNCTION("""COMPUTED_VALUE"""),45944.6666666666)</f>
        <v>45944.666666666599</v>
      </c>
      <c r="B421" s="2"/>
      <c r="C421" s="1">
        <v>4220</v>
      </c>
      <c r="D421" s="1">
        <v>4270</v>
      </c>
      <c r="E421" s="1">
        <v>4090</v>
      </c>
      <c r="F421" s="1">
        <v>4090</v>
      </c>
      <c r="G421" s="1">
        <v>188507000</v>
      </c>
      <c r="H421" s="8">
        <f t="shared" si="12"/>
        <v>-3.309692671394799E-2</v>
      </c>
      <c r="I421" s="8">
        <f t="shared" si="13"/>
        <v>-0.33224489795918366</v>
      </c>
    </row>
    <row r="422" spans="1:9" x14ac:dyDescent="0.2">
      <c r="A422" s="2">
        <f ca="1">IFERROR(__xludf.DUMMYFUNCTION("""COMPUTED_VALUE"""),45945.6666666666)</f>
        <v>45945.666666666599</v>
      </c>
      <c r="B422" s="2"/>
      <c r="C422" s="1">
        <v>4110</v>
      </c>
      <c r="D422" s="1">
        <v>4140</v>
      </c>
      <c r="E422" s="1">
        <v>4010</v>
      </c>
      <c r="F422" s="1">
        <v>4050</v>
      </c>
      <c r="G422" s="1">
        <v>270562400</v>
      </c>
      <c r="H422" s="8">
        <f t="shared" si="12"/>
        <v>-9.7799511002444987E-3</v>
      </c>
      <c r="I422" s="8">
        <f t="shared" si="13"/>
        <v>-0.33877551020408164</v>
      </c>
    </row>
    <row r="423" spans="1:9" x14ac:dyDescent="0.2">
      <c r="A423" s="2">
        <f ca="1">IFERROR(__xludf.DUMMYFUNCTION("""COMPUTED_VALUE"""),45946.6666666666)</f>
        <v>45946.666666666599</v>
      </c>
      <c r="B423" s="2"/>
      <c r="C423" s="1">
        <v>4050</v>
      </c>
      <c r="D423" s="1">
        <v>4150</v>
      </c>
      <c r="E423" s="1">
        <v>4050</v>
      </c>
      <c r="F423" s="1">
        <v>4090</v>
      </c>
      <c r="G423" s="1">
        <v>125979600</v>
      </c>
      <c r="H423" s="8">
        <f t="shared" si="12"/>
        <v>9.876543209876543E-3</v>
      </c>
      <c r="I423" s="8">
        <f t="shared" si="13"/>
        <v>-0.33224489795918366</v>
      </c>
    </row>
    <row r="424" spans="1:9" x14ac:dyDescent="0.2">
      <c r="A424" s="2">
        <f ca="1">IFERROR(__xludf.DUMMYFUNCTION("""COMPUTED_VALUE"""),45947.6666666666)</f>
        <v>45947.666666666599</v>
      </c>
      <c r="B424" s="2"/>
      <c r="C424" s="1">
        <v>4110</v>
      </c>
      <c r="D424" s="1">
        <v>4110</v>
      </c>
      <c r="E424" s="1">
        <v>4030</v>
      </c>
      <c r="F424" s="1">
        <v>4050</v>
      </c>
      <c r="G424" s="1">
        <v>247510000</v>
      </c>
      <c r="H424" s="8">
        <f t="shared" si="12"/>
        <v>-9.7799511002444987E-3</v>
      </c>
      <c r="I424" s="8">
        <f t="shared" si="13"/>
        <v>-0.33877551020408164</v>
      </c>
    </row>
    <row r="425" spans="1:9" x14ac:dyDescent="0.2">
      <c r="A425" s="2">
        <f ca="1">IFERROR(__xludf.DUMMYFUNCTION("""COMPUTED_VALUE"""),45950.6666666666)</f>
        <v>45950.666666666599</v>
      </c>
      <c r="B425" s="2"/>
      <c r="C425" s="1">
        <v>4120</v>
      </c>
      <c r="D425" s="1">
        <v>4320</v>
      </c>
      <c r="E425" s="1">
        <v>4070</v>
      </c>
      <c r="F425" s="1">
        <v>4300</v>
      </c>
      <c r="G425" s="1">
        <v>331939200</v>
      </c>
      <c r="H425" s="8">
        <f t="shared" si="12"/>
        <v>6.1728395061728392E-2</v>
      </c>
      <c r="I425" s="8">
        <f t="shared" si="13"/>
        <v>-0.29795918367346941</v>
      </c>
    </row>
    <row r="426" spans="1:9" x14ac:dyDescent="0.2">
      <c r="A426" s="2">
        <f ca="1">IFERROR(__xludf.DUMMYFUNCTION("""COMPUTED_VALUE"""),45951.6666666666)</f>
        <v>45951.666666666599</v>
      </c>
      <c r="B426" s="2"/>
      <c r="C426" s="1">
        <v>4350</v>
      </c>
      <c r="D426" s="1">
        <v>4390</v>
      </c>
      <c r="E426" s="1">
        <v>4300</v>
      </c>
      <c r="F426" s="1">
        <v>4350</v>
      </c>
      <c r="G426" s="1">
        <v>230858900</v>
      </c>
      <c r="H426" s="8">
        <f t="shared" si="12"/>
        <v>1.1627906976744186E-2</v>
      </c>
      <c r="I426" s="8">
        <f t="shared" si="13"/>
        <v>-0.28979591836734692</v>
      </c>
    </row>
    <row r="427" spans="1:9" x14ac:dyDescent="0.2">
      <c r="A427" s="2">
        <f ca="1">IFERROR(__xludf.DUMMYFUNCTION("""COMPUTED_VALUE"""),45952.6666666666)</f>
        <v>45952.666666666599</v>
      </c>
      <c r="B427" s="2"/>
      <c r="C427" s="1">
        <v>4350</v>
      </c>
      <c r="D427" s="1">
        <v>4460</v>
      </c>
      <c r="E427" s="1">
        <v>4290</v>
      </c>
      <c r="F427" s="1">
        <v>4330</v>
      </c>
      <c r="G427" s="1">
        <v>216261300</v>
      </c>
      <c r="H427" s="8">
        <f t="shared" si="12"/>
        <v>-4.5977011494252873E-3</v>
      </c>
      <c r="I427" s="8">
        <f t="shared" si="13"/>
        <v>-0.29306122448979594</v>
      </c>
    </row>
    <row r="428" spans="1:9" x14ac:dyDescent="0.2">
      <c r="A428" s="2">
        <f ca="1">IFERROR(__xludf.DUMMYFUNCTION("""COMPUTED_VALUE"""),45953.6666666666)</f>
        <v>45953.666666666599</v>
      </c>
      <c r="B428" s="2"/>
      <c r="C428" s="1">
        <v>4310</v>
      </c>
      <c r="D428" s="1">
        <v>4440</v>
      </c>
      <c r="E428" s="1">
        <v>4310</v>
      </c>
      <c r="F428" s="1">
        <v>4430</v>
      </c>
      <c r="G428" s="1">
        <v>202102500</v>
      </c>
      <c r="H428" s="8">
        <f t="shared" si="12"/>
        <v>2.3094688221709007E-2</v>
      </c>
      <c r="I428" s="8">
        <f t="shared" si="13"/>
        <v>-0.27673469387755101</v>
      </c>
    </row>
    <row r="429" spans="1:9" x14ac:dyDescent="0.2">
      <c r="A429" s="2">
        <f ca="1">IFERROR(__xludf.DUMMYFUNCTION("""COMPUTED_VALUE"""),45954.6666666666)</f>
        <v>45954.666666666599</v>
      </c>
      <c r="B429" s="2"/>
      <c r="C429" s="1">
        <v>4380</v>
      </c>
      <c r="D429" s="1">
        <v>4590</v>
      </c>
      <c r="E429" s="1">
        <v>4380</v>
      </c>
      <c r="F429" s="1">
        <v>4550</v>
      </c>
      <c r="G429" s="1">
        <v>350420300</v>
      </c>
      <c r="H429" s="8">
        <f t="shared" si="12"/>
        <v>2.7088036117381489E-2</v>
      </c>
      <c r="I429" s="8">
        <f t="shared" si="13"/>
        <v>-0.25714285714285712</v>
      </c>
    </row>
    <row r="430" spans="1:9" x14ac:dyDescent="0.2">
      <c r="A430" s="2">
        <f ca="1">IFERROR(__xludf.DUMMYFUNCTION("""COMPUTED_VALUE"""),45957.6666666666)</f>
        <v>45957.666666666599</v>
      </c>
      <c r="B430" s="2"/>
      <c r="C430" s="1">
        <v>4590</v>
      </c>
      <c r="D430" s="1">
        <v>4600</v>
      </c>
      <c r="E430" s="1">
        <v>4410</v>
      </c>
      <c r="F430" s="1">
        <v>4470</v>
      </c>
      <c r="G430" s="1">
        <v>245576100</v>
      </c>
      <c r="H430" s="8">
        <f t="shared" si="12"/>
        <v>-1.7582417582417582E-2</v>
      </c>
      <c r="I430" s="8">
        <f t="shared" si="13"/>
        <v>-0.27020408163265308</v>
      </c>
    </row>
    <row r="431" spans="1:9" x14ac:dyDescent="0.2">
      <c r="A431" s="2">
        <f ca="1">IFERROR(__xludf.DUMMYFUNCTION("""COMPUTED_VALUE"""),45958.6666666666)</f>
        <v>45958.666666666599</v>
      </c>
      <c r="B431" s="2"/>
      <c r="C431" s="1">
        <v>4490</v>
      </c>
      <c r="D431" s="1">
        <v>4510</v>
      </c>
      <c r="E431" s="1">
        <v>4440</v>
      </c>
      <c r="F431" s="1">
        <v>4510</v>
      </c>
      <c r="G431" s="1">
        <v>174638500</v>
      </c>
      <c r="H431" s="8">
        <f t="shared" si="12"/>
        <v>8.948545861297539E-3</v>
      </c>
      <c r="I431" s="8">
        <f t="shared" si="13"/>
        <v>-0.2636734693877551</v>
      </c>
    </row>
    <row r="432" spans="1:9" x14ac:dyDescent="0.2">
      <c r="A432" s="2">
        <f ca="1">IFERROR(__xludf.DUMMYFUNCTION("""COMPUTED_VALUE"""),45959.6666666666)</f>
        <v>45959.666666666599</v>
      </c>
      <c r="B432" s="2"/>
      <c r="C432" s="1">
        <v>4500</v>
      </c>
      <c r="D432" s="1">
        <v>4650</v>
      </c>
      <c r="E432" s="1">
        <v>4490</v>
      </c>
      <c r="F432" s="1">
        <v>4650</v>
      </c>
      <c r="G432" s="1">
        <v>176978800</v>
      </c>
      <c r="H432" s="8">
        <f t="shared" si="12"/>
        <v>3.1042128603104215E-2</v>
      </c>
      <c r="I432" s="8">
        <f t="shared" si="13"/>
        <v>-0.24081632653061225</v>
      </c>
    </row>
    <row r="433" spans="1:9" x14ac:dyDescent="0.2">
      <c r="A433" s="2">
        <f ca="1">IFERROR(__xludf.DUMMYFUNCTION("""COMPUTED_VALUE"""),45960.6666666666)</f>
        <v>45960.666666666599</v>
      </c>
      <c r="B433" s="2"/>
      <c r="C433" s="1">
        <v>4670</v>
      </c>
      <c r="D433" s="1">
        <v>4830</v>
      </c>
      <c r="E433" s="1">
        <v>4650</v>
      </c>
      <c r="F433" s="1">
        <v>4800</v>
      </c>
      <c r="G433" s="1">
        <v>390256000</v>
      </c>
      <c r="H433" s="8">
        <f t="shared" si="12"/>
        <v>3.2258064516129031E-2</v>
      </c>
      <c r="I433" s="8">
        <f t="shared" si="13"/>
        <v>-0.21632653061224491</v>
      </c>
    </row>
    <row r="434" spans="1:9" x14ac:dyDescent="0.2">
      <c r="A434" s="2">
        <f ca="1">IFERROR(__xludf.DUMMYFUNCTION("""COMPUTED_VALUE"""),45961.6666666666)</f>
        <v>45961.666666666599</v>
      </c>
      <c r="B434" s="2"/>
      <c r="C434" s="1">
        <v>4790</v>
      </c>
      <c r="D434" s="1">
        <v>4800</v>
      </c>
      <c r="E434" s="1">
        <v>4720</v>
      </c>
      <c r="F434" s="1">
        <v>4720</v>
      </c>
      <c r="G434" s="1">
        <v>227378000</v>
      </c>
      <c r="H434" s="8">
        <f t="shared" si="12"/>
        <v>-1.6666666666666666E-2</v>
      </c>
      <c r="I434" s="8">
        <f t="shared" si="13"/>
        <v>-0.22938775510204082</v>
      </c>
    </row>
    <row r="435" spans="1:9" x14ac:dyDescent="0.2">
      <c r="A435" s="2">
        <f ca="1">IFERROR(__xludf.DUMMYFUNCTION("""COMPUTED_VALUE"""),45964.6666666666)</f>
        <v>45964.666666666599</v>
      </c>
      <c r="B435" s="2"/>
      <c r="C435" s="1">
        <v>4710</v>
      </c>
      <c r="D435" s="1">
        <v>4760</v>
      </c>
      <c r="E435" s="1">
        <v>4700</v>
      </c>
      <c r="F435" s="1">
        <v>4760</v>
      </c>
      <c r="G435" s="1">
        <v>129834200</v>
      </c>
      <c r="H435" s="8">
        <f t="shared" si="12"/>
        <v>8.4745762711864406E-3</v>
      </c>
      <c r="I435" s="8">
        <f t="shared" si="13"/>
        <v>-0.22285714285714286</v>
      </c>
    </row>
    <row r="436" spans="1:9" x14ac:dyDescent="0.2">
      <c r="A436" s="2">
        <f ca="1">IFERROR(__xludf.DUMMYFUNCTION("""COMPUTED_VALUE"""),45965.6666666666)</f>
        <v>45965.666666666599</v>
      </c>
      <c r="B436" s="2"/>
      <c r="C436" s="1">
        <v>4760</v>
      </c>
      <c r="D436" s="1">
        <v>4790</v>
      </c>
      <c r="E436" s="1">
        <v>4720</v>
      </c>
      <c r="F436" s="1">
        <v>4730</v>
      </c>
      <c r="G436" s="1">
        <v>136412400</v>
      </c>
      <c r="H436" s="8">
        <f t="shared" si="12"/>
        <v>-6.3025210084033615E-3</v>
      </c>
      <c r="I436" s="8">
        <f t="shared" si="13"/>
        <v>-0.22775510204081634</v>
      </c>
    </row>
    <row r="437" spans="1:9" x14ac:dyDescent="0.2">
      <c r="A437" s="2">
        <f ca="1">IFERROR(__xludf.DUMMYFUNCTION("""COMPUTED_VALUE"""),45966.6666666666)</f>
        <v>45966.666666666599</v>
      </c>
      <c r="B437" s="2"/>
      <c r="C437" s="1">
        <v>4690</v>
      </c>
      <c r="D437" s="1">
        <v>4770</v>
      </c>
      <c r="E437" s="1">
        <v>4680</v>
      </c>
      <c r="F437" s="1">
        <v>4770</v>
      </c>
      <c r="G437" s="1">
        <v>102878900</v>
      </c>
      <c r="H437" s="8">
        <f t="shared" si="12"/>
        <v>8.4566596194503175E-3</v>
      </c>
      <c r="I437" s="8">
        <f t="shared" si="13"/>
        <v>-0.22122448979591836</v>
      </c>
    </row>
    <row r="438" spans="1:9" x14ac:dyDescent="0.2">
      <c r="A438" s="2">
        <f ca="1">IFERROR(__xludf.DUMMYFUNCTION("""COMPUTED_VALUE"""),45967.6666666666)</f>
        <v>45967.666666666599</v>
      </c>
      <c r="B438" s="2"/>
      <c r="C438" s="1">
        <v>4790</v>
      </c>
      <c r="D438" s="1">
        <v>4790</v>
      </c>
      <c r="E438" s="1">
        <v>4750</v>
      </c>
      <c r="F438" s="1">
        <v>4750</v>
      </c>
      <c r="G438" s="1">
        <v>57932600</v>
      </c>
      <c r="H438" s="8">
        <f t="shared" si="12"/>
        <v>-4.1928721174004195E-3</v>
      </c>
      <c r="I438" s="8">
        <f t="shared" si="13"/>
        <v>-0.22448979591836735</v>
      </c>
    </row>
    <row r="439" spans="1:9" x14ac:dyDescent="0.2">
      <c r="A439" s="2">
        <f ca="1">IFERROR(__xludf.DUMMYFUNCTION("""COMPUTED_VALUE"""),45968.6666666666)</f>
        <v>45968.666666666599</v>
      </c>
      <c r="B439" s="2"/>
      <c r="C439" s="1">
        <v>4750</v>
      </c>
      <c r="D439" s="1">
        <v>4780</v>
      </c>
      <c r="E439" s="1">
        <v>4740</v>
      </c>
      <c r="F439" s="1">
        <v>4750</v>
      </c>
      <c r="G439" s="1">
        <v>58845500</v>
      </c>
      <c r="H439" s="8">
        <f t="shared" si="12"/>
        <v>0</v>
      </c>
      <c r="I439" s="8">
        <f t="shared" si="13"/>
        <v>-0.22448979591836735</v>
      </c>
    </row>
    <row r="440" spans="1:9" x14ac:dyDescent="0.2">
      <c r="A440" s="2">
        <f ca="1">IFERROR(__xludf.DUMMYFUNCTION("""COMPUTED_VALUE"""),45971.6666666666)</f>
        <v>45971.666666666599</v>
      </c>
      <c r="B440" s="2"/>
      <c r="C440" s="1">
        <v>4790</v>
      </c>
      <c r="D440" s="1">
        <v>4790</v>
      </c>
      <c r="E440" s="1">
        <v>4730</v>
      </c>
      <c r="F440" s="1">
        <v>4730</v>
      </c>
      <c r="G440" s="1">
        <v>88737700</v>
      </c>
      <c r="H440" s="8">
        <f t="shared" si="12"/>
        <v>-4.2105263157894736E-3</v>
      </c>
      <c r="I440" s="8">
        <f t="shared" si="13"/>
        <v>-0.22775510204081634</v>
      </c>
    </row>
    <row r="441" spans="1:9" x14ac:dyDescent="0.2">
      <c r="A441" s="2">
        <f ca="1">IFERROR(__xludf.DUMMYFUNCTION("""COMPUTED_VALUE"""),45972.6666666666)</f>
        <v>45972.666666666599</v>
      </c>
      <c r="B441" s="2"/>
      <c r="C441" s="1">
        <v>4740</v>
      </c>
      <c r="D441" s="1">
        <v>4750</v>
      </c>
      <c r="E441" s="1">
        <v>4610</v>
      </c>
      <c r="F441" s="1">
        <v>4680</v>
      </c>
      <c r="G441" s="1">
        <v>168794500</v>
      </c>
      <c r="H441" s="8">
        <f t="shared" si="12"/>
        <v>-1.0570824524312896E-2</v>
      </c>
      <c r="I441" s="8">
        <f t="shared" si="13"/>
        <v>-0.23591836734693877</v>
      </c>
    </row>
    <row r="442" spans="1:9" x14ac:dyDescent="0.2">
      <c r="A442" s="2">
        <f ca="1">IFERROR(__xludf.DUMMYFUNCTION("""COMPUTED_VALUE"""),45973.6666666666)</f>
        <v>45973.666666666599</v>
      </c>
      <c r="B442" s="2"/>
      <c r="C442" s="1">
        <v>4680</v>
      </c>
      <c r="D442" s="1">
        <v>4790</v>
      </c>
      <c r="E442" s="1">
        <v>4680</v>
      </c>
      <c r="F442" s="1">
        <v>4760</v>
      </c>
      <c r="G442" s="1">
        <v>138539800</v>
      </c>
      <c r="H442" s="8">
        <f t="shared" si="12"/>
        <v>1.7094017094017096E-2</v>
      </c>
      <c r="I442" s="8">
        <f t="shared" si="13"/>
        <v>-0.22285714285714286</v>
      </c>
    </row>
    <row r="443" spans="1:9" x14ac:dyDescent="0.2">
      <c r="A443" s="2">
        <f ca="1">IFERROR(__xludf.DUMMYFUNCTION("""COMPUTED_VALUE"""),45974.6666666666)</f>
        <v>45974.666666666599</v>
      </c>
      <c r="B443" s="2"/>
      <c r="C443" s="1">
        <v>4760</v>
      </c>
      <c r="D443" s="1">
        <v>4760</v>
      </c>
      <c r="E443" s="1">
        <v>4690</v>
      </c>
      <c r="F443" s="1">
        <v>4700</v>
      </c>
      <c r="G443" s="1">
        <v>108100300</v>
      </c>
      <c r="H443" s="8">
        <f t="shared" si="12"/>
        <v>-1.2605042016806723E-2</v>
      </c>
      <c r="I443" s="8">
        <f t="shared" si="13"/>
        <v>-0.23265306122448978</v>
      </c>
    </row>
    <row r="444" spans="1:9" x14ac:dyDescent="0.2">
      <c r="A444" s="2">
        <f ca="1">IFERROR(__xludf.DUMMYFUNCTION("""COMPUTED_VALUE"""),45975.6666666666)</f>
        <v>45975.666666666599</v>
      </c>
      <c r="B444" s="2"/>
      <c r="C444" s="1">
        <v>4690</v>
      </c>
      <c r="D444" s="1">
        <v>4750</v>
      </c>
      <c r="E444" s="1">
        <v>4680</v>
      </c>
      <c r="F444" s="1">
        <v>4750</v>
      </c>
      <c r="G444" s="1">
        <v>73479600</v>
      </c>
      <c r="H444" s="8">
        <f t="shared" si="12"/>
        <v>1.0638297872340425E-2</v>
      </c>
      <c r="I444" s="8">
        <f t="shared" si="13"/>
        <v>-0.22448979591836735</v>
      </c>
    </row>
    <row r="445" spans="1:9" x14ac:dyDescent="0.2">
      <c r="A445" s="2">
        <f ca="1">IFERROR(__xludf.DUMMYFUNCTION("""COMPUTED_VALUE"""),45978.6666666666)</f>
        <v>45978.666666666599</v>
      </c>
      <c r="B445" s="2"/>
      <c r="C445" s="1">
        <v>4780</v>
      </c>
      <c r="D445" s="1">
        <v>4850</v>
      </c>
      <c r="E445" s="1">
        <v>4770</v>
      </c>
      <c r="F445" s="1">
        <v>4820</v>
      </c>
      <c r="G445" s="1">
        <v>136477100</v>
      </c>
      <c r="H445" s="8">
        <f t="shared" si="12"/>
        <v>1.4736842105263158E-2</v>
      </c>
      <c r="I445" s="8">
        <f t="shared" si="13"/>
        <v>-0.21306122448979592</v>
      </c>
    </row>
    <row r="446" spans="1:9" x14ac:dyDescent="0.2">
      <c r="A446" s="2">
        <f ca="1">IFERROR(__xludf.DUMMYFUNCTION("""COMPUTED_VALUE"""),45979.6666666666)</f>
        <v>45979.666666666599</v>
      </c>
      <c r="B446" s="2"/>
      <c r="C446" s="1">
        <v>4810</v>
      </c>
      <c r="D446" s="1">
        <v>4850</v>
      </c>
      <c r="E446" s="1">
        <v>4780</v>
      </c>
      <c r="F446" s="1">
        <v>4790</v>
      </c>
      <c r="G446" s="1">
        <v>127022100</v>
      </c>
      <c r="H446" s="8">
        <f t="shared" si="12"/>
        <v>-6.2240663900414933E-3</v>
      </c>
      <c r="I446" s="8">
        <f t="shared" si="13"/>
        <v>-0.21795918367346939</v>
      </c>
    </row>
    <row r="447" spans="1:9" x14ac:dyDescent="0.2">
      <c r="A447" s="2">
        <f ca="1">IFERROR(__xludf.DUMMYFUNCTION("""COMPUTED_VALUE"""),45980.6666666666)</f>
        <v>45980.666666666599</v>
      </c>
      <c r="B447" s="2"/>
      <c r="C447" s="1">
        <v>4820</v>
      </c>
      <c r="D447" s="1">
        <v>4850</v>
      </c>
      <c r="E447" s="1">
        <v>4800</v>
      </c>
      <c r="F447" s="1">
        <v>4850</v>
      </c>
      <c r="G447" s="1">
        <v>107585700</v>
      </c>
      <c r="H447" s="8">
        <f t="shared" si="12"/>
        <v>1.2526096033402923E-2</v>
      </c>
      <c r="I447" s="8">
        <f t="shared" si="13"/>
        <v>-0.20816326530612245</v>
      </c>
    </row>
    <row r="448" spans="1:9" x14ac:dyDescent="0.2">
      <c r="A448" s="2">
        <f ca="1">IFERROR(__xludf.DUMMYFUNCTION("""COMPUTED_VALUE"""),45981.6666666666)</f>
        <v>45981.666666666599</v>
      </c>
      <c r="B448" s="2"/>
      <c r="C448" s="1">
        <v>4940</v>
      </c>
      <c r="D448" s="1">
        <v>4990</v>
      </c>
      <c r="E448" s="1">
        <v>4900</v>
      </c>
      <c r="F448" s="1">
        <v>4940</v>
      </c>
      <c r="G448" s="1">
        <v>234717700</v>
      </c>
      <c r="H448" s="8">
        <f t="shared" si="12"/>
        <v>1.8556701030927835E-2</v>
      </c>
      <c r="I448" s="8">
        <f t="shared" si="13"/>
        <v>-0.19346938775510203</v>
      </c>
    </row>
    <row r="449" spans="1:9" x14ac:dyDescent="0.2">
      <c r="A449" s="2">
        <f ca="1">IFERROR(__xludf.DUMMYFUNCTION("""COMPUTED_VALUE"""),45982.6666666666)</f>
        <v>45982.666666666599</v>
      </c>
      <c r="B449" s="2"/>
      <c r="C449" s="1">
        <v>4940</v>
      </c>
      <c r="D449" s="1">
        <v>4970</v>
      </c>
      <c r="E449" s="1">
        <v>4900</v>
      </c>
      <c r="F449" s="1">
        <v>4950</v>
      </c>
      <c r="G449" s="1">
        <v>142452600</v>
      </c>
      <c r="H449" s="8">
        <f t="shared" si="12"/>
        <v>2.0242914979757085E-3</v>
      </c>
      <c r="I449" s="8">
        <f t="shared" si="13"/>
        <v>-0.19183673469387755</v>
      </c>
    </row>
    <row r="450" spans="1:9" x14ac:dyDescent="0.2">
      <c r="A450" s="2">
        <f ca="1">IFERROR(__xludf.DUMMYFUNCTION("""COMPUTED_VALUE"""),45985.6666666666)</f>
        <v>45985.666666666599</v>
      </c>
      <c r="B450" s="2"/>
      <c r="C450" s="1">
        <v>4910</v>
      </c>
      <c r="D450" s="1">
        <v>5100</v>
      </c>
      <c r="E450" s="1">
        <v>4870</v>
      </c>
      <c r="F450" s="1">
        <v>5100</v>
      </c>
      <c r="G450" s="1">
        <v>303252000</v>
      </c>
      <c r="H450" s="8">
        <f t="shared" si="12"/>
        <v>3.0303030303030304E-2</v>
      </c>
      <c r="I450" s="8">
        <f t="shared" si="13"/>
        <v>-0.16734693877551021</v>
      </c>
    </row>
    <row r="451" spans="1:9" x14ac:dyDescent="0.2">
      <c r="A451" s="2">
        <f ca="1">IFERROR(__xludf.DUMMYFUNCTION("""COMPUTED_VALUE"""),45986.6666666666)</f>
        <v>45986.666666666599</v>
      </c>
      <c r="B451" s="2"/>
      <c r="C451" s="1">
        <v>5075</v>
      </c>
      <c r="D451" s="1">
        <v>5100</v>
      </c>
      <c r="E451" s="1">
        <v>4950</v>
      </c>
      <c r="F451" s="1">
        <v>5025</v>
      </c>
      <c r="G451" s="1">
        <v>169379300</v>
      </c>
      <c r="H451" s="8">
        <f t="shared" si="12"/>
        <v>-1.4705882352941176E-2</v>
      </c>
      <c r="I451" s="8">
        <f t="shared" si="13"/>
        <v>-0.17959183673469387</v>
      </c>
    </row>
    <row r="452" spans="1:9" x14ac:dyDescent="0.2">
      <c r="A452" s="2">
        <f ca="1">IFERROR(__xludf.DUMMYFUNCTION("""COMPUTED_VALUE"""),45987.6666666666)</f>
        <v>45987.666666666599</v>
      </c>
      <c r="B452" s="2"/>
      <c r="C452" s="1">
        <v>5025</v>
      </c>
      <c r="D452" s="1">
        <v>5025</v>
      </c>
      <c r="E452" s="1">
        <v>4960</v>
      </c>
      <c r="F452" s="1">
        <v>5025</v>
      </c>
      <c r="G452" s="1">
        <v>128492000</v>
      </c>
      <c r="H452" s="8">
        <f t="shared" ref="H452:H474" si="14">(F452-F451)/F451</f>
        <v>0</v>
      </c>
      <c r="I452" s="8">
        <f t="shared" ref="I452:I474" si="15">(F452-$F$2)/$F$2</f>
        <v>-0.17959183673469387</v>
      </c>
    </row>
    <row r="453" spans="1:9" x14ac:dyDescent="0.2">
      <c r="A453" s="2">
        <f ca="1">IFERROR(__xludf.DUMMYFUNCTION("""COMPUTED_VALUE"""),45988.6666666666)</f>
        <v>45988.666666666599</v>
      </c>
      <c r="B453" s="2"/>
      <c r="C453" s="1">
        <v>5025</v>
      </c>
      <c r="D453" s="1">
        <v>5025</v>
      </c>
      <c r="E453" s="1">
        <v>4850</v>
      </c>
      <c r="F453" s="1">
        <v>4860</v>
      </c>
      <c r="G453" s="1">
        <v>170213000</v>
      </c>
      <c r="H453" s="8">
        <f t="shared" si="14"/>
        <v>-3.2835820895522387E-2</v>
      </c>
      <c r="I453" s="8">
        <f t="shared" si="15"/>
        <v>-0.20653061224489797</v>
      </c>
    </row>
    <row r="454" spans="1:9" x14ac:dyDescent="0.2">
      <c r="A454" s="2">
        <f ca="1">IFERROR(__xludf.DUMMYFUNCTION("""COMPUTED_VALUE"""),45989.6666666666)</f>
        <v>45989.666666666599</v>
      </c>
      <c r="B454" s="2"/>
      <c r="C454" s="1">
        <v>4800</v>
      </c>
      <c r="D454" s="1">
        <v>4880</v>
      </c>
      <c r="E454" s="1">
        <v>4800</v>
      </c>
      <c r="F454" s="1">
        <v>4830</v>
      </c>
      <c r="G454" s="1">
        <v>128777200</v>
      </c>
      <c r="H454" s="8">
        <f t="shared" si="14"/>
        <v>-6.1728395061728392E-3</v>
      </c>
      <c r="I454" s="8">
        <f t="shared" si="15"/>
        <v>-0.21142857142857144</v>
      </c>
    </row>
    <row r="455" spans="1:9" x14ac:dyDescent="0.2">
      <c r="A455" s="2">
        <f ca="1">IFERROR(__xludf.DUMMYFUNCTION("""COMPUTED_VALUE"""),45992.6666666666)</f>
        <v>45992.666666666599</v>
      </c>
      <c r="B455" s="2"/>
      <c r="C455" s="1">
        <v>4850</v>
      </c>
      <c r="D455" s="1">
        <v>4910</v>
      </c>
      <c r="E455" s="1">
        <v>4820</v>
      </c>
      <c r="F455" s="1">
        <v>4860</v>
      </c>
      <c r="G455" s="1">
        <v>58603700</v>
      </c>
      <c r="H455" s="8">
        <f t="shared" si="14"/>
        <v>6.2111801242236021E-3</v>
      </c>
      <c r="I455" s="8">
        <f t="shared" si="15"/>
        <v>-0.20653061224489797</v>
      </c>
    </row>
    <row r="456" spans="1:9" x14ac:dyDescent="0.2">
      <c r="A456" s="2">
        <f ca="1">IFERROR(__xludf.DUMMYFUNCTION("""COMPUTED_VALUE"""),45993.6666666666)</f>
        <v>45993.666666666599</v>
      </c>
      <c r="B456" s="2"/>
      <c r="C456" s="1">
        <v>4920</v>
      </c>
      <c r="D456" s="1">
        <v>4940</v>
      </c>
      <c r="E456" s="1">
        <v>4820</v>
      </c>
      <c r="F456" s="1">
        <v>4850</v>
      </c>
      <c r="G456" s="1">
        <v>104013500</v>
      </c>
      <c r="H456" s="8">
        <f t="shared" si="14"/>
        <v>-2.05761316872428E-3</v>
      </c>
      <c r="I456" s="8">
        <f t="shared" si="15"/>
        <v>-0.20816326530612245</v>
      </c>
    </row>
    <row r="457" spans="1:9" x14ac:dyDescent="0.2">
      <c r="A457" s="2">
        <f ca="1">IFERROR(__xludf.DUMMYFUNCTION("""COMPUTED_VALUE"""),45994.6666666666)</f>
        <v>45994.666666666599</v>
      </c>
      <c r="B457" s="2"/>
      <c r="C457" s="1">
        <v>4850</v>
      </c>
      <c r="D457" s="1">
        <v>4920</v>
      </c>
      <c r="E457" s="1">
        <v>4820</v>
      </c>
      <c r="F457" s="1">
        <v>4880</v>
      </c>
      <c r="G457" s="1">
        <v>102556300</v>
      </c>
      <c r="H457" s="8">
        <f t="shared" si="14"/>
        <v>6.1855670103092781E-3</v>
      </c>
      <c r="I457" s="8">
        <f t="shared" si="15"/>
        <v>-0.20326530612244897</v>
      </c>
    </row>
    <row r="458" spans="1:9" x14ac:dyDescent="0.2">
      <c r="A458" s="2">
        <f ca="1">IFERROR(__xludf.DUMMYFUNCTION("""COMPUTED_VALUE"""),45995.6666666666)</f>
        <v>45995.666666666599</v>
      </c>
      <c r="B458" s="2"/>
      <c r="C458" s="1">
        <v>4930</v>
      </c>
      <c r="D458" s="1">
        <v>4940</v>
      </c>
      <c r="E458" s="1">
        <v>4880</v>
      </c>
      <c r="F458" s="1">
        <v>4920</v>
      </c>
      <c r="G458" s="1">
        <v>59392600</v>
      </c>
      <c r="H458" s="8">
        <f t="shared" si="14"/>
        <v>8.1967213114754103E-3</v>
      </c>
      <c r="I458" s="8">
        <f t="shared" si="15"/>
        <v>-0.19673469387755102</v>
      </c>
    </row>
    <row r="459" spans="1:9" x14ac:dyDescent="0.2">
      <c r="A459" s="2">
        <f ca="1">IFERROR(__xludf.DUMMYFUNCTION("""COMPUTED_VALUE"""),45996.6666666666)</f>
        <v>45996.666666666599</v>
      </c>
      <c r="B459" s="2"/>
      <c r="C459" s="1">
        <v>4940</v>
      </c>
      <c r="D459" s="1">
        <v>4940</v>
      </c>
      <c r="E459" s="1">
        <v>4870</v>
      </c>
      <c r="F459" s="1">
        <v>4900</v>
      </c>
      <c r="G459" s="1">
        <v>53969200</v>
      </c>
      <c r="H459" s="8">
        <f t="shared" si="14"/>
        <v>-4.0650406504065045E-3</v>
      </c>
      <c r="I459" s="8">
        <f t="shared" si="15"/>
        <v>-0.2</v>
      </c>
    </row>
    <row r="460" spans="1:9" x14ac:dyDescent="0.2">
      <c r="A460" s="2">
        <f ca="1">IFERROR(__xludf.DUMMYFUNCTION("""COMPUTED_VALUE"""),45999.6666666666)</f>
        <v>45999.666666666599</v>
      </c>
      <c r="B460" s="2"/>
      <c r="C460" s="1">
        <v>4950</v>
      </c>
      <c r="D460" s="1">
        <v>4960</v>
      </c>
      <c r="E460" s="1">
        <v>4910</v>
      </c>
      <c r="F460" s="1">
        <v>4950</v>
      </c>
      <c r="G460" s="1">
        <v>62947600</v>
      </c>
      <c r="H460" s="8">
        <f t="shared" si="14"/>
        <v>1.020408163265306E-2</v>
      </c>
      <c r="I460" s="8">
        <f t="shared" si="15"/>
        <v>-0.19183673469387755</v>
      </c>
    </row>
    <row r="461" spans="1:9" x14ac:dyDescent="0.2">
      <c r="A461" s="2">
        <f ca="1">IFERROR(__xludf.DUMMYFUNCTION("""COMPUTED_VALUE"""),46000.6666666666)</f>
        <v>46000.666666666599</v>
      </c>
      <c r="B461" s="2"/>
      <c r="C461" s="1">
        <v>4970</v>
      </c>
      <c r="D461" s="1">
        <v>4980</v>
      </c>
      <c r="E461" s="1">
        <v>4870</v>
      </c>
      <c r="F461" s="1">
        <v>4890</v>
      </c>
      <c r="G461" s="1">
        <v>134575200</v>
      </c>
      <c r="H461" s="8">
        <f t="shared" si="14"/>
        <v>-1.2121212121212121E-2</v>
      </c>
      <c r="I461" s="8">
        <f t="shared" si="15"/>
        <v>-0.20163265306122449</v>
      </c>
    </row>
    <row r="462" spans="1:9" x14ac:dyDescent="0.2">
      <c r="A462" s="2">
        <f ca="1">IFERROR(__xludf.DUMMYFUNCTION("""COMPUTED_VALUE"""),46001.6666666666)</f>
        <v>46001.666666666599</v>
      </c>
      <c r="B462" s="2"/>
      <c r="C462" s="1">
        <v>4950</v>
      </c>
      <c r="D462" s="1">
        <v>4970</v>
      </c>
      <c r="E462" s="1">
        <v>4870</v>
      </c>
      <c r="F462" s="1">
        <v>4970</v>
      </c>
      <c r="G462" s="1">
        <v>96005900</v>
      </c>
      <c r="H462" s="8">
        <f t="shared" si="14"/>
        <v>1.6359918200408999E-2</v>
      </c>
      <c r="I462" s="8">
        <f t="shared" si="15"/>
        <v>-0.18857142857142858</v>
      </c>
    </row>
    <row r="463" spans="1:9" x14ac:dyDescent="0.2">
      <c r="A463" s="2">
        <f ca="1">IFERROR(__xludf.DUMMYFUNCTION("""COMPUTED_VALUE"""),46002.6666666666)</f>
        <v>46002.666666666599</v>
      </c>
      <c r="B463" s="2"/>
      <c r="C463" s="1">
        <v>5000</v>
      </c>
      <c r="D463" s="1">
        <v>5050</v>
      </c>
      <c r="E463" s="1">
        <v>4830</v>
      </c>
      <c r="F463" s="1">
        <v>4950</v>
      </c>
      <c r="G463" s="1">
        <v>151956700</v>
      </c>
      <c r="H463" s="8">
        <f t="shared" si="14"/>
        <v>-4.0241448692152921E-3</v>
      </c>
      <c r="I463" s="8">
        <f t="shared" si="15"/>
        <v>-0.19183673469387755</v>
      </c>
    </row>
    <row r="464" spans="1:9" x14ac:dyDescent="0.2">
      <c r="A464" s="2">
        <f ca="1">IFERROR(__xludf.DUMMYFUNCTION("""COMPUTED_VALUE"""),46003.6666666666)</f>
        <v>46003.666666666599</v>
      </c>
      <c r="B464" s="2"/>
      <c r="C464" s="1">
        <v>4980</v>
      </c>
      <c r="D464" s="1">
        <v>4980</v>
      </c>
      <c r="E464" s="1">
        <v>4820</v>
      </c>
      <c r="F464" s="1">
        <v>4820</v>
      </c>
      <c r="G464" s="1">
        <v>111830600</v>
      </c>
      <c r="H464" s="8">
        <f t="shared" si="14"/>
        <v>-2.6262626262626262E-2</v>
      </c>
      <c r="I464" s="8">
        <f t="shared" si="15"/>
        <v>-0.21306122448979592</v>
      </c>
    </row>
    <row r="465" spans="1:9" x14ac:dyDescent="0.2">
      <c r="A465" s="2">
        <f ca="1">IFERROR(__xludf.DUMMYFUNCTION("""COMPUTED_VALUE"""),46006.6666666666)</f>
        <v>46006.666666666599</v>
      </c>
      <c r="B465" s="2"/>
      <c r="C465" s="1">
        <v>4820</v>
      </c>
      <c r="D465" s="1">
        <v>5025</v>
      </c>
      <c r="E465" s="1">
        <v>4790</v>
      </c>
      <c r="F465" s="1">
        <v>4990</v>
      </c>
      <c r="G465" s="1">
        <v>122451500</v>
      </c>
      <c r="H465" s="8">
        <f t="shared" si="14"/>
        <v>3.5269709543568464E-2</v>
      </c>
      <c r="I465" s="8">
        <f t="shared" si="15"/>
        <v>-0.18530612244897959</v>
      </c>
    </row>
    <row r="466" spans="1:9" x14ac:dyDescent="0.2">
      <c r="A466" s="2">
        <f ca="1">IFERROR(__xludf.DUMMYFUNCTION("""COMPUTED_VALUE"""),46007.6666666666)</f>
        <v>46007.666666666599</v>
      </c>
      <c r="B466" s="2"/>
      <c r="C466" s="1">
        <v>5025</v>
      </c>
      <c r="D466" s="1">
        <v>5050</v>
      </c>
      <c r="E466" s="1">
        <v>4920</v>
      </c>
      <c r="F466" s="1">
        <v>5000</v>
      </c>
      <c r="G466" s="1">
        <v>137373200</v>
      </c>
      <c r="H466" s="8">
        <f t="shared" si="14"/>
        <v>2.004008016032064E-3</v>
      </c>
      <c r="I466" s="8">
        <f t="shared" si="15"/>
        <v>-0.18367346938775511</v>
      </c>
    </row>
    <row r="467" spans="1:9" x14ac:dyDescent="0.2">
      <c r="A467" s="2">
        <f ca="1">IFERROR(__xludf.DUMMYFUNCTION("""COMPUTED_VALUE"""),46008.6666666666)</f>
        <v>46008.666666666599</v>
      </c>
      <c r="B467" s="2"/>
      <c r="C467" s="1">
        <v>4990</v>
      </c>
      <c r="D467" s="1">
        <v>5025</v>
      </c>
      <c r="E467" s="1">
        <v>4960</v>
      </c>
      <c r="F467" s="1">
        <v>5025</v>
      </c>
      <c r="G467" s="1">
        <v>94254100</v>
      </c>
      <c r="H467" s="8">
        <f t="shared" si="14"/>
        <v>5.0000000000000001E-3</v>
      </c>
      <c r="I467" s="8">
        <f t="shared" si="15"/>
        <v>-0.17959183673469387</v>
      </c>
    </row>
    <row r="468" spans="1:9" x14ac:dyDescent="0.2">
      <c r="A468" s="2">
        <f ca="1">IFERROR(__xludf.DUMMYFUNCTION("""COMPUTED_VALUE"""),46009.6666666666)</f>
        <v>46009.666666666599</v>
      </c>
      <c r="B468" s="2"/>
      <c r="C468" s="1">
        <v>5025</v>
      </c>
      <c r="D468" s="1">
        <v>5175</v>
      </c>
      <c r="E468" s="1">
        <v>5025</v>
      </c>
      <c r="F468" s="1">
        <v>5150</v>
      </c>
      <c r="G468" s="1">
        <v>150669000</v>
      </c>
      <c r="H468" s="8">
        <f t="shared" si="14"/>
        <v>2.4875621890547265E-2</v>
      </c>
      <c r="I468" s="8">
        <f t="shared" si="15"/>
        <v>-0.15918367346938775</v>
      </c>
    </row>
    <row r="469" spans="1:9" x14ac:dyDescent="0.2">
      <c r="A469" s="2">
        <f ca="1">IFERROR(__xludf.DUMMYFUNCTION("""COMPUTED_VALUE"""),46010.6666666666)</f>
        <v>46010.666666666599</v>
      </c>
      <c r="B469" s="2"/>
      <c r="C469" s="1">
        <v>5175</v>
      </c>
      <c r="D469" s="1">
        <v>5200</v>
      </c>
      <c r="E469" s="1">
        <v>5100</v>
      </c>
      <c r="F469" s="1">
        <v>5175</v>
      </c>
      <c r="G469" s="1">
        <v>161960800</v>
      </c>
      <c r="H469" s="8">
        <f t="shared" si="14"/>
        <v>4.8543689320388345E-3</v>
      </c>
      <c r="I469" s="8">
        <f t="shared" si="15"/>
        <v>-0.15510204081632653</v>
      </c>
    </row>
    <row r="470" spans="1:9" x14ac:dyDescent="0.2">
      <c r="A470" s="2">
        <f ca="1">IFERROR(__xludf.DUMMYFUNCTION("""COMPUTED_VALUE"""),46013.6666666666)</f>
        <v>46013.666666666599</v>
      </c>
      <c r="B470" s="2"/>
      <c r="C470" s="1">
        <v>5175</v>
      </c>
      <c r="D470" s="1">
        <v>5200</v>
      </c>
      <c r="E470" s="1">
        <v>5025</v>
      </c>
      <c r="F470" s="1">
        <v>5100</v>
      </c>
      <c r="G470" s="1">
        <v>93615600</v>
      </c>
      <c r="H470" s="8">
        <f t="shared" si="14"/>
        <v>-1.4492753623188406E-2</v>
      </c>
      <c r="I470" s="8">
        <f t="shared" si="15"/>
        <v>-0.16734693877551021</v>
      </c>
    </row>
    <row r="471" spans="1:9" x14ac:dyDescent="0.2">
      <c r="A471" s="2">
        <f ca="1">IFERROR(__xludf.DUMMYFUNCTION("""COMPUTED_VALUE"""),46014.6666666666)</f>
        <v>46014.666666666599</v>
      </c>
      <c r="B471" s="2"/>
      <c r="C471" s="1">
        <v>5050</v>
      </c>
      <c r="D471" s="1">
        <v>5100</v>
      </c>
      <c r="E471" s="1">
        <v>5000</v>
      </c>
      <c r="F471" s="1">
        <v>5050</v>
      </c>
      <c r="G471" s="1">
        <v>44307700</v>
      </c>
      <c r="H471" s="8">
        <f t="shared" si="14"/>
        <v>-9.8039215686274508E-3</v>
      </c>
      <c r="I471" s="8">
        <f t="shared" si="15"/>
        <v>-0.17551020408163265</v>
      </c>
    </row>
    <row r="472" spans="1:9" x14ac:dyDescent="0.2">
      <c r="A472" s="2">
        <f ca="1">IFERROR(__xludf.DUMMYFUNCTION("""COMPUTED_VALUE"""),46015.6666666666)</f>
        <v>46015.666666666599</v>
      </c>
      <c r="B472" s="2"/>
      <c r="C472" s="1">
        <v>5025</v>
      </c>
      <c r="D472" s="1">
        <v>5100</v>
      </c>
      <c r="E472" s="1">
        <v>5025</v>
      </c>
      <c r="F472" s="1">
        <v>5050</v>
      </c>
      <c r="G472" s="1">
        <v>40272500</v>
      </c>
      <c r="H472" s="8">
        <f t="shared" si="14"/>
        <v>0</v>
      </c>
      <c r="I472" s="8">
        <f t="shared" si="15"/>
        <v>-0.17551020408163265</v>
      </c>
    </row>
    <row r="473" spans="1:9" x14ac:dyDescent="0.2">
      <c r="A473" s="2">
        <f ca="1">IFERROR(__xludf.DUMMYFUNCTION("""COMPUTED_VALUE"""),46020.6666666666)</f>
        <v>46020.666666666599</v>
      </c>
      <c r="B473" s="2"/>
      <c r="C473" s="1">
        <v>5075</v>
      </c>
      <c r="D473" s="1">
        <v>5150</v>
      </c>
      <c r="E473" s="1">
        <v>5050</v>
      </c>
      <c r="F473" s="1">
        <v>5075</v>
      </c>
      <c r="G473" s="1">
        <v>55697500</v>
      </c>
      <c r="H473" s="8">
        <f t="shared" si="14"/>
        <v>4.9504950495049506E-3</v>
      </c>
      <c r="I473" s="8">
        <f t="shared" si="15"/>
        <v>-0.17142857142857143</v>
      </c>
    </row>
    <row r="474" spans="1:9" x14ac:dyDescent="0.2">
      <c r="A474" s="2">
        <f ca="1">IFERROR(__xludf.DUMMYFUNCTION("""COMPUTED_VALUE"""),46021.6666666666)</f>
        <v>46021.666666666599</v>
      </c>
      <c r="B474" s="2"/>
      <c r="C474" s="1">
        <v>5075</v>
      </c>
      <c r="D474" s="1">
        <v>5150</v>
      </c>
      <c r="E474" s="1">
        <v>5050</v>
      </c>
      <c r="F474" s="1">
        <v>5100</v>
      </c>
      <c r="G474" s="1">
        <v>74077800</v>
      </c>
      <c r="H474" s="8">
        <f t="shared" si="14"/>
        <v>4.9261083743842365E-3</v>
      </c>
      <c r="I474" s="8">
        <f t="shared" si="15"/>
        <v>-0.16734693877551021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474"/>
  <sheetViews>
    <sheetView topLeftCell="A457" workbookViewId="0">
      <selection activeCell="J473" sqref="J473"/>
    </sheetView>
  </sheetViews>
  <sheetFormatPr defaultColWidth="12.5703125" defaultRowHeight="15.75" customHeight="1" x14ac:dyDescent="0.2"/>
  <sheetData>
    <row r="1" spans="1:9" x14ac:dyDescent="0.2">
      <c r="A1" s="1" t="s">
        <v>44</v>
      </c>
      <c r="B1" s="1"/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0</v>
      </c>
    </row>
    <row r="2" spans="1:9" x14ac:dyDescent="0.2">
      <c r="A2" s="2">
        <f ca="1">IFERROR(__xludf.DUMMYFUNCTION("""COMPUTED_VALUE"""),45293.6666666666)</f>
        <v>45293.666666666599</v>
      </c>
      <c r="B2" s="2"/>
      <c r="C2" s="1">
        <v>5375</v>
      </c>
      <c r="D2" s="1">
        <v>5375</v>
      </c>
      <c r="E2" s="1">
        <v>5300</v>
      </c>
      <c r="F2" s="1">
        <v>5375</v>
      </c>
      <c r="G2" s="1">
        <v>20147500</v>
      </c>
      <c r="H2" s="8">
        <v>0</v>
      </c>
      <c r="I2" s="8">
        <v>0</v>
      </c>
    </row>
    <row r="3" spans="1:9" x14ac:dyDescent="0.2">
      <c r="A3" s="2">
        <f ca="1">IFERROR(__xludf.DUMMYFUNCTION("""COMPUTED_VALUE"""),45294.6666666666)</f>
        <v>45294.666666666599</v>
      </c>
      <c r="B3" s="2"/>
      <c r="C3" s="1">
        <v>5375</v>
      </c>
      <c r="D3" s="1">
        <v>5400</v>
      </c>
      <c r="E3" s="1">
        <v>5325</v>
      </c>
      <c r="F3" s="1">
        <v>5350</v>
      </c>
      <c r="G3" s="1">
        <v>27547700</v>
      </c>
      <c r="H3" s="8">
        <f>(F3-F2)/F2</f>
        <v>-4.6511627906976744E-3</v>
      </c>
      <c r="I3" s="8">
        <f>(F3-$F$2)/$F$2</f>
        <v>-4.6511627906976744E-3</v>
      </c>
    </row>
    <row r="4" spans="1:9" x14ac:dyDescent="0.2">
      <c r="A4" s="2">
        <f ca="1">IFERROR(__xludf.DUMMYFUNCTION("""COMPUTED_VALUE"""),45295.6666666666)</f>
        <v>45295.666666666599</v>
      </c>
      <c r="B4" s="2"/>
      <c r="C4" s="1">
        <v>5350</v>
      </c>
      <c r="D4" s="1">
        <v>5675</v>
      </c>
      <c r="E4" s="1">
        <v>5325</v>
      </c>
      <c r="F4" s="1">
        <v>5600</v>
      </c>
      <c r="G4" s="1">
        <v>77162400</v>
      </c>
      <c r="H4" s="8">
        <f t="shared" ref="H4:H67" si="0">(F4-F3)/F3</f>
        <v>4.6728971962616821E-2</v>
      </c>
      <c r="I4" s="8">
        <f t="shared" ref="I4:I67" si="1">(F4-$F$2)/$F$2</f>
        <v>4.1860465116279069E-2</v>
      </c>
    </row>
    <row r="5" spans="1:9" x14ac:dyDescent="0.2">
      <c r="A5" s="2">
        <f ca="1">IFERROR(__xludf.DUMMYFUNCTION("""COMPUTED_VALUE"""),45296.6666666666)</f>
        <v>45296.666666666599</v>
      </c>
      <c r="B5" s="2"/>
      <c r="C5" s="1">
        <v>5675</v>
      </c>
      <c r="D5" s="1">
        <v>5750</v>
      </c>
      <c r="E5" s="1">
        <v>5575</v>
      </c>
      <c r="F5" s="1">
        <v>5575</v>
      </c>
      <c r="G5" s="1">
        <v>69463500</v>
      </c>
      <c r="H5" s="8">
        <f t="shared" si="0"/>
        <v>-4.464285714285714E-3</v>
      </c>
      <c r="I5" s="8">
        <f t="shared" si="1"/>
        <v>3.7209302325581395E-2</v>
      </c>
    </row>
    <row r="6" spans="1:9" x14ac:dyDescent="0.2">
      <c r="A6" s="2">
        <f ca="1">IFERROR(__xludf.DUMMYFUNCTION("""COMPUTED_VALUE"""),45299.6666666666)</f>
        <v>45299.666666666599</v>
      </c>
      <c r="B6" s="2"/>
      <c r="C6" s="1">
        <v>5575</v>
      </c>
      <c r="D6" s="1">
        <v>5650</v>
      </c>
      <c r="E6" s="1">
        <v>5550</v>
      </c>
      <c r="F6" s="1">
        <v>5575</v>
      </c>
      <c r="G6" s="1">
        <v>60606600</v>
      </c>
      <c r="H6" s="8">
        <f t="shared" si="0"/>
        <v>0</v>
      </c>
      <c r="I6" s="8">
        <f t="shared" si="1"/>
        <v>3.7209302325581395E-2</v>
      </c>
    </row>
    <row r="7" spans="1:9" x14ac:dyDescent="0.2">
      <c r="A7" s="2">
        <f ca="1">IFERROR(__xludf.DUMMYFUNCTION("""COMPUTED_VALUE"""),45300.6666666666)</f>
        <v>45300.666666666599</v>
      </c>
      <c r="B7" s="2"/>
      <c r="C7" s="1">
        <v>5600</v>
      </c>
      <c r="D7" s="1">
        <v>5650</v>
      </c>
      <c r="E7" s="1">
        <v>5600</v>
      </c>
      <c r="F7" s="1">
        <v>5650</v>
      </c>
      <c r="G7" s="1">
        <v>34897000</v>
      </c>
      <c r="H7" s="8">
        <f t="shared" si="0"/>
        <v>1.3452914798206279E-2</v>
      </c>
      <c r="I7" s="8">
        <f t="shared" si="1"/>
        <v>5.1162790697674418E-2</v>
      </c>
    </row>
    <row r="8" spans="1:9" x14ac:dyDescent="0.2">
      <c r="A8" s="2">
        <f ca="1">IFERROR(__xludf.DUMMYFUNCTION("""COMPUTED_VALUE"""),45301.6666666666)</f>
        <v>45301.666666666599</v>
      </c>
      <c r="B8" s="2"/>
      <c r="C8" s="1">
        <v>5625</v>
      </c>
      <c r="D8" s="1">
        <v>5675</v>
      </c>
      <c r="E8" s="1">
        <v>5575</v>
      </c>
      <c r="F8" s="1">
        <v>5600</v>
      </c>
      <c r="G8" s="1">
        <v>37988500</v>
      </c>
      <c r="H8" s="8">
        <f t="shared" si="0"/>
        <v>-8.8495575221238937E-3</v>
      </c>
      <c r="I8" s="8">
        <f t="shared" si="1"/>
        <v>4.1860465116279069E-2</v>
      </c>
    </row>
    <row r="9" spans="1:9" x14ac:dyDescent="0.2">
      <c r="A9" s="2">
        <f ca="1">IFERROR(__xludf.DUMMYFUNCTION("""COMPUTED_VALUE"""),45302.6666666666)</f>
        <v>45302.666666666599</v>
      </c>
      <c r="B9" s="2"/>
      <c r="C9" s="1">
        <v>5650</v>
      </c>
      <c r="D9" s="1">
        <v>5700</v>
      </c>
      <c r="E9" s="1">
        <v>5575</v>
      </c>
      <c r="F9" s="1">
        <v>5600</v>
      </c>
      <c r="G9" s="1">
        <v>22855800</v>
      </c>
      <c r="H9" s="8">
        <f t="shared" si="0"/>
        <v>0</v>
      </c>
      <c r="I9" s="8">
        <f t="shared" si="1"/>
        <v>4.1860465116279069E-2</v>
      </c>
    </row>
    <row r="10" spans="1:9" x14ac:dyDescent="0.2">
      <c r="A10" s="2">
        <f ca="1">IFERROR(__xludf.DUMMYFUNCTION("""COMPUTED_VALUE"""),45303.6666666666)</f>
        <v>45303.666666666599</v>
      </c>
      <c r="B10" s="2"/>
      <c r="C10" s="1">
        <v>5600</v>
      </c>
      <c r="D10" s="1">
        <v>5650</v>
      </c>
      <c r="E10" s="1">
        <v>5575</v>
      </c>
      <c r="F10" s="1">
        <v>5600</v>
      </c>
      <c r="G10" s="1">
        <v>40942900</v>
      </c>
      <c r="H10" s="8">
        <f t="shared" si="0"/>
        <v>0</v>
      </c>
      <c r="I10" s="8">
        <f t="shared" si="1"/>
        <v>4.1860465116279069E-2</v>
      </c>
    </row>
    <row r="11" spans="1:9" x14ac:dyDescent="0.2">
      <c r="A11" s="2">
        <f ca="1">IFERROR(__xludf.DUMMYFUNCTION("""COMPUTED_VALUE"""),45306.6666666666)</f>
        <v>45306.666666666599</v>
      </c>
      <c r="B11" s="2"/>
      <c r="C11" s="1">
        <v>5650</v>
      </c>
      <c r="D11" s="1">
        <v>5675</v>
      </c>
      <c r="E11" s="1">
        <v>5600</v>
      </c>
      <c r="F11" s="1">
        <v>5625</v>
      </c>
      <c r="G11" s="1">
        <v>51408800</v>
      </c>
      <c r="H11" s="8">
        <f t="shared" si="0"/>
        <v>4.464285714285714E-3</v>
      </c>
      <c r="I11" s="8">
        <f t="shared" si="1"/>
        <v>4.6511627906976744E-2</v>
      </c>
    </row>
    <row r="12" spans="1:9" x14ac:dyDescent="0.2">
      <c r="A12" s="2">
        <f ca="1">IFERROR(__xludf.DUMMYFUNCTION("""COMPUTED_VALUE"""),45307.6666666666)</f>
        <v>45307.666666666599</v>
      </c>
      <c r="B12" s="2"/>
      <c r="C12" s="1">
        <v>5625</v>
      </c>
      <c r="D12" s="1">
        <v>5625</v>
      </c>
      <c r="E12" s="1">
        <v>5575</v>
      </c>
      <c r="F12" s="1">
        <v>5600</v>
      </c>
      <c r="G12" s="1">
        <v>37795700</v>
      </c>
      <c r="H12" s="8">
        <f t="shared" si="0"/>
        <v>-4.4444444444444444E-3</v>
      </c>
      <c r="I12" s="8">
        <f t="shared" si="1"/>
        <v>4.1860465116279069E-2</v>
      </c>
    </row>
    <row r="13" spans="1:9" x14ac:dyDescent="0.2">
      <c r="A13" s="2">
        <f ca="1">IFERROR(__xludf.DUMMYFUNCTION("""COMPUTED_VALUE"""),45308.6666666666)</f>
        <v>45308.666666666599</v>
      </c>
      <c r="B13" s="2"/>
      <c r="C13" s="1">
        <v>5600</v>
      </c>
      <c r="D13" s="1">
        <v>5625</v>
      </c>
      <c r="E13" s="1">
        <v>5475</v>
      </c>
      <c r="F13" s="1">
        <v>5550</v>
      </c>
      <c r="G13" s="1">
        <v>61481200</v>
      </c>
      <c r="H13" s="8">
        <f t="shared" si="0"/>
        <v>-8.9285714285714281E-3</v>
      </c>
      <c r="I13" s="8">
        <f t="shared" si="1"/>
        <v>3.255813953488372E-2</v>
      </c>
    </row>
    <row r="14" spans="1:9" x14ac:dyDescent="0.2">
      <c r="A14" s="2">
        <f ca="1">IFERROR(__xludf.DUMMYFUNCTION("""COMPUTED_VALUE"""),45309.6666666666)</f>
        <v>45309.666666666599</v>
      </c>
      <c r="B14" s="2"/>
      <c r="C14" s="1">
        <v>5550</v>
      </c>
      <c r="D14" s="1">
        <v>5600</v>
      </c>
      <c r="E14" s="1">
        <v>5475</v>
      </c>
      <c r="F14" s="1">
        <v>5550</v>
      </c>
      <c r="G14" s="1">
        <v>33241700</v>
      </c>
      <c r="H14" s="8">
        <f t="shared" si="0"/>
        <v>0</v>
      </c>
      <c r="I14" s="8">
        <f t="shared" si="1"/>
        <v>3.255813953488372E-2</v>
      </c>
    </row>
    <row r="15" spans="1:9" x14ac:dyDescent="0.2">
      <c r="A15" s="2">
        <f ca="1">IFERROR(__xludf.DUMMYFUNCTION("""COMPUTED_VALUE"""),45310.6666666666)</f>
        <v>45310.666666666599</v>
      </c>
      <c r="B15" s="2"/>
      <c r="C15" s="1">
        <v>5575</v>
      </c>
      <c r="D15" s="1">
        <v>5575</v>
      </c>
      <c r="E15" s="1">
        <v>5475</v>
      </c>
      <c r="F15" s="1">
        <v>5500</v>
      </c>
      <c r="G15" s="1">
        <v>29776100</v>
      </c>
      <c r="H15" s="8">
        <f t="shared" si="0"/>
        <v>-9.0090090090090089E-3</v>
      </c>
      <c r="I15" s="8">
        <f t="shared" si="1"/>
        <v>2.3255813953488372E-2</v>
      </c>
    </row>
    <row r="16" spans="1:9" x14ac:dyDescent="0.2">
      <c r="A16" s="2">
        <f ca="1">IFERROR(__xludf.DUMMYFUNCTION("""COMPUTED_VALUE"""),45313.6666666666)</f>
        <v>45313.666666666599</v>
      </c>
      <c r="B16" s="2"/>
      <c r="C16" s="1">
        <v>5525</v>
      </c>
      <c r="D16" s="1">
        <v>5600</v>
      </c>
      <c r="E16" s="1">
        <v>5450</v>
      </c>
      <c r="F16" s="1">
        <v>5525</v>
      </c>
      <c r="G16" s="1">
        <v>30949600</v>
      </c>
      <c r="H16" s="8">
        <f t="shared" si="0"/>
        <v>4.5454545454545452E-3</v>
      </c>
      <c r="I16" s="8">
        <f t="shared" si="1"/>
        <v>2.7906976744186046E-2</v>
      </c>
    </row>
    <row r="17" spans="1:9" x14ac:dyDescent="0.2">
      <c r="A17" s="2">
        <f ca="1">IFERROR(__xludf.DUMMYFUNCTION("""COMPUTED_VALUE"""),45314.6666666666)</f>
        <v>45314.666666666599</v>
      </c>
      <c r="B17" s="2"/>
      <c r="C17" s="1">
        <v>5525</v>
      </c>
      <c r="D17" s="1">
        <v>5525</v>
      </c>
      <c r="E17" s="1">
        <v>5375</v>
      </c>
      <c r="F17" s="1">
        <v>5425</v>
      </c>
      <c r="G17" s="1">
        <v>48824300</v>
      </c>
      <c r="H17" s="8">
        <f t="shared" si="0"/>
        <v>-1.8099547511312219E-2</v>
      </c>
      <c r="I17" s="8">
        <f t="shared" si="1"/>
        <v>9.3023255813953487E-3</v>
      </c>
    </row>
    <row r="18" spans="1:9" x14ac:dyDescent="0.2">
      <c r="A18" s="2">
        <f ca="1">IFERROR(__xludf.DUMMYFUNCTION("""COMPUTED_VALUE"""),45315.6666666666)</f>
        <v>45315.666666666599</v>
      </c>
      <c r="B18" s="2"/>
      <c r="C18" s="1">
        <v>5450</v>
      </c>
      <c r="D18" s="1">
        <v>5500</v>
      </c>
      <c r="E18" s="1">
        <v>5400</v>
      </c>
      <c r="F18" s="1">
        <v>5475</v>
      </c>
      <c r="G18" s="1">
        <v>42436800</v>
      </c>
      <c r="H18" s="8">
        <f t="shared" si="0"/>
        <v>9.2165898617511521E-3</v>
      </c>
      <c r="I18" s="8">
        <f t="shared" si="1"/>
        <v>1.8604651162790697E-2</v>
      </c>
    </row>
    <row r="19" spans="1:9" x14ac:dyDescent="0.2">
      <c r="A19" s="2">
        <f ca="1">IFERROR(__xludf.DUMMYFUNCTION("""COMPUTED_VALUE"""),45316.6666666666)</f>
        <v>45316.666666666599</v>
      </c>
      <c r="B19" s="2"/>
      <c r="C19" s="1">
        <v>5500</v>
      </c>
      <c r="D19" s="1">
        <v>5525</v>
      </c>
      <c r="E19" s="1">
        <v>5400</v>
      </c>
      <c r="F19" s="1">
        <v>5400</v>
      </c>
      <c r="G19" s="1">
        <v>47955600</v>
      </c>
      <c r="H19" s="8">
        <f t="shared" si="0"/>
        <v>-1.3698630136986301E-2</v>
      </c>
      <c r="I19" s="8">
        <f t="shared" si="1"/>
        <v>4.6511627906976744E-3</v>
      </c>
    </row>
    <row r="20" spans="1:9" x14ac:dyDescent="0.2">
      <c r="A20" s="2">
        <f ca="1">IFERROR(__xludf.DUMMYFUNCTION("""COMPUTED_VALUE"""),45317.6666666666)</f>
        <v>45317.666666666599</v>
      </c>
      <c r="B20" s="2"/>
      <c r="C20" s="1">
        <v>5400</v>
      </c>
      <c r="D20" s="1">
        <v>5425</v>
      </c>
      <c r="E20" s="1">
        <v>5350</v>
      </c>
      <c r="F20" s="1">
        <v>5425</v>
      </c>
      <c r="G20" s="1">
        <v>30545600</v>
      </c>
      <c r="H20" s="8">
        <f t="shared" si="0"/>
        <v>4.6296296296296294E-3</v>
      </c>
      <c r="I20" s="8">
        <f t="shared" si="1"/>
        <v>9.3023255813953487E-3</v>
      </c>
    </row>
    <row r="21" spans="1:9" x14ac:dyDescent="0.2">
      <c r="A21" s="2">
        <f ca="1">IFERROR(__xludf.DUMMYFUNCTION("""COMPUTED_VALUE"""),45320.6666666666)</f>
        <v>45320.666666666599</v>
      </c>
      <c r="B21" s="2"/>
      <c r="C21" s="1">
        <v>5450</v>
      </c>
      <c r="D21" s="1">
        <v>5575</v>
      </c>
      <c r="E21" s="1">
        <v>5450</v>
      </c>
      <c r="F21" s="1">
        <v>5575</v>
      </c>
      <c r="G21" s="1">
        <v>63056100</v>
      </c>
      <c r="H21" s="8">
        <f t="shared" si="0"/>
        <v>2.7649769585253458E-2</v>
      </c>
      <c r="I21" s="8">
        <f t="shared" si="1"/>
        <v>3.7209302325581395E-2</v>
      </c>
    </row>
    <row r="22" spans="1:9" x14ac:dyDescent="0.2">
      <c r="A22" s="2">
        <f ca="1">IFERROR(__xludf.DUMMYFUNCTION("""COMPUTED_VALUE"""),45321.6666666666)</f>
        <v>45321.666666666599</v>
      </c>
      <c r="B22" s="2"/>
      <c r="C22" s="1">
        <v>5575</v>
      </c>
      <c r="D22" s="1">
        <v>5675</v>
      </c>
      <c r="E22" s="1">
        <v>5550</v>
      </c>
      <c r="F22" s="1">
        <v>5650</v>
      </c>
      <c r="G22" s="1">
        <v>55020500</v>
      </c>
      <c r="H22" s="8">
        <f t="shared" si="0"/>
        <v>1.3452914798206279E-2</v>
      </c>
      <c r="I22" s="8">
        <f t="shared" si="1"/>
        <v>5.1162790697674418E-2</v>
      </c>
    </row>
    <row r="23" spans="1:9" x14ac:dyDescent="0.2">
      <c r="A23" s="2">
        <f ca="1">IFERROR(__xludf.DUMMYFUNCTION("""COMPUTED_VALUE"""),45322.6666666666)</f>
        <v>45322.666666666599</v>
      </c>
      <c r="B23" s="2"/>
      <c r="C23" s="1">
        <v>5700</v>
      </c>
      <c r="D23" s="1">
        <v>5800</v>
      </c>
      <c r="E23" s="1">
        <v>5675</v>
      </c>
      <c r="F23" s="1">
        <v>5750</v>
      </c>
      <c r="G23" s="1">
        <v>70045600</v>
      </c>
      <c r="H23" s="8">
        <f t="shared" si="0"/>
        <v>1.7699115044247787E-2</v>
      </c>
      <c r="I23" s="8">
        <f t="shared" si="1"/>
        <v>6.9767441860465115E-2</v>
      </c>
    </row>
    <row r="24" spans="1:9" x14ac:dyDescent="0.2">
      <c r="A24" s="2">
        <f ca="1">IFERROR(__xludf.DUMMYFUNCTION("""COMPUTED_VALUE"""),45323.6666666666)</f>
        <v>45323.666666666599</v>
      </c>
      <c r="B24" s="2"/>
      <c r="C24" s="1">
        <v>5750</v>
      </c>
      <c r="D24" s="1">
        <v>5750</v>
      </c>
      <c r="E24" s="1">
        <v>5650</v>
      </c>
      <c r="F24" s="1">
        <v>5725</v>
      </c>
      <c r="G24" s="1">
        <v>49179400</v>
      </c>
      <c r="H24" s="8">
        <f t="shared" si="0"/>
        <v>-4.3478260869565218E-3</v>
      </c>
      <c r="I24" s="8">
        <f t="shared" si="1"/>
        <v>6.5116279069767441E-2</v>
      </c>
    </row>
    <row r="25" spans="1:9" x14ac:dyDescent="0.2">
      <c r="A25" s="2">
        <f ca="1">IFERROR(__xludf.DUMMYFUNCTION("""COMPUTED_VALUE"""),45324.6666666666)</f>
        <v>45324.666666666599</v>
      </c>
      <c r="B25" s="2"/>
      <c r="C25" s="1">
        <v>5750</v>
      </c>
      <c r="D25" s="1">
        <v>5825</v>
      </c>
      <c r="E25" s="1">
        <v>5750</v>
      </c>
      <c r="F25" s="1">
        <v>5775</v>
      </c>
      <c r="G25" s="1">
        <v>44074200</v>
      </c>
      <c r="H25" s="8">
        <f t="shared" si="0"/>
        <v>8.7336244541484712E-3</v>
      </c>
      <c r="I25" s="8">
        <f t="shared" si="1"/>
        <v>7.441860465116279E-2</v>
      </c>
    </row>
    <row r="26" spans="1:9" x14ac:dyDescent="0.2">
      <c r="A26" s="2">
        <f ca="1">IFERROR(__xludf.DUMMYFUNCTION("""COMPUTED_VALUE"""),45327.6666666666)</f>
        <v>45327.666666666599</v>
      </c>
      <c r="B26" s="2"/>
      <c r="C26" s="1">
        <v>5775</v>
      </c>
      <c r="D26" s="1">
        <v>5825</v>
      </c>
      <c r="E26" s="1">
        <v>5725</v>
      </c>
      <c r="F26" s="1">
        <v>5750</v>
      </c>
      <c r="G26" s="1">
        <v>47096400</v>
      </c>
      <c r="H26" s="8">
        <f t="shared" si="0"/>
        <v>-4.329004329004329E-3</v>
      </c>
      <c r="I26" s="8">
        <f t="shared" si="1"/>
        <v>6.9767441860465115E-2</v>
      </c>
    </row>
    <row r="27" spans="1:9" x14ac:dyDescent="0.2">
      <c r="A27" s="2">
        <f ca="1">IFERROR(__xludf.DUMMYFUNCTION("""COMPUTED_VALUE"""),45328.6666666666)</f>
        <v>45328.666666666599</v>
      </c>
      <c r="B27" s="2"/>
      <c r="C27" s="1">
        <v>5775</v>
      </c>
      <c r="D27" s="1">
        <v>5825</v>
      </c>
      <c r="E27" s="1">
        <v>5750</v>
      </c>
      <c r="F27" s="1">
        <v>5775</v>
      </c>
      <c r="G27" s="1">
        <v>41834000</v>
      </c>
      <c r="H27" s="8">
        <f t="shared" si="0"/>
        <v>4.3478260869565218E-3</v>
      </c>
      <c r="I27" s="8">
        <f t="shared" si="1"/>
        <v>7.441860465116279E-2</v>
      </c>
    </row>
    <row r="28" spans="1:9" x14ac:dyDescent="0.2">
      <c r="A28" s="2">
        <f ca="1">IFERROR(__xludf.DUMMYFUNCTION("""COMPUTED_VALUE"""),45329.6666666666)</f>
        <v>45329.666666666599</v>
      </c>
      <c r="B28" s="2"/>
      <c r="C28" s="1">
        <v>5775</v>
      </c>
      <c r="D28" s="1">
        <v>5825</v>
      </c>
      <c r="E28" s="1">
        <v>5750</v>
      </c>
      <c r="F28" s="1">
        <v>5750</v>
      </c>
      <c r="G28" s="1">
        <v>39906900</v>
      </c>
      <c r="H28" s="8">
        <f t="shared" si="0"/>
        <v>-4.329004329004329E-3</v>
      </c>
      <c r="I28" s="8">
        <f t="shared" si="1"/>
        <v>6.9767441860465115E-2</v>
      </c>
    </row>
    <row r="29" spans="1:9" x14ac:dyDescent="0.2">
      <c r="A29" s="2">
        <f ca="1">IFERROR(__xludf.DUMMYFUNCTION("""COMPUTED_VALUE"""),45334.6666666666)</f>
        <v>45334.666666666599</v>
      </c>
      <c r="B29" s="2"/>
      <c r="C29" s="1">
        <v>5775</v>
      </c>
      <c r="D29" s="1">
        <v>6000</v>
      </c>
      <c r="E29" s="1">
        <v>5750</v>
      </c>
      <c r="F29" s="1">
        <v>5950</v>
      </c>
      <c r="G29" s="1">
        <v>64615800</v>
      </c>
      <c r="H29" s="8">
        <f t="shared" si="0"/>
        <v>3.4782608695652174E-2</v>
      </c>
      <c r="I29" s="8">
        <f t="shared" si="1"/>
        <v>0.10697674418604651</v>
      </c>
    </row>
    <row r="30" spans="1:9" x14ac:dyDescent="0.2">
      <c r="A30" s="2">
        <f ca="1">IFERROR(__xludf.DUMMYFUNCTION("""COMPUTED_VALUE"""),45335.6666666666)</f>
        <v>45335.666666666599</v>
      </c>
      <c r="B30" s="2"/>
      <c r="C30" s="1">
        <v>5975</v>
      </c>
      <c r="D30" s="1">
        <v>5975</v>
      </c>
      <c r="E30" s="1">
        <v>5850</v>
      </c>
      <c r="F30" s="1">
        <v>5875</v>
      </c>
      <c r="G30" s="1">
        <v>74976200</v>
      </c>
      <c r="H30" s="8">
        <f t="shared" si="0"/>
        <v>-1.2605042016806723E-2</v>
      </c>
      <c r="I30" s="8">
        <f t="shared" si="1"/>
        <v>9.3023255813953487E-2</v>
      </c>
    </row>
    <row r="31" spans="1:9" x14ac:dyDescent="0.2">
      <c r="A31" s="2">
        <f ca="1">IFERROR(__xludf.DUMMYFUNCTION("""COMPUTED_VALUE"""),45337.6666666666)</f>
        <v>45337.666666666599</v>
      </c>
      <c r="B31" s="2"/>
      <c r="C31" s="1">
        <v>6150</v>
      </c>
      <c r="D31" s="1">
        <v>6225</v>
      </c>
      <c r="E31" s="1">
        <v>6000</v>
      </c>
      <c r="F31" s="1">
        <v>6000</v>
      </c>
      <c r="G31" s="1">
        <v>128792500</v>
      </c>
      <c r="H31" s="8">
        <f t="shared" si="0"/>
        <v>2.1276595744680851E-2</v>
      </c>
      <c r="I31" s="8">
        <f t="shared" si="1"/>
        <v>0.11627906976744186</v>
      </c>
    </row>
    <row r="32" spans="1:9" x14ac:dyDescent="0.2">
      <c r="A32" s="2">
        <f ca="1">IFERROR(__xludf.DUMMYFUNCTION("""COMPUTED_VALUE"""),45338.6666666666)</f>
        <v>45338.666666666599</v>
      </c>
      <c r="B32" s="2"/>
      <c r="C32" s="1">
        <v>6025</v>
      </c>
      <c r="D32" s="1">
        <v>6125</v>
      </c>
      <c r="E32" s="1">
        <v>6000</v>
      </c>
      <c r="F32" s="1">
        <v>6000</v>
      </c>
      <c r="G32" s="1">
        <v>62601000</v>
      </c>
      <c r="H32" s="8">
        <f t="shared" si="0"/>
        <v>0</v>
      </c>
      <c r="I32" s="8">
        <f t="shared" si="1"/>
        <v>0.11627906976744186</v>
      </c>
    </row>
    <row r="33" spans="1:9" x14ac:dyDescent="0.2">
      <c r="A33" s="2">
        <f ca="1">IFERROR(__xludf.DUMMYFUNCTION("""COMPUTED_VALUE"""),45341.6666666666)</f>
        <v>45341.666666666599</v>
      </c>
      <c r="B33" s="2"/>
      <c r="C33" s="1">
        <v>6025</v>
      </c>
      <c r="D33" s="1">
        <v>6050</v>
      </c>
      <c r="E33" s="1">
        <v>5875</v>
      </c>
      <c r="F33" s="1">
        <v>5875</v>
      </c>
      <c r="G33" s="1">
        <v>67950100</v>
      </c>
      <c r="H33" s="8">
        <f t="shared" si="0"/>
        <v>-2.0833333333333332E-2</v>
      </c>
      <c r="I33" s="8">
        <f t="shared" si="1"/>
        <v>9.3023255813953487E-2</v>
      </c>
    </row>
    <row r="34" spans="1:9" x14ac:dyDescent="0.2">
      <c r="A34" s="2">
        <f ca="1">IFERROR(__xludf.DUMMYFUNCTION("""COMPUTED_VALUE"""),45342.6666666666)</f>
        <v>45342.666666666599</v>
      </c>
      <c r="B34" s="2"/>
      <c r="C34" s="1">
        <v>5900</v>
      </c>
      <c r="D34" s="1">
        <v>6025</v>
      </c>
      <c r="E34" s="1">
        <v>5900</v>
      </c>
      <c r="F34" s="1">
        <v>6025</v>
      </c>
      <c r="G34" s="1">
        <v>37554100</v>
      </c>
      <c r="H34" s="8">
        <f t="shared" si="0"/>
        <v>2.553191489361702E-2</v>
      </c>
      <c r="I34" s="8">
        <f t="shared" si="1"/>
        <v>0.12093023255813953</v>
      </c>
    </row>
    <row r="35" spans="1:9" x14ac:dyDescent="0.2">
      <c r="A35" s="2">
        <f ca="1">IFERROR(__xludf.DUMMYFUNCTION("""COMPUTED_VALUE"""),45343.6666666666)</f>
        <v>45343.666666666599</v>
      </c>
      <c r="B35" s="2"/>
      <c r="C35" s="1">
        <v>6025</v>
      </c>
      <c r="D35" s="1">
        <v>6050</v>
      </c>
      <c r="E35" s="1">
        <v>5925</v>
      </c>
      <c r="F35" s="1">
        <v>6000</v>
      </c>
      <c r="G35" s="1">
        <v>54476400</v>
      </c>
      <c r="H35" s="8">
        <f t="shared" si="0"/>
        <v>-4.1493775933609959E-3</v>
      </c>
      <c r="I35" s="8">
        <f t="shared" si="1"/>
        <v>0.11627906976744186</v>
      </c>
    </row>
    <row r="36" spans="1:9" x14ac:dyDescent="0.2">
      <c r="A36" s="2">
        <f ca="1">IFERROR(__xludf.DUMMYFUNCTION("""COMPUTED_VALUE"""),45344.6666666666)</f>
        <v>45344.666666666599</v>
      </c>
      <c r="B36" s="2"/>
      <c r="C36" s="1">
        <v>6000</v>
      </c>
      <c r="D36" s="1">
        <v>6025</v>
      </c>
      <c r="E36" s="1">
        <v>5900</v>
      </c>
      <c r="F36" s="1">
        <v>5950</v>
      </c>
      <c r="G36" s="1">
        <v>37676100</v>
      </c>
      <c r="H36" s="8">
        <f t="shared" si="0"/>
        <v>-8.3333333333333332E-3</v>
      </c>
      <c r="I36" s="8">
        <f t="shared" si="1"/>
        <v>0.10697674418604651</v>
      </c>
    </row>
    <row r="37" spans="1:9" x14ac:dyDescent="0.2">
      <c r="A37" s="2">
        <f ca="1">IFERROR(__xludf.DUMMYFUNCTION("""COMPUTED_VALUE"""),45345.6666666666)</f>
        <v>45345.666666666599</v>
      </c>
      <c r="B37" s="2"/>
      <c r="C37" s="1">
        <v>6000</v>
      </c>
      <c r="D37" s="1">
        <v>6000</v>
      </c>
      <c r="E37" s="1">
        <v>5825</v>
      </c>
      <c r="F37" s="1">
        <v>5900</v>
      </c>
      <c r="G37" s="1">
        <v>50216600</v>
      </c>
      <c r="H37" s="8">
        <f t="shared" si="0"/>
        <v>-8.4033613445378148E-3</v>
      </c>
      <c r="I37" s="8">
        <f t="shared" si="1"/>
        <v>9.7674418604651161E-2</v>
      </c>
    </row>
    <row r="38" spans="1:9" x14ac:dyDescent="0.2">
      <c r="A38" s="2">
        <f ca="1">IFERROR(__xludf.DUMMYFUNCTION("""COMPUTED_VALUE"""),45348.6666666666)</f>
        <v>45348.666666666599</v>
      </c>
      <c r="B38" s="2"/>
      <c r="C38" s="1">
        <v>5900</v>
      </c>
      <c r="D38" s="1">
        <v>5925</v>
      </c>
      <c r="E38" s="1">
        <v>5800</v>
      </c>
      <c r="F38" s="1">
        <v>5900</v>
      </c>
      <c r="G38" s="1">
        <v>27500000</v>
      </c>
      <c r="H38" s="8">
        <f t="shared" si="0"/>
        <v>0</v>
      </c>
      <c r="I38" s="8">
        <f t="shared" si="1"/>
        <v>9.7674418604651161E-2</v>
      </c>
    </row>
    <row r="39" spans="1:9" x14ac:dyDescent="0.2">
      <c r="A39" s="2">
        <f ca="1">IFERROR(__xludf.DUMMYFUNCTION("""COMPUTED_VALUE"""),45349.6666666666)</f>
        <v>45349.666666666599</v>
      </c>
      <c r="B39" s="2"/>
      <c r="C39" s="1">
        <v>5900</v>
      </c>
      <c r="D39" s="1">
        <v>6000</v>
      </c>
      <c r="E39" s="1">
        <v>5850</v>
      </c>
      <c r="F39" s="1">
        <v>6000</v>
      </c>
      <c r="G39" s="1">
        <v>38645200</v>
      </c>
      <c r="H39" s="8">
        <f t="shared" si="0"/>
        <v>1.6949152542372881E-2</v>
      </c>
      <c r="I39" s="8">
        <f t="shared" si="1"/>
        <v>0.11627906976744186</v>
      </c>
    </row>
    <row r="40" spans="1:9" x14ac:dyDescent="0.2">
      <c r="A40" s="2">
        <f ca="1">IFERROR(__xludf.DUMMYFUNCTION("""COMPUTED_VALUE"""),45350.6666666666)</f>
        <v>45350.666666666599</v>
      </c>
      <c r="B40" s="2"/>
      <c r="C40" s="1">
        <v>5950</v>
      </c>
      <c r="D40" s="1">
        <v>6000</v>
      </c>
      <c r="E40" s="1">
        <v>5900</v>
      </c>
      <c r="F40" s="1">
        <v>5975</v>
      </c>
      <c r="G40" s="1">
        <v>27278600</v>
      </c>
      <c r="H40" s="8">
        <f t="shared" si="0"/>
        <v>-4.1666666666666666E-3</v>
      </c>
      <c r="I40" s="8">
        <f t="shared" si="1"/>
        <v>0.11162790697674418</v>
      </c>
    </row>
    <row r="41" spans="1:9" x14ac:dyDescent="0.2">
      <c r="A41" s="2">
        <f ca="1">IFERROR(__xludf.DUMMYFUNCTION("""COMPUTED_VALUE"""),45351.6666666666)</f>
        <v>45351.666666666599</v>
      </c>
      <c r="B41" s="2"/>
      <c r="C41" s="1">
        <v>5975</v>
      </c>
      <c r="D41" s="1">
        <v>6000</v>
      </c>
      <c r="E41" s="1">
        <v>5900</v>
      </c>
      <c r="F41" s="1">
        <v>6000</v>
      </c>
      <c r="G41" s="1">
        <v>48736000</v>
      </c>
      <c r="H41" s="8">
        <f t="shared" si="0"/>
        <v>4.1841004184100415E-3</v>
      </c>
      <c r="I41" s="8">
        <f t="shared" si="1"/>
        <v>0.11627906976744186</v>
      </c>
    </row>
    <row r="42" spans="1:9" x14ac:dyDescent="0.2">
      <c r="A42" s="2">
        <f ca="1">IFERROR(__xludf.DUMMYFUNCTION("""COMPUTED_VALUE"""),45352.6666666666)</f>
        <v>45352.666666666599</v>
      </c>
      <c r="B42" s="2"/>
      <c r="C42" s="1">
        <v>5925</v>
      </c>
      <c r="D42" s="1">
        <v>5975</v>
      </c>
      <c r="E42" s="1">
        <v>5825</v>
      </c>
      <c r="F42" s="1">
        <v>5900</v>
      </c>
      <c r="G42" s="1">
        <v>71774400</v>
      </c>
      <c r="H42" s="8">
        <f t="shared" si="0"/>
        <v>-1.6666666666666666E-2</v>
      </c>
      <c r="I42" s="8">
        <f t="shared" si="1"/>
        <v>9.7674418604651161E-2</v>
      </c>
    </row>
    <row r="43" spans="1:9" x14ac:dyDescent="0.2">
      <c r="A43" s="2">
        <f ca="1">IFERROR(__xludf.DUMMYFUNCTION("""COMPUTED_VALUE"""),45355.6666666666)</f>
        <v>45355.666666666599</v>
      </c>
      <c r="B43" s="2"/>
      <c r="C43" s="1">
        <v>5900</v>
      </c>
      <c r="D43" s="1">
        <v>5925</v>
      </c>
      <c r="E43" s="1">
        <v>5800</v>
      </c>
      <c r="F43" s="1">
        <v>5875</v>
      </c>
      <c r="G43" s="1">
        <v>35600700</v>
      </c>
      <c r="H43" s="8">
        <f t="shared" si="0"/>
        <v>-4.2372881355932203E-3</v>
      </c>
      <c r="I43" s="8">
        <f t="shared" si="1"/>
        <v>9.3023255813953487E-2</v>
      </c>
    </row>
    <row r="44" spans="1:9" x14ac:dyDescent="0.2">
      <c r="A44" s="2">
        <f ca="1">IFERROR(__xludf.DUMMYFUNCTION("""COMPUTED_VALUE"""),45356.6666666666)</f>
        <v>45356.666666666599</v>
      </c>
      <c r="B44" s="2"/>
      <c r="C44" s="1">
        <v>5875</v>
      </c>
      <c r="D44" s="1">
        <v>5950</v>
      </c>
      <c r="E44" s="1">
        <v>5850</v>
      </c>
      <c r="F44" s="1">
        <v>5900</v>
      </c>
      <c r="G44" s="1">
        <v>49795500</v>
      </c>
      <c r="H44" s="8">
        <f t="shared" si="0"/>
        <v>4.2553191489361703E-3</v>
      </c>
      <c r="I44" s="8">
        <f t="shared" si="1"/>
        <v>9.7674418604651161E-2</v>
      </c>
    </row>
    <row r="45" spans="1:9" x14ac:dyDescent="0.2">
      <c r="A45" s="2">
        <f ca="1">IFERROR(__xludf.DUMMYFUNCTION("""COMPUTED_VALUE"""),45357.6666666666)</f>
        <v>45357.666666666599</v>
      </c>
      <c r="B45" s="2"/>
      <c r="C45" s="1">
        <v>5900</v>
      </c>
      <c r="D45" s="1">
        <v>5950</v>
      </c>
      <c r="E45" s="1">
        <v>5875</v>
      </c>
      <c r="F45" s="1">
        <v>5950</v>
      </c>
      <c r="G45" s="1">
        <v>28923100</v>
      </c>
      <c r="H45" s="8">
        <f t="shared" si="0"/>
        <v>8.4745762711864406E-3</v>
      </c>
      <c r="I45" s="8">
        <f t="shared" si="1"/>
        <v>0.10697674418604651</v>
      </c>
    </row>
    <row r="46" spans="1:9" x14ac:dyDescent="0.2">
      <c r="A46" s="2">
        <f ca="1">IFERROR(__xludf.DUMMYFUNCTION("""COMPUTED_VALUE"""),45358.6666666666)</f>
        <v>45358.666666666599</v>
      </c>
      <c r="B46" s="2"/>
      <c r="C46" s="1">
        <v>5975</v>
      </c>
      <c r="D46" s="1">
        <v>6025</v>
      </c>
      <c r="E46" s="1">
        <v>5950</v>
      </c>
      <c r="F46" s="1">
        <v>5975</v>
      </c>
      <c r="G46" s="1">
        <v>47464200</v>
      </c>
      <c r="H46" s="8">
        <f t="shared" si="0"/>
        <v>4.2016806722689074E-3</v>
      </c>
      <c r="I46" s="8">
        <f t="shared" si="1"/>
        <v>0.11162790697674418</v>
      </c>
    </row>
    <row r="47" spans="1:9" x14ac:dyDescent="0.2">
      <c r="A47" s="2">
        <f ca="1">IFERROR(__xludf.DUMMYFUNCTION("""COMPUTED_VALUE"""),45359.6666666666)</f>
        <v>45359.666666666599</v>
      </c>
      <c r="B47" s="2"/>
      <c r="C47" s="1">
        <v>6000</v>
      </c>
      <c r="D47" s="1">
        <v>6125</v>
      </c>
      <c r="E47" s="1">
        <v>5975</v>
      </c>
      <c r="F47" s="1">
        <v>6100</v>
      </c>
      <c r="G47" s="1">
        <v>73185000</v>
      </c>
      <c r="H47" s="8">
        <f t="shared" si="0"/>
        <v>2.0920502092050208E-2</v>
      </c>
      <c r="I47" s="8">
        <f t="shared" si="1"/>
        <v>0.13488372093023257</v>
      </c>
    </row>
    <row r="48" spans="1:9" x14ac:dyDescent="0.2">
      <c r="A48" s="2">
        <f ca="1">IFERROR(__xludf.DUMMYFUNCTION("""COMPUTED_VALUE"""),45364.6666666666)</f>
        <v>45364.666666666599</v>
      </c>
      <c r="B48" s="2"/>
      <c r="C48" s="1">
        <v>6100</v>
      </c>
      <c r="D48" s="1">
        <v>6250</v>
      </c>
      <c r="E48" s="1">
        <v>6100</v>
      </c>
      <c r="F48" s="1">
        <v>6225</v>
      </c>
      <c r="G48" s="1">
        <v>87861700</v>
      </c>
      <c r="H48" s="8">
        <f t="shared" si="0"/>
        <v>2.0491803278688523E-2</v>
      </c>
      <c r="I48" s="8">
        <f t="shared" si="1"/>
        <v>0.15813953488372093</v>
      </c>
    </row>
    <row r="49" spans="1:9" x14ac:dyDescent="0.2">
      <c r="A49" s="2">
        <f ca="1">IFERROR(__xludf.DUMMYFUNCTION("""COMPUTED_VALUE"""),45365.6666666666)</f>
        <v>45365.666666666599</v>
      </c>
      <c r="B49" s="2"/>
      <c r="C49" s="1">
        <v>6225</v>
      </c>
      <c r="D49" s="1">
        <v>6250</v>
      </c>
      <c r="E49" s="1">
        <v>6075</v>
      </c>
      <c r="F49" s="1">
        <v>6150</v>
      </c>
      <c r="G49" s="1">
        <v>88145400</v>
      </c>
      <c r="H49" s="8">
        <f t="shared" si="0"/>
        <v>-1.2048192771084338E-2</v>
      </c>
      <c r="I49" s="8">
        <f t="shared" si="1"/>
        <v>0.14418604651162792</v>
      </c>
    </row>
    <row r="50" spans="1:9" x14ac:dyDescent="0.2">
      <c r="A50" s="2">
        <f ca="1">IFERROR(__xludf.DUMMYFUNCTION("""COMPUTED_VALUE"""),45366.6666666666)</f>
        <v>45366.666666666599</v>
      </c>
      <c r="B50" s="2"/>
      <c r="C50" s="1">
        <v>5950</v>
      </c>
      <c r="D50" s="1">
        <v>5950</v>
      </c>
      <c r="E50" s="1">
        <v>5725</v>
      </c>
      <c r="F50" s="1">
        <v>5800</v>
      </c>
      <c r="G50" s="1">
        <v>144447600</v>
      </c>
      <c r="H50" s="8">
        <f t="shared" si="0"/>
        <v>-5.6910569105691054E-2</v>
      </c>
      <c r="I50" s="8">
        <f t="shared" si="1"/>
        <v>7.9069767441860464E-2</v>
      </c>
    </row>
    <row r="51" spans="1:9" x14ac:dyDescent="0.2">
      <c r="A51" s="2">
        <f ca="1">IFERROR(__xludf.DUMMYFUNCTION("""COMPUTED_VALUE"""),45369.6666666666)</f>
        <v>45369.666666666599</v>
      </c>
      <c r="B51" s="2"/>
      <c r="C51" s="1">
        <v>5825</v>
      </c>
      <c r="D51" s="1">
        <v>5900</v>
      </c>
      <c r="E51" s="1">
        <v>5800</v>
      </c>
      <c r="F51" s="1">
        <v>5800</v>
      </c>
      <c r="G51" s="1">
        <v>48979300</v>
      </c>
      <c r="H51" s="8">
        <f t="shared" si="0"/>
        <v>0</v>
      </c>
      <c r="I51" s="8">
        <f t="shared" si="1"/>
        <v>7.9069767441860464E-2</v>
      </c>
    </row>
    <row r="52" spans="1:9" x14ac:dyDescent="0.2">
      <c r="A52" s="2">
        <f ca="1">IFERROR(__xludf.DUMMYFUNCTION("""COMPUTED_VALUE"""),45370.6666666666)</f>
        <v>45370.666666666599</v>
      </c>
      <c r="B52" s="2"/>
      <c r="C52" s="1">
        <v>5800</v>
      </c>
      <c r="D52" s="1">
        <v>5875</v>
      </c>
      <c r="E52" s="1">
        <v>5800</v>
      </c>
      <c r="F52" s="1">
        <v>5850</v>
      </c>
      <c r="G52" s="1">
        <v>34162200</v>
      </c>
      <c r="H52" s="8">
        <f t="shared" si="0"/>
        <v>8.6206896551724137E-3</v>
      </c>
      <c r="I52" s="8">
        <f t="shared" si="1"/>
        <v>8.8372093023255813E-2</v>
      </c>
    </row>
    <row r="53" spans="1:9" x14ac:dyDescent="0.2">
      <c r="A53" s="2">
        <f ca="1">IFERROR(__xludf.DUMMYFUNCTION("""COMPUTED_VALUE"""),45371.6666666666)</f>
        <v>45371.666666666599</v>
      </c>
      <c r="B53" s="2"/>
      <c r="C53" s="1">
        <v>5850</v>
      </c>
      <c r="D53" s="1">
        <v>5900</v>
      </c>
      <c r="E53" s="1">
        <v>5850</v>
      </c>
      <c r="F53" s="1">
        <v>5875</v>
      </c>
      <c r="G53" s="1">
        <v>32725900</v>
      </c>
      <c r="H53" s="8">
        <f t="shared" si="0"/>
        <v>4.2735042735042739E-3</v>
      </c>
      <c r="I53" s="8">
        <f t="shared" si="1"/>
        <v>9.3023255813953487E-2</v>
      </c>
    </row>
    <row r="54" spans="1:9" x14ac:dyDescent="0.2">
      <c r="A54" s="2">
        <f ca="1">IFERROR(__xludf.DUMMYFUNCTION("""COMPUTED_VALUE"""),45372.6666666666)</f>
        <v>45372.666666666599</v>
      </c>
      <c r="B54" s="2"/>
      <c r="C54" s="1">
        <v>5900</v>
      </c>
      <c r="D54" s="1">
        <v>5925</v>
      </c>
      <c r="E54" s="1">
        <v>5800</v>
      </c>
      <c r="F54" s="1">
        <v>5800</v>
      </c>
      <c r="G54" s="1">
        <v>50976000</v>
      </c>
      <c r="H54" s="8">
        <f t="shared" si="0"/>
        <v>-1.276595744680851E-2</v>
      </c>
      <c r="I54" s="8">
        <f t="shared" si="1"/>
        <v>7.9069767441860464E-2</v>
      </c>
    </row>
    <row r="55" spans="1:9" x14ac:dyDescent="0.2">
      <c r="A55" s="2">
        <f ca="1">IFERROR(__xludf.DUMMYFUNCTION("""COMPUTED_VALUE"""),45373.6666666666)</f>
        <v>45373.666666666599</v>
      </c>
      <c r="B55" s="2"/>
      <c r="C55" s="1">
        <v>5850</v>
      </c>
      <c r="D55" s="1">
        <v>5875</v>
      </c>
      <c r="E55" s="1">
        <v>5800</v>
      </c>
      <c r="F55" s="1">
        <v>5850</v>
      </c>
      <c r="G55" s="1">
        <v>29927600</v>
      </c>
      <c r="H55" s="8">
        <f t="shared" si="0"/>
        <v>8.6206896551724137E-3</v>
      </c>
      <c r="I55" s="8">
        <f t="shared" si="1"/>
        <v>8.8372093023255813E-2</v>
      </c>
    </row>
    <row r="56" spans="1:9" x14ac:dyDescent="0.2">
      <c r="A56" s="2">
        <f ca="1">IFERROR(__xludf.DUMMYFUNCTION("""COMPUTED_VALUE"""),45376.6666666666)</f>
        <v>45376.666666666599</v>
      </c>
      <c r="B56" s="2"/>
      <c r="C56" s="1">
        <v>5925</v>
      </c>
      <c r="D56" s="1">
        <v>5925</v>
      </c>
      <c r="E56" s="1">
        <v>5825</v>
      </c>
      <c r="F56" s="1">
        <v>5925</v>
      </c>
      <c r="G56" s="1">
        <v>43514000</v>
      </c>
      <c r="H56" s="8">
        <f t="shared" si="0"/>
        <v>1.282051282051282E-2</v>
      </c>
      <c r="I56" s="8">
        <f t="shared" si="1"/>
        <v>0.10232558139534884</v>
      </c>
    </row>
    <row r="57" spans="1:9" x14ac:dyDescent="0.2">
      <c r="A57" s="2">
        <f ca="1">IFERROR(__xludf.DUMMYFUNCTION("""COMPUTED_VALUE"""),45377.6666666666)</f>
        <v>45377.666666666599</v>
      </c>
      <c r="B57" s="2"/>
      <c r="C57" s="1">
        <v>5950</v>
      </c>
      <c r="D57" s="1">
        <v>5950</v>
      </c>
      <c r="E57" s="1">
        <v>5850</v>
      </c>
      <c r="F57" s="1">
        <v>5950</v>
      </c>
      <c r="G57" s="1">
        <v>29383900</v>
      </c>
      <c r="H57" s="8">
        <f t="shared" si="0"/>
        <v>4.2194092827004216E-3</v>
      </c>
      <c r="I57" s="8">
        <f t="shared" si="1"/>
        <v>0.10697674418604651</v>
      </c>
    </row>
    <row r="58" spans="1:9" x14ac:dyDescent="0.2">
      <c r="A58" s="2">
        <f ca="1">IFERROR(__xludf.DUMMYFUNCTION("""COMPUTED_VALUE"""),45378.6666666666)</f>
        <v>45378.666666666599</v>
      </c>
      <c r="B58" s="2"/>
      <c r="C58" s="1">
        <v>5950</v>
      </c>
      <c r="D58" s="1">
        <v>5975</v>
      </c>
      <c r="E58" s="1">
        <v>5900</v>
      </c>
      <c r="F58" s="1">
        <v>5925</v>
      </c>
      <c r="G58" s="1">
        <v>19643200</v>
      </c>
      <c r="H58" s="8">
        <f t="shared" si="0"/>
        <v>-4.2016806722689074E-3</v>
      </c>
      <c r="I58" s="8">
        <f t="shared" si="1"/>
        <v>0.10232558139534884</v>
      </c>
    </row>
    <row r="59" spans="1:9" x14ac:dyDescent="0.2">
      <c r="A59" s="2">
        <f ca="1">IFERROR(__xludf.DUMMYFUNCTION("""COMPUTED_VALUE"""),45379.6666666666)</f>
        <v>45379.666666666599</v>
      </c>
      <c r="B59" s="2"/>
      <c r="C59" s="1">
        <v>5950</v>
      </c>
      <c r="D59" s="1">
        <v>5950</v>
      </c>
      <c r="E59" s="1">
        <v>5850</v>
      </c>
      <c r="F59" s="1">
        <v>5900</v>
      </c>
      <c r="G59" s="1">
        <v>40077400</v>
      </c>
      <c r="H59" s="8">
        <f t="shared" si="0"/>
        <v>-4.2194092827004216E-3</v>
      </c>
      <c r="I59" s="8">
        <f t="shared" si="1"/>
        <v>9.7674418604651161E-2</v>
      </c>
    </row>
    <row r="60" spans="1:9" x14ac:dyDescent="0.2">
      <c r="A60" s="2">
        <f ca="1">IFERROR(__xludf.DUMMYFUNCTION("""COMPUTED_VALUE"""),45383.6666666666)</f>
        <v>45383.666666666599</v>
      </c>
      <c r="B60" s="2"/>
      <c r="C60" s="1">
        <v>5900</v>
      </c>
      <c r="D60" s="1">
        <v>5900</v>
      </c>
      <c r="E60" s="1">
        <v>5550</v>
      </c>
      <c r="F60" s="1">
        <v>5650</v>
      </c>
      <c r="G60" s="1">
        <v>100174400</v>
      </c>
      <c r="H60" s="8">
        <f t="shared" si="0"/>
        <v>-4.2372881355932202E-2</v>
      </c>
      <c r="I60" s="8">
        <f t="shared" si="1"/>
        <v>5.1162790697674418E-2</v>
      </c>
    </row>
    <row r="61" spans="1:9" x14ac:dyDescent="0.2">
      <c r="A61" s="2">
        <f ca="1">IFERROR(__xludf.DUMMYFUNCTION("""COMPUTED_VALUE"""),45384.6666666666)</f>
        <v>45384.666666666599</v>
      </c>
      <c r="B61" s="2"/>
      <c r="C61" s="1">
        <v>5625</v>
      </c>
      <c r="D61" s="1">
        <v>5625</v>
      </c>
      <c r="E61" s="1">
        <v>5425</v>
      </c>
      <c r="F61" s="1">
        <v>5475</v>
      </c>
      <c r="G61" s="1">
        <v>121164600</v>
      </c>
      <c r="H61" s="8">
        <f t="shared" si="0"/>
        <v>-3.0973451327433628E-2</v>
      </c>
      <c r="I61" s="8">
        <f t="shared" si="1"/>
        <v>1.8604651162790697E-2</v>
      </c>
    </row>
    <row r="62" spans="1:9" x14ac:dyDescent="0.2">
      <c r="A62" s="2">
        <f ca="1">IFERROR(__xludf.DUMMYFUNCTION("""COMPUTED_VALUE"""),45385.6666666666)</f>
        <v>45385.666666666599</v>
      </c>
      <c r="B62" s="2"/>
      <c r="C62" s="1">
        <v>5450</v>
      </c>
      <c r="D62" s="1">
        <v>5525</v>
      </c>
      <c r="E62" s="1">
        <v>5225</v>
      </c>
      <c r="F62" s="1">
        <v>5325</v>
      </c>
      <c r="G62" s="1">
        <v>126994500</v>
      </c>
      <c r="H62" s="8">
        <f t="shared" si="0"/>
        <v>-2.7397260273972601E-2</v>
      </c>
      <c r="I62" s="8">
        <f t="shared" si="1"/>
        <v>-9.3023255813953487E-3</v>
      </c>
    </row>
    <row r="63" spans="1:9" x14ac:dyDescent="0.2">
      <c r="A63" s="2">
        <f ca="1">IFERROR(__xludf.DUMMYFUNCTION("""COMPUTED_VALUE"""),45386.6666666666)</f>
        <v>45386.666666666599</v>
      </c>
      <c r="B63" s="2"/>
      <c r="C63" s="1">
        <v>5250</v>
      </c>
      <c r="D63" s="1">
        <v>5375</v>
      </c>
      <c r="E63" s="1">
        <v>5250</v>
      </c>
      <c r="F63" s="1">
        <v>5350</v>
      </c>
      <c r="G63" s="1">
        <v>163113100</v>
      </c>
      <c r="H63" s="8">
        <f t="shared" si="0"/>
        <v>4.6948356807511738E-3</v>
      </c>
      <c r="I63" s="8">
        <f t="shared" si="1"/>
        <v>-4.6511627906976744E-3</v>
      </c>
    </row>
    <row r="64" spans="1:9" x14ac:dyDescent="0.2">
      <c r="A64" s="2">
        <f ca="1">IFERROR(__xludf.DUMMYFUNCTION("""COMPUTED_VALUE"""),45387.6666666666)</f>
        <v>45387.666666666599</v>
      </c>
      <c r="B64" s="2"/>
      <c r="C64" s="1">
        <v>5325</v>
      </c>
      <c r="D64" s="1">
        <v>5375</v>
      </c>
      <c r="E64" s="1">
        <v>5300</v>
      </c>
      <c r="F64" s="1">
        <v>5300</v>
      </c>
      <c r="G64" s="1">
        <v>36818200</v>
      </c>
      <c r="H64" s="8">
        <f t="shared" si="0"/>
        <v>-9.3457943925233638E-3</v>
      </c>
      <c r="I64" s="8">
        <f t="shared" si="1"/>
        <v>-1.3953488372093023E-2</v>
      </c>
    </row>
    <row r="65" spans="1:9" x14ac:dyDescent="0.2">
      <c r="A65" s="2">
        <f ca="1">IFERROR(__xludf.DUMMYFUNCTION("""COMPUTED_VALUE"""),45398.6666666666)</f>
        <v>45398.666666666599</v>
      </c>
      <c r="B65" s="2"/>
      <c r="C65" s="1">
        <v>5075</v>
      </c>
      <c r="D65" s="1">
        <v>5300</v>
      </c>
      <c r="E65" s="1">
        <v>5050</v>
      </c>
      <c r="F65" s="1">
        <v>5200</v>
      </c>
      <c r="G65" s="1">
        <v>164123600</v>
      </c>
      <c r="H65" s="8">
        <f t="shared" si="0"/>
        <v>-1.8867924528301886E-2</v>
      </c>
      <c r="I65" s="8">
        <f t="shared" si="1"/>
        <v>-3.255813953488372E-2</v>
      </c>
    </row>
    <row r="66" spans="1:9" x14ac:dyDescent="0.2">
      <c r="A66" s="2">
        <f ca="1">IFERROR(__xludf.DUMMYFUNCTION("""COMPUTED_VALUE"""),45399.6666666666)</f>
        <v>45399.666666666599</v>
      </c>
      <c r="B66" s="2"/>
      <c r="C66" s="1">
        <v>5250</v>
      </c>
      <c r="D66" s="1">
        <v>5350</v>
      </c>
      <c r="E66" s="1">
        <v>5250</v>
      </c>
      <c r="F66" s="1">
        <v>5250</v>
      </c>
      <c r="G66" s="1">
        <v>68948000</v>
      </c>
      <c r="H66" s="8">
        <f t="shared" si="0"/>
        <v>9.6153846153846159E-3</v>
      </c>
      <c r="I66" s="8">
        <f t="shared" si="1"/>
        <v>-2.3255813953488372E-2</v>
      </c>
    </row>
    <row r="67" spans="1:9" x14ac:dyDescent="0.2">
      <c r="A67" s="2">
        <f ca="1">IFERROR(__xludf.DUMMYFUNCTION("""COMPUTED_VALUE"""),45400.6666666666)</f>
        <v>45400.666666666599</v>
      </c>
      <c r="B67" s="2"/>
      <c r="C67" s="1">
        <v>5250</v>
      </c>
      <c r="D67" s="1">
        <v>5350</v>
      </c>
      <c r="E67" s="1">
        <v>5250</v>
      </c>
      <c r="F67" s="1">
        <v>5300</v>
      </c>
      <c r="G67" s="1">
        <v>57785900</v>
      </c>
      <c r="H67" s="8">
        <f t="shared" si="0"/>
        <v>9.5238095238095247E-3</v>
      </c>
      <c r="I67" s="8">
        <f t="shared" si="1"/>
        <v>-1.3953488372093023E-2</v>
      </c>
    </row>
    <row r="68" spans="1:9" x14ac:dyDescent="0.2">
      <c r="A68" s="2">
        <f ca="1">IFERROR(__xludf.DUMMYFUNCTION("""COMPUTED_VALUE"""),45401.6666666666)</f>
        <v>45401.666666666599</v>
      </c>
      <c r="B68" s="2"/>
      <c r="C68" s="1">
        <v>5250</v>
      </c>
      <c r="D68" s="1">
        <v>5275</v>
      </c>
      <c r="E68" s="1">
        <v>5175</v>
      </c>
      <c r="F68" s="1">
        <v>5225</v>
      </c>
      <c r="G68" s="1">
        <v>52519300</v>
      </c>
      <c r="H68" s="8">
        <f t="shared" ref="H68:H131" si="2">(F68-F67)/F67</f>
        <v>-1.4150943396226415E-2</v>
      </c>
      <c r="I68" s="8">
        <f t="shared" ref="I68:I131" si="3">(F68-$F$2)/$F$2</f>
        <v>-2.7906976744186046E-2</v>
      </c>
    </row>
    <row r="69" spans="1:9" x14ac:dyDescent="0.2">
      <c r="A69" s="2">
        <f ca="1">IFERROR(__xludf.DUMMYFUNCTION("""COMPUTED_VALUE"""),45404.6666666666)</f>
        <v>45404.666666666599</v>
      </c>
      <c r="B69" s="2"/>
      <c r="C69" s="1">
        <v>5250</v>
      </c>
      <c r="D69" s="1">
        <v>5350</v>
      </c>
      <c r="E69" s="1">
        <v>5150</v>
      </c>
      <c r="F69" s="1">
        <v>5350</v>
      </c>
      <c r="G69" s="1">
        <v>62509300</v>
      </c>
      <c r="H69" s="8">
        <f t="shared" si="2"/>
        <v>2.3923444976076555E-2</v>
      </c>
      <c r="I69" s="8">
        <f t="shared" si="3"/>
        <v>-4.6511627906976744E-3</v>
      </c>
    </row>
    <row r="70" spans="1:9" x14ac:dyDescent="0.2">
      <c r="A70" s="2">
        <f ca="1">IFERROR(__xludf.DUMMYFUNCTION("""COMPUTED_VALUE"""),45405.6666666666)</f>
        <v>45405.666666666599</v>
      </c>
      <c r="B70" s="2"/>
      <c r="C70" s="1">
        <v>5375</v>
      </c>
      <c r="D70" s="1">
        <v>5425</v>
      </c>
      <c r="E70" s="1">
        <v>5250</v>
      </c>
      <c r="F70" s="1">
        <v>5250</v>
      </c>
      <c r="G70" s="1">
        <v>45322700</v>
      </c>
      <c r="H70" s="8">
        <f t="shared" si="2"/>
        <v>-1.8691588785046728E-2</v>
      </c>
      <c r="I70" s="8">
        <f t="shared" si="3"/>
        <v>-2.3255813953488372E-2</v>
      </c>
    </row>
    <row r="71" spans="1:9" x14ac:dyDescent="0.2">
      <c r="A71" s="2">
        <f ca="1">IFERROR(__xludf.DUMMYFUNCTION("""COMPUTED_VALUE"""),45406.6666666666)</f>
        <v>45406.666666666599</v>
      </c>
      <c r="B71" s="2"/>
      <c r="C71" s="1">
        <v>5300</v>
      </c>
      <c r="D71" s="1">
        <v>5350</v>
      </c>
      <c r="E71" s="1">
        <v>5200</v>
      </c>
      <c r="F71" s="1">
        <v>5300</v>
      </c>
      <c r="G71" s="1">
        <v>44771200</v>
      </c>
      <c r="H71" s="8">
        <f t="shared" si="2"/>
        <v>9.5238095238095247E-3</v>
      </c>
      <c r="I71" s="8">
        <f t="shared" si="3"/>
        <v>-1.3953488372093023E-2</v>
      </c>
    </row>
    <row r="72" spans="1:9" x14ac:dyDescent="0.2">
      <c r="A72" s="2">
        <f ca="1">IFERROR(__xludf.DUMMYFUNCTION("""COMPUTED_VALUE"""),45407.6666666666)</f>
        <v>45407.666666666599</v>
      </c>
      <c r="B72" s="2"/>
      <c r="C72" s="1">
        <v>5300</v>
      </c>
      <c r="D72" s="1">
        <v>5325</v>
      </c>
      <c r="E72" s="1">
        <v>5225</v>
      </c>
      <c r="F72" s="1">
        <v>5300</v>
      </c>
      <c r="G72" s="1">
        <v>35922300</v>
      </c>
      <c r="H72" s="8">
        <f t="shared" si="2"/>
        <v>0</v>
      </c>
      <c r="I72" s="8">
        <f t="shared" si="3"/>
        <v>-1.3953488372093023E-2</v>
      </c>
    </row>
    <row r="73" spans="1:9" x14ac:dyDescent="0.2">
      <c r="A73" s="2">
        <f ca="1">IFERROR(__xludf.DUMMYFUNCTION("""COMPUTED_VALUE"""),45408.6666666666)</f>
        <v>45408.666666666599</v>
      </c>
      <c r="B73" s="2"/>
      <c r="C73" s="1">
        <v>5200</v>
      </c>
      <c r="D73" s="1">
        <v>5275</v>
      </c>
      <c r="E73" s="1">
        <v>5100</v>
      </c>
      <c r="F73" s="1">
        <v>5150</v>
      </c>
      <c r="G73" s="1">
        <v>80482400</v>
      </c>
      <c r="H73" s="8">
        <f t="shared" si="2"/>
        <v>-2.8301886792452831E-2</v>
      </c>
      <c r="I73" s="8">
        <f t="shared" si="3"/>
        <v>-4.1860465116279069E-2</v>
      </c>
    </row>
    <row r="74" spans="1:9" x14ac:dyDescent="0.2">
      <c r="A74" s="2">
        <f ca="1">IFERROR(__xludf.DUMMYFUNCTION("""COMPUTED_VALUE"""),45411.6666666666)</f>
        <v>45411.666666666599</v>
      </c>
      <c r="B74" s="2"/>
      <c r="C74" s="1">
        <v>5125</v>
      </c>
      <c r="D74" s="1">
        <v>5225</v>
      </c>
      <c r="E74" s="1">
        <v>5050</v>
      </c>
      <c r="F74" s="1">
        <v>5225</v>
      </c>
      <c r="G74" s="1">
        <v>41068600</v>
      </c>
      <c r="H74" s="8">
        <f t="shared" si="2"/>
        <v>1.4563106796116505E-2</v>
      </c>
      <c r="I74" s="8">
        <f t="shared" si="3"/>
        <v>-2.7906976744186046E-2</v>
      </c>
    </row>
    <row r="75" spans="1:9" x14ac:dyDescent="0.2">
      <c r="A75" s="2">
        <f ca="1">IFERROR(__xludf.DUMMYFUNCTION("""COMPUTED_VALUE"""),45412.6666666666)</f>
        <v>45412.666666666599</v>
      </c>
      <c r="B75" s="2"/>
      <c r="C75" s="1">
        <v>5325</v>
      </c>
      <c r="D75" s="1">
        <v>5350</v>
      </c>
      <c r="E75" s="1">
        <v>5225</v>
      </c>
      <c r="F75" s="1">
        <v>5250</v>
      </c>
      <c r="G75" s="1">
        <v>73658500</v>
      </c>
      <c r="H75" s="8">
        <f t="shared" si="2"/>
        <v>4.7846889952153108E-3</v>
      </c>
      <c r="I75" s="8">
        <f t="shared" si="3"/>
        <v>-2.3255813953488372E-2</v>
      </c>
    </row>
    <row r="76" spans="1:9" x14ac:dyDescent="0.2">
      <c r="A76" s="2">
        <f ca="1">IFERROR(__xludf.DUMMYFUNCTION("""COMPUTED_VALUE"""),45414.6666666666)</f>
        <v>45414.666666666599</v>
      </c>
      <c r="B76" s="2"/>
      <c r="C76" s="1">
        <v>5200</v>
      </c>
      <c r="D76" s="1">
        <v>5250</v>
      </c>
      <c r="E76" s="1">
        <v>4810</v>
      </c>
      <c r="F76" s="1">
        <v>4830</v>
      </c>
      <c r="G76" s="1">
        <v>183458300</v>
      </c>
      <c r="H76" s="8">
        <f t="shared" si="2"/>
        <v>-0.08</v>
      </c>
      <c r="I76" s="8">
        <f t="shared" si="3"/>
        <v>-0.1013953488372093</v>
      </c>
    </row>
    <row r="77" spans="1:9" x14ac:dyDescent="0.2">
      <c r="A77" s="2">
        <f ca="1">IFERROR(__xludf.DUMMYFUNCTION("""COMPUTED_VALUE"""),45415.6666666666)</f>
        <v>45415.666666666599</v>
      </c>
      <c r="B77" s="2"/>
      <c r="C77" s="1">
        <v>4850</v>
      </c>
      <c r="D77" s="1">
        <v>4880</v>
      </c>
      <c r="E77" s="1">
        <v>4750</v>
      </c>
      <c r="F77" s="1">
        <v>4830</v>
      </c>
      <c r="G77" s="1">
        <v>89058400</v>
      </c>
      <c r="H77" s="8">
        <f t="shared" si="2"/>
        <v>0</v>
      </c>
      <c r="I77" s="8">
        <f t="shared" si="3"/>
        <v>-0.1013953488372093</v>
      </c>
    </row>
    <row r="78" spans="1:9" x14ac:dyDescent="0.2">
      <c r="A78" s="2">
        <f ca="1">IFERROR(__xludf.DUMMYFUNCTION("""COMPUTED_VALUE"""),45418.6666666666)</f>
        <v>45418.666666666599</v>
      </c>
      <c r="B78" s="2"/>
      <c r="C78" s="1">
        <v>4880</v>
      </c>
      <c r="D78" s="1">
        <v>4890</v>
      </c>
      <c r="E78" s="1">
        <v>4800</v>
      </c>
      <c r="F78" s="1">
        <v>4810</v>
      </c>
      <c r="G78" s="1">
        <v>81862000</v>
      </c>
      <c r="H78" s="8">
        <f t="shared" si="2"/>
        <v>-4.140786749482402E-3</v>
      </c>
      <c r="I78" s="8">
        <f t="shared" si="3"/>
        <v>-0.10511627906976745</v>
      </c>
    </row>
    <row r="79" spans="1:9" x14ac:dyDescent="0.2">
      <c r="A79" s="2">
        <f ca="1">IFERROR(__xludf.DUMMYFUNCTION("""COMPUTED_VALUE"""),45419.6666666666)</f>
        <v>45419.666666666599</v>
      </c>
      <c r="B79" s="2"/>
      <c r="C79" s="1">
        <v>4790</v>
      </c>
      <c r="D79" s="1">
        <v>4810</v>
      </c>
      <c r="E79" s="1">
        <v>4680</v>
      </c>
      <c r="F79" s="1">
        <v>4700</v>
      </c>
      <c r="G79" s="1">
        <v>82580800</v>
      </c>
      <c r="H79" s="8">
        <f t="shared" si="2"/>
        <v>-2.286902286902287E-2</v>
      </c>
      <c r="I79" s="8">
        <f t="shared" si="3"/>
        <v>-0.12558139534883722</v>
      </c>
    </row>
    <row r="80" spans="1:9" x14ac:dyDescent="0.2">
      <c r="A80" s="2">
        <f ca="1">IFERROR(__xludf.DUMMYFUNCTION("""COMPUTED_VALUE"""),45420.6666666666)</f>
        <v>45420.666666666599</v>
      </c>
      <c r="B80" s="2"/>
      <c r="C80" s="1">
        <v>4680</v>
      </c>
      <c r="D80" s="1">
        <v>4770</v>
      </c>
      <c r="E80" s="1">
        <v>4620</v>
      </c>
      <c r="F80" s="1">
        <v>4670</v>
      </c>
      <c r="G80" s="1">
        <v>58548300</v>
      </c>
      <c r="H80" s="8">
        <f t="shared" si="2"/>
        <v>-6.382978723404255E-3</v>
      </c>
      <c r="I80" s="8">
        <f t="shared" si="3"/>
        <v>-0.13116279069767442</v>
      </c>
    </row>
    <row r="81" spans="1:9" x14ac:dyDescent="0.2">
      <c r="A81" s="2">
        <f ca="1">IFERROR(__xludf.DUMMYFUNCTION("""COMPUTED_VALUE"""),45425.6666666666)</f>
        <v>45425.666666666599</v>
      </c>
      <c r="B81" s="2"/>
      <c r="C81" s="1">
        <v>4600</v>
      </c>
      <c r="D81" s="1">
        <v>4780</v>
      </c>
      <c r="E81" s="1">
        <v>4600</v>
      </c>
      <c r="F81" s="1">
        <v>4780</v>
      </c>
      <c r="G81" s="1">
        <v>54329600</v>
      </c>
      <c r="H81" s="8">
        <f t="shared" si="2"/>
        <v>2.3554603854389723E-2</v>
      </c>
      <c r="I81" s="8">
        <f t="shared" si="3"/>
        <v>-0.11069767441860465</v>
      </c>
    </row>
    <row r="82" spans="1:9" x14ac:dyDescent="0.2">
      <c r="A82" s="2">
        <f ca="1">IFERROR(__xludf.DUMMYFUNCTION("""COMPUTED_VALUE"""),45426.6666666666)</f>
        <v>45426.666666666599</v>
      </c>
      <c r="B82" s="2"/>
      <c r="C82" s="1">
        <v>4790</v>
      </c>
      <c r="D82" s="1">
        <v>4940</v>
      </c>
      <c r="E82" s="1">
        <v>4780</v>
      </c>
      <c r="F82" s="1">
        <v>4930</v>
      </c>
      <c r="G82" s="1">
        <v>70014900</v>
      </c>
      <c r="H82" s="8">
        <f t="shared" si="2"/>
        <v>3.1380753138075312E-2</v>
      </c>
      <c r="I82" s="8">
        <f t="shared" si="3"/>
        <v>-8.2790697674418601E-2</v>
      </c>
    </row>
    <row r="83" spans="1:9" x14ac:dyDescent="0.2">
      <c r="A83" s="2">
        <f ca="1">IFERROR(__xludf.DUMMYFUNCTION("""COMPUTED_VALUE"""),45427.6666666666)</f>
        <v>45427.666666666599</v>
      </c>
      <c r="B83" s="2"/>
      <c r="C83" s="1">
        <v>4880</v>
      </c>
      <c r="D83" s="1">
        <v>5100</v>
      </c>
      <c r="E83" s="1">
        <v>4850</v>
      </c>
      <c r="F83" s="1">
        <v>5025</v>
      </c>
      <c r="G83" s="1">
        <v>85730700</v>
      </c>
      <c r="H83" s="8">
        <f t="shared" si="2"/>
        <v>1.9269776876267748E-2</v>
      </c>
      <c r="I83" s="8">
        <f t="shared" si="3"/>
        <v>-6.5116279069767441E-2</v>
      </c>
    </row>
    <row r="84" spans="1:9" x14ac:dyDescent="0.2">
      <c r="A84" s="2">
        <f ca="1">IFERROR(__xludf.DUMMYFUNCTION("""COMPUTED_VALUE"""),45428.6666666666)</f>
        <v>45428.666666666599</v>
      </c>
      <c r="B84" s="2"/>
      <c r="C84" s="1">
        <v>5125</v>
      </c>
      <c r="D84" s="1">
        <v>5275</v>
      </c>
      <c r="E84" s="1">
        <v>5100</v>
      </c>
      <c r="F84" s="1">
        <v>5200</v>
      </c>
      <c r="G84" s="1">
        <v>118382400</v>
      </c>
      <c r="H84" s="8">
        <f t="shared" si="2"/>
        <v>3.482587064676617E-2</v>
      </c>
      <c r="I84" s="8">
        <f t="shared" si="3"/>
        <v>-3.255813953488372E-2</v>
      </c>
    </row>
    <row r="85" spans="1:9" x14ac:dyDescent="0.2">
      <c r="A85" s="2">
        <f ca="1">IFERROR(__xludf.DUMMYFUNCTION("""COMPUTED_VALUE"""),45429.6666666666)</f>
        <v>45429.666666666599</v>
      </c>
      <c r="B85" s="2"/>
      <c r="C85" s="1">
        <v>5200</v>
      </c>
      <c r="D85" s="1">
        <v>5275</v>
      </c>
      <c r="E85" s="1">
        <v>5125</v>
      </c>
      <c r="F85" s="1">
        <v>5175</v>
      </c>
      <c r="G85" s="1">
        <v>67679700</v>
      </c>
      <c r="H85" s="8">
        <f t="shared" si="2"/>
        <v>-4.807692307692308E-3</v>
      </c>
      <c r="I85" s="8">
        <f t="shared" si="3"/>
        <v>-3.7209302325581395E-2</v>
      </c>
    </row>
    <row r="86" spans="1:9" x14ac:dyDescent="0.2">
      <c r="A86" s="2">
        <f ca="1">IFERROR(__xludf.DUMMYFUNCTION("""COMPUTED_VALUE"""),45432.6666666666)</f>
        <v>45432.666666666599</v>
      </c>
      <c r="B86" s="2"/>
      <c r="C86" s="1">
        <v>5200</v>
      </c>
      <c r="D86" s="1">
        <v>5250</v>
      </c>
      <c r="E86" s="1">
        <v>4950</v>
      </c>
      <c r="F86" s="1">
        <v>4980</v>
      </c>
      <c r="G86" s="1">
        <v>76605300</v>
      </c>
      <c r="H86" s="8">
        <f t="shared" si="2"/>
        <v>-3.7681159420289857E-2</v>
      </c>
      <c r="I86" s="8">
        <f t="shared" si="3"/>
        <v>-7.3488372093023252E-2</v>
      </c>
    </row>
    <row r="87" spans="1:9" x14ac:dyDescent="0.2">
      <c r="A87" s="2">
        <f ca="1">IFERROR(__xludf.DUMMYFUNCTION("""COMPUTED_VALUE"""),45433.6666666666)</f>
        <v>45433.666666666599</v>
      </c>
      <c r="B87" s="2"/>
      <c r="C87" s="1">
        <v>4980</v>
      </c>
      <c r="D87" s="1">
        <v>4980</v>
      </c>
      <c r="E87" s="1">
        <v>4760</v>
      </c>
      <c r="F87" s="1">
        <v>4770</v>
      </c>
      <c r="G87" s="1">
        <v>87501700</v>
      </c>
      <c r="H87" s="8">
        <f t="shared" si="2"/>
        <v>-4.2168674698795178E-2</v>
      </c>
      <c r="I87" s="8">
        <f t="shared" si="3"/>
        <v>-0.11255813953488372</v>
      </c>
    </row>
    <row r="88" spans="1:9" x14ac:dyDescent="0.2">
      <c r="A88" s="2">
        <f ca="1">IFERROR(__xludf.DUMMYFUNCTION("""COMPUTED_VALUE"""),45434.6666666666)</f>
        <v>45434.666666666599</v>
      </c>
      <c r="B88" s="2"/>
      <c r="C88" s="1">
        <v>4720</v>
      </c>
      <c r="D88" s="1">
        <v>4800</v>
      </c>
      <c r="E88" s="1">
        <v>4720</v>
      </c>
      <c r="F88" s="1">
        <v>4760</v>
      </c>
      <c r="G88" s="1">
        <v>60859500</v>
      </c>
      <c r="H88" s="8">
        <f t="shared" si="2"/>
        <v>-2.0964360587002098E-3</v>
      </c>
      <c r="I88" s="8">
        <f t="shared" si="3"/>
        <v>-0.1144186046511628</v>
      </c>
    </row>
    <row r="89" spans="1:9" x14ac:dyDescent="0.2">
      <c r="A89" s="2">
        <f ca="1">IFERROR(__xludf.DUMMYFUNCTION("""COMPUTED_VALUE"""),45439.6666666666)</f>
        <v>45439.666666666599</v>
      </c>
      <c r="B89" s="2"/>
      <c r="C89" s="1">
        <v>4770</v>
      </c>
      <c r="D89" s="1">
        <v>4790</v>
      </c>
      <c r="E89" s="1">
        <v>4630</v>
      </c>
      <c r="F89" s="1">
        <v>4670</v>
      </c>
      <c r="G89" s="1">
        <v>60499200</v>
      </c>
      <c r="H89" s="8">
        <f t="shared" si="2"/>
        <v>-1.8907563025210083E-2</v>
      </c>
      <c r="I89" s="8">
        <f t="shared" si="3"/>
        <v>-0.13116279069767442</v>
      </c>
    </row>
    <row r="90" spans="1:9" x14ac:dyDescent="0.2">
      <c r="A90" s="2">
        <f ca="1">IFERROR(__xludf.DUMMYFUNCTION("""COMPUTED_VALUE"""),45440.6666666666)</f>
        <v>45440.666666666599</v>
      </c>
      <c r="B90" s="2"/>
      <c r="C90" s="1">
        <v>4700</v>
      </c>
      <c r="D90" s="1">
        <v>4790</v>
      </c>
      <c r="E90" s="1">
        <v>4690</v>
      </c>
      <c r="F90" s="1">
        <v>4710</v>
      </c>
      <c r="G90" s="1">
        <v>25799600</v>
      </c>
      <c r="H90" s="8">
        <f t="shared" si="2"/>
        <v>8.5653104925053538E-3</v>
      </c>
      <c r="I90" s="8">
        <f t="shared" si="3"/>
        <v>-0.12372093023255815</v>
      </c>
    </row>
    <row r="91" spans="1:9" x14ac:dyDescent="0.2">
      <c r="A91" s="2">
        <f ca="1">IFERROR(__xludf.DUMMYFUNCTION("""COMPUTED_VALUE"""),45441.6666666666)</f>
        <v>45441.666666666599</v>
      </c>
      <c r="B91" s="2"/>
      <c r="C91" s="1">
        <v>4680</v>
      </c>
      <c r="D91" s="1">
        <v>4690</v>
      </c>
      <c r="E91" s="1">
        <v>4500</v>
      </c>
      <c r="F91" s="1">
        <v>4530</v>
      </c>
      <c r="G91" s="1">
        <v>111830200</v>
      </c>
      <c r="H91" s="8">
        <f t="shared" si="2"/>
        <v>-3.8216560509554139E-2</v>
      </c>
      <c r="I91" s="8">
        <f t="shared" si="3"/>
        <v>-0.15720930232558139</v>
      </c>
    </row>
    <row r="92" spans="1:9" x14ac:dyDescent="0.2">
      <c r="A92" s="2">
        <f ca="1">IFERROR(__xludf.DUMMYFUNCTION("""COMPUTED_VALUE"""),45442.6666666666)</f>
        <v>45442.666666666599</v>
      </c>
      <c r="B92" s="2"/>
      <c r="C92" s="1">
        <v>4500</v>
      </c>
      <c r="D92" s="1">
        <v>4560</v>
      </c>
      <c r="E92" s="1">
        <v>4370</v>
      </c>
      <c r="F92" s="1">
        <v>4490</v>
      </c>
      <c r="G92" s="1">
        <v>81608700</v>
      </c>
      <c r="H92" s="8">
        <f t="shared" si="2"/>
        <v>-8.8300220750551876E-3</v>
      </c>
      <c r="I92" s="8">
        <f t="shared" si="3"/>
        <v>-0.16465116279069766</v>
      </c>
    </row>
    <row r="93" spans="1:9" x14ac:dyDescent="0.2">
      <c r="A93" s="2">
        <f ca="1">IFERROR(__xludf.DUMMYFUNCTION("""COMPUTED_VALUE"""),45443.6666666666)</f>
        <v>45443.666666666599</v>
      </c>
      <c r="B93" s="2"/>
      <c r="C93" s="1">
        <v>4540</v>
      </c>
      <c r="D93" s="1">
        <v>4570</v>
      </c>
      <c r="E93" s="1">
        <v>4400</v>
      </c>
      <c r="F93" s="1">
        <v>4400</v>
      </c>
      <c r="G93" s="1">
        <v>145978300</v>
      </c>
      <c r="H93" s="8">
        <f t="shared" si="2"/>
        <v>-2.0044543429844099E-2</v>
      </c>
      <c r="I93" s="8">
        <f t="shared" si="3"/>
        <v>-0.18139534883720931</v>
      </c>
    </row>
    <row r="94" spans="1:9" x14ac:dyDescent="0.2">
      <c r="A94" s="2">
        <f ca="1">IFERROR(__xludf.DUMMYFUNCTION("""COMPUTED_VALUE"""),45446.6666666666)</f>
        <v>45446.666666666599</v>
      </c>
      <c r="B94" s="2"/>
      <c r="C94" s="1">
        <v>4460</v>
      </c>
      <c r="D94" s="1">
        <v>4640</v>
      </c>
      <c r="E94" s="1">
        <v>4450</v>
      </c>
      <c r="F94" s="1">
        <v>4620</v>
      </c>
      <c r="G94" s="1">
        <v>53865700</v>
      </c>
      <c r="H94" s="8">
        <f t="shared" si="2"/>
        <v>0.05</v>
      </c>
      <c r="I94" s="8">
        <f t="shared" si="3"/>
        <v>-0.14046511627906977</v>
      </c>
    </row>
    <row r="95" spans="1:9" x14ac:dyDescent="0.2">
      <c r="A95" s="2">
        <f ca="1">IFERROR(__xludf.DUMMYFUNCTION("""COMPUTED_VALUE"""),45447.6666666666)</f>
        <v>45447.666666666599</v>
      </c>
      <c r="B95" s="2"/>
      <c r="C95" s="1">
        <v>4650</v>
      </c>
      <c r="D95" s="1">
        <v>4700</v>
      </c>
      <c r="E95" s="1">
        <v>4600</v>
      </c>
      <c r="F95" s="1">
        <v>4640</v>
      </c>
      <c r="G95" s="1">
        <v>52885400</v>
      </c>
      <c r="H95" s="8">
        <f t="shared" si="2"/>
        <v>4.329004329004329E-3</v>
      </c>
      <c r="I95" s="8">
        <f t="shared" si="3"/>
        <v>-0.13674418604651162</v>
      </c>
    </row>
    <row r="96" spans="1:9" x14ac:dyDescent="0.2">
      <c r="A96" s="2">
        <f ca="1">IFERROR(__xludf.DUMMYFUNCTION("""COMPUTED_VALUE"""),45448.6666666666)</f>
        <v>45448.666666666599</v>
      </c>
      <c r="B96" s="2"/>
      <c r="C96" s="1">
        <v>4630</v>
      </c>
      <c r="D96" s="1">
        <v>4660</v>
      </c>
      <c r="E96" s="1">
        <v>4580</v>
      </c>
      <c r="F96" s="1">
        <v>4610</v>
      </c>
      <c r="G96" s="1">
        <v>46536400</v>
      </c>
      <c r="H96" s="8">
        <f t="shared" si="2"/>
        <v>-6.4655172413793103E-3</v>
      </c>
      <c r="I96" s="8">
        <f t="shared" si="3"/>
        <v>-0.14232558139534884</v>
      </c>
    </row>
    <row r="97" spans="1:9" x14ac:dyDescent="0.2">
      <c r="A97" s="2">
        <f ca="1">IFERROR(__xludf.DUMMYFUNCTION("""COMPUTED_VALUE"""),45449.6666666666)</f>
        <v>45449.666666666599</v>
      </c>
      <c r="B97" s="2"/>
      <c r="C97" s="1">
        <v>4670</v>
      </c>
      <c r="D97" s="1">
        <v>4770</v>
      </c>
      <c r="E97" s="1">
        <v>4630</v>
      </c>
      <c r="F97" s="1">
        <v>4770</v>
      </c>
      <c r="G97" s="1">
        <v>69154900</v>
      </c>
      <c r="H97" s="8">
        <f t="shared" si="2"/>
        <v>3.4707158351409979E-2</v>
      </c>
      <c r="I97" s="8">
        <f t="shared" si="3"/>
        <v>-0.11255813953488372</v>
      </c>
    </row>
    <row r="98" spans="1:9" x14ac:dyDescent="0.2">
      <c r="A98" s="2">
        <f ca="1">IFERROR(__xludf.DUMMYFUNCTION("""COMPUTED_VALUE"""),45450.6666666666)</f>
        <v>45450.666666666599</v>
      </c>
      <c r="B98" s="2"/>
      <c r="C98" s="1">
        <v>4770</v>
      </c>
      <c r="D98" s="1">
        <v>4780</v>
      </c>
      <c r="E98" s="1">
        <v>4660</v>
      </c>
      <c r="F98" s="1">
        <v>4700</v>
      </c>
      <c r="G98" s="1">
        <v>45575300</v>
      </c>
      <c r="H98" s="8">
        <f t="shared" si="2"/>
        <v>-1.4675052410901468E-2</v>
      </c>
      <c r="I98" s="8">
        <f t="shared" si="3"/>
        <v>-0.12558139534883722</v>
      </c>
    </row>
    <row r="99" spans="1:9" x14ac:dyDescent="0.2">
      <c r="A99" s="2">
        <f ca="1">IFERROR(__xludf.DUMMYFUNCTION("""COMPUTED_VALUE"""),45453.6666666666)</f>
        <v>45453.666666666599</v>
      </c>
      <c r="B99" s="2"/>
      <c r="C99" s="1">
        <v>4650</v>
      </c>
      <c r="D99" s="1">
        <v>4660</v>
      </c>
      <c r="E99" s="1">
        <v>4550</v>
      </c>
      <c r="F99" s="1">
        <v>4610</v>
      </c>
      <c r="G99" s="1">
        <v>65704900</v>
      </c>
      <c r="H99" s="8">
        <f t="shared" si="2"/>
        <v>-1.9148936170212766E-2</v>
      </c>
      <c r="I99" s="8">
        <f t="shared" si="3"/>
        <v>-0.14232558139534884</v>
      </c>
    </row>
    <row r="100" spans="1:9" x14ac:dyDescent="0.2">
      <c r="A100" s="2">
        <f ca="1">IFERROR(__xludf.DUMMYFUNCTION("""COMPUTED_VALUE"""),45454.6666666666)</f>
        <v>45454.666666666599</v>
      </c>
      <c r="B100" s="2"/>
      <c r="C100" s="1">
        <v>4560</v>
      </c>
      <c r="D100" s="1">
        <v>4630</v>
      </c>
      <c r="E100" s="1">
        <v>4480</v>
      </c>
      <c r="F100" s="1">
        <v>4480</v>
      </c>
      <c r="G100" s="1">
        <v>95286400</v>
      </c>
      <c r="H100" s="8">
        <f t="shared" si="2"/>
        <v>-2.8199566160520606E-2</v>
      </c>
      <c r="I100" s="8">
        <f t="shared" si="3"/>
        <v>-0.16651162790697674</v>
      </c>
    </row>
    <row r="101" spans="1:9" x14ac:dyDescent="0.2">
      <c r="A101" s="2">
        <f ca="1">IFERROR(__xludf.DUMMYFUNCTION("""COMPUTED_VALUE"""),45455.6666666666)</f>
        <v>45455.666666666599</v>
      </c>
      <c r="B101" s="2"/>
      <c r="C101" s="1">
        <v>4430</v>
      </c>
      <c r="D101" s="1">
        <v>4460</v>
      </c>
      <c r="E101" s="1">
        <v>4410</v>
      </c>
      <c r="F101" s="1">
        <v>4430</v>
      </c>
      <c r="G101" s="1">
        <v>112781100</v>
      </c>
      <c r="H101" s="8">
        <f t="shared" si="2"/>
        <v>-1.1160714285714286E-2</v>
      </c>
      <c r="I101" s="8">
        <f t="shared" si="3"/>
        <v>-0.17581395348837209</v>
      </c>
    </row>
    <row r="102" spans="1:9" x14ac:dyDescent="0.2">
      <c r="A102" s="2">
        <f ca="1">IFERROR(__xludf.DUMMYFUNCTION("""COMPUTED_VALUE"""),45456.6666666666)</f>
        <v>45456.666666666599</v>
      </c>
      <c r="B102" s="2"/>
      <c r="C102" s="1">
        <v>4500</v>
      </c>
      <c r="D102" s="1">
        <v>4520</v>
      </c>
      <c r="E102" s="1">
        <v>4460</v>
      </c>
      <c r="F102" s="1">
        <v>4480</v>
      </c>
      <c r="G102" s="1">
        <v>47763900</v>
      </c>
      <c r="H102" s="8">
        <f t="shared" si="2"/>
        <v>1.1286681715575621E-2</v>
      </c>
      <c r="I102" s="8">
        <f t="shared" si="3"/>
        <v>-0.16651162790697674</v>
      </c>
    </row>
    <row r="103" spans="1:9" x14ac:dyDescent="0.2">
      <c r="A103" s="2">
        <f ca="1">IFERROR(__xludf.DUMMYFUNCTION("""COMPUTED_VALUE"""),45457.6666666666)</f>
        <v>45457.666666666599</v>
      </c>
      <c r="B103" s="2"/>
      <c r="C103" s="1">
        <v>4480</v>
      </c>
      <c r="D103" s="1">
        <v>4480</v>
      </c>
      <c r="E103" s="1">
        <v>4310</v>
      </c>
      <c r="F103" s="1">
        <v>4310</v>
      </c>
      <c r="G103" s="1">
        <v>65046900</v>
      </c>
      <c r="H103" s="8">
        <f t="shared" si="2"/>
        <v>-3.7946428571428568E-2</v>
      </c>
      <c r="I103" s="8">
        <f t="shared" si="3"/>
        <v>-0.19813953488372094</v>
      </c>
    </row>
    <row r="104" spans="1:9" x14ac:dyDescent="0.2">
      <c r="A104" s="2">
        <f ca="1">IFERROR(__xludf.DUMMYFUNCTION("""COMPUTED_VALUE"""),45462.6666666666)</f>
        <v>45462.666666666599</v>
      </c>
      <c r="B104" s="2"/>
      <c r="C104" s="1">
        <v>4310</v>
      </c>
      <c r="D104" s="1">
        <v>4390</v>
      </c>
      <c r="E104" s="1">
        <v>4260</v>
      </c>
      <c r="F104" s="1">
        <v>4300</v>
      </c>
      <c r="G104" s="1">
        <v>60373800</v>
      </c>
      <c r="H104" s="8">
        <f t="shared" si="2"/>
        <v>-2.3201856148491878E-3</v>
      </c>
      <c r="I104" s="8">
        <f t="shared" si="3"/>
        <v>-0.2</v>
      </c>
    </row>
    <row r="105" spans="1:9" x14ac:dyDescent="0.2">
      <c r="A105" s="2">
        <f ca="1">IFERROR(__xludf.DUMMYFUNCTION("""COMPUTED_VALUE"""),45463.6666666666)</f>
        <v>45463.666666666599</v>
      </c>
      <c r="B105" s="2"/>
      <c r="C105" s="1">
        <v>4320</v>
      </c>
      <c r="D105" s="1">
        <v>4410</v>
      </c>
      <c r="E105" s="1">
        <v>4300</v>
      </c>
      <c r="F105" s="1">
        <v>4400</v>
      </c>
      <c r="G105" s="1">
        <v>50579900</v>
      </c>
      <c r="H105" s="8">
        <f t="shared" si="2"/>
        <v>2.3255813953488372E-2</v>
      </c>
      <c r="I105" s="8">
        <f t="shared" si="3"/>
        <v>-0.18139534883720931</v>
      </c>
    </row>
    <row r="106" spans="1:9" x14ac:dyDescent="0.2">
      <c r="A106" s="2">
        <f ca="1">IFERROR(__xludf.DUMMYFUNCTION("""COMPUTED_VALUE"""),45464.6666666666)</f>
        <v>45464.666666666599</v>
      </c>
      <c r="B106" s="2"/>
      <c r="C106" s="1">
        <v>4400</v>
      </c>
      <c r="D106" s="1">
        <v>4610</v>
      </c>
      <c r="E106" s="1">
        <v>4400</v>
      </c>
      <c r="F106" s="1">
        <v>4540</v>
      </c>
      <c r="G106" s="1">
        <v>108982500</v>
      </c>
      <c r="H106" s="8">
        <f t="shared" si="2"/>
        <v>3.1818181818181815E-2</v>
      </c>
      <c r="I106" s="8">
        <f t="shared" si="3"/>
        <v>-0.15534883720930232</v>
      </c>
    </row>
    <row r="107" spans="1:9" x14ac:dyDescent="0.2">
      <c r="A107" s="2">
        <f ca="1">IFERROR(__xludf.DUMMYFUNCTION("""COMPUTED_VALUE"""),45467.6666666666)</f>
        <v>45467.666666666599</v>
      </c>
      <c r="B107" s="2"/>
      <c r="C107" s="1">
        <v>4540</v>
      </c>
      <c r="D107" s="1">
        <v>4600</v>
      </c>
      <c r="E107" s="1">
        <v>4460</v>
      </c>
      <c r="F107" s="1">
        <v>4540</v>
      </c>
      <c r="G107" s="1">
        <v>49112400</v>
      </c>
      <c r="H107" s="8">
        <f t="shared" si="2"/>
        <v>0</v>
      </c>
      <c r="I107" s="8">
        <f t="shared" si="3"/>
        <v>-0.15534883720930232</v>
      </c>
    </row>
    <row r="108" spans="1:9" x14ac:dyDescent="0.2">
      <c r="A108" s="2">
        <f ca="1">IFERROR(__xludf.DUMMYFUNCTION("""COMPUTED_VALUE"""),45468.6666666666)</f>
        <v>45468.666666666599</v>
      </c>
      <c r="B108" s="2"/>
      <c r="C108" s="1">
        <v>4520</v>
      </c>
      <c r="D108" s="1">
        <v>4530</v>
      </c>
      <c r="E108" s="1">
        <v>4420</v>
      </c>
      <c r="F108" s="1">
        <v>4480</v>
      </c>
      <c r="G108" s="1">
        <v>44861500</v>
      </c>
      <c r="H108" s="8">
        <f t="shared" si="2"/>
        <v>-1.3215859030837005E-2</v>
      </c>
      <c r="I108" s="8">
        <f t="shared" si="3"/>
        <v>-0.16651162790697674</v>
      </c>
    </row>
    <row r="109" spans="1:9" x14ac:dyDescent="0.2">
      <c r="A109" s="2">
        <f ca="1">IFERROR(__xludf.DUMMYFUNCTION("""COMPUTED_VALUE"""),45469.6666666666)</f>
        <v>45469.666666666599</v>
      </c>
      <c r="B109" s="2"/>
      <c r="C109" s="1">
        <v>4480</v>
      </c>
      <c r="D109" s="1">
        <v>4530</v>
      </c>
      <c r="E109" s="1">
        <v>4420</v>
      </c>
      <c r="F109" s="1">
        <v>4420</v>
      </c>
      <c r="G109" s="1">
        <v>34063700</v>
      </c>
      <c r="H109" s="8">
        <f t="shared" si="2"/>
        <v>-1.3392857142857142E-2</v>
      </c>
      <c r="I109" s="8">
        <f t="shared" si="3"/>
        <v>-0.17767441860465116</v>
      </c>
    </row>
    <row r="110" spans="1:9" x14ac:dyDescent="0.2">
      <c r="A110" s="2">
        <f ca="1">IFERROR(__xludf.DUMMYFUNCTION("""COMPUTED_VALUE"""),45470.6666666666)</f>
        <v>45470.666666666599</v>
      </c>
      <c r="B110" s="2"/>
      <c r="C110" s="1">
        <v>4450</v>
      </c>
      <c r="D110" s="1">
        <v>4610</v>
      </c>
      <c r="E110" s="1">
        <v>4430</v>
      </c>
      <c r="F110" s="1">
        <v>4580</v>
      </c>
      <c r="G110" s="1">
        <v>85462100</v>
      </c>
      <c r="H110" s="8">
        <f t="shared" si="2"/>
        <v>3.6199095022624438E-2</v>
      </c>
      <c r="I110" s="8">
        <f t="shared" si="3"/>
        <v>-0.14790697674418604</v>
      </c>
    </row>
    <row r="111" spans="1:9" x14ac:dyDescent="0.2">
      <c r="A111" s="2">
        <f ca="1">IFERROR(__xludf.DUMMYFUNCTION("""COMPUTED_VALUE"""),45471.6666666666)</f>
        <v>45471.666666666599</v>
      </c>
      <c r="B111" s="2"/>
      <c r="C111" s="1">
        <v>4590</v>
      </c>
      <c r="D111" s="1">
        <v>4740</v>
      </c>
      <c r="E111" s="1">
        <v>4590</v>
      </c>
      <c r="F111" s="1">
        <v>4660</v>
      </c>
      <c r="G111" s="1">
        <v>95384300</v>
      </c>
      <c r="H111" s="8">
        <f t="shared" si="2"/>
        <v>1.7467248908296942E-2</v>
      </c>
      <c r="I111" s="8">
        <f t="shared" si="3"/>
        <v>-0.13302325581395349</v>
      </c>
    </row>
    <row r="112" spans="1:9" x14ac:dyDescent="0.2">
      <c r="A112" s="2">
        <f ca="1">IFERROR(__xludf.DUMMYFUNCTION("""COMPUTED_VALUE"""),45474.6666666666)</f>
        <v>45474.666666666599</v>
      </c>
      <c r="B112" s="2"/>
      <c r="C112" s="1">
        <v>4690</v>
      </c>
      <c r="D112" s="1">
        <v>4720</v>
      </c>
      <c r="E112" s="1">
        <v>4650</v>
      </c>
      <c r="F112" s="1">
        <v>4710</v>
      </c>
      <c r="G112" s="1">
        <v>43250900</v>
      </c>
      <c r="H112" s="8">
        <f t="shared" si="2"/>
        <v>1.0729613733905579E-2</v>
      </c>
      <c r="I112" s="8">
        <f t="shared" si="3"/>
        <v>-0.12372093023255815</v>
      </c>
    </row>
    <row r="113" spans="1:9" x14ac:dyDescent="0.2">
      <c r="A113" s="2">
        <f ca="1">IFERROR(__xludf.DUMMYFUNCTION("""COMPUTED_VALUE"""),45475.6666666666)</f>
        <v>45475.666666666599</v>
      </c>
      <c r="B113" s="2"/>
      <c r="C113" s="1">
        <v>4710</v>
      </c>
      <c r="D113" s="1">
        <v>4730</v>
      </c>
      <c r="E113" s="1">
        <v>4670</v>
      </c>
      <c r="F113" s="1">
        <v>4710</v>
      </c>
      <c r="G113" s="1">
        <v>35142800</v>
      </c>
      <c r="H113" s="8">
        <f t="shared" si="2"/>
        <v>0</v>
      </c>
      <c r="I113" s="8">
        <f t="shared" si="3"/>
        <v>-0.12372093023255815</v>
      </c>
    </row>
    <row r="114" spans="1:9" x14ac:dyDescent="0.2">
      <c r="A114" s="2">
        <f ca="1">IFERROR(__xludf.DUMMYFUNCTION("""COMPUTED_VALUE"""),45476.6666666666)</f>
        <v>45476.666666666599</v>
      </c>
      <c r="B114" s="2"/>
      <c r="C114" s="1">
        <v>4730</v>
      </c>
      <c r="D114" s="1">
        <v>4740</v>
      </c>
      <c r="E114" s="1">
        <v>4630</v>
      </c>
      <c r="F114" s="1">
        <v>4650</v>
      </c>
      <c r="G114" s="1">
        <v>41531700</v>
      </c>
      <c r="H114" s="8">
        <f t="shared" si="2"/>
        <v>-1.2738853503184714E-2</v>
      </c>
      <c r="I114" s="8">
        <f t="shared" si="3"/>
        <v>-0.13488372093023257</v>
      </c>
    </row>
    <row r="115" spans="1:9" x14ac:dyDescent="0.2">
      <c r="A115" s="2">
        <f ca="1">IFERROR(__xludf.DUMMYFUNCTION("""COMPUTED_VALUE"""),45477.6666666666)</f>
        <v>45477.666666666599</v>
      </c>
      <c r="B115" s="2"/>
      <c r="C115" s="1">
        <v>4690</v>
      </c>
      <c r="D115" s="1">
        <v>4770</v>
      </c>
      <c r="E115" s="1">
        <v>4660</v>
      </c>
      <c r="F115" s="1">
        <v>4710</v>
      </c>
      <c r="G115" s="1">
        <v>61435900</v>
      </c>
      <c r="H115" s="8">
        <f t="shared" si="2"/>
        <v>1.2903225806451613E-2</v>
      </c>
      <c r="I115" s="8">
        <f t="shared" si="3"/>
        <v>-0.12372093023255815</v>
      </c>
    </row>
    <row r="116" spans="1:9" x14ac:dyDescent="0.2">
      <c r="A116" s="2">
        <f ca="1">IFERROR(__xludf.DUMMYFUNCTION("""COMPUTED_VALUE"""),45478.6666666666)</f>
        <v>45478.666666666599</v>
      </c>
      <c r="B116" s="2"/>
      <c r="C116" s="1">
        <v>4730</v>
      </c>
      <c r="D116" s="1">
        <v>4780</v>
      </c>
      <c r="E116" s="1">
        <v>4690</v>
      </c>
      <c r="F116" s="1">
        <v>4700</v>
      </c>
      <c r="G116" s="1">
        <v>67585600</v>
      </c>
      <c r="H116" s="8">
        <f t="shared" si="2"/>
        <v>-2.1231422505307855E-3</v>
      </c>
      <c r="I116" s="8">
        <f t="shared" si="3"/>
        <v>-0.12558139534883722</v>
      </c>
    </row>
    <row r="117" spans="1:9" x14ac:dyDescent="0.2">
      <c r="A117" s="2">
        <f ca="1">IFERROR(__xludf.DUMMYFUNCTION("""COMPUTED_VALUE"""),45481.6666666666)</f>
        <v>45481.666666666599</v>
      </c>
      <c r="B117" s="2"/>
      <c r="C117" s="1">
        <v>4730</v>
      </c>
      <c r="D117" s="1">
        <v>4740</v>
      </c>
      <c r="E117" s="1">
        <v>4670</v>
      </c>
      <c r="F117" s="1">
        <v>4670</v>
      </c>
      <c r="G117" s="1">
        <v>36004700</v>
      </c>
      <c r="H117" s="8">
        <f t="shared" si="2"/>
        <v>-6.382978723404255E-3</v>
      </c>
      <c r="I117" s="8">
        <f t="shared" si="3"/>
        <v>-0.13116279069767442</v>
      </c>
    </row>
    <row r="118" spans="1:9" x14ac:dyDescent="0.2">
      <c r="A118" s="2">
        <f ca="1">IFERROR(__xludf.DUMMYFUNCTION("""COMPUTED_VALUE"""),45482.6666666666)</f>
        <v>45482.666666666599</v>
      </c>
      <c r="B118" s="2"/>
      <c r="C118" s="1">
        <v>4670</v>
      </c>
      <c r="D118" s="1">
        <v>4870</v>
      </c>
      <c r="E118" s="1">
        <v>4670</v>
      </c>
      <c r="F118" s="1">
        <v>4860</v>
      </c>
      <c r="G118" s="1">
        <v>87456600</v>
      </c>
      <c r="H118" s="8">
        <f t="shared" si="2"/>
        <v>4.068522483940043E-2</v>
      </c>
      <c r="I118" s="8">
        <f t="shared" si="3"/>
        <v>-9.5813953488372086E-2</v>
      </c>
    </row>
    <row r="119" spans="1:9" x14ac:dyDescent="0.2">
      <c r="A119" s="2">
        <f ca="1">IFERROR(__xludf.DUMMYFUNCTION("""COMPUTED_VALUE"""),45483.6666666666)</f>
        <v>45483.666666666599</v>
      </c>
      <c r="B119" s="2"/>
      <c r="C119" s="1">
        <v>4850</v>
      </c>
      <c r="D119" s="1">
        <v>4900</v>
      </c>
      <c r="E119" s="1">
        <v>4820</v>
      </c>
      <c r="F119" s="1">
        <v>4820</v>
      </c>
      <c r="G119" s="1">
        <v>48700200</v>
      </c>
      <c r="H119" s="8">
        <f t="shared" si="2"/>
        <v>-8.23045267489712E-3</v>
      </c>
      <c r="I119" s="8">
        <f t="shared" si="3"/>
        <v>-0.10325581395348837</v>
      </c>
    </row>
    <row r="120" spans="1:9" x14ac:dyDescent="0.2">
      <c r="A120" s="2">
        <f ca="1">IFERROR(__xludf.DUMMYFUNCTION("""COMPUTED_VALUE"""),45484.6666666666)</f>
        <v>45484.666666666599</v>
      </c>
      <c r="B120" s="2"/>
      <c r="C120" s="1">
        <v>4850</v>
      </c>
      <c r="D120" s="1">
        <v>4880</v>
      </c>
      <c r="E120" s="1">
        <v>4830</v>
      </c>
      <c r="F120" s="1">
        <v>4870</v>
      </c>
      <c r="G120" s="1">
        <v>37573700</v>
      </c>
      <c r="H120" s="8">
        <f t="shared" si="2"/>
        <v>1.0373443983402489E-2</v>
      </c>
      <c r="I120" s="8">
        <f t="shared" si="3"/>
        <v>-9.3953488372093025E-2</v>
      </c>
    </row>
    <row r="121" spans="1:9" x14ac:dyDescent="0.2">
      <c r="A121" s="2">
        <f ca="1">IFERROR(__xludf.DUMMYFUNCTION("""COMPUTED_VALUE"""),45485.6666666666)</f>
        <v>45485.666666666599</v>
      </c>
      <c r="B121" s="2"/>
      <c r="C121" s="1">
        <v>4920</v>
      </c>
      <c r="D121" s="1">
        <v>5125</v>
      </c>
      <c r="E121" s="1">
        <v>4920</v>
      </c>
      <c r="F121" s="1">
        <v>5025</v>
      </c>
      <c r="G121" s="1">
        <v>151520700</v>
      </c>
      <c r="H121" s="8">
        <f t="shared" si="2"/>
        <v>3.1827515400410678E-2</v>
      </c>
      <c r="I121" s="8">
        <f t="shared" si="3"/>
        <v>-6.5116279069767441E-2</v>
      </c>
    </row>
    <row r="122" spans="1:9" x14ac:dyDescent="0.2">
      <c r="A122" s="2">
        <f ca="1">IFERROR(__xludf.DUMMYFUNCTION("""COMPUTED_VALUE"""),45488.6666666666)</f>
        <v>45488.666666666599</v>
      </c>
      <c r="B122" s="2"/>
      <c r="C122" s="1">
        <v>5050</v>
      </c>
      <c r="D122" s="1">
        <v>5075</v>
      </c>
      <c r="E122" s="1">
        <v>4980</v>
      </c>
      <c r="F122" s="1">
        <v>5025</v>
      </c>
      <c r="G122" s="1">
        <v>94794900</v>
      </c>
      <c r="H122" s="8">
        <f t="shared" si="2"/>
        <v>0</v>
      </c>
      <c r="I122" s="8">
        <f t="shared" si="3"/>
        <v>-6.5116279069767441E-2</v>
      </c>
    </row>
    <row r="123" spans="1:9" x14ac:dyDescent="0.2">
      <c r="A123" s="2">
        <f ca="1">IFERROR(__xludf.DUMMYFUNCTION("""COMPUTED_VALUE"""),45489.6666666666)</f>
        <v>45489.666666666599</v>
      </c>
      <c r="B123" s="2"/>
      <c r="C123" s="1">
        <v>5050</v>
      </c>
      <c r="D123" s="1">
        <v>5050</v>
      </c>
      <c r="E123" s="1">
        <v>4980</v>
      </c>
      <c r="F123" s="1">
        <v>4980</v>
      </c>
      <c r="G123" s="1">
        <v>66371200</v>
      </c>
      <c r="H123" s="8">
        <f t="shared" si="2"/>
        <v>-8.9552238805970154E-3</v>
      </c>
      <c r="I123" s="8">
        <f t="shared" si="3"/>
        <v>-7.3488372093023252E-2</v>
      </c>
    </row>
    <row r="124" spans="1:9" x14ac:dyDescent="0.2">
      <c r="A124" s="2">
        <f ca="1">IFERROR(__xludf.DUMMYFUNCTION("""COMPUTED_VALUE"""),45490.6666666666)</f>
        <v>45490.666666666599</v>
      </c>
      <c r="B124" s="2"/>
      <c r="C124" s="1">
        <v>5050</v>
      </c>
      <c r="D124" s="1">
        <v>5075</v>
      </c>
      <c r="E124" s="1">
        <v>5000</v>
      </c>
      <c r="F124" s="1">
        <v>5000</v>
      </c>
      <c r="G124" s="1">
        <v>59615300</v>
      </c>
      <c r="H124" s="8">
        <f t="shared" si="2"/>
        <v>4.0160642570281121E-3</v>
      </c>
      <c r="I124" s="8">
        <f t="shared" si="3"/>
        <v>-6.9767441860465115E-2</v>
      </c>
    </row>
    <row r="125" spans="1:9" x14ac:dyDescent="0.2">
      <c r="A125" s="2">
        <f ca="1">IFERROR(__xludf.DUMMYFUNCTION("""COMPUTED_VALUE"""),45491.6666666666)</f>
        <v>45491.666666666599</v>
      </c>
      <c r="B125" s="2"/>
      <c r="C125" s="1">
        <v>4990</v>
      </c>
      <c r="D125" s="1">
        <v>5125</v>
      </c>
      <c r="E125" s="1">
        <v>4990</v>
      </c>
      <c r="F125" s="1">
        <v>5075</v>
      </c>
      <c r="G125" s="1">
        <v>86127800</v>
      </c>
      <c r="H125" s="8">
        <f t="shared" si="2"/>
        <v>1.4999999999999999E-2</v>
      </c>
      <c r="I125" s="8">
        <f t="shared" si="3"/>
        <v>-5.5813953488372092E-2</v>
      </c>
    </row>
    <row r="126" spans="1:9" x14ac:dyDescent="0.2">
      <c r="A126" s="2">
        <f ca="1">IFERROR(__xludf.DUMMYFUNCTION("""COMPUTED_VALUE"""),45492.6666666666)</f>
        <v>45492.666666666599</v>
      </c>
      <c r="B126" s="2"/>
      <c r="C126" s="1">
        <v>5075</v>
      </c>
      <c r="D126" s="1">
        <v>5100</v>
      </c>
      <c r="E126" s="1">
        <v>5025</v>
      </c>
      <c r="F126" s="1">
        <v>5100</v>
      </c>
      <c r="G126" s="1">
        <v>66907300</v>
      </c>
      <c r="H126" s="8">
        <f t="shared" si="2"/>
        <v>4.9261083743842365E-3</v>
      </c>
      <c r="I126" s="8">
        <f t="shared" si="3"/>
        <v>-5.1162790697674418E-2</v>
      </c>
    </row>
    <row r="127" spans="1:9" x14ac:dyDescent="0.2">
      <c r="A127" s="2">
        <f ca="1">IFERROR(__xludf.DUMMYFUNCTION("""COMPUTED_VALUE"""),45495.6666666666)</f>
        <v>45495.666666666599</v>
      </c>
      <c r="B127" s="2"/>
      <c r="C127" s="1">
        <v>5125</v>
      </c>
      <c r="D127" s="1">
        <v>5150</v>
      </c>
      <c r="E127" s="1">
        <v>5050</v>
      </c>
      <c r="F127" s="1">
        <v>5100</v>
      </c>
      <c r="G127" s="1">
        <v>32378000</v>
      </c>
      <c r="H127" s="8">
        <f t="shared" si="2"/>
        <v>0</v>
      </c>
      <c r="I127" s="8">
        <f t="shared" si="3"/>
        <v>-5.1162790697674418E-2</v>
      </c>
    </row>
    <row r="128" spans="1:9" x14ac:dyDescent="0.2">
      <c r="A128" s="2">
        <f ca="1">IFERROR(__xludf.DUMMYFUNCTION("""COMPUTED_VALUE"""),45496.6666666666)</f>
        <v>45496.666666666599</v>
      </c>
      <c r="B128" s="2"/>
      <c r="C128" s="1">
        <v>5100</v>
      </c>
      <c r="D128" s="1">
        <v>5125</v>
      </c>
      <c r="E128" s="1">
        <v>5050</v>
      </c>
      <c r="F128" s="1">
        <v>5050</v>
      </c>
      <c r="G128" s="1">
        <v>30554100</v>
      </c>
      <c r="H128" s="8">
        <f t="shared" si="2"/>
        <v>-9.8039215686274508E-3</v>
      </c>
      <c r="I128" s="8">
        <f t="shared" si="3"/>
        <v>-6.0465116279069767E-2</v>
      </c>
    </row>
    <row r="129" spans="1:9" x14ac:dyDescent="0.2">
      <c r="A129" s="2">
        <f ca="1">IFERROR(__xludf.DUMMYFUNCTION("""COMPUTED_VALUE"""),45497.6666666666)</f>
        <v>45497.666666666599</v>
      </c>
      <c r="B129" s="2"/>
      <c r="C129" s="1">
        <v>5050</v>
      </c>
      <c r="D129" s="1">
        <v>5100</v>
      </c>
      <c r="E129" s="1">
        <v>5000</v>
      </c>
      <c r="F129" s="1">
        <v>5100</v>
      </c>
      <c r="G129" s="1">
        <v>23442100</v>
      </c>
      <c r="H129" s="8">
        <f t="shared" si="2"/>
        <v>9.9009900990099011E-3</v>
      </c>
      <c r="I129" s="8">
        <f t="shared" si="3"/>
        <v>-5.1162790697674418E-2</v>
      </c>
    </row>
    <row r="130" spans="1:9" x14ac:dyDescent="0.2">
      <c r="A130" s="2">
        <f ca="1">IFERROR(__xludf.DUMMYFUNCTION("""COMPUTED_VALUE"""),45498.6666666666)</f>
        <v>45498.666666666599</v>
      </c>
      <c r="B130" s="2"/>
      <c r="C130" s="1">
        <v>5050</v>
      </c>
      <c r="D130" s="1">
        <v>5075</v>
      </c>
      <c r="E130" s="1">
        <v>4980</v>
      </c>
      <c r="F130" s="1">
        <v>5025</v>
      </c>
      <c r="G130" s="1">
        <v>52463300</v>
      </c>
      <c r="H130" s="8">
        <f t="shared" si="2"/>
        <v>-1.4705882352941176E-2</v>
      </c>
      <c r="I130" s="8">
        <f t="shared" si="3"/>
        <v>-6.5116279069767441E-2</v>
      </c>
    </row>
    <row r="131" spans="1:9" x14ac:dyDescent="0.2">
      <c r="A131" s="2">
        <f ca="1">IFERROR(__xludf.DUMMYFUNCTION("""COMPUTED_VALUE"""),45499.6666666666)</f>
        <v>45499.666666666599</v>
      </c>
      <c r="B131" s="2"/>
      <c r="C131" s="1">
        <v>5000</v>
      </c>
      <c r="D131" s="1">
        <v>5075</v>
      </c>
      <c r="E131" s="1">
        <v>4990</v>
      </c>
      <c r="F131" s="1">
        <v>5000</v>
      </c>
      <c r="G131" s="1">
        <v>41982600</v>
      </c>
      <c r="H131" s="8">
        <f t="shared" si="2"/>
        <v>-4.9751243781094526E-3</v>
      </c>
      <c r="I131" s="8">
        <f t="shared" si="3"/>
        <v>-6.9767441860465115E-2</v>
      </c>
    </row>
    <row r="132" spans="1:9" x14ac:dyDescent="0.2">
      <c r="A132" s="2">
        <f ca="1">IFERROR(__xludf.DUMMYFUNCTION("""COMPUTED_VALUE"""),45502.6666666666)</f>
        <v>45502.666666666599</v>
      </c>
      <c r="B132" s="2"/>
      <c r="C132" s="1">
        <v>5025</v>
      </c>
      <c r="D132" s="1">
        <v>5050</v>
      </c>
      <c r="E132" s="1">
        <v>5000</v>
      </c>
      <c r="F132" s="1">
        <v>5025</v>
      </c>
      <c r="G132" s="1">
        <v>19854800</v>
      </c>
      <c r="H132" s="8">
        <f t="shared" ref="H132:H195" si="4">(F132-F131)/F131</f>
        <v>5.0000000000000001E-3</v>
      </c>
      <c r="I132" s="8">
        <f t="shared" ref="I132:I195" si="5">(F132-$F$2)/$F$2</f>
        <v>-6.5116279069767441E-2</v>
      </c>
    </row>
    <row r="133" spans="1:9" x14ac:dyDescent="0.2">
      <c r="A133" s="2">
        <f ca="1">IFERROR(__xludf.DUMMYFUNCTION("""COMPUTED_VALUE"""),45503.6666666666)</f>
        <v>45503.666666666599</v>
      </c>
      <c r="B133" s="2"/>
      <c r="C133" s="1">
        <v>5000</v>
      </c>
      <c r="D133" s="1">
        <v>5000</v>
      </c>
      <c r="E133" s="1">
        <v>4950</v>
      </c>
      <c r="F133" s="1">
        <v>4950</v>
      </c>
      <c r="G133" s="1">
        <v>36234500</v>
      </c>
      <c r="H133" s="8">
        <f t="shared" si="4"/>
        <v>-1.4925373134328358E-2</v>
      </c>
      <c r="I133" s="8">
        <f t="shared" si="5"/>
        <v>-7.9069767441860464E-2</v>
      </c>
    </row>
    <row r="134" spans="1:9" x14ac:dyDescent="0.2">
      <c r="A134" s="2">
        <f ca="1">IFERROR(__xludf.DUMMYFUNCTION("""COMPUTED_VALUE"""),45504.6666666666)</f>
        <v>45504.666666666599</v>
      </c>
      <c r="B134" s="2"/>
      <c r="C134" s="1">
        <v>4970</v>
      </c>
      <c r="D134" s="1">
        <v>5025</v>
      </c>
      <c r="E134" s="1">
        <v>4920</v>
      </c>
      <c r="F134" s="1">
        <v>4970</v>
      </c>
      <c r="G134" s="1">
        <v>34106000</v>
      </c>
      <c r="H134" s="8">
        <f t="shared" si="4"/>
        <v>4.0404040404040404E-3</v>
      </c>
      <c r="I134" s="8">
        <f t="shared" si="5"/>
        <v>-7.5348837209302327E-2</v>
      </c>
    </row>
    <row r="135" spans="1:9" x14ac:dyDescent="0.2">
      <c r="A135" s="2">
        <f ca="1">IFERROR(__xludf.DUMMYFUNCTION("""COMPUTED_VALUE"""),45505.6666666666)</f>
        <v>45505.666666666599</v>
      </c>
      <c r="B135" s="2"/>
      <c r="C135" s="1">
        <v>4940</v>
      </c>
      <c r="D135" s="1">
        <v>5075</v>
      </c>
      <c r="E135" s="1">
        <v>4940</v>
      </c>
      <c r="F135" s="1">
        <v>5075</v>
      </c>
      <c r="G135" s="1">
        <v>54207300</v>
      </c>
      <c r="H135" s="8">
        <f t="shared" si="4"/>
        <v>2.1126760563380281E-2</v>
      </c>
      <c r="I135" s="8">
        <f t="shared" si="5"/>
        <v>-5.5813953488372092E-2</v>
      </c>
    </row>
    <row r="136" spans="1:9" x14ac:dyDescent="0.2">
      <c r="A136" s="2">
        <f ca="1">IFERROR(__xludf.DUMMYFUNCTION("""COMPUTED_VALUE"""),45506.6666666666)</f>
        <v>45506.666666666599</v>
      </c>
      <c r="B136" s="2"/>
      <c r="C136" s="1">
        <v>5050</v>
      </c>
      <c r="D136" s="1">
        <v>5150</v>
      </c>
      <c r="E136" s="1">
        <v>5025</v>
      </c>
      <c r="F136" s="1">
        <v>5100</v>
      </c>
      <c r="G136" s="1">
        <v>75959300</v>
      </c>
      <c r="H136" s="8">
        <f t="shared" si="4"/>
        <v>4.9261083743842365E-3</v>
      </c>
      <c r="I136" s="8">
        <f t="shared" si="5"/>
        <v>-5.1162790697674418E-2</v>
      </c>
    </row>
    <row r="137" spans="1:9" x14ac:dyDescent="0.2">
      <c r="A137" s="2">
        <f ca="1">IFERROR(__xludf.DUMMYFUNCTION("""COMPUTED_VALUE"""),45509.6666666666)</f>
        <v>45509.666666666599</v>
      </c>
      <c r="B137" s="2"/>
      <c r="C137" s="1">
        <v>5025</v>
      </c>
      <c r="D137" s="1">
        <v>5050</v>
      </c>
      <c r="E137" s="1">
        <v>4880</v>
      </c>
      <c r="F137" s="1">
        <v>4960</v>
      </c>
      <c r="G137" s="1">
        <v>65485300</v>
      </c>
      <c r="H137" s="8">
        <f t="shared" si="4"/>
        <v>-2.7450980392156862E-2</v>
      </c>
      <c r="I137" s="8">
        <f t="shared" si="5"/>
        <v>-7.7209302325581389E-2</v>
      </c>
    </row>
    <row r="138" spans="1:9" x14ac:dyDescent="0.2">
      <c r="A138" s="2">
        <f ca="1">IFERROR(__xludf.DUMMYFUNCTION("""COMPUTED_VALUE"""),45510.6666666666)</f>
        <v>45510.666666666599</v>
      </c>
      <c r="B138" s="2"/>
      <c r="C138" s="1">
        <v>5000</v>
      </c>
      <c r="D138" s="1">
        <v>5075</v>
      </c>
      <c r="E138" s="1">
        <v>4940</v>
      </c>
      <c r="F138" s="1">
        <v>5025</v>
      </c>
      <c r="G138" s="1">
        <v>51827100</v>
      </c>
      <c r="H138" s="8">
        <f t="shared" si="4"/>
        <v>1.310483870967742E-2</v>
      </c>
      <c r="I138" s="8">
        <f t="shared" si="5"/>
        <v>-6.5116279069767441E-2</v>
      </c>
    </row>
    <row r="139" spans="1:9" x14ac:dyDescent="0.2">
      <c r="A139" s="2">
        <f ca="1">IFERROR(__xludf.DUMMYFUNCTION("""COMPUTED_VALUE"""),45511.6666666666)</f>
        <v>45511.666666666599</v>
      </c>
      <c r="B139" s="2"/>
      <c r="C139" s="1">
        <v>5025</v>
      </c>
      <c r="D139" s="1">
        <v>5050</v>
      </c>
      <c r="E139" s="1">
        <v>4980</v>
      </c>
      <c r="F139" s="1">
        <v>5000</v>
      </c>
      <c r="G139" s="1">
        <v>32556500</v>
      </c>
      <c r="H139" s="8">
        <f t="shared" si="4"/>
        <v>-4.9751243781094526E-3</v>
      </c>
      <c r="I139" s="8">
        <f t="shared" si="5"/>
        <v>-6.9767441860465115E-2</v>
      </c>
    </row>
    <row r="140" spans="1:9" x14ac:dyDescent="0.2">
      <c r="A140" s="2">
        <f ca="1">IFERROR(__xludf.DUMMYFUNCTION("""COMPUTED_VALUE"""),45512.6666666666)</f>
        <v>45512.666666666599</v>
      </c>
      <c r="B140" s="2"/>
      <c r="C140" s="1">
        <v>5000</v>
      </c>
      <c r="D140" s="1">
        <v>5100</v>
      </c>
      <c r="E140" s="1">
        <v>4970</v>
      </c>
      <c r="F140" s="1">
        <v>5025</v>
      </c>
      <c r="G140" s="1">
        <v>51493100</v>
      </c>
      <c r="H140" s="8">
        <f t="shared" si="4"/>
        <v>5.0000000000000001E-3</v>
      </c>
      <c r="I140" s="8">
        <f t="shared" si="5"/>
        <v>-6.5116279069767441E-2</v>
      </c>
    </row>
    <row r="141" spans="1:9" x14ac:dyDescent="0.2">
      <c r="A141" s="2">
        <f ca="1">IFERROR(__xludf.DUMMYFUNCTION("""COMPUTED_VALUE"""),45513.6666666666)</f>
        <v>45513.666666666599</v>
      </c>
      <c r="B141" s="2"/>
      <c r="C141" s="1">
        <v>5050</v>
      </c>
      <c r="D141" s="1">
        <v>5200</v>
      </c>
      <c r="E141" s="1">
        <v>5050</v>
      </c>
      <c r="F141" s="1">
        <v>5125</v>
      </c>
      <c r="G141" s="1">
        <v>33031700</v>
      </c>
      <c r="H141" s="8">
        <f t="shared" si="4"/>
        <v>1.9900497512437811E-2</v>
      </c>
      <c r="I141" s="8">
        <f t="shared" si="5"/>
        <v>-4.6511627906976744E-2</v>
      </c>
    </row>
    <row r="142" spans="1:9" x14ac:dyDescent="0.2">
      <c r="A142" s="2">
        <f ca="1">IFERROR(__xludf.DUMMYFUNCTION("""COMPUTED_VALUE"""),45516.6666666666)</f>
        <v>45516.666666666599</v>
      </c>
      <c r="B142" s="2"/>
      <c r="C142" s="1">
        <v>5150</v>
      </c>
      <c r="D142" s="1">
        <v>5150</v>
      </c>
      <c r="E142" s="1">
        <v>5075</v>
      </c>
      <c r="F142" s="1">
        <v>5125</v>
      </c>
      <c r="G142" s="1">
        <v>14296000</v>
      </c>
      <c r="H142" s="8">
        <f t="shared" si="4"/>
        <v>0</v>
      </c>
      <c r="I142" s="8">
        <f t="shared" si="5"/>
        <v>-4.6511627906976744E-2</v>
      </c>
    </row>
    <row r="143" spans="1:9" x14ac:dyDescent="0.2">
      <c r="A143" s="2">
        <f ca="1">IFERROR(__xludf.DUMMYFUNCTION("""COMPUTED_VALUE"""),45517.6666666666)</f>
        <v>45517.666666666599</v>
      </c>
      <c r="B143" s="2"/>
      <c r="C143" s="1">
        <v>5175</v>
      </c>
      <c r="D143" s="1">
        <v>5200</v>
      </c>
      <c r="E143" s="1">
        <v>5125</v>
      </c>
      <c r="F143" s="1">
        <v>5175</v>
      </c>
      <c r="G143" s="1">
        <v>26196400</v>
      </c>
      <c r="H143" s="8">
        <f t="shared" si="4"/>
        <v>9.7560975609756097E-3</v>
      </c>
      <c r="I143" s="8">
        <f t="shared" si="5"/>
        <v>-3.7209302325581395E-2</v>
      </c>
    </row>
    <row r="144" spans="1:9" x14ac:dyDescent="0.2">
      <c r="A144" s="2">
        <f ca="1">IFERROR(__xludf.DUMMYFUNCTION("""COMPUTED_VALUE"""),45518.6666666666)</f>
        <v>45518.666666666599</v>
      </c>
      <c r="B144" s="2"/>
      <c r="C144" s="1">
        <v>5250</v>
      </c>
      <c r="D144" s="1">
        <v>5375</v>
      </c>
      <c r="E144" s="1">
        <v>5225</v>
      </c>
      <c r="F144" s="1">
        <v>5275</v>
      </c>
      <c r="G144" s="1">
        <v>93112500</v>
      </c>
      <c r="H144" s="8">
        <f t="shared" si="4"/>
        <v>1.932367149758454E-2</v>
      </c>
      <c r="I144" s="8">
        <f t="shared" si="5"/>
        <v>-1.8604651162790697E-2</v>
      </c>
    </row>
    <row r="145" spans="1:9" x14ac:dyDescent="0.2">
      <c r="A145" s="2">
        <f ca="1">IFERROR(__xludf.DUMMYFUNCTION("""COMPUTED_VALUE"""),45519.6666666666)</f>
        <v>45519.666666666599</v>
      </c>
      <c r="B145" s="2"/>
      <c r="C145" s="1">
        <v>5300</v>
      </c>
      <c r="D145" s="1">
        <v>5325</v>
      </c>
      <c r="E145" s="1">
        <v>5225</v>
      </c>
      <c r="F145" s="1">
        <v>5250</v>
      </c>
      <c r="G145" s="1">
        <v>33034700</v>
      </c>
      <c r="H145" s="8">
        <f t="shared" si="4"/>
        <v>-4.7393364928909956E-3</v>
      </c>
      <c r="I145" s="8">
        <f t="shared" si="5"/>
        <v>-2.3255813953488372E-2</v>
      </c>
    </row>
    <row r="146" spans="1:9" x14ac:dyDescent="0.2">
      <c r="A146" s="2">
        <f ca="1">IFERROR(__xludf.DUMMYFUNCTION("""COMPUTED_VALUE"""),45520.6666666666)</f>
        <v>45520.666666666599</v>
      </c>
      <c r="B146" s="2"/>
      <c r="C146" s="1">
        <v>5300</v>
      </c>
      <c r="D146" s="1">
        <v>5350</v>
      </c>
      <c r="E146" s="1">
        <v>5275</v>
      </c>
      <c r="F146" s="1">
        <v>5300</v>
      </c>
      <c r="G146" s="1">
        <v>33604900</v>
      </c>
      <c r="H146" s="8">
        <f t="shared" si="4"/>
        <v>9.5238095238095247E-3</v>
      </c>
      <c r="I146" s="8">
        <f t="shared" si="5"/>
        <v>-1.3953488372093023E-2</v>
      </c>
    </row>
    <row r="147" spans="1:9" x14ac:dyDescent="0.2">
      <c r="A147" s="2">
        <f ca="1">IFERROR(__xludf.DUMMYFUNCTION("""COMPUTED_VALUE"""),45523.6666666666)</f>
        <v>45523.666666666599</v>
      </c>
      <c r="B147" s="2"/>
      <c r="C147" s="1">
        <v>5300</v>
      </c>
      <c r="D147" s="1">
        <v>5450</v>
      </c>
      <c r="E147" s="1">
        <v>5275</v>
      </c>
      <c r="F147" s="1">
        <v>5350</v>
      </c>
      <c r="G147" s="1">
        <v>55661900</v>
      </c>
      <c r="H147" s="8">
        <f t="shared" si="4"/>
        <v>9.433962264150943E-3</v>
      </c>
      <c r="I147" s="8">
        <f t="shared" si="5"/>
        <v>-4.6511627906976744E-3</v>
      </c>
    </row>
    <row r="148" spans="1:9" x14ac:dyDescent="0.2">
      <c r="A148" s="2">
        <f ca="1">IFERROR(__xludf.DUMMYFUNCTION("""COMPUTED_VALUE"""),45524.6666666666)</f>
        <v>45524.666666666599</v>
      </c>
      <c r="B148" s="2"/>
      <c r="C148" s="1">
        <v>5375</v>
      </c>
      <c r="D148" s="1">
        <v>5500</v>
      </c>
      <c r="E148" s="1">
        <v>5375</v>
      </c>
      <c r="F148" s="1">
        <v>5475</v>
      </c>
      <c r="G148" s="1">
        <v>69978300</v>
      </c>
      <c r="H148" s="8">
        <f t="shared" si="4"/>
        <v>2.336448598130841E-2</v>
      </c>
      <c r="I148" s="8">
        <f t="shared" si="5"/>
        <v>1.8604651162790697E-2</v>
      </c>
    </row>
    <row r="149" spans="1:9" x14ac:dyDescent="0.2">
      <c r="A149" s="2">
        <f ca="1">IFERROR(__xludf.DUMMYFUNCTION("""COMPUTED_VALUE"""),45525.6666666666)</f>
        <v>45525.666666666599</v>
      </c>
      <c r="B149" s="2"/>
      <c r="C149" s="1">
        <v>5475</v>
      </c>
      <c r="D149" s="1">
        <v>5550</v>
      </c>
      <c r="E149" s="1">
        <v>5425</v>
      </c>
      <c r="F149" s="1">
        <v>5450</v>
      </c>
      <c r="G149" s="1">
        <v>92703900</v>
      </c>
      <c r="H149" s="8">
        <f t="shared" si="4"/>
        <v>-4.5662100456621002E-3</v>
      </c>
      <c r="I149" s="8">
        <f t="shared" si="5"/>
        <v>1.3953488372093023E-2</v>
      </c>
    </row>
    <row r="150" spans="1:9" x14ac:dyDescent="0.2">
      <c r="A150" s="2">
        <f ca="1">IFERROR(__xludf.DUMMYFUNCTION("""COMPUTED_VALUE"""),45526.6666666666)</f>
        <v>45526.666666666599</v>
      </c>
      <c r="B150" s="2"/>
      <c r="C150" s="1">
        <v>5425</v>
      </c>
      <c r="D150" s="1">
        <v>5425</v>
      </c>
      <c r="E150" s="1">
        <v>5225</v>
      </c>
      <c r="F150" s="1">
        <v>5275</v>
      </c>
      <c r="G150" s="1">
        <v>72626600</v>
      </c>
      <c r="H150" s="8">
        <f t="shared" si="4"/>
        <v>-3.2110091743119268E-2</v>
      </c>
      <c r="I150" s="8">
        <f t="shared" si="5"/>
        <v>-1.8604651162790697E-2</v>
      </c>
    </row>
    <row r="151" spans="1:9" x14ac:dyDescent="0.2">
      <c r="A151" s="2">
        <f ca="1">IFERROR(__xludf.DUMMYFUNCTION("""COMPUTED_VALUE"""),45527.6666666666)</f>
        <v>45527.666666666599</v>
      </c>
      <c r="B151" s="2"/>
      <c r="C151" s="1">
        <v>5300</v>
      </c>
      <c r="D151" s="1">
        <v>5500</v>
      </c>
      <c r="E151" s="1">
        <v>5300</v>
      </c>
      <c r="F151" s="1">
        <v>5450</v>
      </c>
      <c r="G151" s="1">
        <v>69905300</v>
      </c>
      <c r="H151" s="8">
        <f t="shared" si="4"/>
        <v>3.3175355450236969E-2</v>
      </c>
      <c r="I151" s="8">
        <f t="shared" si="5"/>
        <v>1.3953488372093023E-2</v>
      </c>
    </row>
    <row r="152" spans="1:9" x14ac:dyDescent="0.2">
      <c r="A152" s="2">
        <f ca="1">IFERROR(__xludf.DUMMYFUNCTION("""COMPUTED_VALUE"""),45530.6666666666)</f>
        <v>45530.666666666599</v>
      </c>
      <c r="B152" s="2"/>
      <c r="C152" s="1">
        <v>5450</v>
      </c>
      <c r="D152" s="1">
        <v>5550</v>
      </c>
      <c r="E152" s="1">
        <v>5450</v>
      </c>
      <c r="F152" s="1">
        <v>5525</v>
      </c>
      <c r="G152" s="1">
        <v>68435700</v>
      </c>
      <c r="H152" s="8">
        <f t="shared" si="4"/>
        <v>1.3761467889908258E-2</v>
      </c>
      <c r="I152" s="8">
        <f t="shared" si="5"/>
        <v>2.7906976744186046E-2</v>
      </c>
    </row>
    <row r="153" spans="1:9" x14ac:dyDescent="0.2">
      <c r="A153" s="2">
        <f ca="1">IFERROR(__xludf.DUMMYFUNCTION("""COMPUTED_VALUE"""),45531.6666666666)</f>
        <v>45531.666666666599</v>
      </c>
      <c r="B153" s="2"/>
      <c r="C153" s="1">
        <v>5525</v>
      </c>
      <c r="D153" s="1">
        <v>5550</v>
      </c>
      <c r="E153" s="1">
        <v>5350</v>
      </c>
      <c r="F153" s="1">
        <v>5400</v>
      </c>
      <c r="G153" s="1">
        <v>57135700</v>
      </c>
      <c r="H153" s="8">
        <f t="shared" si="4"/>
        <v>-2.2624434389140271E-2</v>
      </c>
      <c r="I153" s="8">
        <f t="shared" si="5"/>
        <v>4.6511627906976744E-3</v>
      </c>
    </row>
    <row r="154" spans="1:9" x14ac:dyDescent="0.2">
      <c r="A154" s="2">
        <f ca="1">IFERROR(__xludf.DUMMYFUNCTION("""COMPUTED_VALUE"""),45532.6666666666)</f>
        <v>45532.666666666599</v>
      </c>
      <c r="B154" s="2"/>
      <c r="C154" s="1">
        <v>5400</v>
      </c>
      <c r="D154" s="1">
        <v>5425</v>
      </c>
      <c r="E154" s="1">
        <v>5275</v>
      </c>
      <c r="F154" s="1">
        <v>5375</v>
      </c>
      <c r="G154" s="1">
        <v>48476500</v>
      </c>
      <c r="H154" s="8">
        <f t="shared" si="4"/>
        <v>-4.6296296296296294E-3</v>
      </c>
      <c r="I154" s="8">
        <f t="shared" si="5"/>
        <v>0</v>
      </c>
    </row>
    <row r="155" spans="1:9" x14ac:dyDescent="0.2">
      <c r="A155" s="2">
        <f ca="1">IFERROR(__xludf.DUMMYFUNCTION("""COMPUTED_VALUE"""),45533.6666666666)</f>
        <v>45533.666666666599</v>
      </c>
      <c r="B155" s="2"/>
      <c r="C155" s="1">
        <v>5425</v>
      </c>
      <c r="D155" s="1">
        <v>5425</v>
      </c>
      <c r="E155" s="1">
        <v>5300</v>
      </c>
      <c r="F155" s="1">
        <v>5300</v>
      </c>
      <c r="G155" s="1">
        <v>40749200</v>
      </c>
      <c r="H155" s="8">
        <f t="shared" si="4"/>
        <v>-1.3953488372093023E-2</v>
      </c>
      <c r="I155" s="8">
        <f t="shared" si="5"/>
        <v>-1.3953488372093023E-2</v>
      </c>
    </row>
    <row r="156" spans="1:9" x14ac:dyDescent="0.2">
      <c r="A156" s="2">
        <f ca="1">IFERROR(__xludf.DUMMYFUNCTION("""COMPUTED_VALUE"""),45534.6666666666)</f>
        <v>45534.666666666599</v>
      </c>
      <c r="B156" s="2"/>
      <c r="C156" s="1">
        <v>5300</v>
      </c>
      <c r="D156" s="1">
        <v>5400</v>
      </c>
      <c r="E156" s="1">
        <v>5300</v>
      </c>
      <c r="F156" s="1">
        <v>5350</v>
      </c>
      <c r="G156" s="1">
        <v>86718500</v>
      </c>
      <c r="H156" s="8">
        <f t="shared" si="4"/>
        <v>9.433962264150943E-3</v>
      </c>
      <c r="I156" s="8">
        <f t="shared" si="5"/>
        <v>-4.6511627906976744E-3</v>
      </c>
    </row>
    <row r="157" spans="1:9" x14ac:dyDescent="0.2">
      <c r="A157" s="2">
        <f ca="1">IFERROR(__xludf.DUMMYFUNCTION("""COMPUTED_VALUE"""),45537.6666666666)</f>
        <v>45537.666666666599</v>
      </c>
      <c r="B157" s="2"/>
      <c r="C157" s="1">
        <v>5350</v>
      </c>
      <c r="D157" s="1">
        <v>5400</v>
      </c>
      <c r="E157" s="1">
        <v>5325</v>
      </c>
      <c r="F157" s="1">
        <v>5350</v>
      </c>
      <c r="G157" s="1">
        <v>22988100</v>
      </c>
      <c r="H157" s="8">
        <f t="shared" si="4"/>
        <v>0</v>
      </c>
      <c r="I157" s="8">
        <f t="shared" si="5"/>
        <v>-4.6511627906976744E-3</v>
      </c>
    </row>
    <row r="158" spans="1:9" x14ac:dyDescent="0.2">
      <c r="A158" s="2">
        <f ca="1">IFERROR(__xludf.DUMMYFUNCTION("""COMPUTED_VALUE"""),45538.6666666666)</f>
        <v>45538.666666666599</v>
      </c>
      <c r="B158" s="2"/>
      <c r="C158" s="1">
        <v>5375</v>
      </c>
      <c r="D158" s="1">
        <v>5400</v>
      </c>
      <c r="E158" s="1">
        <v>5325</v>
      </c>
      <c r="F158" s="1">
        <v>5375</v>
      </c>
      <c r="G158" s="1">
        <v>20288700</v>
      </c>
      <c r="H158" s="8">
        <f t="shared" si="4"/>
        <v>4.6728971962616819E-3</v>
      </c>
      <c r="I158" s="8">
        <f t="shared" si="5"/>
        <v>0</v>
      </c>
    </row>
    <row r="159" spans="1:9" x14ac:dyDescent="0.2">
      <c r="A159" s="2">
        <f ca="1">IFERROR(__xludf.DUMMYFUNCTION("""COMPUTED_VALUE"""),45539.6666666666)</f>
        <v>45539.666666666599</v>
      </c>
      <c r="B159" s="2"/>
      <c r="C159" s="1">
        <v>5325</v>
      </c>
      <c r="D159" s="1">
        <v>5375</v>
      </c>
      <c r="E159" s="1">
        <v>5300</v>
      </c>
      <c r="F159" s="1">
        <v>5350</v>
      </c>
      <c r="G159" s="1">
        <v>47278700</v>
      </c>
      <c r="H159" s="8">
        <f t="shared" si="4"/>
        <v>-4.6511627906976744E-3</v>
      </c>
      <c r="I159" s="8">
        <f t="shared" si="5"/>
        <v>-4.6511627906976744E-3</v>
      </c>
    </row>
    <row r="160" spans="1:9" x14ac:dyDescent="0.2">
      <c r="A160" s="2">
        <f ca="1">IFERROR(__xludf.DUMMYFUNCTION("""COMPUTED_VALUE"""),45540.6666666666)</f>
        <v>45540.666666666599</v>
      </c>
      <c r="B160" s="2"/>
      <c r="C160" s="1">
        <v>5375</v>
      </c>
      <c r="D160" s="1">
        <v>5450</v>
      </c>
      <c r="E160" s="1">
        <v>5350</v>
      </c>
      <c r="F160" s="1">
        <v>5450</v>
      </c>
      <c r="G160" s="1">
        <v>62221800</v>
      </c>
      <c r="H160" s="8">
        <f t="shared" si="4"/>
        <v>1.8691588785046728E-2</v>
      </c>
      <c r="I160" s="8">
        <f t="shared" si="5"/>
        <v>1.3953488372093023E-2</v>
      </c>
    </row>
    <row r="161" spans="1:9" x14ac:dyDescent="0.2">
      <c r="A161" s="2">
        <f ca="1">IFERROR(__xludf.DUMMYFUNCTION("""COMPUTED_VALUE"""),45541.6666666666)</f>
        <v>45541.666666666599</v>
      </c>
      <c r="B161" s="2"/>
      <c r="C161" s="1">
        <v>5500</v>
      </c>
      <c r="D161" s="1">
        <v>5675</v>
      </c>
      <c r="E161" s="1">
        <v>5475</v>
      </c>
      <c r="F161" s="1">
        <v>5650</v>
      </c>
      <c r="G161" s="1">
        <v>139365300</v>
      </c>
      <c r="H161" s="8">
        <f t="shared" si="4"/>
        <v>3.669724770642202E-2</v>
      </c>
      <c r="I161" s="8">
        <f t="shared" si="5"/>
        <v>5.1162790697674418E-2</v>
      </c>
    </row>
    <row r="162" spans="1:9" x14ac:dyDescent="0.2">
      <c r="A162" s="2">
        <f ca="1">IFERROR(__xludf.DUMMYFUNCTION("""COMPUTED_VALUE"""),45544.6666666666)</f>
        <v>45544.666666666599</v>
      </c>
      <c r="B162" s="2"/>
      <c r="C162" s="1">
        <v>5650</v>
      </c>
      <c r="D162" s="1">
        <v>5750</v>
      </c>
      <c r="E162" s="1">
        <v>5625</v>
      </c>
      <c r="F162" s="1">
        <v>5725</v>
      </c>
      <c r="G162" s="1">
        <v>78827500</v>
      </c>
      <c r="H162" s="8">
        <f t="shared" si="4"/>
        <v>1.3274336283185841E-2</v>
      </c>
      <c r="I162" s="8">
        <f t="shared" si="5"/>
        <v>6.5116279069767441E-2</v>
      </c>
    </row>
    <row r="163" spans="1:9" x14ac:dyDescent="0.2">
      <c r="A163" s="2">
        <f ca="1">IFERROR(__xludf.DUMMYFUNCTION("""COMPUTED_VALUE"""),45545.6666666666)</f>
        <v>45545.666666666599</v>
      </c>
      <c r="B163" s="2"/>
      <c r="C163" s="1">
        <v>5750</v>
      </c>
      <c r="D163" s="1">
        <v>5775</v>
      </c>
      <c r="E163" s="1">
        <v>5700</v>
      </c>
      <c r="F163" s="1">
        <v>5700</v>
      </c>
      <c r="G163" s="1">
        <v>55033900</v>
      </c>
      <c r="H163" s="8">
        <f t="shared" si="4"/>
        <v>-4.3668122270742356E-3</v>
      </c>
      <c r="I163" s="8">
        <f t="shared" si="5"/>
        <v>6.0465116279069767E-2</v>
      </c>
    </row>
    <row r="164" spans="1:9" x14ac:dyDescent="0.2">
      <c r="A164" s="2">
        <f ca="1">IFERROR(__xludf.DUMMYFUNCTION("""COMPUTED_VALUE"""),45546.6666666666)</f>
        <v>45546.666666666599</v>
      </c>
      <c r="B164" s="2"/>
      <c r="C164" s="1">
        <v>5700</v>
      </c>
      <c r="D164" s="1">
        <v>5750</v>
      </c>
      <c r="E164" s="1">
        <v>5650</v>
      </c>
      <c r="F164" s="1">
        <v>5650</v>
      </c>
      <c r="G164" s="1">
        <v>33792600</v>
      </c>
      <c r="H164" s="8">
        <f t="shared" si="4"/>
        <v>-8.771929824561403E-3</v>
      </c>
      <c r="I164" s="8">
        <f t="shared" si="5"/>
        <v>5.1162790697674418E-2</v>
      </c>
    </row>
    <row r="165" spans="1:9" x14ac:dyDescent="0.2">
      <c r="A165" s="2">
        <f ca="1">IFERROR(__xludf.DUMMYFUNCTION("""COMPUTED_VALUE"""),45547.6666666666)</f>
        <v>45547.666666666599</v>
      </c>
      <c r="B165" s="2"/>
      <c r="C165" s="1">
        <v>5625</v>
      </c>
      <c r="D165" s="1">
        <v>5650</v>
      </c>
      <c r="E165" s="1">
        <v>5575</v>
      </c>
      <c r="F165" s="1">
        <v>5600</v>
      </c>
      <c r="G165" s="1">
        <v>43318600</v>
      </c>
      <c r="H165" s="8">
        <f t="shared" si="4"/>
        <v>-8.8495575221238937E-3</v>
      </c>
      <c r="I165" s="8">
        <f t="shared" si="5"/>
        <v>4.1860465116279069E-2</v>
      </c>
    </row>
    <row r="166" spans="1:9" x14ac:dyDescent="0.2">
      <c r="A166" s="2">
        <f ca="1">IFERROR(__xludf.DUMMYFUNCTION("""COMPUTED_VALUE"""),45548.6666666666)</f>
        <v>45548.666666666599</v>
      </c>
      <c r="B166" s="2"/>
      <c r="C166" s="1">
        <v>5600</v>
      </c>
      <c r="D166" s="1">
        <v>5650</v>
      </c>
      <c r="E166" s="1">
        <v>5575</v>
      </c>
      <c r="F166" s="1">
        <v>5625</v>
      </c>
      <c r="G166" s="1">
        <v>34311700</v>
      </c>
      <c r="H166" s="8">
        <f t="shared" si="4"/>
        <v>4.464285714285714E-3</v>
      </c>
      <c r="I166" s="8">
        <f t="shared" si="5"/>
        <v>4.6511627906976744E-2</v>
      </c>
    </row>
    <row r="167" spans="1:9" x14ac:dyDescent="0.2">
      <c r="A167" s="2">
        <f ca="1">IFERROR(__xludf.DUMMYFUNCTION("""COMPUTED_VALUE"""),45552.6666666666)</f>
        <v>45552.666666666599</v>
      </c>
      <c r="B167" s="2"/>
      <c r="C167" s="1">
        <v>5600</v>
      </c>
      <c r="D167" s="1">
        <v>5700</v>
      </c>
      <c r="E167" s="1">
        <v>5600</v>
      </c>
      <c r="F167" s="1">
        <v>5650</v>
      </c>
      <c r="G167" s="1">
        <v>40776200</v>
      </c>
      <c r="H167" s="8">
        <f t="shared" si="4"/>
        <v>4.4444444444444444E-3</v>
      </c>
      <c r="I167" s="8">
        <f t="shared" si="5"/>
        <v>5.1162790697674418E-2</v>
      </c>
    </row>
    <row r="168" spans="1:9" x14ac:dyDescent="0.2">
      <c r="A168" s="2">
        <f ca="1">IFERROR(__xludf.DUMMYFUNCTION("""COMPUTED_VALUE"""),45553.6666666666)</f>
        <v>45553.666666666599</v>
      </c>
      <c r="B168" s="2"/>
      <c r="C168" s="1">
        <v>5700</v>
      </c>
      <c r="D168" s="1">
        <v>5700</v>
      </c>
      <c r="E168" s="1">
        <v>5600</v>
      </c>
      <c r="F168" s="1">
        <v>5700</v>
      </c>
      <c r="G168" s="1">
        <v>64489200</v>
      </c>
      <c r="H168" s="8">
        <f t="shared" si="4"/>
        <v>8.8495575221238937E-3</v>
      </c>
      <c r="I168" s="8">
        <f t="shared" si="5"/>
        <v>6.0465116279069767E-2</v>
      </c>
    </row>
    <row r="169" spans="1:9" x14ac:dyDescent="0.2">
      <c r="A169" s="2">
        <f ca="1">IFERROR(__xludf.DUMMYFUNCTION("""COMPUTED_VALUE"""),45554.6666666666)</f>
        <v>45554.666666666599</v>
      </c>
      <c r="B169" s="2"/>
      <c r="C169" s="1">
        <v>5800</v>
      </c>
      <c r="D169" s="1">
        <v>5850</v>
      </c>
      <c r="E169" s="1">
        <v>5750</v>
      </c>
      <c r="F169" s="1">
        <v>5825</v>
      </c>
      <c r="G169" s="1">
        <v>93847800</v>
      </c>
      <c r="H169" s="8">
        <f t="shared" si="4"/>
        <v>2.1929824561403508E-2</v>
      </c>
      <c r="I169" s="8">
        <f t="shared" si="5"/>
        <v>8.3720930232558138E-2</v>
      </c>
    </row>
    <row r="170" spans="1:9" x14ac:dyDescent="0.2">
      <c r="A170" s="2">
        <f ca="1">IFERROR(__xludf.DUMMYFUNCTION("""COMPUTED_VALUE"""),45555.6666666666)</f>
        <v>45555.666666666599</v>
      </c>
      <c r="B170" s="2"/>
      <c r="C170" s="1">
        <v>5825</v>
      </c>
      <c r="D170" s="1">
        <v>5825</v>
      </c>
      <c r="E170" s="1">
        <v>5750</v>
      </c>
      <c r="F170" s="1">
        <v>5750</v>
      </c>
      <c r="G170" s="1">
        <v>47673600</v>
      </c>
      <c r="H170" s="8">
        <f t="shared" si="4"/>
        <v>-1.2875536480686695E-2</v>
      </c>
      <c r="I170" s="8">
        <f t="shared" si="5"/>
        <v>6.9767441860465115E-2</v>
      </c>
    </row>
    <row r="171" spans="1:9" x14ac:dyDescent="0.2">
      <c r="A171" s="2">
        <f ca="1">IFERROR(__xludf.DUMMYFUNCTION("""COMPUTED_VALUE"""),45558.6666666666)</f>
        <v>45558.666666666599</v>
      </c>
      <c r="B171" s="2"/>
      <c r="C171" s="1">
        <v>5750</v>
      </c>
      <c r="D171" s="1">
        <v>5850</v>
      </c>
      <c r="E171" s="1">
        <v>5725</v>
      </c>
      <c r="F171" s="1">
        <v>5800</v>
      </c>
      <c r="G171" s="1">
        <v>48008700</v>
      </c>
      <c r="H171" s="8">
        <f t="shared" si="4"/>
        <v>8.6956521739130436E-3</v>
      </c>
      <c r="I171" s="8">
        <f t="shared" si="5"/>
        <v>7.9069767441860464E-2</v>
      </c>
    </row>
    <row r="172" spans="1:9" x14ac:dyDescent="0.2">
      <c r="A172" s="2">
        <f ca="1">IFERROR(__xludf.DUMMYFUNCTION("""COMPUTED_VALUE"""),45559.6666666666)</f>
        <v>45559.666666666599</v>
      </c>
      <c r="B172" s="2"/>
      <c r="C172" s="1">
        <v>5800</v>
      </c>
      <c r="D172" s="1">
        <v>5825</v>
      </c>
      <c r="E172" s="1">
        <v>5750</v>
      </c>
      <c r="F172" s="1">
        <v>5800</v>
      </c>
      <c r="G172" s="1">
        <v>39900400</v>
      </c>
      <c r="H172" s="8">
        <f t="shared" si="4"/>
        <v>0</v>
      </c>
      <c r="I172" s="8">
        <f t="shared" si="5"/>
        <v>7.9069767441860464E-2</v>
      </c>
    </row>
    <row r="173" spans="1:9" x14ac:dyDescent="0.2">
      <c r="A173" s="2">
        <f ca="1">IFERROR(__xludf.DUMMYFUNCTION("""COMPUTED_VALUE"""),45560.6666666666)</f>
        <v>45560.666666666599</v>
      </c>
      <c r="B173" s="2"/>
      <c r="C173" s="1">
        <v>5750</v>
      </c>
      <c r="D173" s="1">
        <v>5750</v>
      </c>
      <c r="E173" s="1">
        <v>5450</v>
      </c>
      <c r="F173" s="1">
        <v>5600</v>
      </c>
      <c r="G173" s="1">
        <v>120885200</v>
      </c>
      <c r="H173" s="8">
        <f t="shared" si="4"/>
        <v>-3.4482758620689655E-2</v>
      </c>
      <c r="I173" s="8">
        <f t="shared" si="5"/>
        <v>4.1860465116279069E-2</v>
      </c>
    </row>
    <row r="174" spans="1:9" x14ac:dyDescent="0.2">
      <c r="A174" s="2">
        <f ca="1">IFERROR(__xludf.DUMMYFUNCTION("""COMPUTED_VALUE"""),45561.6666666666)</f>
        <v>45561.666666666599</v>
      </c>
      <c r="B174" s="2"/>
      <c r="C174" s="1">
        <v>5600</v>
      </c>
      <c r="D174" s="1">
        <v>5625</v>
      </c>
      <c r="E174" s="1">
        <v>5450</v>
      </c>
      <c r="F174" s="1">
        <v>5600</v>
      </c>
      <c r="G174" s="1">
        <v>59306200</v>
      </c>
      <c r="H174" s="8">
        <f t="shared" si="4"/>
        <v>0</v>
      </c>
      <c r="I174" s="8">
        <f t="shared" si="5"/>
        <v>4.1860465116279069E-2</v>
      </c>
    </row>
    <row r="175" spans="1:9" x14ac:dyDescent="0.2">
      <c r="A175" s="2">
        <f ca="1">IFERROR(__xludf.DUMMYFUNCTION("""COMPUTED_VALUE"""),45562.6666666666)</f>
        <v>45562.666666666599</v>
      </c>
      <c r="B175" s="2"/>
      <c r="C175" s="1">
        <v>5600</v>
      </c>
      <c r="D175" s="1">
        <v>5600</v>
      </c>
      <c r="E175" s="1">
        <v>5400</v>
      </c>
      <c r="F175" s="1">
        <v>5450</v>
      </c>
      <c r="G175" s="1">
        <v>79718100</v>
      </c>
      <c r="H175" s="8">
        <f t="shared" si="4"/>
        <v>-2.6785714285714284E-2</v>
      </c>
      <c r="I175" s="8">
        <f t="shared" si="5"/>
        <v>1.3953488372093023E-2</v>
      </c>
    </row>
    <row r="176" spans="1:9" x14ac:dyDescent="0.2">
      <c r="A176" s="2">
        <f ca="1">IFERROR(__xludf.DUMMYFUNCTION("""COMPUTED_VALUE"""),45565.6666666666)</f>
        <v>45565.666666666599</v>
      </c>
      <c r="B176" s="2"/>
      <c r="C176" s="1">
        <v>5400</v>
      </c>
      <c r="D176" s="1">
        <v>5450</v>
      </c>
      <c r="E176" s="1">
        <v>5325</v>
      </c>
      <c r="F176" s="1">
        <v>5350</v>
      </c>
      <c r="G176" s="1">
        <v>69417600</v>
      </c>
      <c r="H176" s="8">
        <f t="shared" si="4"/>
        <v>-1.834862385321101E-2</v>
      </c>
      <c r="I176" s="8">
        <f t="shared" si="5"/>
        <v>-4.6511627906976744E-3</v>
      </c>
    </row>
    <row r="177" spans="1:9" x14ac:dyDescent="0.2">
      <c r="A177" s="2">
        <f ca="1">IFERROR(__xludf.DUMMYFUNCTION("""COMPUTED_VALUE"""),45566.6666666666)</f>
        <v>45566.666666666599</v>
      </c>
      <c r="B177" s="2"/>
      <c r="C177" s="1">
        <v>5375</v>
      </c>
      <c r="D177" s="1">
        <v>5450</v>
      </c>
      <c r="E177" s="1">
        <v>5350</v>
      </c>
      <c r="F177" s="1">
        <v>5375</v>
      </c>
      <c r="G177" s="1">
        <v>40085600</v>
      </c>
      <c r="H177" s="8">
        <f t="shared" si="4"/>
        <v>4.6728971962616819E-3</v>
      </c>
      <c r="I177" s="8">
        <f t="shared" si="5"/>
        <v>0</v>
      </c>
    </row>
    <row r="178" spans="1:9" x14ac:dyDescent="0.2">
      <c r="A178" s="2">
        <f ca="1">IFERROR(__xludf.DUMMYFUNCTION("""COMPUTED_VALUE"""),45567.6666666666)</f>
        <v>45567.666666666599</v>
      </c>
      <c r="B178" s="2"/>
      <c r="C178" s="1">
        <v>5325</v>
      </c>
      <c r="D178" s="1">
        <v>5400</v>
      </c>
      <c r="E178" s="1">
        <v>5300</v>
      </c>
      <c r="F178" s="1">
        <v>5350</v>
      </c>
      <c r="G178" s="1">
        <v>27716400</v>
      </c>
      <c r="H178" s="8">
        <f t="shared" si="4"/>
        <v>-4.6511627906976744E-3</v>
      </c>
      <c r="I178" s="8">
        <f t="shared" si="5"/>
        <v>-4.6511627906976744E-3</v>
      </c>
    </row>
    <row r="179" spans="1:9" x14ac:dyDescent="0.2">
      <c r="A179" s="2">
        <f ca="1">IFERROR(__xludf.DUMMYFUNCTION("""COMPUTED_VALUE"""),45568.6666666666)</f>
        <v>45568.666666666599</v>
      </c>
      <c r="B179" s="2"/>
      <c r="C179" s="1">
        <v>5375</v>
      </c>
      <c r="D179" s="1">
        <v>5400</v>
      </c>
      <c r="E179" s="1">
        <v>5300</v>
      </c>
      <c r="F179" s="1">
        <v>5375</v>
      </c>
      <c r="G179" s="1">
        <v>42597000</v>
      </c>
      <c r="H179" s="8">
        <f t="shared" si="4"/>
        <v>4.6728971962616819E-3</v>
      </c>
      <c r="I179" s="8">
        <f t="shared" si="5"/>
        <v>0</v>
      </c>
    </row>
    <row r="180" spans="1:9" x14ac:dyDescent="0.2">
      <c r="A180" s="2">
        <f ca="1">IFERROR(__xludf.DUMMYFUNCTION("""COMPUTED_VALUE"""),45569.6666666666)</f>
        <v>45569.666666666599</v>
      </c>
      <c r="B180" s="2"/>
      <c r="C180" s="1">
        <v>5400</v>
      </c>
      <c r="D180" s="1">
        <v>5425</v>
      </c>
      <c r="E180" s="1">
        <v>5250</v>
      </c>
      <c r="F180" s="1">
        <v>5325</v>
      </c>
      <c r="G180" s="1">
        <v>35822100</v>
      </c>
      <c r="H180" s="8">
        <f t="shared" si="4"/>
        <v>-9.3023255813953487E-3</v>
      </c>
      <c r="I180" s="8">
        <f t="shared" si="5"/>
        <v>-9.3023255813953487E-3</v>
      </c>
    </row>
    <row r="181" spans="1:9" x14ac:dyDescent="0.2">
      <c r="A181" s="2">
        <f ca="1">IFERROR(__xludf.DUMMYFUNCTION("""COMPUTED_VALUE"""),45572.6666666666)</f>
        <v>45572.666666666599</v>
      </c>
      <c r="B181" s="2"/>
      <c r="C181" s="1">
        <v>5325</v>
      </c>
      <c r="D181" s="1">
        <v>5350</v>
      </c>
      <c r="E181" s="1">
        <v>5200</v>
      </c>
      <c r="F181" s="1">
        <v>5200</v>
      </c>
      <c r="G181" s="1">
        <v>52624000</v>
      </c>
      <c r="H181" s="8">
        <f t="shared" si="4"/>
        <v>-2.3474178403755867E-2</v>
      </c>
      <c r="I181" s="8">
        <f t="shared" si="5"/>
        <v>-3.255813953488372E-2</v>
      </c>
    </row>
    <row r="182" spans="1:9" x14ac:dyDescent="0.2">
      <c r="A182" s="2">
        <f ca="1">IFERROR(__xludf.DUMMYFUNCTION("""COMPUTED_VALUE"""),45573.6666666666)</f>
        <v>45573.666666666599</v>
      </c>
      <c r="B182" s="2"/>
      <c r="C182" s="1">
        <v>5150</v>
      </c>
      <c r="D182" s="1">
        <v>5400</v>
      </c>
      <c r="E182" s="1">
        <v>5100</v>
      </c>
      <c r="F182" s="1">
        <v>5350</v>
      </c>
      <c r="G182" s="1">
        <v>90686900</v>
      </c>
      <c r="H182" s="8">
        <f t="shared" si="4"/>
        <v>2.8846153846153848E-2</v>
      </c>
      <c r="I182" s="8">
        <f t="shared" si="5"/>
        <v>-4.6511627906976744E-3</v>
      </c>
    </row>
    <row r="183" spans="1:9" x14ac:dyDescent="0.2">
      <c r="A183" s="2">
        <f ca="1">IFERROR(__xludf.DUMMYFUNCTION("""COMPUTED_VALUE"""),45574.6666666666)</f>
        <v>45574.666666666599</v>
      </c>
      <c r="B183" s="2"/>
      <c r="C183" s="1">
        <v>5350</v>
      </c>
      <c r="D183" s="1">
        <v>5425</v>
      </c>
      <c r="E183" s="1">
        <v>5275</v>
      </c>
      <c r="F183" s="1">
        <v>5325</v>
      </c>
      <c r="G183" s="1">
        <v>70831500</v>
      </c>
      <c r="H183" s="8">
        <f t="shared" si="4"/>
        <v>-4.6728971962616819E-3</v>
      </c>
      <c r="I183" s="8">
        <f t="shared" si="5"/>
        <v>-9.3023255813953487E-3</v>
      </c>
    </row>
    <row r="184" spans="1:9" x14ac:dyDescent="0.2">
      <c r="A184" s="2">
        <f ca="1">IFERROR(__xludf.DUMMYFUNCTION("""COMPUTED_VALUE"""),45575.6666666666)</f>
        <v>45575.666666666599</v>
      </c>
      <c r="B184" s="2"/>
      <c r="C184" s="1">
        <v>5350</v>
      </c>
      <c r="D184" s="1">
        <v>5400</v>
      </c>
      <c r="E184" s="1">
        <v>5325</v>
      </c>
      <c r="F184" s="1">
        <v>5325</v>
      </c>
      <c r="G184" s="1">
        <v>25892500</v>
      </c>
      <c r="H184" s="8">
        <f t="shared" si="4"/>
        <v>0</v>
      </c>
      <c r="I184" s="8">
        <f t="shared" si="5"/>
        <v>-9.3023255813953487E-3</v>
      </c>
    </row>
    <row r="185" spans="1:9" x14ac:dyDescent="0.2">
      <c r="A185" s="2">
        <f ca="1">IFERROR(__xludf.DUMMYFUNCTION("""COMPUTED_VALUE"""),45576.6666666666)</f>
        <v>45576.666666666599</v>
      </c>
      <c r="B185" s="2"/>
      <c r="C185" s="1">
        <v>5425</v>
      </c>
      <c r="D185" s="1">
        <v>5425</v>
      </c>
      <c r="E185" s="1">
        <v>5325</v>
      </c>
      <c r="F185" s="1">
        <v>5375</v>
      </c>
      <c r="G185" s="1">
        <v>14488900</v>
      </c>
      <c r="H185" s="8">
        <f t="shared" si="4"/>
        <v>9.3896713615023476E-3</v>
      </c>
      <c r="I185" s="8">
        <f t="shared" si="5"/>
        <v>0</v>
      </c>
    </row>
    <row r="186" spans="1:9" x14ac:dyDescent="0.2">
      <c r="A186" s="2">
        <f ca="1">IFERROR(__xludf.DUMMYFUNCTION("""COMPUTED_VALUE"""),45579.6666666666)</f>
        <v>45579.666666666599</v>
      </c>
      <c r="B186" s="2"/>
      <c r="C186" s="1">
        <v>5375</v>
      </c>
      <c r="D186" s="1">
        <v>5450</v>
      </c>
      <c r="E186" s="1">
        <v>5375</v>
      </c>
      <c r="F186" s="1">
        <v>5425</v>
      </c>
      <c r="G186" s="1">
        <v>36808100</v>
      </c>
      <c r="H186" s="8">
        <f t="shared" si="4"/>
        <v>9.3023255813953487E-3</v>
      </c>
      <c r="I186" s="8">
        <f t="shared" si="5"/>
        <v>9.3023255813953487E-3</v>
      </c>
    </row>
    <row r="187" spans="1:9" x14ac:dyDescent="0.2">
      <c r="A187" s="2">
        <f ca="1">IFERROR(__xludf.DUMMYFUNCTION("""COMPUTED_VALUE"""),45580.6666666666)</f>
        <v>45580.666666666599</v>
      </c>
      <c r="B187" s="2"/>
      <c r="C187" s="1">
        <v>5450</v>
      </c>
      <c r="D187" s="1">
        <v>5525</v>
      </c>
      <c r="E187" s="1">
        <v>5425</v>
      </c>
      <c r="F187" s="1">
        <v>5500</v>
      </c>
      <c r="G187" s="1">
        <v>44248600</v>
      </c>
      <c r="H187" s="8">
        <f t="shared" si="4"/>
        <v>1.3824884792626729E-2</v>
      </c>
      <c r="I187" s="8">
        <f t="shared" si="5"/>
        <v>2.3255813953488372E-2</v>
      </c>
    </row>
    <row r="188" spans="1:9" x14ac:dyDescent="0.2">
      <c r="A188" s="2">
        <f ca="1">IFERROR(__xludf.DUMMYFUNCTION("""COMPUTED_VALUE"""),45581.6666666666)</f>
        <v>45581.666666666599</v>
      </c>
      <c r="B188" s="2"/>
      <c r="C188" s="1">
        <v>5500</v>
      </c>
      <c r="D188" s="1">
        <v>5500</v>
      </c>
      <c r="E188" s="1">
        <v>5450</v>
      </c>
      <c r="F188" s="1">
        <v>5475</v>
      </c>
      <c r="G188" s="1">
        <v>26629100</v>
      </c>
      <c r="H188" s="8">
        <f t="shared" si="4"/>
        <v>-4.5454545454545452E-3</v>
      </c>
      <c r="I188" s="8">
        <f t="shared" si="5"/>
        <v>1.8604651162790697E-2</v>
      </c>
    </row>
    <row r="189" spans="1:9" x14ac:dyDescent="0.2">
      <c r="A189" s="2">
        <f ca="1">IFERROR(__xludf.DUMMYFUNCTION("""COMPUTED_VALUE"""),45582.6666666666)</f>
        <v>45582.666666666599</v>
      </c>
      <c r="B189" s="2"/>
      <c r="C189" s="1">
        <v>5500</v>
      </c>
      <c r="D189" s="1">
        <v>5575</v>
      </c>
      <c r="E189" s="1">
        <v>5475</v>
      </c>
      <c r="F189" s="1">
        <v>5500</v>
      </c>
      <c r="G189" s="1">
        <v>48570900</v>
      </c>
      <c r="H189" s="8">
        <f t="shared" si="4"/>
        <v>4.5662100456621002E-3</v>
      </c>
      <c r="I189" s="8">
        <f t="shared" si="5"/>
        <v>2.3255813953488372E-2</v>
      </c>
    </row>
    <row r="190" spans="1:9" x14ac:dyDescent="0.2">
      <c r="A190" s="2">
        <f ca="1">IFERROR(__xludf.DUMMYFUNCTION("""COMPUTED_VALUE"""),45583.6666666666)</f>
        <v>45583.666666666599</v>
      </c>
      <c r="B190" s="2"/>
      <c r="C190" s="1">
        <v>5550</v>
      </c>
      <c r="D190" s="1">
        <v>5650</v>
      </c>
      <c r="E190" s="1">
        <v>5550</v>
      </c>
      <c r="F190" s="1">
        <v>5650</v>
      </c>
      <c r="G190" s="1">
        <v>58870300</v>
      </c>
      <c r="H190" s="8">
        <f t="shared" si="4"/>
        <v>2.7272727272727271E-2</v>
      </c>
      <c r="I190" s="8">
        <f t="shared" si="5"/>
        <v>5.1162790697674418E-2</v>
      </c>
    </row>
    <row r="191" spans="1:9" x14ac:dyDescent="0.2">
      <c r="A191" s="2">
        <f ca="1">IFERROR(__xludf.DUMMYFUNCTION("""COMPUTED_VALUE"""),45586.6666666666)</f>
        <v>45586.666666666599</v>
      </c>
      <c r="B191" s="2"/>
      <c r="C191" s="1">
        <v>5700</v>
      </c>
      <c r="D191" s="1">
        <v>5750</v>
      </c>
      <c r="E191" s="1">
        <v>5600</v>
      </c>
      <c r="F191" s="1">
        <v>5625</v>
      </c>
      <c r="G191" s="1">
        <v>50980600</v>
      </c>
      <c r="H191" s="8">
        <f t="shared" si="4"/>
        <v>-4.4247787610619468E-3</v>
      </c>
      <c r="I191" s="8">
        <f t="shared" si="5"/>
        <v>4.6511627906976744E-2</v>
      </c>
    </row>
    <row r="192" spans="1:9" x14ac:dyDescent="0.2">
      <c r="A192" s="2">
        <f ca="1">IFERROR(__xludf.DUMMYFUNCTION("""COMPUTED_VALUE"""),45587.6666666666)</f>
        <v>45587.666666666599</v>
      </c>
      <c r="B192" s="2"/>
      <c r="C192" s="1">
        <v>5650</v>
      </c>
      <c r="D192" s="1">
        <v>5675</v>
      </c>
      <c r="E192" s="1">
        <v>5575</v>
      </c>
      <c r="F192" s="1">
        <v>5650</v>
      </c>
      <c r="G192" s="1">
        <v>59956900</v>
      </c>
      <c r="H192" s="8">
        <f t="shared" si="4"/>
        <v>4.4444444444444444E-3</v>
      </c>
      <c r="I192" s="8">
        <f t="shared" si="5"/>
        <v>5.1162790697674418E-2</v>
      </c>
    </row>
    <row r="193" spans="1:9" x14ac:dyDescent="0.2">
      <c r="A193" s="2">
        <f ca="1">IFERROR(__xludf.DUMMYFUNCTION("""COMPUTED_VALUE"""),45588.6666666666)</f>
        <v>45588.666666666599</v>
      </c>
      <c r="B193" s="2"/>
      <c r="C193" s="1">
        <v>5675</v>
      </c>
      <c r="D193" s="1">
        <v>5675</v>
      </c>
      <c r="E193" s="1">
        <v>5600</v>
      </c>
      <c r="F193" s="1">
        <v>5675</v>
      </c>
      <c r="G193" s="1">
        <v>63163700</v>
      </c>
      <c r="H193" s="8">
        <f t="shared" si="4"/>
        <v>4.4247787610619468E-3</v>
      </c>
      <c r="I193" s="8">
        <f t="shared" si="5"/>
        <v>5.5813953488372092E-2</v>
      </c>
    </row>
    <row r="194" spans="1:9" x14ac:dyDescent="0.2">
      <c r="A194" s="2">
        <f ca="1">IFERROR(__xludf.DUMMYFUNCTION("""COMPUTED_VALUE"""),45589.6666666666)</f>
        <v>45589.666666666599</v>
      </c>
      <c r="B194" s="2"/>
      <c r="C194" s="1">
        <v>5650</v>
      </c>
      <c r="D194" s="1">
        <v>5700</v>
      </c>
      <c r="E194" s="1">
        <v>5625</v>
      </c>
      <c r="F194" s="1">
        <v>5625</v>
      </c>
      <c r="G194" s="1">
        <v>26445200</v>
      </c>
      <c r="H194" s="8">
        <f t="shared" si="4"/>
        <v>-8.8105726872246704E-3</v>
      </c>
      <c r="I194" s="8">
        <f t="shared" si="5"/>
        <v>4.6511627906976744E-2</v>
      </c>
    </row>
    <row r="195" spans="1:9" x14ac:dyDescent="0.2">
      <c r="A195" s="2">
        <f ca="1">IFERROR(__xludf.DUMMYFUNCTION("""COMPUTED_VALUE"""),45590.6666666666)</f>
        <v>45590.666666666599</v>
      </c>
      <c r="B195" s="2"/>
      <c r="C195" s="1">
        <v>5625</v>
      </c>
      <c r="D195" s="1">
        <v>5650</v>
      </c>
      <c r="E195" s="1">
        <v>5550</v>
      </c>
      <c r="F195" s="1">
        <v>5650</v>
      </c>
      <c r="G195" s="1">
        <v>20200300</v>
      </c>
      <c r="H195" s="8">
        <f t="shared" si="4"/>
        <v>4.4444444444444444E-3</v>
      </c>
      <c r="I195" s="8">
        <f t="shared" si="5"/>
        <v>5.1162790697674418E-2</v>
      </c>
    </row>
    <row r="196" spans="1:9" x14ac:dyDescent="0.2">
      <c r="A196" s="2">
        <f ca="1">IFERROR(__xludf.DUMMYFUNCTION("""COMPUTED_VALUE"""),45593.6666666666)</f>
        <v>45593.666666666599</v>
      </c>
      <c r="B196" s="2"/>
      <c r="C196" s="1">
        <v>5650</v>
      </c>
      <c r="D196" s="1">
        <v>5675</v>
      </c>
      <c r="E196" s="1">
        <v>5425</v>
      </c>
      <c r="F196" s="1">
        <v>5500</v>
      </c>
      <c r="G196" s="1">
        <v>48523000</v>
      </c>
      <c r="H196" s="8">
        <f t="shared" ref="H196:H259" si="6">(F196-F195)/F195</f>
        <v>-2.6548672566371681E-2</v>
      </c>
      <c r="I196" s="8">
        <f t="shared" ref="I196:I259" si="7">(F196-$F$2)/$F$2</f>
        <v>2.3255813953488372E-2</v>
      </c>
    </row>
    <row r="197" spans="1:9" x14ac:dyDescent="0.2">
      <c r="A197" s="2">
        <f ca="1">IFERROR(__xludf.DUMMYFUNCTION("""COMPUTED_VALUE"""),45594.6666666666)</f>
        <v>45594.666666666599</v>
      </c>
      <c r="B197" s="2"/>
      <c r="C197" s="1">
        <v>5400</v>
      </c>
      <c r="D197" s="1">
        <v>5500</v>
      </c>
      <c r="E197" s="1">
        <v>5275</v>
      </c>
      <c r="F197" s="1">
        <v>5300</v>
      </c>
      <c r="G197" s="1">
        <v>77068500</v>
      </c>
      <c r="H197" s="8">
        <f t="shared" si="6"/>
        <v>-3.6363636363636362E-2</v>
      </c>
      <c r="I197" s="8">
        <f t="shared" si="7"/>
        <v>-1.3953488372093023E-2</v>
      </c>
    </row>
    <row r="198" spans="1:9" x14ac:dyDescent="0.2">
      <c r="A198" s="2">
        <f ca="1">IFERROR(__xludf.DUMMYFUNCTION("""COMPUTED_VALUE"""),45595.6666666666)</f>
        <v>45595.666666666599</v>
      </c>
      <c r="B198" s="2"/>
      <c r="C198" s="1">
        <v>5300</v>
      </c>
      <c r="D198" s="1">
        <v>5325</v>
      </c>
      <c r="E198" s="1">
        <v>5200</v>
      </c>
      <c r="F198" s="1">
        <v>5225</v>
      </c>
      <c r="G198" s="1">
        <v>58411700</v>
      </c>
      <c r="H198" s="8">
        <f t="shared" si="6"/>
        <v>-1.4150943396226415E-2</v>
      </c>
      <c r="I198" s="8">
        <f t="shared" si="7"/>
        <v>-2.7906976744186046E-2</v>
      </c>
    </row>
    <row r="199" spans="1:9" x14ac:dyDescent="0.2">
      <c r="A199" s="2">
        <f ca="1">IFERROR(__xludf.DUMMYFUNCTION("""COMPUTED_VALUE"""),45596.6666666666)</f>
        <v>45596.666666666599</v>
      </c>
      <c r="B199" s="2"/>
      <c r="C199" s="1">
        <v>5200</v>
      </c>
      <c r="D199" s="1">
        <v>5300</v>
      </c>
      <c r="E199" s="1">
        <v>5175</v>
      </c>
      <c r="F199" s="1">
        <v>5250</v>
      </c>
      <c r="G199" s="1">
        <v>50040800</v>
      </c>
      <c r="H199" s="8">
        <f t="shared" si="6"/>
        <v>4.7846889952153108E-3</v>
      </c>
      <c r="I199" s="8">
        <f t="shared" si="7"/>
        <v>-2.3255813953488372E-2</v>
      </c>
    </row>
    <row r="200" spans="1:9" x14ac:dyDescent="0.2">
      <c r="A200" s="2">
        <f ca="1">IFERROR(__xludf.DUMMYFUNCTION("""COMPUTED_VALUE"""),45597.6666666666)</f>
        <v>45597.666666666599</v>
      </c>
      <c r="B200" s="2"/>
      <c r="C200" s="1">
        <v>5250</v>
      </c>
      <c r="D200" s="1">
        <v>5250</v>
      </c>
      <c r="E200" s="1">
        <v>5175</v>
      </c>
      <c r="F200" s="1">
        <v>5200</v>
      </c>
      <c r="G200" s="1">
        <v>21870200</v>
      </c>
      <c r="H200" s="8">
        <f t="shared" si="6"/>
        <v>-9.5238095238095247E-3</v>
      </c>
      <c r="I200" s="8">
        <f t="shared" si="7"/>
        <v>-3.255813953488372E-2</v>
      </c>
    </row>
    <row r="201" spans="1:9" x14ac:dyDescent="0.2">
      <c r="A201" s="2">
        <f ca="1">IFERROR(__xludf.DUMMYFUNCTION("""COMPUTED_VALUE"""),45600.6666666666)</f>
        <v>45600.666666666599</v>
      </c>
      <c r="B201" s="2"/>
      <c r="C201" s="1">
        <v>5225</v>
      </c>
      <c r="D201" s="1">
        <v>5325</v>
      </c>
      <c r="E201" s="1">
        <v>5150</v>
      </c>
      <c r="F201" s="1">
        <v>5300</v>
      </c>
      <c r="G201" s="1">
        <v>31669500</v>
      </c>
      <c r="H201" s="8">
        <f t="shared" si="6"/>
        <v>1.9230769230769232E-2</v>
      </c>
      <c r="I201" s="8">
        <f t="shared" si="7"/>
        <v>-1.3953488372093023E-2</v>
      </c>
    </row>
    <row r="202" spans="1:9" x14ac:dyDescent="0.2">
      <c r="A202" s="2">
        <f ca="1">IFERROR(__xludf.DUMMYFUNCTION("""COMPUTED_VALUE"""),45601.6666666666)</f>
        <v>45601.666666666599</v>
      </c>
      <c r="B202" s="2"/>
      <c r="C202" s="1">
        <v>5275</v>
      </c>
      <c r="D202" s="1">
        <v>5450</v>
      </c>
      <c r="E202" s="1">
        <v>5250</v>
      </c>
      <c r="F202" s="1">
        <v>5400</v>
      </c>
      <c r="G202" s="1">
        <v>32446400</v>
      </c>
      <c r="H202" s="8">
        <f t="shared" si="6"/>
        <v>1.8867924528301886E-2</v>
      </c>
      <c r="I202" s="8">
        <f t="shared" si="7"/>
        <v>4.6511627906976744E-3</v>
      </c>
    </row>
    <row r="203" spans="1:9" x14ac:dyDescent="0.2">
      <c r="A203" s="2">
        <f ca="1">IFERROR(__xludf.DUMMYFUNCTION("""COMPUTED_VALUE"""),45602.6666666666)</f>
        <v>45602.666666666599</v>
      </c>
      <c r="B203" s="2"/>
      <c r="C203" s="1">
        <v>5425</v>
      </c>
      <c r="D203" s="1">
        <v>5425</v>
      </c>
      <c r="E203" s="1">
        <v>5100</v>
      </c>
      <c r="F203" s="1">
        <v>5125</v>
      </c>
      <c r="G203" s="1">
        <v>67214100</v>
      </c>
      <c r="H203" s="8">
        <f t="shared" si="6"/>
        <v>-5.0925925925925923E-2</v>
      </c>
      <c r="I203" s="8">
        <f t="shared" si="7"/>
        <v>-4.6511627906976744E-2</v>
      </c>
    </row>
    <row r="204" spans="1:9" x14ac:dyDescent="0.2">
      <c r="A204" s="2">
        <f ca="1">IFERROR(__xludf.DUMMYFUNCTION("""COMPUTED_VALUE"""),45603.6666666666)</f>
        <v>45603.666666666599</v>
      </c>
      <c r="B204" s="2"/>
      <c r="C204" s="1">
        <v>5150</v>
      </c>
      <c r="D204" s="1">
        <v>5175</v>
      </c>
      <c r="E204" s="1">
        <v>5025</v>
      </c>
      <c r="F204" s="1">
        <v>5025</v>
      </c>
      <c r="G204" s="1">
        <v>63745800</v>
      </c>
      <c r="H204" s="8">
        <f t="shared" si="6"/>
        <v>-1.9512195121951219E-2</v>
      </c>
      <c r="I204" s="8">
        <f t="shared" si="7"/>
        <v>-6.5116279069767441E-2</v>
      </c>
    </row>
    <row r="205" spans="1:9" x14ac:dyDescent="0.2">
      <c r="A205" s="2">
        <f ca="1">IFERROR(__xludf.DUMMYFUNCTION("""COMPUTED_VALUE"""),45604.6666666666)</f>
        <v>45604.666666666599</v>
      </c>
      <c r="B205" s="2"/>
      <c r="C205" s="1">
        <v>5075</v>
      </c>
      <c r="D205" s="1">
        <v>5125</v>
      </c>
      <c r="E205" s="1">
        <v>4970</v>
      </c>
      <c r="F205" s="1">
        <v>4980</v>
      </c>
      <c r="G205" s="1">
        <v>51146300</v>
      </c>
      <c r="H205" s="8">
        <f t="shared" si="6"/>
        <v>-8.9552238805970154E-3</v>
      </c>
      <c r="I205" s="8">
        <f t="shared" si="7"/>
        <v>-7.3488372093023252E-2</v>
      </c>
    </row>
    <row r="206" spans="1:9" x14ac:dyDescent="0.2">
      <c r="A206" s="2">
        <f ca="1">IFERROR(__xludf.DUMMYFUNCTION("""COMPUTED_VALUE"""),45607.6666666666)</f>
        <v>45607.666666666599</v>
      </c>
      <c r="B206" s="2"/>
      <c r="C206" s="1">
        <v>4950</v>
      </c>
      <c r="D206" s="1">
        <v>5025</v>
      </c>
      <c r="E206" s="1">
        <v>4800</v>
      </c>
      <c r="F206" s="1">
        <v>4990</v>
      </c>
      <c r="G206" s="1">
        <v>44028300</v>
      </c>
      <c r="H206" s="8">
        <f t="shared" si="6"/>
        <v>2.008032128514056E-3</v>
      </c>
      <c r="I206" s="8">
        <f t="shared" si="7"/>
        <v>-7.1627906976744191E-2</v>
      </c>
    </row>
    <row r="207" spans="1:9" x14ac:dyDescent="0.2">
      <c r="A207" s="2">
        <f ca="1">IFERROR(__xludf.DUMMYFUNCTION("""COMPUTED_VALUE"""),45608.6666666666)</f>
        <v>45608.666666666599</v>
      </c>
      <c r="B207" s="2"/>
      <c r="C207" s="1">
        <v>4960</v>
      </c>
      <c r="D207" s="1">
        <v>5000</v>
      </c>
      <c r="E207" s="1">
        <v>4870</v>
      </c>
      <c r="F207" s="1">
        <v>4930</v>
      </c>
      <c r="G207" s="1">
        <v>70220900</v>
      </c>
      <c r="H207" s="8">
        <f t="shared" si="6"/>
        <v>-1.2024048096192385E-2</v>
      </c>
      <c r="I207" s="8">
        <f t="shared" si="7"/>
        <v>-8.2790697674418601E-2</v>
      </c>
    </row>
    <row r="208" spans="1:9" x14ac:dyDescent="0.2">
      <c r="A208" s="2">
        <f ca="1">IFERROR(__xludf.DUMMYFUNCTION("""COMPUTED_VALUE"""),45609.6666666666)</f>
        <v>45609.666666666599</v>
      </c>
      <c r="B208" s="2"/>
      <c r="C208" s="1">
        <v>4930</v>
      </c>
      <c r="D208" s="1">
        <v>5025</v>
      </c>
      <c r="E208" s="1">
        <v>4910</v>
      </c>
      <c r="F208" s="1">
        <v>4960</v>
      </c>
      <c r="G208" s="1">
        <v>64548800</v>
      </c>
      <c r="H208" s="8">
        <f t="shared" si="6"/>
        <v>6.0851926977687626E-3</v>
      </c>
      <c r="I208" s="8">
        <f t="shared" si="7"/>
        <v>-7.7209302325581389E-2</v>
      </c>
    </row>
    <row r="209" spans="1:9" x14ac:dyDescent="0.2">
      <c r="A209" s="2">
        <f ca="1">IFERROR(__xludf.DUMMYFUNCTION("""COMPUTED_VALUE"""),45610.6666666666)</f>
        <v>45610.666666666599</v>
      </c>
      <c r="B209" s="2"/>
      <c r="C209" s="1">
        <v>4960</v>
      </c>
      <c r="D209" s="1">
        <v>4970</v>
      </c>
      <c r="E209" s="1">
        <v>4910</v>
      </c>
      <c r="F209" s="1">
        <v>4950</v>
      </c>
      <c r="G209" s="1">
        <v>33431400</v>
      </c>
      <c r="H209" s="8">
        <f t="shared" si="6"/>
        <v>-2.0161290322580645E-3</v>
      </c>
      <c r="I209" s="8">
        <f t="shared" si="7"/>
        <v>-7.9069767441860464E-2</v>
      </c>
    </row>
    <row r="210" spans="1:9" x14ac:dyDescent="0.2">
      <c r="A210" s="2">
        <f ca="1">IFERROR(__xludf.DUMMYFUNCTION("""COMPUTED_VALUE"""),45611.6666666666)</f>
        <v>45611.666666666599</v>
      </c>
      <c r="B210" s="2"/>
      <c r="C210" s="1">
        <v>4920</v>
      </c>
      <c r="D210" s="1">
        <v>4940</v>
      </c>
      <c r="E210" s="1">
        <v>4870</v>
      </c>
      <c r="F210" s="1">
        <v>4910</v>
      </c>
      <c r="G210" s="1">
        <v>32785700</v>
      </c>
      <c r="H210" s="8">
        <f t="shared" si="6"/>
        <v>-8.0808080808080808E-3</v>
      </c>
      <c r="I210" s="8">
        <f t="shared" si="7"/>
        <v>-8.6511627906976737E-2</v>
      </c>
    </row>
    <row r="211" spans="1:9" x14ac:dyDescent="0.2">
      <c r="A211" s="2">
        <f ca="1">IFERROR(__xludf.DUMMYFUNCTION("""COMPUTED_VALUE"""),45614.6666666666)</f>
        <v>45614.666666666599</v>
      </c>
      <c r="B211" s="2"/>
      <c r="C211" s="1">
        <v>4930</v>
      </c>
      <c r="D211" s="1">
        <v>4930</v>
      </c>
      <c r="E211" s="1">
        <v>4830</v>
      </c>
      <c r="F211" s="1">
        <v>4870</v>
      </c>
      <c r="G211" s="1">
        <v>22240200</v>
      </c>
      <c r="H211" s="8">
        <f t="shared" si="6"/>
        <v>-8.1466395112016286E-3</v>
      </c>
      <c r="I211" s="8">
        <f t="shared" si="7"/>
        <v>-9.3953488372093025E-2</v>
      </c>
    </row>
    <row r="212" spans="1:9" x14ac:dyDescent="0.2">
      <c r="A212" s="2">
        <f ca="1">IFERROR(__xludf.DUMMYFUNCTION("""COMPUTED_VALUE"""),45615.6666666666)</f>
        <v>45615.666666666599</v>
      </c>
      <c r="B212" s="2"/>
      <c r="C212" s="1">
        <v>4860</v>
      </c>
      <c r="D212" s="1">
        <v>4890</v>
      </c>
      <c r="E212" s="1">
        <v>4800</v>
      </c>
      <c r="F212" s="1">
        <v>4850</v>
      </c>
      <c r="G212" s="1">
        <v>28214800</v>
      </c>
      <c r="H212" s="8">
        <f t="shared" si="6"/>
        <v>-4.1067761806981521E-3</v>
      </c>
      <c r="I212" s="8">
        <f t="shared" si="7"/>
        <v>-9.7674418604651161E-2</v>
      </c>
    </row>
    <row r="213" spans="1:9" x14ac:dyDescent="0.2">
      <c r="A213" s="2">
        <f ca="1">IFERROR(__xludf.DUMMYFUNCTION("""COMPUTED_VALUE"""),45616.6666666666)</f>
        <v>45616.666666666599</v>
      </c>
      <c r="B213" s="2"/>
      <c r="C213" s="1">
        <v>4870</v>
      </c>
      <c r="D213" s="1">
        <v>4900</v>
      </c>
      <c r="E213" s="1">
        <v>4800</v>
      </c>
      <c r="F213" s="1">
        <v>4850</v>
      </c>
      <c r="G213" s="1">
        <v>24693600</v>
      </c>
      <c r="H213" s="8">
        <f t="shared" si="6"/>
        <v>0</v>
      </c>
      <c r="I213" s="8">
        <f t="shared" si="7"/>
        <v>-9.7674418604651161E-2</v>
      </c>
    </row>
    <row r="214" spans="1:9" x14ac:dyDescent="0.2">
      <c r="A214" s="2">
        <f ca="1">IFERROR(__xludf.DUMMYFUNCTION("""COMPUTED_VALUE"""),45617.6666666666)</f>
        <v>45617.666666666599</v>
      </c>
      <c r="B214" s="2"/>
      <c r="C214" s="1">
        <v>4820</v>
      </c>
      <c r="D214" s="1">
        <v>4850</v>
      </c>
      <c r="E214" s="1">
        <v>4710</v>
      </c>
      <c r="F214" s="1">
        <v>4720</v>
      </c>
      <c r="G214" s="1">
        <v>45727200</v>
      </c>
      <c r="H214" s="8">
        <f t="shared" si="6"/>
        <v>-2.6804123711340205E-2</v>
      </c>
      <c r="I214" s="8">
        <f t="shared" si="7"/>
        <v>-0.12186046511627907</v>
      </c>
    </row>
    <row r="215" spans="1:9" x14ac:dyDescent="0.2">
      <c r="A215" s="2">
        <f ca="1">IFERROR(__xludf.DUMMYFUNCTION("""COMPUTED_VALUE"""),45618.6666666666)</f>
        <v>45618.666666666599</v>
      </c>
      <c r="B215" s="2"/>
      <c r="C215" s="1">
        <v>4750</v>
      </c>
      <c r="D215" s="1">
        <v>4860</v>
      </c>
      <c r="E215" s="1">
        <v>4740</v>
      </c>
      <c r="F215" s="1">
        <v>4840</v>
      </c>
      <c r="G215" s="1">
        <v>50258400</v>
      </c>
      <c r="H215" s="8">
        <f t="shared" si="6"/>
        <v>2.5423728813559324E-2</v>
      </c>
      <c r="I215" s="8">
        <f t="shared" si="7"/>
        <v>-9.9534883720930237E-2</v>
      </c>
    </row>
    <row r="216" spans="1:9" x14ac:dyDescent="0.2">
      <c r="A216" s="2">
        <f ca="1">IFERROR(__xludf.DUMMYFUNCTION("""COMPUTED_VALUE"""),45621.6666666666)</f>
        <v>45621.666666666599</v>
      </c>
      <c r="B216" s="2"/>
      <c r="C216" s="1">
        <v>4850</v>
      </c>
      <c r="D216" s="1">
        <v>5075</v>
      </c>
      <c r="E216" s="1">
        <v>4840</v>
      </c>
      <c r="F216" s="1">
        <v>4990</v>
      </c>
      <c r="G216" s="1">
        <v>98405900</v>
      </c>
      <c r="H216" s="8">
        <f t="shared" si="6"/>
        <v>3.0991735537190084E-2</v>
      </c>
      <c r="I216" s="8">
        <f t="shared" si="7"/>
        <v>-7.1627906976744191E-2</v>
      </c>
    </row>
    <row r="217" spans="1:9" x14ac:dyDescent="0.2">
      <c r="A217" s="2">
        <f ca="1">IFERROR(__xludf.DUMMYFUNCTION("""COMPUTED_VALUE"""),45622.6666666666)</f>
        <v>45622.666666666599</v>
      </c>
      <c r="B217" s="2"/>
      <c r="C217" s="1">
        <v>5025</v>
      </c>
      <c r="D217" s="1">
        <v>5050</v>
      </c>
      <c r="E217" s="1">
        <v>4950</v>
      </c>
      <c r="F217" s="1">
        <v>4950</v>
      </c>
      <c r="G217" s="1">
        <v>37322800</v>
      </c>
      <c r="H217" s="8">
        <f t="shared" si="6"/>
        <v>-8.0160320641282558E-3</v>
      </c>
      <c r="I217" s="8">
        <f t="shared" si="7"/>
        <v>-7.9069767441860464E-2</v>
      </c>
    </row>
    <row r="218" spans="1:9" x14ac:dyDescent="0.2">
      <c r="A218" s="2">
        <f ca="1">IFERROR(__xludf.DUMMYFUNCTION("""COMPUTED_VALUE"""),45624.6666666666)</f>
        <v>45624.666666666599</v>
      </c>
      <c r="B218" s="2"/>
      <c r="C218" s="1">
        <v>5025</v>
      </c>
      <c r="D218" s="1">
        <v>5075</v>
      </c>
      <c r="E218" s="1">
        <v>4950</v>
      </c>
      <c r="F218" s="1">
        <v>5025</v>
      </c>
      <c r="G218" s="1">
        <v>28337000</v>
      </c>
      <c r="H218" s="8">
        <f t="shared" si="6"/>
        <v>1.5151515151515152E-2</v>
      </c>
      <c r="I218" s="8">
        <f t="shared" si="7"/>
        <v>-6.5116279069767441E-2</v>
      </c>
    </row>
    <row r="219" spans="1:9" x14ac:dyDescent="0.2">
      <c r="A219" s="2">
        <f ca="1">IFERROR(__xludf.DUMMYFUNCTION("""COMPUTED_VALUE"""),45625.6666666666)</f>
        <v>45625.666666666599</v>
      </c>
      <c r="B219" s="2"/>
      <c r="C219" s="1">
        <v>5025</v>
      </c>
      <c r="D219" s="1">
        <v>5050</v>
      </c>
      <c r="E219" s="1">
        <v>4940</v>
      </c>
      <c r="F219" s="1">
        <v>4980</v>
      </c>
      <c r="G219" s="1">
        <v>48885400</v>
      </c>
      <c r="H219" s="8">
        <f t="shared" si="6"/>
        <v>-8.9552238805970154E-3</v>
      </c>
      <c r="I219" s="8">
        <f t="shared" si="7"/>
        <v>-7.3488372093023252E-2</v>
      </c>
    </row>
    <row r="220" spans="1:9" x14ac:dyDescent="0.2">
      <c r="A220" s="2">
        <f ca="1">IFERROR(__xludf.DUMMYFUNCTION("""COMPUTED_VALUE"""),45628.6666666666)</f>
        <v>45628.666666666599</v>
      </c>
      <c r="B220" s="2"/>
      <c r="C220" s="1">
        <v>4980</v>
      </c>
      <c r="D220" s="1">
        <v>5000</v>
      </c>
      <c r="E220" s="1">
        <v>4710</v>
      </c>
      <c r="F220" s="1">
        <v>4710</v>
      </c>
      <c r="G220" s="1">
        <v>49318100</v>
      </c>
      <c r="H220" s="8">
        <f t="shared" si="6"/>
        <v>-5.4216867469879519E-2</v>
      </c>
      <c r="I220" s="8">
        <f t="shared" si="7"/>
        <v>-0.12372093023255815</v>
      </c>
    </row>
    <row r="221" spans="1:9" x14ac:dyDescent="0.2">
      <c r="A221" s="2">
        <f ca="1">IFERROR(__xludf.DUMMYFUNCTION("""COMPUTED_VALUE"""),45629.6666666666)</f>
        <v>45629.666666666599</v>
      </c>
      <c r="B221" s="2"/>
      <c r="C221" s="1">
        <v>4740</v>
      </c>
      <c r="D221" s="1">
        <v>4840</v>
      </c>
      <c r="E221" s="1">
        <v>4730</v>
      </c>
      <c r="F221" s="1">
        <v>4780</v>
      </c>
      <c r="G221" s="1">
        <v>60101100</v>
      </c>
      <c r="H221" s="8">
        <f t="shared" si="6"/>
        <v>1.4861995753715499E-2</v>
      </c>
      <c r="I221" s="8">
        <f t="shared" si="7"/>
        <v>-0.11069767441860465</v>
      </c>
    </row>
    <row r="222" spans="1:9" x14ac:dyDescent="0.2">
      <c r="A222" s="2">
        <f ca="1">IFERROR(__xludf.DUMMYFUNCTION("""COMPUTED_VALUE"""),45630.6666666666)</f>
        <v>45630.666666666599</v>
      </c>
      <c r="B222" s="2"/>
      <c r="C222" s="1">
        <v>4800</v>
      </c>
      <c r="D222" s="1">
        <v>4980</v>
      </c>
      <c r="E222" s="1">
        <v>4790</v>
      </c>
      <c r="F222" s="1">
        <v>4950</v>
      </c>
      <c r="G222" s="1">
        <v>46942200</v>
      </c>
      <c r="H222" s="8">
        <f t="shared" si="6"/>
        <v>3.5564853556485358E-2</v>
      </c>
      <c r="I222" s="8">
        <f t="shared" si="7"/>
        <v>-7.9069767441860464E-2</v>
      </c>
    </row>
    <row r="223" spans="1:9" x14ac:dyDescent="0.2">
      <c r="A223" s="2">
        <f ca="1">IFERROR(__xludf.DUMMYFUNCTION("""COMPUTED_VALUE"""),45631.6666666666)</f>
        <v>45631.666666666599</v>
      </c>
      <c r="B223" s="2"/>
      <c r="C223" s="1">
        <v>4950</v>
      </c>
      <c r="D223" s="1">
        <v>4950</v>
      </c>
      <c r="E223" s="1">
        <v>4810</v>
      </c>
      <c r="F223" s="1">
        <v>4820</v>
      </c>
      <c r="G223" s="1">
        <v>33537600</v>
      </c>
      <c r="H223" s="8">
        <f t="shared" si="6"/>
        <v>-2.6262626262626262E-2</v>
      </c>
      <c r="I223" s="8">
        <f t="shared" si="7"/>
        <v>-0.10325581395348837</v>
      </c>
    </row>
    <row r="224" spans="1:9" x14ac:dyDescent="0.2">
      <c r="A224" s="2">
        <f ca="1">IFERROR(__xludf.DUMMYFUNCTION("""COMPUTED_VALUE"""),45632.6666666666)</f>
        <v>45632.666666666599</v>
      </c>
      <c r="B224" s="2"/>
      <c r="C224" s="1">
        <v>4820</v>
      </c>
      <c r="D224" s="1">
        <v>4880</v>
      </c>
      <c r="E224" s="1">
        <v>4780</v>
      </c>
      <c r="F224" s="1">
        <v>4860</v>
      </c>
      <c r="G224" s="1">
        <v>25735100</v>
      </c>
      <c r="H224" s="8">
        <f t="shared" si="6"/>
        <v>8.2987551867219917E-3</v>
      </c>
      <c r="I224" s="8">
        <f t="shared" si="7"/>
        <v>-9.5813953488372086E-2</v>
      </c>
    </row>
    <row r="225" spans="1:9" x14ac:dyDescent="0.2">
      <c r="A225" s="2">
        <f ca="1">IFERROR(__xludf.DUMMYFUNCTION("""COMPUTED_VALUE"""),45635.6666666666)</f>
        <v>45635.666666666599</v>
      </c>
      <c r="B225" s="2"/>
      <c r="C225" s="1">
        <v>4890</v>
      </c>
      <c r="D225" s="1">
        <v>5050</v>
      </c>
      <c r="E225" s="1">
        <v>4880</v>
      </c>
      <c r="F225" s="1">
        <v>5000</v>
      </c>
      <c r="G225" s="1">
        <v>43938100</v>
      </c>
      <c r="H225" s="8">
        <f t="shared" si="6"/>
        <v>2.8806584362139918E-2</v>
      </c>
      <c r="I225" s="8">
        <f t="shared" si="7"/>
        <v>-6.9767441860465115E-2</v>
      </c>
    </row>
    <row r="226" spans="1:9" x14ac:dyDescent="0.2">
      <c r="A226" s="2">
        <f ca="1">IFERROR(__xludf.DUMMYFUNCTION("""COMPUTED_VALUE"""),45636.6666666666)</f>
        <v>45636.666666666599</v>
      </c>
      <c r="B226" s="2"/>
      <c r="C226" s="1">
        <v>4990</v>
      </c>
      <c r="D226" s="1">
        <v>5100</v>
      </c>
      <c r="E226" s="1">
        <v>4930</v>
      </c>
      <c r="F226" s="1">
        <v>5100</v>
      </c>
      <c r="G226" s="1">
        <v>39158900</v>
      </c>
      <c r="H226" s="8">
        <f t="shared" si="6"/>
        <v>0.02</v>
      </c>
      <c r="I226" s="8">
        <f t="shared" si="7"/>
        <v>-5.1162790697674418E-2</v>
      </c>
    </row>
    <row r="227" spans="1:9" x14ac:dyDescent="0.2">
      <c r="A227" s="2">
        <f ca="1">IFERROR(__xludf.DUMMYFUNCTION("""COMPUTED_VALUE"""),45637.6666666666)</f>
        <v>45637.666666666599</v>
      </c>
      <c r="B227" s="2"/>
      <c r="C227" s="1">
        <v>5050</v>
      </c>
      <c r="D227" s="1">
        <v>5175</v>
      </c>
      <c r="E227" s="1">
        <v>5050</v>
      </c>
      <c r="F227" s="1">
        <v>5075</v>
      </c>
      <c r="G227" s="1">
        <v>39770900</v>
      </c>
      <c r="H227" s="8">
        <f t="shared" si="6"/>
        <v>-4.9019607843137254E-3</v>
      </c>
      <c r="I227" s="8">
        <f t="shared" si="7"/>
        <v>-5.5813953488372092E-2</v>
      </c>
    </row>
    <row r="228" spans="1:9" x14ac:dyDescent="0.2">
      <c r="A228" s="2">
        <f ca="1">IFERROR(__xludf.DUMMYFUNCTION("""COMPUTED_VALUE"""),45638.6666666666)</f>
        <v>45638.666666666599</v>
      </c>
      <c r="B228" s="2"/>
      <c r="C228" s="1">
        <v>5025</v>
      </c>
      <c r="D228" s="1">
        <v>5025</v>
      </c>
      <c r="E228" s="1">
        <v>4880</v>
      </c>
      <c r="F228" s="1">
        <v>4880</v>
      </c>
      <c r="G228" s="1">
        <v>45911900</v>
      </c>
      <c r="H228" s="8">
        <f t="shared" si="6"/>
        <v>-3.8423645320197042E-2</v>
      </c>
      <c r="I228" s="8">
        <f t="shared" si="7"/>
        <v>-9.2093023255813949E-2</v>
      </c>
    </row>
    <row r="229" spans="1:9" x14ac:dyDescent="0.2">
      <c r="A229" s="2">
        <f ca="1">IFERROR(__xludf.DUMMYFUNCTION("""COMPUTED_VALUE"""),45639.6666666666)</f>
        <v>45639.666666666599</v>
      </c>
      <c r="B229" s="2"/>
      <c r="C229" s="1">
        <v>4800</v>
      </c>
      <c r="D229" s="1">
        <v>4830</v>
      </c>
      <c r="E229" s="1">
        <v>4720</v>
      </c>
      <c r="F229" s="1">
        <v>4730</v>
      </c>
      <c r="G229" s="1">
        <v>72851000</v>
      </c>
      <c r="H229" s="8">
        <f t="shared" si="6"/>
        <v>-3.0737704918032786E-2</v>
      </c>
      <c r="I229" s="8">
        <f t="shared" si="7"/>
        <v>-0.12</v>
      </c>
    </row>
    <row r="230" spans="1:9" x14ac:dyDescent="0.2">
      <c r="A230" s="2">
        <f ca="1">IFERROR(__xludf.DUMMYFUNCTION("""COMPUTED_VALUE"""),45642.6666666666)</f>
        <v>45642.666666666599</v>
      </c>
      <c r="B230" s="2"/>
      <c r="C230" s="1">
        <v>4610</v>
      </c>
      <c r="D230" s="1">
        <v>4720</v>
      </c>
      <c r="E230" s="1">
        <v>4600</v>
      </c>
      <c r="F230" s="1">
        <v>4640</v>
      </c>
      <c r="G230" s="1">
        <v>83736700</v>
      </c>
      <c r="H230" s="8">
        <f t="shared" si="6"/>
        <v>-1.9027484143763214E-2</v>
      </c>
      <c r="I230" s="8">
        <f t="shared" si="7"/>
        <v>-0.13674418604651162</v>
      </c>
    </row>
    <row r="231" spans="1:9" x14ac:dyDescent="0.2">
      <c r="A231" s="2">
        <f ca="1">IFERROR(__xludf.DUMMYFUNCTION("""COMPUTED_VALUE"""),45643.6666666666)</f>
        <v>45643.666666666599</v>
      </c>
      <c r="B231" s="2"/>
      <c r="C231" s="1">
        <v>4620</v>
      </c>
      <c r="D231" s="1">
        <v>4640</v>
      </c>
      <c r="E231" s="1">
        <v>4430</v>
      </c>
      <c r="F231" s="1">
        <v>4470</v>
      </c>
      <c r="G231" s="1">
        <v>119873700</v>
      </c>
      <c r="H231" s="8">
        <f t="shared" si="6"/>
        <v>-3.6637931034482756E-2</v>
      </c>
      <c r="I231" s="8">
        <f t="shared" si="7"/>
        <v>-0.16837209302325581</v>
      </c>
    </row>
    <row r="232" spans="1:9" x14ac:dyDescent="0.2">
      <c r="A232" s="2">
        <f ca="1">IFERROR(__xludf.DUMMYFUNCTION("""COMPUTED_VALUE"""),45644.6666666666)</f>
        <v>45644.666666666599</v>
      </c>
      <c r="B232" s="2"/>
      <c r="C232" s="1">
        <v>4470</v>
      </c>
      <c r="D232" s="1">
        <v>4530</v>
      </c>
      <c r="E232" s="1">
        <v>4410</v>
      </c>
      <c r="F232" s="1">
        <v>4430</v>
      </c>
      <c r="G232" s="1">
        <v>56470100</v>
      </c>
      <c r="H232" s="8">
        <f t="shared" si="6"/>
        <v>-8.948545861297539E-3</v>
      </c>
      <c r="I232" s="8">
        <f t="shared" si="7"/>
        <v>-0.17581395348837209</v>
      </c>
    </row>
    <row r="233" spans="1:9" x14ac:dyDescent="0.2">
      <c r="A233" s="2">
        <f ca="1">IFERROR(__xludf.DUMMYFUNCTION("""COMPUTED_VALUE"""),45645.6666666666)</f>
        <v>45645.666666666599</v>
      </c>
      <c r="B233" s="2"/>
      <c r="C233" s="1">
        <v>4360</v>
      </c>
      <c r="D233" s="1">
        <v>4370</v>
      </c>
      <c r="E233" s="1">
        <v>4300</v>
      </c>
      <c r="F233" s="1">
        <v>4310</v>
      </c>
      <c r="G233" s="1">
        <v>71247000</v>
      </c>
      <c r="H233" s="8">
        <f t="shared" si="6"/>
        <v>-2.7088036117381489E-2</v>
      </c>
      <c r="I233" s="8">
        <f t="shared" si="7"/>
        <v>-0.19813953488372094</v>
      </c>
    </row>
    <row r="234" spans="1:9" x14ac:dyDescent="0.2">
      <c r="A234" s="2">
        <f ca="1">IFERROR(__xludf.DUMMYFUNCTION("""COMPUTED_VALUE"""),45646.6666666666)</f>
        <v>45646.666666666599</v>
      </c>
      <c r="B234" s="2"/>
      <c r="C234" s="1">
        <v>4330</v>
      </c>
      <c r="D234" s="1">
        <v>4360</v>
      </c>
      <c r="E234" s="1">
        <v>4260</v>
      </c>
      <c r="F234" s="1">
        <v>4260</v>
      </c>
      <c r="G234" s="1">
        <v>83872500</v>
      </c>
      <c r="H234" s="8">
        <f t="shared" si="6"/>
        <v>-1.1600928074245939E-2</v>
      </c>
      <c r="I234" s="8">
        <f t="shared" si="7"/>
        <v>-0.20744186046511628</v>
      </c>
    </row>
    <row r="235" spans="1:9" x14ac:dyDescent="0.2">
      <c r="A235" s="2">
        <f ca="1">IFERROR(__xludf.DUMMYFUNCTION("""COMPUTED_VALUE"""),45649.6666666666)</f>
        <v>45649.666666666599</v>
      </c>
      <c r="B235" s="2"/>
      <c r="C235" s="1">
        <v>4320</v>
      </c>
      <c r="D235" s="1">
        <v>4390</v>
      </c>
      <c r="E235" s="1">
        <v>4320</v>
      </c>
      <c r="F235" s="1">
        <v>4380</v>
      </c>
      <c r="G235" s="1">
        <v>43668100</v>
      </c>
      <c r="H235" s="8">
        <f t="shared" si="6"/>
        <v>2.8169014084507043E-2</v>
      </c>
      <c r="I235" s="8">
        <f t="shared" si="7"/>
        <v>-0.18511627906976744</v>
      </c>
    </row>
    <row r="236" spans="1:9" x14ac:dyDescent="0.2">
      <c r="A236" s="2">
        <f ca="1">IFERROR(__xludf.DUMMYFUNCTION("""COMPUTED_VALUE"""),45650.6666666666)</f>
        <v>45650.666666666599</v>
      </c>
      <c r="B236" s="2"/>
      <c r="C236" s="1">
        <v>4380</v>
      </c>
      <c r="D236" s="1">
        <v>4400</v>
      </c>
      <c r="E236" s="1">
        <v>4340</v>
      </c>
      <c r="F236" s="1">
        <v>4380</v>
      </c>
      <c r="G236" s="1">
        <v>21458900</v>
      </c>
      <c r="H236" s="8">
        <f t="shared" si="6"/>
        <v>0</v>
      </c>
      <c r="I236" s="8">
        <f t="shared" si="7"/>
        <v>-0.18511627906976744</v>
      </c>
    </row>
    <row r="237" spans="1:9" x14ac:dyDescent="0.2">
      <c r="A237" s="2">
        <f ca="1">IFERROR(__xludf.DUMMYFUNCTION("""COMPUTED_VALUE"""),45653.6666666666)</f>
        <v>45653.666666666599</v>
      </c>
      <c r="B237" s="2"/>
      <c r="C237" s="1">
        <v>4380</v>
      </c>
      <c r="D237" s="1">
        <v>4430</v>
      </c>
      <c r="E237" s="1">
        <v>4360</v>
      </c>
      <c r="F237" s="1">
        <v>4360</v>
      </c>
      <c r="G237" s="1">
        <v>22838700</v>
      </c>
      <c r="H237" s="8">
        <f t="shared" si="6"/>
        <v>-4.5662100456621002E-3</v>
      </c>
      <c r="I237" s="8">
        <f t="shared" si="7"/>
        <v>-0.18883720930232559</v>
      </c>
    </row>
    <row r="238" spans="1:9" x14ac:dyDescent="0.2">
      <c r="A238" s="2">
        <f ca="1">IFERROR(__xludf.DUMMYFUNCTION("""COMPUTED_VALUE"""),45656.6666666666)</f>
        <v>45656.666666666599</v>
      </c>
      <c r="B238" s="2"/>
      <c r="C238" s="1">
        <v>4340</v>
      </c>
      <c r="D238" s="1">
        <v>4380</v>
      </c>
      <c r="E238" s="1">
        <v>4270</v>
      </c>
      <c r="F238" s="1">
        <v>4350</v>
      </c>
      <c r="G238" s="1">
        <v>43899600</v>
      </c>
      <c r="H238" s="8">
        <f t="shared" si="6"/>
        <v>-2.2935779816513763E-3</v>
      </c>
      <c r="I238" s="8">
        <f t="shared" si="7"/>
        <v>-0.19069767441860466</v>
      </c>
    </row>
    <row r="239" spans="1:9" x14ac:dyDescent="0.2">
      <c r="A239" s="2">
        <f ca="1">IFERROR(__xludf.DUMMYFUNCTION("""COMPUTED_VALUE"""),45659.6666666666)</f>
        <v>45659.666666666599</v>
      </c>
      <c r="B239" s="2"/>
      <c r="C239" s="1">
        <v>4360</v>
      </c>
      <c r="D239" s="1">
        <v>4590</v>
      </c>
      <c r="E239" s="1">
        <v>4360</v>
      </c>
      <c r="F239" s="1">
        <v>4590</v>
      </c>
      <c r="G239" s="1">
        <v>56985400</v>
      </c>
      <c r="H239" s="8">
        <f t="shared" si="6"/>
        <v>5.5172413793103448E-2</v>
      </c>
      <c r="I239" s="8">
        <f t="shared" si="7"/>
        <v>-0.14604651162790697</v>
      </c>
    </row>
    <row r="240" spans="1:9" x14ac:dyDescent="0.2">
      <c r="A240" s="2">
        <f ca="1">IFERROR(__xludf.DUMMYFUNCTION("""COMPUTED_VALUE"""),45660.6666666666)</f>
        <v>45660.666666666599</v>
      </c>
      <c r="B240" s="2"/>
      <c r="C240" s="1">
        <v>4600</v>
      </c>
      <c r="D240" s="1">
        <v>4630</v>
      </c>
      <c r="E240" s="1">
        <v>4540</v>
      </c>
      <c r="F240" s="1">
        <v>4540</v>
      </c>
      <c r="G240" s="1">
        <v>76388000</v>
      </c>
      <c r="H240" s="8">
        <f t="shared" si="6"/>
        <v>-1.0893246187363835E-2</v>
      </c>
      <c r="I240" s="8">
        <f t="shared" si="7"/>
        <v>-0.15534883720930232</v>
      </c>
    </row>
    <row r="241" spans="1:9" x14ac:dyDescent="0.2">
      <c r="A241" s="2">
        <f ca="1">IFERROR(__xludf.DUMMYFUNCTION("""COMPUTED_VALUE"""),45663.6666666666)</f>
        <v>45663.666666666599</v>
      </c>
      <c r="B241" s="2"/>
      <c r="C241" s="1">
        <v>4550</v>
      </c>
      <c r="D241" s="1">
        <v>4560</v>
      </c>
      <c r="E241" s="1">
        <v>4410</v>
      </c>
      <c r="F241" s="1">
        <v>4430</v>
      </c>
      <c r="G241" s="1">
        <v>26008100</v>
      </c>
      <c r="H241" s="8">
        <f t="shared" si="6"/>
        <v>-2.4229074889867842E-2</v>
      </c>
      <c r="I241" s="8">
        <f t="shared" si="7"/>
        <v>-0.17581395348837209</v>
      </c>
    </row>
    <row r="242" spans="1:9" x14ac:dyDescent="0.2">
      <c r="A242" s="2">
        <f ca="1">IFERROR(__xludf.DUMMYFUNCTION("""COMPUTED_VALUE"""),45664.6666666666)</f>
        <v>45664.666666666599</v>
      </c>
      <c r="B242" s="2"/>
      <c r="C242" s="1">
        <v>4370</v>
      </c>
      <c r="D242" s="1">
        <v>4410</v>
      </c>
      <c r="E242" s="1">
        <v>4340</v>
      </c>
      <c r="F242" s="1">
        <v>4360</v>
      </c>
      <c r="G242" s="1">
        <v>36973900</v>
      </c>
      <c r="H242" s="8">
        <f t="shared" si="6"/>
        <v>-1.580135440180587E-2</v>
      </c>
      <c r="I242" s="8">
        <f t="shared" si="7"/>
        <v>-0.18883720930232559</v>
      </c>
    </row>
    <row r="243" spans="1:9" x14ac:dyDescent="0.2">
      <c r="A243" s="2">
        <f ca="1">IFERROR(__xludf.DUMMYFUNCTION("""COMPUTED_VALUE"""),45665.6666666666)</f>
        <v>45665.666666666599</v>
      </c>
      <c r="B243" s="2"/>
      <c r="C243" s="1">
        <v>4350</v>
      </c>
      <c r="D243" s="1">
        <v>4430</v>
      </c>
      <c r="E243" s="1">
        <v>4350</v>
      </c>
      <c r="F243" s="1">
        <v>4370</v>
      </c>
      <c r="G243" s="1">
        <v>39476000</v>
      </c>
      <c r="H243" s="8">
        <f t="shared" si="6"/>
        <v>2.2935779816513763E-3</v>
      </c>
      <c r="I243" s="8">
        <f t="shared" si="7"/>
        <v>-0.18697674418604651</v>
      </c>
    </row>
    <row r="244" spans="1:9" x14ac:dyDescent="0.2">
      <c r="A244" s="2">
        <f ca="1">IFERROR(__xludf.DUMMYFUNCTION("""COMPUTED_VALUE"""),45666.6666666666)</f>
        <v>45666.666666666599</v>
      </c>
      <c r="B244" s="2"/>
      <c r="C244" s="1">
        <v>4360</v>
      </c>
      <c r="D244" s="1">
        <v>4410</v>
      </c>
      <c r="E244" s="1">
        <v>4350</v>
      </c>
      <c r="F244" s="1">
        <v>4380</v>
      </c>
      <c r="G244" s="1">
        <v>25545500</v>
      </c>
      <c r="H244" s="8">
        <f t="shared" si="6"/>
        <v>2.2883295194508009E-3</v>
      </c>
      <c r="I244" s="8">
        <f t="shared" si="7"/>
        <v>-0.18511627906976744</v>
      </c>
    </row>
    <row r="245" spans="1:9" x14ac:dyDescent="0.2">
      <c r="A245" s="2">
        <f ca="1">IFERROR(__xludf.DUMMYFUNCTION("""COMPUTED_VALUE"""),45667.6666666666)</f>
        <v>45667.666666666599</v>
      </c>
      <c r="B245" s="2"/>
      <c r="C245" s="1">
        <v>4380</v>
      </c>
      <c r="D245" s="1">
        <v>4420</v>
      </c>
      <c r="E245" s="1">
        <v>4350</v>
      </c>
      <c r="F245" s="1">
        <v>4350</v>
      </c>
      <c r="G245" s="1">
        <v>28235300</v>
      </c>
      <c r="H245" s="8">
        <f t="shared" si="6"/>
        <v>-6.8493150684931503E-3</v>
      </c>
      <c r="I245" s="8">
        <f t="shared" si="7"/>
        <v>-0.19069767441860466</v>
      </c>
    </row>
    <row r="246" spans="1:9" x14ac:dyDescent="0.2">
      <c r="A246" s="2">
        <f ca="1">IFERROR(__xludf.DUMMYFUNCTION("""COMPUTED_VALUE"""),45670.6666666666)</f>
        <v>45670.666666666599</v>
      </c>
      <c r="B246" s="2"/>
      <c r="C246" s="1">
        <v>4320</v>
      </c>
      <c r="D246" s="1">
        <v>4330</v>
      </c>
      <c r="E246" s="1">
        <v>4200</v>
      </c>
      <c r="F246" s="1">
        <v>4210</v>
      </c>
      <c r="G246" s="1">
        <v>54029800</v>
      </c>
      <c r="H246" s="8">
        <f t="shared" si="6"/>
        <v>-3.2183908045977011E-2</v>
      </c>
      <c r="I246" s="8">
        <f t="shared" si="7"/>
        <v>-0.21674418604651163</v>
      </c>
    </row>
    <row r="247" spans="1:9" x14ac:dyDescent="0.2">
      <c r="A247" s="2">
        <f ca="1">IFERROR(__xludf.DUMMYFUNCTION("""COMPUTED_VALUE"""),45671.6666666666)</f>
        <v>45671.666666666599</v>
      </c>
      <c r="B247" s="2"/>
      <c r="C247" s="1">
        <v>4170</v>
      </c>
      <c r="D247" s="1">
        <v>4240</v>
      </c>
      <c r="E247" s="1">
        <v>4110</v>
      </c>
      <c r="F247" s="1">
        <v>4130</v>
      </c>
      <c r="G247" s="1">
        <v>71568000</v>
      </c>
      <c r="H247" s="8">
        <f t="shared" si="6"/>
        <v>-1.9002375296912115E-2</v>
      </c>
      <c r="I247" s="8">
        <f t="shared" si="7"/>
        <v>-0.23162790697674418</v>
      </c>
    </row>
    <row r="248" spans="1:9" x14ac:dyDescent="0.2">
      <c r="A248" s="2">
        <f ca="1">IFERROR(__xludf.DUMMYFUNCTION("""COMPUTED_VALUE"""),45672.6666666666)</f>
        <v>45672.666666666599</v>
      </c>
      <c r="B248" s="2"/>
      <c r="C248" s="1">
        <v>4150</v>
      </c>
      <c r="D248" s="1">
        <v>4430</v>
      </c>
      <c r="E248" s="1">
        <v>4150</v>
      </c>
      <c r="F248" s="1">
        <v>4410</v>
      </c>
      <c r="G248" s="1">
        <v>82038200</v>
      </c>
      <c r="H248" s="8">
        <f t="shared" si="6"/>
        <v>6.7796610169491525E-2</v>
      </c>
      <c r="I248" s="8">
        <f t="shared" si="7"/>
        <v>-0.17953488372093024</v>
      </c>
    </row>
    <row r="249" spans="1:9" x14ac:dyDescent="0.2">
      <c r="A249" s="2">
        <f ca="1">IFERROR(__xludf.DUMMYFUNCTION("""COMPUTED_VALUE"""),45673.6666666666)</f>
        <v>45673.666666666599</v>
      </c>
      <c r="B249" s="2"/>
      <c r="C249" s="1">
        <v>4600</v>
      </c>
      <c r="D249" s="1">
        <v>4600</v>
      </c>
      <c r="E249" s="1">
        <v>4480</v>
      </c>
      <c r="F249" s="1">
        <v>4500</v>
      </c>
      <c r="G249" s="1">
        <v>113849300</v>
      </c>
      <c r="H249" s="8">
        <f t="shared" si="6"/>
        <v>2.0408163265306121E-2</v>
      </c>
      <c r="I249" s="8">
        <f t="shared" si="7"/>
        <v>-0.16279069767441862</v>
      </c>
    </row>
    <row r="250" spans="1:9" x14ac:dyDescent="0.2">
      <c r="A250" s="2">
        <f ca="1">IFERROR(__xludf.DUMMYFUNCTION("""COMPUTED_VALUE"""),45674.6666666666)</f>
        <v>45674.666666666599</v>
      </c>
      <c r="B250" s="2"/>
      <c r="C250" s="1">
        <v>4450</v>
      </c>
      <c r="D250" s="1">
        <v>4570</v>
      </c>
      <c r="E250" s="1">
        <v>4380</v>
      </c>
      <c r="F250" s="1">
        <v>4470</v>
      </c>
      <c r="G250" s="1">
        <v>40130000</v>
      </c>
      <c r="H250" s="8">
        <f t="shared" si="6"/>
        <v>-6.6666666666666671E-3</v>
      </c>
      <c r="I250" s="8">
        <f t="shared" si="7"/>
        <v>-0.16837209302325581</v>
      </c>
    </row>
    <row r="251" spans="1:9" x14ac:dyDescent="0.2">
      <c r="A251" s="2">
        <f ca="1">IFERROR(__xludf.DUMMYFUNCTION("""COMPUTED_VALUE"""),45677.6666666666)</f>
        <v>45677.666666666599</v>
      </c>
      <c r="B251" s="2"/>
      <c r="C251" s="1">
        <v>4520</v>
      </c>
      <c r="D251" s="1">
        <v>4660</v>
      </c>
      <c r="E251" s="1">
        <v>4490</v>
      </c>
      <c r="F251" s="1">
        <v>4620</v>
      </c>
      <c r="G251" s="1">
        <v>67692300</v>
      </c>
      <c r="H251" s="8">
        <f t="shared" si="6"/>
        <v>3.3557046979865772E-2</v>
      </c>
      <c r="I251" s="8">
        <f t="shared" si="7"/>
        <v>-0.14046511627906977</v>
      </c>
    </row>
    <row r="252" spans="1:9" x14ac:dyDescent="0.2">
      <c r="A252" s="2">
        <f ca="1">IFERROR(__xludf.DUMMYFUNCTION("""COMPUTED_VALUE"""),45678.6666666666)</f>
        <v>45678.666666666599</v>
      </c>
      <c r="B252" s="2"/>
      <c r="C252" s="1">
        <v>4690</v>
      </c>
      <c r="D252" s="1">
        <v>4820</v>
      </c>
      <c r="E252" s="1">
        <v>4650</v>
      </c>
      <c r="F252" s="1">
        <v>4740</v>
      </c>
      <c r="G252" s="1">
        <v>96008700</v>
      </c>
      <c r="H252" s="8">
        <f t="shared" si="6"/>
        <v>2.5974025974025976E-2</v>
      </c>
      <c r="I252" s="8">
        <f t="shared" si="7"/>
        <v>-0.11813953488372093</v>
      </c>
    </row>
    <row r="253" spans="1:9" x14ac:dyDescent="0.2">
      <c r="A253" s="2">
        <f ca="1">IFERROR(__xludf.DUMMYFUNCTION("""COMPUTED_VALUE"""),45679.6666666666)</f>
        <v>45679.666666666599</v>
      </c>
      <c r="B253" s="2"/>
      <c r="C253" s="1">
        <v>4790</v>
      </c>
      <c r="D253" s="1">
        <v>4810</v>
      </c>
      <c r="E253" s="1">
        <v>4760</v>
      </c>
      <c r="F253" s="1">
        <v>4790</v>
      </c>
      <c r="G253" s="1">
        <v>55899500</v>
      </c>
      <c r="H253" s="8">
        <f t="shared" si="6"/>
        <v>1.0548523206751054E-2</v>
      </c>
      <c r="I253" s="8">
        <f t="shared" si="7"/>
        <v>-0.10883720930232559</v>
      </c>
    </row>
    <row r="254" spans="1:9" x14ac:dyDescent="0.2">
      <c r="A254" s="2">
        <f ca="1">IFERROR(__xludf.DUMMYFUNCTION("""COMPUTED_VALUE"""),45680.6666666666)</f>
        <v>45680.666666666599</v>
      </c>
      <c r="B254" s="2"/>
      <c r="C254" s="1">
        <v>4790</v>
      </c>
      <c r="D254" s="1">
        <v>4820</v>
      </c>
      <c r="E254" s="1">
        <v>4650</v>
      </c>
      <c r="F254" s="1">
        <v>4650</v>
      </c>
      <c r="G254" s="1">
        <v>86704800</v>
      </c>
      <c r="H254" s="8">
        <f t="shared" si="6"/>
        <v>-2.9227557411273485E-2</v>
      </c>
      <c r="I254" s="8">
        <f t="shared" si="7"/>
        <v>-0.13488372093023257</v>
      </c>
    </row>
    <row r="255" spans="1:9" x14ac:dyDescent="0.2">
      <c r="A255" s="2">
        <f ca="1">IFERROR(__xludf.DUMMYFUNCTION("""COMPUTED_VALUE"""),45681.6666666666)</f>
        <v>45681.666666666599</v>
      </c>
      <c r="B255" s="2"/>
      <c r="C255" s="1">
        <v>4660</v>
      </c>
      <c r="D255" s="1">
        <v>4700</v>
      </c>
      <c r="E255" s="1">
        <v>4610</v>
      </c>
      <c r="F255" s="1">
        <v>4610</v>
      </c>
      <c r="G255" s="1">
        <v>42140900</v>
      </c>
      <c r="H255" s="8">
        <f t="shared" si="6"/>
        <v>-8.6021505376344086E-3</v>
      </c>
      <c r="I255" s="8">
        <f t="shared" si="7"/>
        <v>-0.14232558139534884</v>
      </c>
    </row>
    <row r="256" spans="1:9" x14ac:dyDescent="0.2">
      <c r="A256" s="2">
        <f ca="1">IFERROR(__xludf.DUMMYFUNCTION("""COMPUTED_VALUE"""),45687.6666666666)</f>
        <v>45687.666666666599</v>
      </c>
      <c r="B256" s="2"/>
      <c r="C256" s="1">
        <v>4610</v>
      </c>
      <c r="D256" s="1">
        <v>4670</v>
      </c>
      <c r="E256" s="1">
        <v>4580</v>
      </c>
      <c r="F256" s="1">
        <v>4640</v>
      </c>
      <c r="G256" s="1">
        <v>23980100</v>
      </c>
      <c r="H256" s="8">
        <f t="shared" si="6"/>
        <v>6.5075921908893707E-3</v>
      </c>
      <c r="I256" s="8">
        <f t="shared" si="7"/>
        <v>-0.13674418604651162</v>
      </c>
    </row>
    <row r="257" spans="1:9" x14ac:dyDescent="0.2">
      <c r="A257" s="2">
        <f ca="1">IFERROR(__xludf.DUMMYFUNCTION("""COMPUTED_VALUE"""),45688.6666666666)</f>
        <v>45688.666666666599</v>
      </c>
      <c r="B257" s="2"/>
      <c r="C257" s="1">
        <v>4660</v>
      </c>
      <c r="D257" s="1">
        <v>4880</v>
      </c>
      <c r="E257" s="1">
        <v>4660</v>
      </c>
      <c r="F257" s="1">
        <v>4770</v>
      </c>
      <c r="G257" s="1">
        <v>78958600</v>
      </c>
      <c r="H257" s="8">
        <f t="shared" si="6"/>
        <v>2.8017241379310345E-2</v>
      </c>
      <c r="I257" s="8">
        <f t="shared" si="7"/>
        <v>-0.11255813953488372</v>
      </c>
    </row>
    <row r="258" spans="1:9" x14ac:dyDescent="0.2">
      <c r="A258" s="2">
        <f ca="1">IFERROR(__xludf.DUMMYFUNCTION("""COMPUTED_VALUE"""),45691.6666666666)</f>
        <v>45691.666666666599</v>
      </c>
      <c r="B258" s="2"/>
      <c r="C258" s="1">
        <v>4770</v>
      </c>
      <c r="D258" s="1">
        <v>4800</v>
      </c>
      <c r="E258" s="1">
        <v>4640</v>
      </c>
      <c r="F258" s="1">
        <v>4780</v>
      </c>
      <c r="G258" s="1">
        <v>63072700</v>
      </c>
      <c r="H258" s="8">
        <f t="shared" si="6"/>
        <v>2.0964360587002098E-3</v>
      </c>
      <c r="I258" s="8">
        <f t="shared" si="7"/>
        <v>-0.11069767441860465</v>
      </c>
    </row>
    <row r="259" spans="1:9" x14ac:dyDescent="0.2">
      <c r="A259" s="2">
        <f ca="1">IFERROR(__xludf.DUMMYFUNCTION("""COMPUTED_VALUE"""),45692.6666666666)</f>
        <v>45692.666666666599</v>
      </c>
      <c r="B259" s="2"/>
      <c r="C259" s="1">
        <v>4770</v>
      </c>
      <c r="D259" s="1">
        <v>4780</v>
      </c>
      <c r="E259" s="1">
        <v>4700</v>
      </c>
      <c r="F259" s="1">
        <v>4700</v>
      </c>
      <c r="G259" s="1">
        <v>44266700</v>
      </c>
      <c r="H259" s="8">
        <f t="shared" si="6"/>
        <v>-1.6736401673640166E-2</v>
      </c>
      <c r="I259" s="8">
        <f t="shared" si="7"/>
        <v>-0.12558139534883722</v>
      </c>
    </row>
    <row r="260" spans="1:9" x14ac:dyDescent="0.2">
      <c r="A260" s="2">
        <f ca="1">IFERROR(__xludf.DUMMYFUNCTION("""COMPUTED_VALUE"""),45693.6666666666)</f>
        <v>45693.666666666599</v>
      </c>
      <c r="B260" s="2"/>
      <c r="C260" s="1">
        <v>4650</v>
      </c>
      <c r="D260" s="1">
        <v>4680</v>
      </c>
      <c r="E260" s="1">
        <v>4480</v>
      </c>
      <c r="F260" s="1">
        <v>4500</v>
      </c>
      <c r="G260" s="1">
        <v>52077600</v>
      </c>
      <c r="H260" s="8">
        <f t="shared" ref="H260:H323" si="8">(F260-F259)/F259</f>
        <v>-4.2553191489361701E-2</v>
      </c>
      <c r="I260" s="8">
        <f t="shared" ref="I260:I323" si="9">(F260-$F$2)/$F$2</f>
        <v>-0.16279069767441862</v>
      </c>
    </row>
    <row r="261" spans="1:9" x14ac:dyDescent="0.2">
      <c r="A261" s="2">
        <f ca="1">IFERROR(__xludf.DUMMYFUNCTION("""COMPUTED_VALUE"""),45694.6666666666)</f>
        <v>45694.666666666599</v>
      </c>
      <c r="B261" s="2"/>
      <c r="C261" s="1">
        <v>4500</v>
      </c>
      <c r="D261" s="1">
        <v>4510</v>
      </c>
      <c r="E261" s="1">
        <v>4260</v>
      </c>
      <c r="F261" s="1">
        <v>4290</v>
      </c>
      <c r="G261" s="1">
        <v>72520900</v>
      </c>
      <c r="H261" s="8">
        <f t="shared" si="8"/>
        <v>-4.6666666666666669E-2</v>
      </c>
      <c r="I261" s="8">
        <f t="shared" si="9"/>
        <v>-0.20186046511627906</v>
      </c>
    </row>
    <row r="262" spans="1:9" x14ac:dyDescent="0.2">
      <c r="A262" s="2">
        <f ca="1">IFERROR(__xludf.DUMMYFUNCTION("""COMPUTED_VALUE"""),45695.6666666666)</f>
        <v>45695.666666666599</v>
      </c>
      <c r="B262" s="2"/>
      <c r="C262" s="1">
        <v>4250</v>
      </c>
      <c r="D262" s="1">
        <v>4350</v>
      </c>
      <c r="E262" s="1">
        <v>4160</v>
      </c>
      <c r="F262" s="1">
        <v>4270</v>
      </c>
      <c r="G262" s="1">
        <v>69268900</v>
      </c>
      <c r="H262" s="8">
        <f t="shared" si="8"/>
        <v>-4.662004662004662E-3</v>
      </c>
      <c r="I262" s="8">
        <f t="shared" si="9"/>
        <v>-0.20558139534883721</v>
      </c>
    </row>
    <row r="263" spans="1:9" x14ac:dyDescent="0.2">
      <c r="A263" s="2">
        <f ca="1">IFERROR(__xludf.DUMMYFUNCTION("""COMPUTED_VALUE"""),45698.6666666666)</f>
        <v>45698.666666666599</v>
      </c>
      <c r="B263" s="2"/>
      <c r="C263" s="1">
        <v>4270</v>
      </c>
      <c r="D263" s="1">
        <v>4310</v>
      </c>
      <c r="E263" s="1">
        <v>4150</v>
      </c>
      <c r="F263" s="1">
        <v>4150</v>
      </c>
      <c r="G263" s="1">
        <v>46856100</v>
      </c>
      <c r="H263" s="8">
        <f t="shared" si="8"/>
        <v>-2.8103044496487119E-2</v>
      </c>
      <c r="I263" s="8">
        <f t="shared" si="9"/>
        <v>-0.22790697674418606</v>
      </c>
    </row>
    <row r="264" spans="1:9" x14ac:dyDescent="0.2">
      <c r="A264" s="2">
        <f ca="1">IFERROR(__xludf.DUMMYFUNCTION("""COMPUTED_VALUE"""),45699.6666666666)</f>
        <v>45699.666666666599</v>
      </c>
      <c r="B264" s="2"/>
      <c r="C264" s="1">
        <v>4150</v>
      </c>
      <c r="D264" s="1">
        <v>4170</v>
      </c>
      <c r="E264" s="1">
        <v>4050</v>
      </c>
      <c r="F264" s="1">
        <v>4070</v>
      </c>
      <c r="G264" s="1">
        <v>52994400</v>
      </c>
      <c r="H264" s="8">
        <f t="shared" si="8"/>
        <v>-1.9277108433734941E-2</v>
      </c>
      <c r="I264" s="8">
        <f t="shared" si="9"/>
        <v>-0.2427906976744186</v>
      </c>
    </row>
    <row r="265" spans="1:9" x14ac:dyDescent="0.2">
      <c r="A265" s="2">
        <f ca="1">IFERROR(__xludf.DUMMYFUNCTION("""COMPUTED_VALUE"""),45700.6666666666)</f>
        <v>45700.666666666599</v>
      </c>
      <c r="B265" s="2"/>
      <c r="C265" s="1">
        <v>4130</v>
      </c>
      <c r="D265" s="1">
        <v>4300</v>
      </c>
      <c r="E265" s="1">
        <v>4100</v>
      </c>
      <c r="F265" s="1">
        <v>4300</v>
      </c>
      <c r="G265" s="1">
        <v>57782300</v>
      </c>
      <c r="H265" s="8">
        <f t="shared" si="8"/>
        <v>5.6511056511056514E-2</v>
      </c>
      <c r="I265" s="8">
        <f t="shared" si="9"/>
        <v>-0.2</v>
      </c>
    </row>
    <row r="266" spans="1:9" x14ac:dyDescent="0.2">
      <c r="A266" s="2">
        <f ca="1">IFERROR(__xludf.DUMMYFUNCTION("""COMPUTED_VALUE"""),45701.6666666666)</f>
        <v>45701.666666666599</v>
      </c>
      <c r="B266" s="2"/>
      <c r="C266" s="1">
        <v>4280</v>
      </c>
      <c r="D266" s="1">
        <v>4300</v>
      </c>
      <c r="E266" s="1">
        <v>4210</v>
      </c>
      <c r="F266" s="1">
        <v>4250</v>
      </c>
      <c r="G266" s="1">
        <v>38173200</v>
      </c>
      <c r="H266" s="8">
        <f t="shared" si="8"/>
        <v>-1.1627906976744186E-2</v>
      </c>
      <c r="I266" s="8">
        <f t="shared" si="9"/>
        <v>-0.20930232558139536</v>
      </c>
    </row>
    <row r="267" spans="1:9" x14ac:dyDescent="0.2">
      <c r="A267" s="2">
        <f ca="1">IFERROR(__xludf.DUMMYFUNCTION("""COMPUTED_VALUE"""),45702.6666666666)</f>
        <v>45702.666666666599</v>
      </c>
      <c r="B267" s="2"/>
      <c r="C267" s="1">
        <v>4310</v>
      </c>
      <c r="D267" s="1">
        <v>4390</v>
      </c>
      <c r="E267" s="1">
        <v>4300</v>
      </c>
      <c r="F267" s="1">
        <v>4370</v>
      </c>
      <c r="G267" s="1">
        <v>61932800</v>
      </c>
      <c r="H267" s="8">
        <f t="shared" si="8"/>
        <v>2.823529411764706E-2</v>
      </c>
      <c r="I267" s="8">
        <f t="shared" si="9"/>
        <v>-0.18697674418604651</v>
      </c>
    </row>
    <row r="268" spans="1:9" x14ac:dyDescent="0.2">
      <c r="A268" s="2">
        <f ca="1">IFERROR(__xludf.DUMMYFUNCTION("""COMPUTED_VALUE"""),45705.6666666666)</f>
        <v>45705.666666666599</v>
      </c>
      <c r="B268" s="2"/>
      <c r="C268" s="1">
        <v>4370</v>
      </c>
      <c r="D268" s="1">
        <v>4590</v>
      </c>
      <c r="E268" s="1">
        <v>4350</v>
      </c>
      <c r="F268" s="1">
        <v>4570</v>
      </c>
      <c r="G268" s="1">
        <v>52492800</v>
      </c>
      <c r="H268" s="8">
        <f t="shared" si="8"/>
        <v>4.5766590389016017E-2</v>
      </c>
      <c r="I268" s="8">
        <f t="shared" si="9"/>
        <v>-0.14976744186046512</v>
      </c>
    </row>
    <row r="269" spans="1:9" x14ac:dyDescent="0.2">
      <c r="A269" s="2">
        <f ca="1">IFERROR(__xludf.DUMMYFUNCTION("""COMPUTED_VALUE"""),45706.6666666666)</f>
        <v>45706.666666666599</v>
      </c>
      <c r="B269" s="2"/>
      <c r="C269" s="1">
        <v>4600</v>
      </c>
      <c r="D269" s="1">
        <v>4750</v>
      </c>
      <c r="E269" s="1">
        <v>4600</v>
      </c>
      <c r="F269" s="1">
        <v>4750</v>
      </c>
      <c r="G269" s="1">
        <v>73992700</v>
      </c>
      <c r="H269" s="8">
        <f t="shared" si="8"/>
        <v>3.9387308533916851E-2</v>
      </c>
      <c r="I269" s="8">
        <f t="shared" si="9"/>
        <v>-0.11627906976744186</v>
      </c>
    </row>
    <row r="270" spans="1:9" x14ac:dyDescent="0.2">
      <c r="A270" s="2">
        <f ca="1">IFERROR(__xludf.DUMMYFUNCTION("""COMPUTED_VALUE"""),45707.6666666666)</f>
        <v>45707.666666666599</v>
      </c>
      <c r="B270" s="2"/>
      <c r="C270" s="1">
        <v>4750</v>
      </c>
      <c r="D270" s="1">
        <v>4750</v>
      </c>
      <c r="E270" s="1">
        <v>4480</v>
      </c>
      <c r="F270" s="1">
        <v>4520</v>
      </c>
      <c r="G270" s="1">
        <v>72303300</v>
      </c>
      <c r="H270" s="8">
        <f t="shared" si="8"/>
        <v>-4.8421052631578948E-2</v>
      </c>
      <c r="I270" s="8">
        <f t="shared" si="9"/>
        <v>-0.15906976744186047</v>
      </c>
    </row>
    <row r="271" spans="1:9" x14ac:dyDescent="0.2">
      <c r="A271" s="2">
        <f ca="1">IFERROR(__xludf.DUMMYFUNCTION("""COMPUTED_VALUE"""),45708.6666666666)</f>
        <v>45708.666666666599</v>
      </c>
      <c r="B271" s="2"/>
      <c r="C271" s="1">
        <v>4520</v>
      </c>
      <c r="D271" s="1">
        <v>4550</v>
      </c>
      <c r="E271" s="1">
        <v>4400</v>
      </c>
      <c r="F271" s="1">
        <v>4460</v>
      </c>
      <c r="G271" s="1">
        <v>49467500</v>
      </c>
      <c r="H271" s="8">
        <f t="shared" si="8"/>
        <v>-1.3274336283185841E-2</v>
      </c>
      <c r="I271" s="8">
        <f t="shared" si="9"/>
        <v>-0.17023255813953489</v>
      </c>
    </row>
    <row r="272" spans="1:9" x14ac:dyDescent="0.2">
      <c r="A272" s="2">
        <f ca="1">IFERROR(__xludf.DUMMYFUNCTION("""COMPUTED_VALUE"""),45709.6666666666)</f>
        <v>45709.666666666599</v>
      </c>
      <c r="B272" s="2"/>
      <c r="C272" s="1">
        <v>4410</v>
      </c>
      <c r="D272" s="1">
        <v>4440</v>
      </c>
      <c r="E272" s="1">
        <v>4300</v>
      </c>
      <c r="F272" s="1">
        <v>4300</v>
      </c>
      <c r="G272" s="1">
        <v>70115400</v>
      </c>
      <c r="H272" s="8">
        <f t="shared" si="8"/>
        <v>-3.5874439461883408E-2</v>
      </c>
      <c r="I272" s="8">
        <f t="shared" si="9"/>
        <v>-0.2</v>
      </c>
    </row>
    <row r="273" spans="1:9" x14ac:dyDescent="0.2">
      <c r="A273" s="2">
        <f ca="1">IFERROR(__xludf.DUMMYFUNCTION("""COMPUTED_VALUE"""),45712.6666666666)</f>
        <v>45712.666666666599</v>
      </c>
      <c r="B273" s="2"/>
      <c r="C273" s="1">
        <v>4300</v>
      </c>
      <c r="D273" s="1">
        <v>4320</v>
      </c>
      <c r="E273" s="1">
        <v>4200</v>
      </c>
      <c r="F273" s="1">
        <v>4200</v>
      </c>
      <c r="G273" s="1">
        <v>61467000</v>
      </c>
      <c r="H273" s="8">
        <f t="shared" si="8"/>
        <v>-2.3255813953488372E-2</v>
      </c>
      <c r="I273" s="8">
        <f t="shared" si="9"/>
        <v>-0.21860465116279071</v>
      </c>
    </row>
    <row r="274" spans="1:9" x14ac:dyDescent="0.2">
      <c r="A274" s="2">
        <f ca="1">IFERROR(__xludf.DUMMYFUNCTION("""COMPUTED_VALUE"""),45713.6666666666)</f>
        <v>45713.666666666599</v>
      </c>
      <c r="B274" s="2"/>
      <c r="C274" s="1">
        <v>4230</v>
      </c>
      <c r="D274" s="1">
        <v>4280</v>
      </c>
      <c r="E274" s="1">
        <v>4110</v>
      </c>
      <c r="F274" s="1">
        <v>4230</v>
      </c>
      <c r="G274" s="1">
        <v>45778400</v>
      </c>
      <c r="H274" s="8">
        <f t="shared" si="8"/>
        <v>7.1428571428571426E-3</v>
      </c>
      <c r="I274" s="8">
        <f t="shared" si="9"/>
        <v>-0.21302325581395348</v>
      </c>
    </row>
    <row r="275" spans="1:9" x14ac:dyDescent="0.2">
      <c r="A275" s="2">
        <f ca="1">IFERROR(__xludf.DUMMYFUNCTION("""COMPUTED_VALUE"""),45714.6666666666)</f>
        <v>45714.666666666599</v>
      </c>
      <c r="B275" s="2"/>
      <c r="C275" s="1">
        <v>4250</v>
      </c>
      <c r="D275" s="1">
        <v>4350</v>
      </c>
      <c r="E275" s="1">
        <v>4210</v>
      </c>
      <c r="F275" s="1">
        <v>4350</v>
      </c>
      <c r="G275" s="1">
        <v>42114300</v>
      </c>
      <c r="H275" s="8">
        <f t="shared" si="8"/>
        <v>2.8368794326241134E-2</v>
      </c>
      <c r="I275" s="8">
        <f t="shared" si="9"/>
        <v>-0.19069767441860466</v>
      </c>
    </row>
    <row r="276" spans="1:9" x14ac:dyDescent="0.2">
      <c r="A276" s="2">
        <f ca="1">IFERROR(__xludf.DUMMYFUNCTION("""COMPUTED_VALUE"""),45715.6666666666)</f>
        <v>45715.666666666599</v>
      </c>
      <c r="B276" s="2"/>
      <c r="C276" s="1">
        <v>4350</v>
      </c>
      <c r="D276" s="1">
        <v>4370</v>
      </c>
      <c r="E276" s="1">
        <v>4200</v>
      </c>
      <c r="F276" s="1">
        <v>4340</v>
      </c>
      <c r="G276" s="1">
        <v>58362900</v>
      </c>
      <c r="H276" s="8">
        <f t="shared" si="8"/>
        <v>-2.2988505747126436E-3</v>
      </c>
      <c r="I276" s="8">
        <f t="shared" si="9"/>
        <v>-0.19255813953488371</v>
      </c>
    </row>
    <row r="277" spans="1:9" x14ac:dyDescent="0.2">
      <c r="A277" s="2">
        <f ca="1">IFERROR(__xludf.DUMMYFUNCTION("""COMPUTED_VALUE"""),45716.6666666666)</f>
        <v>45716.666666666599</v>
      </c>
      <c r="B277" s="2"/>
      <c r="C277" s="1">
        <v>4270</v>
      </c>
      <c r="D277" s="1">
        <v>4270</v>
      </c>
      <c r="E277" s="1">
        <v>4010</v>
      </c>
      <c r="F277" s="1">
        <v>4030</v>
      </c>
      <c r="G277" s="1">
        <v>156574800</v>
      </c>
      <c r="H277" s="8">
        <f t="shared" si="8"/>
        <v>-7.1428571428571425E-2</v>
      </c>
      <c r="I277" s="8">
        <f t="shared" si="9"/>
        <v>-0.25023255813953488</v>
      </c>
    </row>
    <row r="278" spans="1:9" x14ac:dyDescent="0.2">
      <c r="A278" s="2">
        <f ca="1">IFERROR(__xludf.DUMMYFUNCTION("""COMPUTED_VALUE"""),45719.6666666666)</f>
        <v>45719.666666666599</v>
      </c>
      <c r="B278" s="2"/>
      <c r="C278" s="1">
        <v>4180</v>
      </c>
      <c r="D278" s="1">
        <v>4310</v>
      </c>
      <c r="E278" s="1">
        <v>4120</v>
      </c>
      <c r="F278" s="1">
        <v>4260</v>
      </c>
      <c r="G278" s="1">
        <v>156616300</v>
      </c>
      <c r="H278" s="8">
        <f t="shared" si="8"/>
        <v>5.7071960297766747E-2</v>
      </c>
      <c r="I278" s="8">
        <f t="shared" si="9"/>
        <v>-0.20744186046511628</v>
      </c>
    </row>
    <row r="279" spans="1:9" x14ac:dyDescent="0.2">
      <c r="A279" s="2">
        <f ca="1">IFERROR(__xludf.DUMMYFUNCTION("""COMPUTED_VALUE"""),45720.6666666666)</f>
        <v>45720.666666666599</v>
      </c>
      <c r="B279" s="2"/>
      <c r="C279" s="1">
        <v>4240</v>
      </c>
      <c r="D279" s="1">
        <v>4290</v>
      </c>
      <c r="E279" s="1">
        <v>4170</v>
      </c>
      <c r="F279" s="1">
        <v>4220</v>
      </c>
      <c r="G279" s="1">
        <v>71340000</v>
      </c>
      <c r="H279" s="8">
        <f t="shared" si="8"/>
        <v>-9.3896713615023476E-3</v>
      </c>
      <c r="I279" s="8">
        <f t="shared" si="9"/>
        <v>-0.21488372093023256</v>
      </c>
    </row>
    <row r="280" spans="1:9" x14ac:dyDescent="0.2">
      <c r="A280" s="2">
        <f ca="1">IFERROR(__xludf.DUMMYFUNCTION("""COMPUTED_VALUE"""),45721.6666666666)</f>
        <v>45721.666666666599</v>
      </c>
      <c r="B280" s="2"/>
      <c r="C280" s="1">
        <v>4250</v>
      </c>
      <c r="D280" s="1">
        <v>4540</v>
      </c>
      <c r="E280" s="1">
        <v>4250</v>
      </c>
      <c r="F280" s="1">
        <v>4460</v>
      </c>
      <c r="G280" s="1">
        <v>101995600</v>
      </c>
      <c r="H280" s="8">
        <f t="shared" si="8"/>
        <v>5.6872037914691941E-2</v>
      </c>
      <c r="I280" s="8">
        <f t="shared" si="9"/>
        <v>-0.17023255813953489</v>
      </c>
    </row>
    <row r="281" spans="1:9" x14ac:dyDescent="0.2">
      <c r="A281" s="2">
        <f ca="1">IFERROR(__xludf.DUMMYFUNCTION("""COMPUTED_VALUE"""),45722.6666666666)</f>
        <v>45722.666666666599</v>
      </c>
      <c r="B281" s="2"/>
      <c r="C281" s="1">
        <v>4550</v>
      </c>
      <c r="D281" s="1">
        <v>4700</v>
      </c>
      <c r="E281" s="1">
        <v>4540</v>
      </c>
      <c r="F281" s="1">
        <v>4590</v>
      </c>
      <c r="G281" s="1">
        <v>104226000</v>
      </c>
      <c r="H281" s="8">
        <f t="shared" si="8"/>
        <v>2.914798206278027E-2</v>
      </c>
      <c r="I281" s="8">
        <f t="shared" si="9"/>
        <v>-0.14604651162790697</v>
      </c>
    </row>
    <row r="282" spans="1:9" x14ac:dyDescent="0.2">
      <c r="A282" s="2">
        <f ca="1">IFERROR(__xludf.DUMMYFUNCTION("""COMPUTED_VALUE"""),45723.6666666666)</f>
        <v>45723.666666666599</v>
      </c>
      <c r="B282" s="2"/>
      <c r="C282" s="1">
        <v>4590</v>
      </c>
      <c r="D282" s="1">
        <v>4590</v>
      </c>
      <c r="E282" s="1">
        <v>4460</v>
      </c>
      <c r="F282" s="1">
        <v>4540</v>
      </c>
      <c r="G282" s="1">
        <v>61630700</v>
      </c>
      <c r="H282" s="8">
        <f t="shared" si="8"/>
        <v>-1.0893246187363835E-2</v>
      </c>
      <c r="I282" s="8">
        <f t="shared" si="9"/>
        <v>-0.15534883720930232</v>
      </c>
    </row>
    <row r="283" spans="1:9" x14ac:dyDescent="0.2">
      <c r="A283" s="2">
        <f ca="1">IFERROR(__xludf.DUMMYFUNCTION("""COMPUTED_VALUE"""),45726.6666666666)</f>
        <v>45726.666666666599</v>
      </c>
      <c r="B283" s="2"/>
      <c r="C283" s="1">
        <v>4540</v>
      </c>
      <c r="D283" s="1">
        <v>4540</v>
      </c>
      <c r="E283" s="1">
        <v>4410</v>
      </c>
      <c r="F283" s="1">
        <v>4450</v>
      </c>
      <c r="G283" s="1">
        <v>43038000</v>
      </c>
      <c r="H283" s="8">
        <f t="shared" si="8"/>
        <v>-1.9823788546255508E-2</v>
      </c>
      <c r="I283" s="8">
        <f t="shared" si="9"/>
        <v>-0.17209302325581396</v>
      </c>
    </row>
    <row r="284" spans="1:9" x14ac:dyDescent="0.2">
      <c r="A284" s="2">
        <f ca="1">IFERROR(__xludf.DUMMYFUNCTION("""COMPUTED_VALUE"""),45727.6666666666)</f>
        <v>45727.666666666599</v>
      </c>
      <c r="B284" s="2"/>
      <c r="C284" s="1">
        <v>4380</v>
      </c>
      <c r="D284" s="1">
        <v>4460</v>
      </c>
      <c r="E284" s="1">
        <v>4360</v>
      </c>
      <c r="F284" s="1">
        <v>4450</v>
      </c>
      <c r="G284" s="1">
        <v>44323600</v>
      </c>
      <c r="H284" s="8">
        <f t="shared" si="8"/>
        <v>0</v>
      </c>
      <c r="I284" s="8">
        <f t="shared" si="9"/>
        <v>-0.17209302325581396</v>
      </c>
    </row>
    <row r="285" spans="1:9" x14ac:dyDescent="0.2">
      <c r="A285" s="2">
        <f ca="1">IFERROR(__xludf.DUMMYFUNCTION("""COMPUTED_VALUE"""),45728.6666666666)</f>
        <v>45728.666666666599</v>
      </c>
      <c r="B285" s="2"/>
      <c r="C285" s="1">
        <v>4490</v>
      </c>
      <c r="D285" s="1">
        <v>4550</v>
      </c>
      <c r="E285" s="1">
        <v>4480</v>
      </c>
      <c r="F285" s="1">
        <v>4530</v>
      </c>
      <c r="G285" s="1">
        <v>44656600</v>
      </c>
      <c r="H285" s="8">
        <f t="shared" si="8"/>
        <v>1.7977528089887642E-2</v>
      </c>
      <c r="I285" s="8">
        <f t="shared" si="9"/>
        <v>-0.15720930232558139</v>
      </c>
    </row>
    <row r="286" spans="1:9" x14ac:dyDescent="0.2">
      <c r="A286" s="2">
        <f ca="1">IFERROR(__xludf.DUMMYFUNCTION("""COMPUTED_VALUE"""),45729.6666666666)</f>
        <v>45729.666666666599</v>
      </c>
      <c r="B286" s="2"/>
      <c r="C286" s="1">
        <v>4600</v>
      </c>
      <c r="D286" s="1">
        <v>4600</v>
      </c>
      <c r="E286" s="1">
        <v>4440</v>
      </c>
      <c r="F286" s="1">
        <v>4530</v>
      </c>
      <c r="G286" s="1">
        <v>48947400</v>
      </c>
      <c r="H286" s="8">
        <f t="shared" si="8"/>
        <v>0</v>
      </c>
      <c r="I286" s="8">
        <f t="shared" si="9"/>
        <v>-0.15720930232558139</v>
      </c>
    </row>
    <row r="287" spans="1:9" x14ac:dyDescent="0.2">
      <c r="A287" s="2">
        <f ca="1">IFERROR(__xludf.DUMMYFUNCTION("""COMPUTED_VALUE"""),45730.6666666666)</f>
        <v>45730.666666666599</v>
      </c>
      <c r="B287" s="2"/>
      <c r="C287" s="1">
        <v>4470</v>
      </c>
      <c r="D287" s="1">
        <v>4520</v>
      </c>
      <c r="E287" s="1">
        <v>4400</v>
      </c>
      <c r="F287" s="1">
        <v>4430</v>
      </c>
      <c r="G287" s="1">
        <v>50335900</v>
      </c>
      <c r="H287" s="8">
        <f t="shared" si="8"/>
        <v>-2.2075055187637971E-2</v>
      </c>
      <c r="I287" s="8">
        <f t="shared" si="9"/>
        <v>-0.17581395348837209</v>
      </c>
    </row>
    <row r="288" spans="1:9" x14ac:dyDescent="0.2">
      <c r="A288" s="2">
        <f ca="1">IFERROR(__xludf.DUMMYFUNCTION("""COMPUTED_VALUE"""),45733.6666666666)</f>
        <v>45733.666666666599</v>
      </c>
      <c r="B288" s="2"/>
      <c r="C288" s="1">
        <v>4430</v>
      </c>
      <c r="D288" s="1">
        <v>4460</v>
      </c>
      <c r="E288" s="1">
        <v>4260</v>
      </c>
      <c r="F288" s="1">
        <v>4330</v>
      </c>
      <c r="G288" s="1">
        <v>60911900</v>
      </c>
      <c r="H288" s="8">
        <f t="shared" si="8"/>
        <v>-2.2573363431151242E-2</v>
      </c>
      <c r="I288" s="8">
        <f t="shared" si="9"/>
        <v>-0.19441860465116279</v>
      </c>
    </row>
    <row r="289" spans="1:9" x14ac:dyDescent="0.2">
      <c r="A289" s="2">
        <f ca="1">IFERROR(__xludf.DUMMYFUNCTION("""COMPUTED_VALUE"""),45734.6666666666)</f>
        <v>45734.666666666599</v>
      </c>
      <c r="B289" s="2"/>
      <c r="C289" s="1">
        <v>4300</v>
      </c>
      <c r="D289" s="1">
        <v>4310</v>
      </c>
      <c r="E289" s="1">
        <v>4030</v>
      </c>
      <c r="F289" s="1">
        <v>4190</v>
      </c>
      <c r="G289" s="1">
        <v>80141500</v>
      </c>
      <c r="H289" s="8">
        <f t="shared" si="8"/>
        <v>-3.2332563510392612E-2</v>
      </c>
      <c r="I289" s="8">
        <f t="shared" si="9"/>
        <v>-0.22046511627906976</v>
      </c>
    </row>
    <row r="290" spans="1:9" x14ac:dyDescent="0.2">
      <c r="A290" s="2">
        <f ca="1">IFERROR(__xludf.DUMMYFUNCTION("""COMPUTED_VALUE"""),45735.6666666666)</f>
        <v>45735.666666666599</v>
      </c>
      <c r="B290" s="2"/>
      <c r="C290" s="1">
        <v>4190</v>
      </c>
      <c r="D290" s="1">
        <v>4250</v>
      </c>
      <c r="E290" s="1">
        <v>4120</v>
      </c>
      <c r="F290" s="1">
        <v>4170</v>
      </c>
      <c r="G290" s="1">
        <v>110420100</v>
      </c>
      <c r="H290" s="8">
        <f t="shared" si="8"/>
        <v>-4.7732696897374704E-3</v>
      </c>
      <c r="I290" s="8">
        <f t="shared" si="9"/>
        <v>-0.22418604651162791</v>
      </c>
    </row>
    <row r="291" spans="1:9" x14ac:dyDescent="0.2">
      <c r="A291" s="2">
        <f ca="1">IFERROR(__xludf.DUMMYFUNCTION("""COMPUTED_VALUE"""),45736.6666666666)</f>
        <v>45736.666666666599</v>
      </c>
      <c r="B291" s="2"/>
      <c r="C291" s="1">
        <v>4240</v>
      </c>
      <c r="D291" s="1">
        <v>4270</v>
      </c>
      <c r="E291" s="1">
        <v>4050</v>
      </c>
      <c r="F291" s="1">
        <v>4080</v>
      </c>
      <c r="G291" s="1">
        <v>109598400</v>
      </c>
      <c r="H291" s="8">
        <f t="shared" si="8"/>
        <v>-2.1582733812949641E-2</v>
      </c>
      <c r="I291" s="8">
        <f t="shared" si="9"/>
        <v>-0.24093023255813953</v>
      </c>
    </row>
    <row r="292" spans="1:9" x14ac:dyDescent="0.2">
      <c r="A292" s="2">
        <f ca="1">IFERROR(__xludf.DUMMYFUNCTION("""COMPUTED_VALUE"""),45737.6666666666)</f>
        <v>45737.666666666599</v>
      </c>
      <c r="B292" s="2"/>
      <c r="C292" s="1">
        <v>4080</v>
      </c>
      <c r="D292" s="1">
        <v>4090</v>
      </c>
      <c r="E292" s="1">
        <v>3770</v>
      </c>
      <c r="F292" s="1">
        <v>3770</v>
      </c>
      <c r="G292" s="1">
        <v>246727700</v>
      </c>
      <c r="H292" s="8">
        <f t="shared" si="8"/>
        <v>-7.5980392156862739E-2</v>
      </c>
      <c r="I292" s="8">
        <f t="shared" si="9"/>
        <v>-0.29860465116279072</v>
      </c>
    </row>
    <row r="293" spans="1:9" x14ac:dyDescent="0.2">
      <c r="A293" s="2">
        <f ca="1">IFERROR(__xludf.DUMMYFUNCTION("""COMPUTED_VALUE"""),45740.6666666666)</f>
        <v>45740.666666666599</v>
      </c>
      <c r="B293" s="2"/>
      <c r="C293" s="1">
        <v>3770</v>
      </c>
      <c r="D293" s="1">
        <v>3830</v>
      </c>
      <c r="E293" s="1">
        <v>3630</v>
      </c>
      <c r="F293" s="1">
        <v>3720</v>
      </c>
      <c r="G293" s="1">
        <v>135658700</v>
      </c>
      <c r="H293" s="8">
        <f t="shared" si="8"/>
        <v>-1.3262599469496022E-2</v>
      </c>
      <c r="I293" s="8">
        <f t="shared" si="9"/>
        <v>-0.30790697674418605</v>
      </c>
    </row>
    <row r="294" spans="1:9" x14ac:dyDescent="0.2">
      <c r="A294" s="2">
        <f ca="1">IFERROR(__xludf.DUMMYFUNCTION("""COMPUTED_VALUE"""),45741.6666666666)</f>
        <v>45741.666666666599</v>
      </c>
      <c r="B294" s="2"/>
      <c r="C294" s="1">
        <v>3770</v>
      </c>
      <c r="D294" s="1">
        <v>3930</v>
      </c>
      <c r="E294" s="1">
        <v>3740</v>
      </c>
      <c r="F294" s="1">
        <v>3900</v>
      </c>
      <c r="G294" s="1">
        <v>157671900</v>
      </c>
      <c r="H294" s="8">
        <f t="shared" si="8"/>
        <v>4.8387096774193547E-2</v>
      </c>
      <c r="I294" s="8">
        <f t="shared" si="9"/>
        <v>-0.2744186046511628</v>
      </c>
    </row>
    <row r="295" spans="1:9" x14ac:dyDescent="0.2">
      <c r="A295" s="2">
        <f ca="1">IFERROR(__xludf.DUMMYFUNCTION("""COMPUTED_VALUE"""),45742.6666666666)</f>
        <v>45742.666666666599</v>
      </c>
      <c r="B295" s="2"/>
      <c r="C295" s="1">
        <v>4010</v>
      </c>
      <c r="D295" s="1">
        <v>4280</v>
      </c>
      <c r="E295" s="1">
        <v>4000</v>
      </c>
      <c r="F295" s="1">
        <v>4250</v>
      </c>
      <c r="G295" s="1">
        <v>229422000</v>
      </c>
      <c r="H295" s="8">
        <f t="shared" si="8"/>
        <v>8.9743589743589744E-2</v>
      </c>
      <c r="I295" s="8">
        <f t="shared" si="9"/>
        <v>-0.20930232558139536</v>
      </c>
    </row>
    <row r="296" spans="1:9" x14ac:dyDescent="0.2">
      <c r="A296" s="2">
        <f ca="1">IFERROR(__xludf.DUMMYFUNCTION("""COMPUTED_VALUE"""),45743.6666666666)</f>
        <v>45743.666666666599</v>
      </c>
      <c r="B296" s="2"/>
      <c r="C296" s="1">
        <v>4250</v>
      </c>
      <c r="D296" s="1">
        <v>4280</v>
      </c>
      <c r="E296" s="1">
        <v>4110</v>
      </c>
      <c r="F296" s="1">
        <v>4240</v>
      </c>
      <c r="G296" s="1">
        <v>101189600</v>
      </c>
      <c r="H296" s="8">
        <f t="shared" si="8"/>
        <v>-2.352941176470588E-3</v>
      </c>
      <c r="I296" s="8">
        <f t="shared" si="9"/>
        <v>-0.21116279069767441</v>
      </c>
    </row>
    <row r="297" spans="1:9" x14ac:dyDescent="0.2">
      <c r="A297" s="2">
        <f ca="1">IFERROR(__xludf.DUMMYFUNCTION("""COMPUTED_VALUE"""),45755.6666666666)</f>
        <v>45755.666666666599</v>
      </c>
      <c r="B297" s="2"/>
      <c r="C297" s="1">
        <v>3680</v>
      </c>
      <c r="D297" s="1">
        <v>4080</v>
      </c>
      <c r="E297" s="1">
        <v>3610</v>
      </c>
      <c r="F297" s="1">
        <v>4030</v>
      </c>
      <c r="G297" s="1">
        <v>185281600</v>
      </c>
      <c r="H297" s="8">
        <f t="shared" si="8"/>
        <v>-4.9528301886792456E-2</v>
      </c>
      <c r="I297" s="8">
        <f t="shared" si="9"/>
        <v>-0.25023255813953488</v>
      </c>
    </row>
    <row r="298" spans="1:9" x14ac:dyDescent="0.2">
      <c r="A298" s="2">
        <f ca="1">IFERROR(__xludf.DUMMYFUNCTION("""COMPUTED_VALUE"""),45756.6666666666)</f>
        <v>45756.666666666599</v>
      </c>
      <c r="B298" s="2"/>
      <c r="C298" s="1">
        <v>4030</v>
      </c>
      <c r="D298" s="1">
        <v>4140</v>
      </c>
      <c r="E298" s="1">
        <v>3970</v>
      </c>
      <c r="F298" s="1">
        <v>4040</v>
      </c>
      <c r="G298" s="1">
        <v>81414200</v>
      </c>
      <c r="H298" s="8">
        <f t="shared" si="8"/>
        <v>2.4813895781637717E-3</v>
      </c>
      <c r="I298" s="8">
        <f t="shared" si="9"/>
        <v>-0.2483720930232558</v>
      </c>
    </row>
    <row r="299" spans="1:9" x14ac:dyDescent="0.2">
      <c r="A299" s="2">
        <f ca="1">IFERROR(__xludf.DUMMYFUNCTION("""COMPUTED_VALUE"""),45757.6666666666)</f>
        <v>45757.666666666599</v>
      </c>
      <c r="B299" s="2"/>
      <c r="C299" s="1">
        <v>4380</v>
      </c>
      <c r="D299" s="1">
        <v>4400</v>
      </c>
      <c r="E299" s="1">
        <v>4220</v>
      </c>
      <c r="F299" s="1">
        <v>4260</v>
      </c>
      <c r="G299" s="1">
        <v>131182600</v>
      </c>
      <c r="H299" s="8">
        <f t="shared" si="8"/>
        <v>5.4455445544554455E-2</v>
      </c>
      <c r="I299" s="8">
        <f t="shared" si="9"/>
        <v>-0.20744186046511628</v>
      </c>
    </row>
    <row r="300" spans="1:9" x14ac:dyDescent="0.2">
      <c r="A300" s="2">
        <f ca="1">IFERROR(__xludf.DUMMYFUNCTION("""COMPUTED_VALUE"""),45758.6666666666)</f>
        <v>45758.666666666599</v>
      </c>
      <c r="B300" s="2"/>
      <c r="C300" s="1">
        <v>4240</v>
      </c>
      <c r="D300" s="1">
        <v>4400</v>
      </c>
      <c r="E300" s="1">
        <v>4200</v>
      </c>
      <c r="F300" s="1">
        <v>4390</v>
      </c>
      <c r="G300" s="1">
        <v>90221600</v>
      </c>
      <c r="H300" s="8">
        <f t="shared" si="8"/>
        <v>3.0516431924882629E-2</v>
      </c>
      <c r="I300" s="8">
        <f t="shared" si="9"/>
        <v>-0.18325581395348836</v>
      </c>
    </row>
    <row r="301" spans="1:9" x14ac:dyDescent="0.2">
      <c r="A301" s="2">
        <f ca="1">IFERROR(__xludf.DUMMYFUNCTION("""COMPUTED_VALUE"""),45761.6666666666)</f>
        <v>45761.666666666599</v>
      </c>
      <c r="B301" s="2"/>
      <c r="C301" s="1">
        <v>4450</v>
      </c>
      <c r="D301" s="1">
        <v>4550</v>
      </c>
      <c r="E301" s="1">
        <v>4440</v>
      </c>
      <c r="F301" s="1">
        <v>4550</v>
      </c>
      <c r="G301" s="1">
        <v>162128800</v>
      </c>
      <c r="H301" s="8">
        <f t="shared" si="8"/>
        <v>3.644646924829157E-2</v>
      </c>
      <c r="I301" s="8">
        <f t="shared" si="9"/>
        <v>-0.15348837209302327</v>
      </c>
    </row>
    <row r="302" spans="1:9" x14ac:dyDescent="0.2">
      <c r="A302" s="2">
        <f ca="1">IFERROR(__xludf.DUMMYFUNCTION("""COMPUTED_VALUE"""),45762.6666666666)</f>
        <v>45762.666666666599</v>
      </c>
      <c r="B302" s="2"/>
      <c r="C302" s="1">
        <v>4280</v>
      </c>
      <c r="D302" s="1">
        <v>4350</v>
      </c>
      <c r="E302" s="1">
        <v>4270</v>
      </c>
      <c r="F302" s="1">
        <v>4280</v>
      </c>
      <c r="G302" s="1">
        <v>156480600</v>
      </c>
      <c r="H302" s="8">
        <f t="shared" si="8"/>
        <v>-5.9340659340659338E-2</v>
      </c>
      <c r="I302" s="8">
        <f t="shared" si="9"/>
        <v>-0.20372093023255813</v>
      </c>
    </row>
    <row r="303" spans="1:9" x14ac:dyDescent="0.2">
      <c r="A303" s="2">
        <f ca="1">IFERROR(__xludf.DUMMYFUNCTION("""COMPUTED_VALUE"""),45763.6666666666)</f>
        <v>45763.666666666599</v>
      </c>
      <c r="B303" s="2"/>
      <c r="C303" s="1">
        <v>4280</v>
      </c>
      <c r="D303" s="1">
        <v>4290</v>
      </c>
      <c r="E303" s="1">
        <v>4090</v>
      </c>
      <c r="F303" s="1">
        <v>4100</v>
      </c>
      <c r="G303" s="1">
        <v>109735100</v>
      </c>
      <c r="H303" s="8">
        <f t="shared" si="8"/>
        <v>-4.2056074766355138E-2</v>
      </c>
      <c r="I303" s="8">
        <f t="shared" si="9"/>
        <v>-0.23720930232558141</v>
      </c>
    </row>
    <row r="304" spans="1:9" x14ac:dyDescent="0.2">
      <c r="A304" s="2">
        <f ca="1">IFERROR(__xludf.DUMMYFUNCTION("""COMPUTED_VALUE"""),45764.6666666666)</f>
        <v>45764.666666666599</v>
      </c>
      <c r="B304" s="2"/>
      <c r="C304" s="1">
        <v>4110</v>
      </c>
      <c r="D304" s="1">
        <v>4150</v>
      </c>
      <c r="E304" s="1">
        <v>4040</v>
      </c>
      <c r="F304" s="1">
        <v>4040</v>
      </c>
      <c r="G304" s="1">
        <v>68392500</v>
      </c>
      <c r="H304" s="8">
        <f t="shared" si="8"/>
        <v>-1.4634146341463415E-2</v>
      </c>
      <c r="I304" s="8">
        <f t="shared" si="9"/>
        <v>-0.2483720930232558</v>
      </c>
    </row>
    <row r="305" spans="1:9" x14ac:dyDescent="0.2">
      <c r="A305" s="2">
        <f ca="1">IFERROR(__xludf.DUMMYFUNCTION("""COMPUTED_VALUE"""),45768.6666666666)</f>
        <v>45768.666666666599</v>
      </c>
      <c r="B305" s="2"/>
      <c r="C305" s="1">
        <v>4040</v>
      </c>
      <c r="D305" s="1">
        <v>4050</v>
      </c>
      <c r="E305" s="1">
        <v>3950</v>
      </c>
      <c r="F305" s="1">
        <v>3990</v>
      </c>
      <c r="G305" s="1">
        <v>67071400</v>
      </c>
      <c r="H305" s="8">
        <f t="shared" si="8"/>
        <v>-1.2376237623762377E-2</v>
      </c>
      <c r="I305" s="8">
        <f t="shared" si="9"/>
        <v>-0.25767441860465118</v>
      </c>
    </row>
    <row r="306" spans="1:9" x14ac:dyDescent="0.2">
      <c r="A306" s="2">
        <f ca="1">IFERROR(__xludf.DUMMYFUNCTION("""COMPUTED_VALUE"""),45769.6666666666)</f>
        <v>45769.666666666599</v>
      </c>
      <c r="B306" s="2"/>
      <c r="C306" s="1">
        <v>3990</v>
      </c>
      <c r="D306" s="1">
        <v>4050</v>
      </c>
      <c r="E306" s="1">
        <v>3960</v>
      </c>
      <c r="F306" s="1">
        <v>4010</v>
      </c>
      <c r="G306" s="1">
        <v>84001100</v>
      </c>
      <c r="H306" s="8">
        <f t="shared" si="8"/>
        <v>5.0125313283208017E-3</v>
      </c>
      <c r="I306" s="8">
        <f t="shared" si="9"/>
        <v>-0.25395348837209303</v>
      </c>
    </row>
    <row r="307" spans="1:9" x14ac:dyDescent="0.2">
      <c r="A307" s="2">
        <f ca="1">IFERROR(__xludf.DUMMYFUNCTION("""COMPUTED_VALUE"""),45770.6666666666)</f>
        <v>45770.666666666599</v>
      </c>
      <c r="B307" s="2"/>
      <c r="C307" s="1">
        <v>4080</v>
      </c>
      <c r="D307" s="1">
        <v>4170</v>
      </c>
      <c r="E307" s="1">
        <v>4030</v>
      </c>
      <c r="F307" s="1">
        <v>4150</v>
      </c>
      <c r="G307" s="1">
        <v>128948700</v>
      </c>
      <c r="H307" s="8">
        <f t="shared" si="8"/>
        <v>3.4912718204488775E-2</v>
      </c>
      <c r="I307" s="8">
        <f t="shared" si="9"/>
        <v>-0.22790697674418606</v>
      </c>
    </row>
    <row r="308" spans="1:9" x14ac:dyDescent="0.2">
      <c r="A308" s="2">
        <f ca="1">IFERROR(__xludf.DUMMYFUNCTION("""COMPUTED_VALUE"""),45771.6666666666)</f>
        <v>45771.666666666599</v>
      </c>
      <c r="B308" s="2"/>
      <c r="C308" s="1">
        <v>4200</v>
      </c>
      <c r="D308" s="1">
        <v>4250</v>
      </c>
      <c r="E308" s="1">
        <v>4120</v>
      </c>
      <c r="F308" s="1">
        <v>4170</v>
      </c>
      <c r="G308" s="1">
        <v>145433700</v>
      </c>
      <c r="H308" s="8">
        <f t="shared" si="8"/>
        <v>4.8192771084337354E-3</v>
      </c>
      <c r="I308" s="8">
        <f t="shared" si="9"/>
        <v>-0.22418604651162791</v>
      </c>
    </row>
    <row r="309" spans="1:9" x14ac:dyDescent="0.2">
      <c r="A309" s="2">
        <f ca="1">IFERROR(__xludf.DUMMYFUNCTION("""COMPUTED_VALUE"""),45772.6666666666)</f>
        <v>45772.666666666599</v>
      </c>
      <c r="B309" s="2"/>
      <c r="C309" s="1">
        <v>4200</v>
      </c>
      <c r="D309" s="1">
        <v>4210</v>
      </c>
      <c r="E309" s="1">
        <v>4140</v>
      </c>
      <c r="F309" s="1">
        <v>4200</v>
      </c>
      <c r="G309" s="1">
        <v>102065100</v>
      </c>
      <c r="H309" s="8">
        <f t="shared" si="8"/>
        <v>7.1942446043165471E-3</v>
      </c>
      <c r="I309" s="8">
        <f t="shared" si="9"/>
        <v>-0.21860465116279071</v>
      </c>
    </row>
    <row r="310" spans="1:9" x14ac:dyDescent="0.2">
      <c r="A310" s="2">
        <f ca="1">IFERROR(__xludf.DUMMYFUNCTION("""COMPUTED_VALUE"""),45775.6666666666)</f>
        <v>45775.666666666599</v>
      </c>
      <c r="B310" s="2"/>
      <c r="C310" s="1">
        <v>4210</v>
      </c>
      <c r="D310" s="1">
        <v>4250</v>
      </c>
      <c r="E310" s="1">
        <v>4170</v>
      </c>
      <c r="F310" s="1">
        <v>4190</v>
      </c>
      <c r="G310" s="1">
        <v>68481300</v>
      </c>
      <c r="H310" s="8">
        <f t="shared" si="8"/>
        <v>-2.3809523809523812E-3</v>
      </c>
      <c r="I310" s="8">
        <f t="shared" si="9"/>
        <v>-0.22046511627906976</v>
      </c>
    </row>
    <row r="311" spans="1:9" x14ac:dyDescent="0.2">
      <c r="A311" s="2">
        <f ca="1">IFERROR(__xludf.DUMMYFUNCTION("""COMPUTED_VALUE"""),45776.6666666666)</f>
        <v>45776.666666666599</v>
      </c>
      <c r="B311" s="2"/>
      <c r="C311" s="1">
        <v>4210</v>
      </c>
      <c r="D311" s="1">
        <v>4220</v>
      </c>
      <c r="E311" s="1">
        <v>4120</v>
      </c>
      <c r="F311" s="1">
        <v>4140</v>
      </c>
      <c r="G311" s="1">
        <v>61824000</v>
      </c>
      <c r="H311" s="8">
        <f t="shared" si="8"/>
        <v>-1.1933174224343675E-2</v>
      </c>
      <c r="I311" s="8">
        <f t="shared" si="9"/>
        <v>-0.2297674418604651</v>
      </c>
    </row>
    <row r="312" spans="1:9" x14ac:dyDescent="0.2">
      <c r="A312" s="2">
        <f ca="1">IFERROR(__xludf.DUMMYFUNCTION("""COMPUTED_VALUE"""),45777.6666666666)</f>
        <v>45777.666666666599</v>
      </c>
      <c r="B312" s="2"/>
      <c r="C312" s="1">
        <v>4160</v>
      </c>
      <c r="D312" s="1">
        <v>4180</v>
      </c>
      <c r="E312" s="1">
        <v>4080</v>
      </c>
      <c r="F312" s="1">
        <v>4180</v>
      </c>
      <c r="G312" s="1">
        <v>85510000</v>
      </c>
      <c r="H312" s="8">
        <f t="shared" si="8"/>
        <v>9.6618357487922701E-3</v>
      </c>
      <c r="I312" s="8">
        <f t="shared" si="9"/>
        <v>-0.22232558139534883</v>
      </c>
    </row>
    <row r="313" spans="1:9" x14ac:dyDescent="0.2">
      <c r="A313" s="2">
        <f ca="1">IFERROR(__xludf.DUMMYFUNCTION("""COMPUTED_VALUE"""),45779.6666666666)</f>
        <v>45779.666666666599</v>
      </c>
      <c r="B313" s="2"/>
      <c r="C313" s="1">
        <v>4220</v>
      </c>
      <c r="D313" s="1">
        <v>4230</v>
      </c>
      <c r="E313" s="1">
        <v>4160</v>
      </c>
      <c r="F313" s="1">
        <v>4200</v>
      </c>
      <c r="G313" s="1">
        <v>81966800</v>
      </c>
      <c r="H313" s="8">
        <f t="shared" si="8"/>
        <v>4.7846889952153108E-3</v>
      </c>
      <c r="I313" s="8">
        <f t="shared" si="9"/>
        <v>-0.21860465116279071</v>
      </c>
    </row>
    <row r="314" spans="1:9" x14ac:dyDescent="0.2">
      <c r="A314" s="2">
        <f ca="1">IFERROR(__xludf.DUMMYFUNCTION("""COMPUTED_VALUE"""),45782.6666666666)</f>
        <v>45782.666666666599</v>
      </c>
      <c r="B314" s="2"/>
      <c r="C314" s="1">
        <v>4210</v>
      </c>
      <c r="D314" s="1">
        <v>4280</v>
      </c>
      <c r="E314" s="1">
        <v>4180</v>
      </c>
      <c r="F314" s="1">
        <v>4210</v>
      </c>
      <c r="G314" s="1">
        <v>60392100</v>
      </c>
      <c r="H314" s="8">
        <f t="shared" si="8"/>
        <v>2.3809523809523812E-3</v>
      </c>
      <c r="I314" s="8">
        <f t="shared" si="9"/>
        <v>-0.21674418604651163</v>
      </c>
    </row>
    <row r="315" spans="1:9" x14ac:dyDescent="0.2">
      <c r="A315" s="2">
        <f ca="1">IFERROR(__xludf.DUMMYFUNCTION("""COMPUTED_VALUE"""),45783.6666666666)</f>
        <v>45783.666666666599</v>
      </c>
      <c r="B315" s="2"/>
      <c r="C315" s="1">
        <v>4220</v>
      </c>
      <c r="D315" s="1">
        <v>4230</v>
      </c>
      <c r="E315" s="1">
        <v>4170</v>
      </c>
      <c r="F315" s="1">
        <v>4180</v>
      </c>
      <c r="G315" s="1">
        <v>66444400</v>
      </c>
      <c r="H315" s="8">
        <f t="shared" si="8"/>
        <v>-7.1258907363420431E-3</v>
      </c>
      <c r="I315" s="8">
        <f t="shared" si="9"/>
        <v>-0.22232558139534883</v>
      </c>
    </row>
    <row r="316" spans="1:9" x14ac:dyDescent="0.2">
      <c r="A316" s="2">
        <f ca="1">IFERROR(__xludf.DUMMYFUNCTION("""COMPUTED_VALUE"""),45784.6666666666)</f>
        <v>45784.666666666599</v>
      </c>
      <c r="B316" s="2"/>
      <c r="C316" s="1">
        <v>4190</v>
      </c>
      <c r="D316" s="1">
        <v>4200</v>
      </c>
      <c r="E316" s="1">
        <v>4140</v>
      </c>
      <c r="F316" s="1">
        <v>4160</v>
      </c>
      <c r="G316" s="1">
        <v>57689300</v>
      </c>
      <c r="H316" s="8">
        <f t="shared" si="8"/>
        <v>-4.7846889952153108E-3</v>
      </c>
      <c r="I316" s="8">
        <f t="shared" si="9"/>
        <v>-0.22604651162790698</v>
      </c>
    </row>
    <row r="317" spans="1:9" x14ac:dyDescent="0.2">
      <c r="A317" s="2">
        <f ca="1">IFERROR(__xludf.DUMMYFUNCTION("""COMPUTED_VALUE"""),45785.6666666666)</f>
        <v>45785.666666666599</v>
      </c>
      <c r="B317" s="2"/>
      <c r="C317" s="1">
        <v>4160</v>
      </c>
      <c r="D317" s="1">
        <v>4220</v>
      </c>
      <c r="E317" s="1">
        <v>4080</v>
      </c>
      <c r="F317" s="1">
        <v>4120</v>
      </c>
      <c r="G317" s="1">
        <v>77995600</v>
      </c>
      <c r="H317" s="8">
        <f t="shared" si="8"/>
        <v>-9.6153846153846159E-3</v>
      </c>
      <c r="I317" s="8">
        <f t="shared" si="9"/>
        <v>-0.23348837209302326</v>
      </c>
    </row>
    <row r="318" spans="1:9" x14ac:dyDescent="0.2">
      <c r="A318" s="2">
        <f ca="1">IFERROR(__xludf.DUMMYFUNCTION("""COMPUTED_VALUE"""),45786.6666666666)</f>
        <v>45786.666666666599</v>
      </c>
      <c r="B318" s="2"/>
      <c r="C318" s="1">
        <v>4120</v>
      </c>
      <c r="D318" s="1">
        <v>4140</v>
      </c>
      <c r="E318" s="1">
        <v>4060</v>
      </c>
      <c r="F318" s="1">
        <v>4100</v>
      </c>
      <c r="G318" s="1">
        <v>37787800</v>
      </c>
      <c r="H318" s="8">
        <f t="shared" si="8"/>
        <v>-4.8543689320388345E-3</v>
      </c>
      <c r="I318" s="8">
        <f t="shared" si="9"/>
        <v>-0.23720930232558141</v>
      </c>
    </row>
    <row r="319" spans="1:9" x14ac:dyDescent="0.2">
      <c r="A319" s="2">
        <f ca="1">IFERROR(__xludf.DUMMYFUNCTION("""COMPUTED_VALUE"""),45791.6666666666)</f>
        <v>45791.666666666599</v>
      </c>
      <c r="B319" s="2"/>
      <c r="C319" s="1">
        <v>4180</v>
      </c>
      <c r="D319" s="1">
        <v>4370</v>
      </c>
      <c r="E319" s="1">
        <v>4160</v>
      </c>
      <c r="F319" s="1">
        <v>4370</v>
      </c>
      <c r="G319" s="1">
        <v>179465400</v>
      </c>
      <c r="H319" s="8">
        <f t="shared" si="8"/>
        <v>6.5853658536585369E-2</v>
      </c>
      <c r="I319" s="8">
        <f t="shared" si="9"/>
        <v>-0.18697674418604651</v>
      </c>
    </row>
    <row r="320" spans="1:9" x14ac:dyDescent="0.2">
      <c r="A320" s="2">
        <f ca="1">IFERROR(__xludf.DUMMYFUNCTION("""COMPUTED_VALUE"""),45792.6666666666)</f>
        <v>45792.666666666599</v>
      </c>
      <c r="B320" s="2"/>
      <c r="C320" s="1">
        <v>4390</v>
      </c>
      <c r="D320" s="1">
        <v>4530</v>
      </c>
      <c r="E320" s="1">
        <v>4390</v>
      </c>
      <c r="F320" s="1">
        <v>4500</v>
      </c>
      <c r="G320" s="1">
        <v>120598100</v>
      </c>
      <c r="H320" s="8">
        <f t="shared" si="8"/>
        <v>2.9748283752860413E-2</v>
      </c>
      <c r="I320" s="8">
        <f t="shared" si="9"/>
        <v>-0.16279069767441862</v>
      </c>
    </row>
    <row r="321" spans="1:9" x14ac:dyDescent="0.2">
      <c r="A321" s="2">
        <f ca="1">IFERROR(__xludf.DUMMYFUNCTION("""COMPUTED_VALUE"""),45793.6666666666)</f>
        <v>45793.666666666599</v>
      </c>
      <c r="B321" s="2"/>
      <c r="C321" s="1">
        <v>4530</v>
      </c>
      <c r="D321" s="1">
        <v>4530</v>
      </c>
      <c r="E321" s="1">
        <v>4360</v>
      </c>
      <c r="F321" s="1">
        <v>4500</v>
      </c>
      <c r="G321" s="1">
        <v>88956700</v>
      </c>
      <c r="H321" s="8">
        <f t="shared" si="8"/>
        <v>0</v>
      </c>
      <c r="I321" s="8">
        <f t="shared" si="9"/>
        <v>-0.16279069767441862</v>
      </c>
    </row>
    <row r="322" spans="1:9" x14ac:dyDescent="0.2">
      <c r="A322" s="2">
        <f ca="1">IFERROR(__xludf.DUMMYFUNCTION("""COMPUTED_VALUE"""),45796.6666666666)</f>
        <v>45796.666666666599</v>
      </c>
      <c r="B322" s="2"/>
      <c r="C322" s="1">
        <v>4480</v>
      </c>
      <c r="D322" s="1">
        <v>4520</v>
      </c>
      <c r="E322" s="1">
        <v>4430</v>
      </c>
      <c r="F322" s="1">
        <v>4460</v>
      </c>
      <c r="G322" s="1">
        <v>60120200</v>
      </c>
      <c r="H322" s="8">
        <f t="shared" si="8"/>
        <v>-8.8888888888888889E-3</v>
      </c>
      <c r="I322" s="8">
        <f t="shared" si="9"/>
        <v>-0.17023255813953489</v>
      </c>
    </row>
    <row r="323" spans="1:9" x14ac:dyDescent="0.2">
      <c r="A323" s="2">
        <f ca="1">IFERROR(__xludf.DUMMYFUNCTION("""COMPUTED_VALUE"""),45797.6666666666)</f>
        <v>45797.666666666599</v>
      </c>
      <c r="B323" s="2"/>
      <c r="C323" s="1">
        <v>4460</v>
      </c>
      <c r="D323" s="1">
        <v>4570</v>
      </c>
      <c r="E323" s="1">
        <v>4420</v>
      </c>
      <c r="F323" s="1">
        <v>4450</v>
      </c>
      <c r="G323" s="1">
        <v>81048500</v>
      </c>
      <c r="H323" s="8">
        <f t="shared" si="8"/>
        <v>-2.242152466367713E-3</v>
      </c>
      <c r="I323" s="8">
        <f t="shared" si="9"/>
        <v>-0.17209302325581396</v>
      </c>
    </row>
    <row r="324" spans="1:9" x14ac:dyDescent="0.2">
      <c r="A324" s="2">
        <f ca="1">IFERROR(__xludf.DUMMYFUNCTION("""COMPUTED_VALUE"""),45798.6666666666)</f>
        <v>45798.666666666599</v>
      </c>
      <c r="B324" s="2"/>
      <c r="C324" s="1">
        <v>4480</v>
      </c>
      <c r="D324" s="1">
        <v>4580</v>
      </c>
      <c r="E324" s="1">
        <v>4470</v>
      </c>
      <c r="F324" s="1">
        <v>4520</v>
      </c>
      <c r="G324" s="1">
        <v>79967600</v>
      </c>
      <c r="H324" s="8">
        <f t="shared" ref="H324:H387" si="10">(F324-F323)/F323</f>
        <v>1.5730337078651686E-2</v>
      </c>
      <c r="I324" s="8">
        <f t="shared" ref="I324:I387" si="11">(F324-$F$2)/$F$2</f>
        <v>-0.15906976744186047</v>
      </c>
    </row>
    <row r="325" spans="1:9" x14ac:dyDescent="0.2">
      <c r="A325" s="2">
        <f ca="1">IFERROR(__xludf.DUMMYFUNCTION("""COMPUTED_VALUE"""),45799.6666666666)</f>
        <v>45799.666666666599</v>
      </c>
      <c r="B325" s="2"/>
      <c r="C325" s="1">
        <v>4520</v>
      </c>
      <c r="D325" s="1">
        <v>4540</v>
      </c>
      <c r="E325" s="1">
        <v>4470</v>
      </c>
      <c r="F325" s="1">
        <v>4470</v>
      </c>
      <c r="G325" s="1">
        <v>42314700</v>
      </c>
      <c r="H325" s="8">
        <f t="shared" si="10"/>
        <v>-1.1061946902654867E-2</v>
      </c>
      <c r="I325" s="8">
        <f t="shared" si="11"/>
        <v>-0.16837209302325581</v>
      </c>
    </row>
    <row r="326" spans="1:9" x14ac:dyDescent="0.2">
      <c r="A326" s="2">
        <f ca="1">IFERROR(__xludf.DUMMYFUNCTION("""COMPUTED_VALUE"""),45800.6666666666)</f>
        <v>45800.666666666599</v>
      </c>
      <c r="B326" s="2"/>
      <c r="C326" s="1">
        <v>4510</v>
      </c>
      <c r="D326" s="1">
        <v>4520</v>
      </c>
      <c r="E326" s="1">
        <v>4480</v>
      </c>
      <c r="F326" s="1">
        <v>4510</v>
      </c>
      <c r="G326" s="1">
        <v>21621500</v>
      </c>
      <c r="H326" s="8">
        <f t="shared" si="10"/>
        <v>8.948545861297539E-3</v>
      </c>
      <c r="I326" s="8">
        <f t="shared" si="11"/>
        <v>-0.16093023255813954</v>
      </c>
    </row>
    <row r="327" spans="1:9" x14ac:dyDescent="0.2">
      <c r="A327" s="2">
        <f ca="1">IFERROR(__xludf.DUMMYFUNCTION("""COMPUTED_VALUE"""),45803.6666666666)</f>
        <v>45803.666666666599</v>
      </c>
      <c r="B327" s="2"/>
      <c r="C327" s="1">
        <v>4510</v>
      </c>
      <c r="D327" s="1">
        <v>4520</v>
      </c>
      <c r="E327" s="1">
        <v>4420</v>
      </c>
      <c r="F327" s="1">
        <v>4500</v>
      </c>
      <c r="G327" s="1">
        <v>36713800</v>
      </c>
      <c r="H327" s="8">
        <f t="shared" si="10"/>
        <v>-2.2172949002217295E-3</v>
      </c>
      <c r="I327" s="8">
        <f t="shared" si="11"/>
        <v>-0.16279069767441862</v>
      </c>
    </row>
    <row r="328" spans="1:9" x14ac:dyDescent="0.2">
      <c r="A328" s="2">
        <f ca="1">IFERROR(__xludf.DUMMYFUNCTION("""COMPUTED_VALUE"""),45804.6666666666)</f>
        <v>45804.666666666599</v>
      </c>
      <c r="B328" s="2"/>
      <c r="C328" s="1">
        <v>4500</v>
      </c>
      <c r="D328" s="1">
        <v>4530</v>
      </c>
      <c r="E328" s="1">
        <v>4460</v>
      </c>
      <c r="F328" s="1">
        <v>4530</v>
      </c>
      <c r="G328" s="1">
        <v>40871300</v>
      </c>
      <c r="H328" s="8">
        <f t="shared" si="10"/>
        <v>6.6666666666666671E-3</v>
      </c>
      <c r="I328" s="8">
        <f t="shared" si="11"/>
        <v>-0.15720930232558139</v>
      </c>
    </row>
    <row r="329" spans="1:9" x14ac:dyDescent="0.2">
      <c r="A329" s="2">
        <f ca="1">IFERROR(__xludf.DUMMYFUNCTION("""COMPUTED_VALUE"""),45805.6666666666)</f>
        <v>45805.666666666599</v>
      </c>
      <c r="B329" s="2"/>
      <c r="C329" s="1">
        <v>4520</v>
      </c>
      <c r="D329" s="1">
        <v>4540</v>
      </c>
      <c r="E329" s="1">
        <v>4470</v>
      </c>
      <c r="F329" s="1">
        <v>4490</v>
      </c>
      <c r="G329" s="1">
        <v>63745800</v>
      </c>
      <c r="H329" s="8">
        <f t="shared" si="10"/>
        <v>-8.8300220750551876E-3</v>
      </c>
      <c r="I329" s="8">
        <f t="shared" si="11"/>
        <v>-0.16465116279069766</v>
      </c>
    </row>
    <row r="330" spans="1:9" x14ac:dyDescent="0.2">
      <c r="A330" s="2">
        <f ca="1">IFERROR(__xludf.DUMMYFUNCTION("""COMPUTED_VALUE"""),45810.6666666666)</f>
        <v>45810.666666666599</v>
      </c>
      <c r="B330" s="2"/>
      <c r="C330" s="1">
        <v>4480</v>
      </c>
      <c r="D330" s="1">
        <v>4480</v>
      </c>
      <c r="E330" s="1">
        <v>4300</v>
      </c>
      <c r="F330" s="1">
        <v>4370</v>
      </c>
      <c r="G330" s="1">
        <v>68993300</v>
      </c>
      <c r="H330" s="8">
        <f t="shared" si="10"/>
        <v>-2.6726057906458798E-2</v>
      </c>
      <c r="I330" s="8">
        <f t="shared" si="11"/>
        <v>-0.18697674418604651</v>
      </c>
    </row>
    <row r="331" spans="1:9" x14ac:dyDescent="0.2">
      <c r="A331" s="2">
        <f ca="1">IFERROR(__xludf.DUMMYFUNCTION("""COMPUTED_VALUE"""),45811.6666666666)</f>
        <v>45811.666666666599</v>
      </c>
      <c r="B331" s="2"/>
      <c r="C331" s="1">
        <v>4350</v>
      </c>
      <c r="D331" s="1">
        <v>4380</v>
      </c>
      <c r="E331" s="1">
        <v>4260</v>
      </c>
      <c r="F331" s="1">
        <v>4370</v>
      </c>
      <c r="G331" s="1">
        <v>42954800</v>
      </c>
      <c r="H331" s="8">
        <f t="shared" si="10"/>
        <v>0</v>
      </c>
      <c r="I331" s="8">
        <f t="shared" si="11"/>
        <v>-0.18697674418604651</v>
      </c>
    </row>
    <row r="332" spans="1:9" x14ac:dyDescent="0.2">
      <c r="A332" s="2">
        <f ca="1">IFERROR(__xludf.DUMMYFUNCTION("""COMPUTED_VALUE"""),45812.6666666666)</f>
        <v>45812.666666666599</v>
      </c>
      <c r="B332" s="2"/>
      <c r="C332" s="1">
        <v>4420</v>
      </c>
      <c r="D332" s="1">
        <v>4420</v>
      </c>
      <c r="E332" s="1">
        <v>4300</v>
      </c>
      <c r="F332" s="1">
        <v>4300</v>
      </c>
      <c r="G332" s="1">
        <v>35499900</v>
      </c>
      <c r="H332" s="8">
        <f t="shared" si="10"/>
        <v>-1.6018306636155607E-2</v>
      </c>
      <c r="I332" s="8">
        <f t="shared" si="11"/>
        <v>-0.2</v>
      </c>
    </row>
    <row r="333" spans="1:9" x14ac:dyDescent="0.2">
      <c r="A333" s="2">
        <f ca="1">IFERROR(__xludf.DUMMYFUNCTION("""COMPUTED_VALUE"""),45813.6666666666)</f>
        <v>45813.666666666599</v>
      </c>
      <c r="B333" s="2"/>
      <c r="C333" s="1">
        <v>4310</v>
      </c>
      <c r="D333" s="1">
        <v>4420</v>
      </c>
      <c r="E333" s="1">
        <v>4310</v>
      </c>
      <c r="F333" s="1">
        <v>4420</v>
      </c>
      <c r="G333" s="1">
        <v>36143400</v>
      </c>
      <c r="H333" s="8">
        <f t="shared" si="10"/>
        <v>2.7906976744186046E-2</v>
      </c>
      <c r="I333" s="8">
        <f t="shared" si="11"/>
        <v>-0.17767441860465116</v>
      </c>
    </row>
    <row r="334" spans="1:9" x14ac:dyDescent="0.2">
      <c r="A334" s="2">
        <f ca="1">IFERROR(__xludf.DUMMYFUNCTION("""COMPUTED_VALUE"""),45818.6666666666)</f>
        <v>45818.666666666599</v>
      </c>
      <c r="B334" s="2"/>
      <c r="C334" s="1">
        <v>4470</v>
      </c>
      <c r="D334" s="1">
        <v>4520</v>
      </c>
      <c r="E334" s="1">
        <v>4450</v>
      </c>
      <c r="F334" s="1">
        <v>4520</v>
      </c>
      <c r="G334" s="1">
        <v>45818600</v>
      </c>
      <c r="H334" s="8">
        <f t="shared" si="10"/>
        <v>2.2624434389140271E-2</v>
      </c>
      <c r="I334" s="8">
        <f t="shared" si="11"/>
        <v>-0.15906976744186047</v>
      </c>
    </row>
    <row r="335" spans="1:9" x14ac:dyDescent="0.2">
      <c r="A335" s="2">
        <f ca="1">IFERROR(__xludf.DUMMYFUNCTION("""COMPUTED_VALUE"""),45819.6666666666)</f>
        <v>45819.666666666599</v>
      </c>
      <c r="B335" s="2"/>
      <c r="C335" s="1">
        <v>4530</v>
      </c>
      <c r="D335" s="1">
        <v>4540</v>
      </c>
      <c r="E335" s="1">
        <v>4480</v>
      </c>
      <c r="F335" s="1">
        <v>4540</v>
      </c>
      <c r="G335" s="1">
        <v>35008700</v>
      </c>
      <c r="H335" s="8">
        <f t="shared" si="10"/>
        <v>4.4247787610619468E-3</v>
      </c>
      <c r="I335" s="8">
        <f t="shared" si="11"/>
        <v>-0.15534883720930232</v>
      </c>
    </row>
    <row r="336" spans="1:9" x14ac:dyDescent="0.2">
      <c r="A336" s="2">
        <f ca="1">IFERROR(__xludf.DUMMYFUNCTION("""COMPUTED_VALUE"""),45820.6666666666)</f>
        <v>45820.666666666599</v>
      </c>
      <c r="B336" s="2"/>
      <c r="C336" s="1">
        <v>4530</v>
      </c>
      <c r="D336" s="1">
        <v>4540</v>
      </c>
      <c r="E336" s="1">
        <v>4480</v>
      </c>
      <c r="F336" s="1">
        <v>4540</v>
      </c>
      <c r="G336" s="1">
        <v>29571100</v>
      </c>
      <c r="H336" s="8">
        <f t="shared" si="10"/>
        <v>0</v>
      </c>
      <c r="I336" s="8">
        <f t="shared" si="11"/>
        <v>-0.15534883720930232</v>
      </c>
    </row>
    <row r="337" spans="1:9" x14ac:dyDescent="0.2">
      <c r="A337" s="2">
        <f ca="1">IFERROR(__xludf.DUMMYFUNCTION("""COMPUTED_VALUE"""),45821.6666666666)</f>
        <v>45821.666666666599</v>
      </c>
      <c r="B337" s="2"/>
      <c r="C337" s="1">
        <v>4480</v>
      </c>
      <c r="D337" s="1">
        <v>4540</v>
      </c>
      <c r="E337" s="1">
        <v>4450</v>
      </c>
      <c r="F337" s="1">
        <v>4540</v>
      </c>
      <c r="G337" s="1">
        <v>30548300</v>
      </c>
      <c r="H337" s="8">
        <f t="shared" si="10"/>
        <v>0</v>
      </c>
      <c r="I337" s="8">
        <f t="shared" si="11"/>
        <v>-0.15534883720930232</v>
      </c>
    </row>
    <row r="338" spans="1:9" x14ac:dyDescent="0.2">
      <c r="A338" s="2">
        <f ca="1">IFERROR(__xludf.DUMMYFUNCTION("""COMPUTED_VALUE"""),45824.6666666666)</f>
        <v>45824.666666666599</v>
      </c>
      <c r="B338" s="2"/>
      <c r="C338" s="1">
        <v>4490</v>
      </c>
      <c r="D338" s="1">
        <v>4490</v>
      </c>
      <c r="E338" s="1">
        <v>4360</v>
      </c>
      <c r="F338" s="1">
        <v>4400</v>
      </c>
      <c r="G338" s="1">
        <v>90223800</v>
      </c>
      <c r="H338" s="8">
        <f t="shared" si="10"/>
        <v>-3.0837004405286344E-2</v>
      </c>
      <c r="I338" s="8">
        <f t="shared" si="11"/>
        <v>-0.18139534883720931</v>
      </c>
    </row>
    <row r="339" spans="1:9" x14ac:dyDescent="0.2">
      <c r="A339" s="2">
        <f ca="1">IFERROR(__xludf.DUMMYFUNCTION("""COMPUTED_VALUE"""),45825.6666666666)</f>
        <v>45825.666666666599</v>
      </c>
      <c r="B339" s="2"/>
      <c r="C339" s="1">
        <v>4400</v>
      </c>
      <c r="D339" s="1">
        <v>4420</v>
      </c>
      <c r="E339" s="1">
        <v>4350</v>
      </c>
      <c r="F339" s="1">
        <v>4360</v>
      </c>
      <c r="G339" s="1">
        <v>44876400</v>
      </c>
      <c r="H339" s="8">
        <f t="shared" si="10"/>
        <v>-9.0909090909090905E-3</v>
      </c>
      <c r="I339" s="8">
        <f t="shared" si="11"/>
        <v>-0.18883720930232559</v>
      </c>
    </row>
    <row r="340" spans="1:9" x14ac:dyDescent="0.2">
      <c r="A340" s="2">
        <f ca="1">IFERROR(__xludf.DUMMYFUNCTION("""COMPUTED_VALUE"""),45826.6666666666)</f>
        <v>45826.666666666599</v>
      </c>
      <c r="B340" s="2"/>
      <c r="C340" s="1">
        <v>4350</v>
      </c>
      <c r="D340" s="1">
        <v>4360</v>
      </c>
      <c r="E340" s="1">
        <v>4250</v>
      </c>
      <c r="F340" s="1">
        <v>4300</v>
      </c>
      <c r="G340" s="1">
        <v>40711200</v>
      </c>
      <c r="H340" s="8">
        <f t="shared" si="10"/>
        <v>-1.3761467889908258E-2</v>
      </c>
      <c r="I340" s="8">
        <f t="shared" si="11"/>
        <v>-0.2</v>
      </c>
    </row>
    <row r="341" spans="1:9" x14ac:dyDescent="0.2">
      <c r="A341" s="2">
        <f ca="1">IFERROR(__xludf.DUMMYFUNCTION("""COMPUTED_VALUE"""),45827.6666666666)</f>
        <v>45827.666666666599</v>
      </c>
      <c r="B341" s="2"/>
      <c r="C341" s="1">
        <v>4300</v>
      </c>
      <c r="D341" s="1">
        <v>4300</v>
      </c>
      <c r="E341" s="1">
        <v>4100</v>
      </c>
      <c r="F341" s="1">
        <v>4130</v>
      </c>
      <c r="G341" s="1">
        <v>87781700</v>
      </c>
      <c r="H341" s="8">
        <f t="shared" si="10"/>
        <v>-3.9534883720930232E-2</v>
      </c>
      <c r="I341" s="8">
        <f t="shared" si="11"/>
        <v>-0.23162790697674418</v>
      </c>
    </row>
    <row r="342" spans="1:9" x14ac:dyDescent="0.2">
      <c r="A342" s="2">
        <f ca="1">IFERROR(__xludf.DUMMYFUNCTION("""COMPUTED_VALUE"""),45828.6666666666)</f>
        <v>45828.666666666599</v>
      </c>
      <c r="B342" s="2"/>
      <c r="C342" s="1">
        <v>4120</v>
      </c>
      <c r="D342" s="1">
        <v>4140</v>
      </c>
      <c r="E342" s="1">
        <v>4050</v>
      </c>
      <c r="F342" s="1">
        <v>4110</v>
      </c>
      <c r="G342" s="1">
        <v>178503500</v>
      </c>
      <c r="H342" s="8">
        <f t="shared" si="10"/>
        <v>-4.8426150121065378E-3</v>
      </c>
      <c r="I342" s="8">
        <f t="shared" si="11"/>
        <v>-0.23534883720930233</v>
      </c>
    </row>
    <row r="343" spans="1:9" x14ac:dyDescent="0.2">
      <c r="A343" s="2">
        <f ca="1">IFERROR(__xludf.DUMMYFUNCTION("""COMPUTED_VALUE"""),45831.6666666666)</f>
        <v>45831.666666666599</v>
      </c>
      <c r="B343" s="2"/>
      <c r="C343" s="1">
        <v>4060</v>
      </c>
      <c r="D343" s="1">
        <v>4100</v>
      </c>
      <c r="E343" s="1">
        <v>3970</v>
      </c>
      <c r="F343" s="1">
        <v>4060</v>
      </c>
      <c r="G343" s="1">
        <v>53486300</v>
      </c>
      <c r="H343" s="8">
        <f t="shared" si="10"/>
        <v>-1.2165450121654502E-2</v>
      </c>
      <c r="I343" s="8">
        <f t="shared" si="11"/>
        <v>-0.24465116279069768</v>
      </c>
    </row>
    <row r="344" spans="1:9" x14ac:dyDescent="0.2">
      <c r="A344" s="2">
        <f ca="1">IFERROR(__xludf.DUMMYFUNCTION("""COMPUTED_VALUE"""),45832.6666666666)</f>
        <v>45832.666666666599</v>
      </c>
      <c r="B344" s="2"/>
      <c r="C344" s="1">
        <v>4160</v>
      </c>
      <c r="D344" s="1">
        <v>4210</v>
      </c>
      <c r="E344" s="1">
        <v>4140</v>
      </c>
      <c r="F344" s="1">
        <v>4140</v>
      </c>
      <c r="G344" s="1">
        <v>51925200</v>
      </c>
      <c r="H344" s="8">
        <f t="shared" si="10"/>
        <v>1.9704433497536946E-2</v>
      </c>
      <c r="I344" s="8">
        <f t="shared" si="11"/>
        <v>-0.2297674418604651</v>
      </c>
    </row>
    <row r="345" spans="1:9" x14ac:dyDescent="0.2">
      <c r="A345" s="2">
        <f ca="1">IFERROR(__xludf.DUMMYFUNCTION("""COMPUTED_VALUE"""),45833.6666666666)</f>
        <v>45833.666666666599</v>
      </c>
      <c r="B345" s="2"/>
      <c r="C345" s="1">
        <v>4200</v>
      </c>
      <c r="D345" s="1">
        <v>4200</v>
      </c>
      <c r="E345" s="1">
        <v>4060</v>
      </c>
      <c r="F345" s="1">
        <v>4110</v>
      </c>
      <c r="G345" s="1">
        <v>33883900</v>
      </c>
      <c r="H345" s="8">
        <f t="shared" si="10"/>
        <v>-7.246376811594203E-3</v>
      </c>
      <c r="I345" s="8">
        <f t="shared" si="11"/>
        <v>-0.23534883720930233</v>
      </c>
    </row>
    <row r="346" spans="1:9" x14ac:dyDescent="0.2">
      <c r="A346" s="2">
        <f ca="1">IFERROR(__xludf.DUMMYFUNCTION("""COMPUTED_VALUE"""),45834.6666666666)</f>
        <v>45834.666666666599</v>
      </c>
      <c r="B346" s="2"/>
      <c r="C346" s="1">
        <v>4110</v>
      </c>
      <c r="D346" s="1">
        <v>4120</v>
      </c>
      <c r="E346" s="1">
        <v>4050</v>
      </c>
      <c r="F346" s="1">
        <v>4120</v>
      </c>
      <c r="G346" s="1">
        <v>31912200</v>
      </c>
      <c r="H346" s="8">
        <f t="shared" si="10"/>
        <v>2.4330900243309003E-3</v>
      </c>
      <c r="I346" s="8">
        <f t="shared" si="11"/>
        <v>-0.23348837209302326</v>
      </c>
    </row>
    <row r="347" spans="1:9" x14ac:dyDescent="0.2">
      <c r="A347" s="2">
        <f ca="1">IFERROR(__xludf.DUMMYFUNCTION("""COMPUTED_VALUE"""),45838.6666666666)</f>
        <v>45838.666666666599</v>
      </c>
      <c r="B347" s="2"/>
      <c r="C347" s="1">
        <v>4130</v>
      </c>
      <c r="D347" s="1">
        <v>4130</v>
      </c>
      <c r="E347" s="1">
        <v>4050</v>
      </c>
      <c r="F347" s="1">
        <v>4120</v>
      </c>
      <c r="G347" s="1">
        <v>53732100</v>
      </c>
      <c r="H347" s="8">
        <f t="shared" si="10"/>
        <v>0</v>
      </c>
      <c r="I347" s="8">
        <f t="shared" si="11"/>
        <v>-0.23348837209302326</v>
      </c>
    </row>
    <row r="348" spans="1:9" x14ac:dyDescent="0.2">
      <c r="A348" s="2">
        <f ca="1">IFERROR(__xludf.DUMMYFUNCTION("""COMPUTED_VALUE"""),45839.6666666666)</f>
        <v>45839.666666666599</v>
      </c>
      <c r="B348" s="2"/>
      <c r="C348" s="1">
        <v>4120</v>
      </c>
      <c r="D348" s="1">
        <v>4130</v>
      </c>
      <c r="E348" s="1">
        <v>4000</v>
      </c>
      <c r="F348" s="1">
        <v>4010</v>
      </c>
      <c r="G348" s="1">
        <v>55713800</v>
      </c>
      <c r="H348" s="8">
        <f t="shared" si="10"/>
        <v>-2.6699029126213591E-2</v>
      </c>
      <c r="I348" s="8">
        <f t="shared" si="11"/>
        <v>-0.25395348837209303</v>
      </c>
    </row>
    <row r="349" spans="1:9" x14ac:dyDescent="0.2">
      <c r="A349" s="2">
        <f ca="1">IFERROR(__xludf.DUMMYFUNCTION("""COMPUTED_VALUE"""),45840.6666666666)</f>
        <v>45840.666666666599</v>
      </c>
      <c r="B349" s="2"/>
      <c r="C349" s="1">
        <v>4010</v>
      </c>
      <c r="D349" s="1">
        <v>4040</v>
      </c>
      <c r="E349" s="1">
        <v>3970</v>
      </c>
      <c r="F349" s="1">
        <v>4020</v>
      </c>
      <c r="G349" s="1">
        <v>31192900</v>
      </c>
      <c r="H349" s="8">
        <f t="shared" si="10"/>
        <v>2.4937655860349127E-3</v>
      </c>
      <c r="I349" s="8">
        <f t="shared" si="11"/>
        <v>-0.25209302325581395</v>
      </c>
    </row>
    <row r="350" spans="1:9" x14ac:dyDescent="0.2">
      <c r="A350" s="2">
        <f ca="1">IFERROR(__xludf.DUMMYFUNCTION("""COMPUTED_VALUE"""),45841.6666666666)</f>
        <v>45841.666666666599</v>
      </c>
      <c r="B350" s="2"/>
      <c r="C350" s="1">
        <v>4010</v>
      </c>
      <c r="D350" s="1">
        <v>4060</v>
      </c>
      <c r="E350" s="1">
        <v>3970</v>
      </c>
      <c r="F350" s="1">
        <v>3970</v>
      </c>
      <c r="G350" s="1">
        <v>49947500</v>
      </c>
      <c r="H350" s="8">
        <f t="shared" si="10"/>
        <v>-1.2437810945273632E-2</v>
      </c>
      <c r="I350" s="8">
        <f t="shared" si="11"/>
        <v>-0.26139534883720933</v>
      </c>
    </row>
    <row r="351" spans="1:9" x14ac:dyDescent="0.2">
      <c r="A351" s="2">
        <f ca="1">IFERROR(__xludf.DUMMYFUNCTION("""COMPUTED_VALUE"""),45842.6666666666)</f>
        <v>45842.666666666599</v>
      </c>
      <c r="B351" s="2"/>
      <c r="C351" s="1">
        <v>3970</v>
      </c>
      <c r="D351" s="1">
        <v>4010</v>
      </c>
      <c r="E351" s="1">
        <v>3950</v>
      </c>
      <c r="F351" s="1">
        <v>4000</v>
      </c>
      <c r="G351" s="1">
        <v>30396500</v>
      </c>
      <c r="H351" s="8">
        <f t="shared" si="10"/>
        <v>7.556675062972292E-3</v>
      </c>
      <c r="I351" s="8">
        <f t="shared" si="11"/>
        <v>-0.2558139534883721</v>
      </c>
    </row>
    <row r="352" spans="1:9" x14ac:dyDescent="0.2">
      <c r="A352" s="2">
        <f ca="1">IFERROR(__xludf.DUMMYFUNCTION("""COMPUTED_VALUE"""),45845.6666666666)</f>
        <v>45845.666666666599</v>
      </c>
      <c r="B352" s="2"/>
      <c r="C352" s="1">
        <v>4000</v>
      </c>
      <c r="D352" s="1">
        <v>4010</v>
      </c>
      <c r="E352" s="1">
        <v>3930</v>
      </c>
      <c r="F352" s="1">
        <v>4000</v>
      </c>
      <c r="G352" s="1">
        <v>28005400</v>
      </c>
      <c r="H352" s="8">
        <f t="shared" si="10"/>
        <v>0</v>
      </c>
      <c r="I352" s="8">
        <f t="shared" si="11"/>
        <v>-0.2558139534883721</v>
      </c>
    </row>
    <row r="353" spans="1:9" x14ac:dyDescent="0.2">
      <c r="A353" s="2">
        <f ca="1">IFERROR(__xludf.DUMMYFUNCTION("""COMPUTED_VALUE"""),45846.6666666666)</f>
        <v>45846.666666666599</v>
      </c>
      <c r="B353" s="2"/>
      <c r="C353" s="1">
        <v>3980</v>
      </c>
      <c r="D353" s="1">
        <v>4020</v>
      </c>
      <c r="E353" s="1">
        <v>3950</v>
      </c>
      <c r="F353" s="1">
        <v>3970</v>
      </c>
      <c r="G353" s="1">
        <v>27867600</v>
      </c>
      <c r="H353" s="8">
        <f t="shared" si="10"/>
        <v>-7.4999999999999997E-3</v>
      </c>
      <c r="I353" s="8">
        <f t="shared" si="11"/>
        <v>-0.26139534883720933</v>
      </c>
    </row>
    <row r="354" spans="1:9" x14ac:dyDescent="0.2">
      <c r="A354" s="2">
        <f ca="1">IFERROR(__xludf.DUMMYFUNCTION("""COMPUTED_VALUE"""),45847.6666666666)</f>
        <v>45847.666666666599</v>
      </c>
      <c r="B354" s="2"/>
      <c r="C354" s="1">
        <v>3960</v>
      </c>
      <c r="D354" s="1">
        <v>4000</v>
      </c>
      <c r="E354" s="1">
        <v>3950</v>
      </c>
      <c r="F354" s="1">
        <v>4000</v>
      </c>
      <c r="G354" s="1">
        <v>27904300</v>
      </c>
      <c r="H354" s="8">
        <f t="shared" si="10"/>
        <v>7.556675062972292E-3</v>
      </c>
      <c r="I354" s="8">
        <f t="shared" si="11"/>
        <v>-0.2558139534883721</v>
      </c>
    </row>
    <row r="355" spans="1:9" x14ac:dyDescent="0.2">
      <c r="A355" s="2">
        <f ca="1">IFERROR(__xludf.DUMMYFUNCTION("""COMPUTED_VALUE"""),45848.6666666666)</f>
        <v>45848.666666666599</v>
      </c>
      <c r="B355" s="2"/>
      <c r="C355" s="1">
        <v>3980</v>
      </c>
      <c r="D355" s="1">
        <v>4140</v>
      </c>
      <c r="E355" s="1">
        <v>3980</v>
      </c>
      <c r="F355" s="1">
        <v>4110</v>
      </c>
      <c r="G355" s="1">
        <v>44060900</v>
      </c>
      <c r="H355" s="8">
        <f t="shared" si="10"/>
        <v>2.75E-2</v>
      </c>
      <c r="I355" s="8">
        <f t="shared" si="11"/>
        <v>-0.23534883720930233</v>
      </c>
    </row>
    <row r="356" spans="1:9" x14ac:dyDescent="0.2">
      <c r="A356" s="2">
        <f ca="1">IFERROR(__xludf.DUMMYFUNCTION("""COMPUTED_VALUE"""),45849.6666666666)</f>
        <v>45849.666666666599</v>
      </c>
      <c r="B356" s="2"/>
      <c r="C356" s="1">
        <v>4130</v>
      </c>
      <c r="D356" s="1">
        <v>4220</v>
      </c>
      <c r="E356" s="1">
        <v>4120</v>
      </c>
      <c r="F356" s="1">
        <v>4180</v>
      </c>
      <c r="G356" s="1">
        <v>48939300</v>
      </c>
      <c r="H356" s="8">
        <f t="shared" si="10"/>
        <v>1.7031630170316302E-2</v>
      </c>
      <c r="I356" s="8">
        <f t="shared" si="11"/>
        <v>-0.22232558139534883</v>
      </c>
    </row>
    <row r="357" spans="1:9" x14ac:dyDescent="0.2">
      <c r="A357" s="2">
        <f ca="1">IFERROR(__xludf.DUMMYFUNCTION("""COMPUTED_VALUE"""),45852.6666666666)</f>
        <v>45852.666666666599</v>
      </c>
      <c r="B357" s="2"/>
      <c r="C357" s="1">
        <v>4190</v>
      </c>
      <c r="D357" s="1">
        <v>4190</v>
      </c>
      <c r="E357" s="1">
        <v>4000</v>
      </c>
      <c r="F357" s="1">
        <v>4040</v>
      </c>
      <c r="G357" s="1">
        <v>68377100</v>
      </c>
      <c r="H357" s="8">
        <f t="shared" si="10"/>
        <v>-3.3492822966507178E-2</v>
      </c>
      <c r="I357" s="8">
        <f t="shared" si="11"/>
        <v>-0.2483720930232558</v>
      </c>
    </row>
    <row r="358" spans="1:9" x14ac:dyDescent="0.2">
      <c r="A358" s="2">
        <f ca="1">IFERROR(__xludf.DUMMYFUNCTION("""COMPUTED_VALUE"""),45853.6666666666)</f>
        <v>45853.666666666599</v>
      </c>
      <c r="B358" s="2"/>
      <c r="C358" s="1">
        <v>4040</v>
      </c>
      <c r="D358" s="1">
        <v>4070</v>
      </c>
      <c r="E358" s="1">
        <v>4010</v>
      </c>
      <c r="F358" s="1">
        <v>4050</v>
      </c>
      <c r="G358" s="1">
        <v>30497400</v>
      </c>
      <c r="H358" s="8">
        <f t="shared" si="10"/>
        <v>2.4752475247524753E-3</v>
      </c>
      <c r="I358" s="8">
        <f t="shared" si="11"/>
        <v>-0.24651162790697675</v>
      </c>
    </row>
    <row r="359" spans="1:9" x14ac:dyDescent="0.2">
      <c r="A359" s="2">
        <f ca="1">IFERROR(__xludf.DUMMYFUNCTION("""COMPUTED_VALUE"""),45854.6666666666)</f>
        <v>45854.666666666599</v>
      </c>
      <c r="B359" s="2"/>
      <c r="C359" s="1">
        <v>4130</v>
      </c>
      <c r="D359" s="1">
        <v>4150</v>
      </c>
      <c r="E359" s="1">
        <v>4080</v>
      </c>
      <c r="F359" s="1">
        <v>4130</v>
      </c>
      <c r="G359" s="1">
        <v>66349800</v>
      </c>
      <c r="H359" s="8">
        <f t="shared" si="10"/>
        <v>1.9753086419753086E-2</v>
      </c>
      <c r="I359" s="8">
        <f t="shared" si="11"/>
        <v>-0.23162790697674418</v>
      </c>
    </row>
    <row r="360" spans="1:9" x14ac:dyDescent="0.2">
      <c r="A360" s="2">
        <f ca="1">IFERROR(__xludf.DUMMYFUNCTION("""COMPUTED_VALUE"""),45855.6666666666)</f>
        <v>45855.666666666599</v>
      </c>
      <c r="B360" s="2"/>
      <c r="C360" s="1">
        <v>4140</v>
      </c>
      <c r="D360" s="1">
        <v>4140</v>
      </c>
      <c r="E360" s="1">
        <v>4090</v>
      </c>
      <c r="F360" s="1">
        <v>4110</v>
      </c>
      <c r="G360" s="1">
        <v>25818000</v>
      </c>
      <c r="H360" s="8">
        <f t="shared" si="10"/>
        <v>-4.8426150121065378E-3</v>
      </c>
      <c r="I360" s="8">
        <f t="shared" si="11"/>
        <v>-0.23534883720930233</v>
      </c>
    </row>
    <row r="361" spans="1:9" x14ac:dyDescent="0.2">
      <c r="A361" s="2">
        <f ca="1">IFERROR(__xludf.DUMMYFUNCTION("""COMPUTED_VALUE"""),45856.6666666666)</f>
        <v>45856.666666666599</v>
      </c>
      <c r="B361" s="2"/>
      <c r="C361" s="1">
        <v>4120</v>
      </c>
      <c r="D361" s="1">
        <v>4150</v>
      </c>
      <c r="E361" s="1">
        <v>4100</v>
      </c>
      <c r="F361" s="1">
        <v>4120</v>
      </c>
      <c r="G361" s="1">
        <v>35072000</v>
      </c>
      <c r="H361" s="8">
        <f t="shared" si="10"/>
        <v>2.4330900243309003E-3</v>
      </c>
      <c r="I361" s="8">
        <f t="shared" si="11"/>
        <v>-0.23348837209302326</v>
      </c>
    </row>
    <row r="362" spans="1:9" x14ac:dyDescent="0.2">
      <c r="A362" s="2">
        <f ca="1">IFERROR(__xludf.DUMMYFUNCTION("""COMPUTED_VALUE"""),45859.6666666666)</f>
        <v>45859.666666666599</v>
      </c>
      <c r="B362" s="2"/>
      <c r="C362" s="1">
        <v>4140</v>
      </c>
      <c r="D362" s="1">
        <v>4140</v>
      </c>
      <c r="E362" s="1">
        <v>4070</v>
      </c>
      <c r="F362" s="1">
        <v>4070</v>
      </c>
      <c r="G362" s="1">
        <v>35004100</v>
      </c>
      <c r="H362" s="8">
        <f t="shared" si="10"/>
        <v>-1.2135922330097087E-2</v>
      </c>
      <c r="I362" s="8">
        <f t="shared" si="11"/>
        <v>-0.2427906976744186</v>
      </c>
    </row>
    <row r="363" spans="1:9" x14ac:dyDescent="0.2">
      <c r="A363" s="2">
        <f ca="1">IFERROR(__xludf.DUMMYFUNCTION("""COMPUTED_VALUE"""),45860.6666666666)</f>
        <v>45860.666666666599</v>
      </c>
      <c r="B363" s="2"/>
      <c r="C363" s="1">
        <v>4090</v>
      </c>
      <c r="D363" s="1">
        <v>4090</v>
      </c>
      <c r="E363" s="1">
        <v>4040</v>
      </c>
      <c r="F363" s="1">
        <v>4050</v>
      </c>
      <c r="G363" s="1">
        <v>32607800</v>
      </c>
      <c r="H363" s="8">
        <f t="shared" si="10"/>
        <v>-4.9140049140049139E-3</v>
      </c>
      <c r="I363" s="8">
        <f t="shared" si="11"/>
        <v>-0.24651162790697675</v>
      </c>
    </row>
    <row r="364" spans="1:9" x14ac:dyDescent="0.2">
      <c r="A364" s="2">
        <f ca="1">IFERROR(__xludf.DUMMYFUNCTION("""COMPUTED_VALUE"""),45861.6666666666)</f>
        <v>45861.666666666599</v>
      </c>
      <c r="B364" s="2"/>
      <c r="C364" s="1">
        <v>4080</v>
      </c>
      <c r="D364" s="1">
        <v>4100</v>
      </c>
      <c r="E364" s="1">
        <v>4040</v>
      </c>
      <c r="F364" s="1">
        <v>4100</v>
      </c>
      <c r="G364" s="1">
        <v>23315700</v>
      </c>
      <c r="H364" s="8">
        <f t="shared" si="10"/>
        <v>1.2345679012345678E-2</v>
      </c>
      <c r="I364" s="8">
        <f t="shared" si="11"/>
        <v>-0.23720930232558141</v>
      </c>
    </row>
    <row r="365" spans="1:9" x14ac:dyDescent="0.2">
      <c r="A365" s="2">
        <f ca="1">IFERROR(__xludf.DUMMYFUNCTION("""COMPUTED_VALUE"""),45862.6666666666)</f>
        <v>45862.666666666599</v>
      </c>
      <c r="B365" s="2"/>
      <c r="C365" s="1">
        <v>4100</v>
      </c>
      <c r="D365" s="1">
        <v>4250</v>
      </c>
      <c r="E365" s="1">
        <v>4080</v>
      </c>
      <c r="F365" s="1">
        <v>4220</v>
      </c>
      <c r="G365" s="1">
        <v>57276100</v>
      </c>
      <c r="H365" s="8">
        <f t="shared" si="10"/>
        <v>2.9268292682926831E-2</v>
      </c>
      <c r="I365" s="8">
        <f t="shared" si="11"/>
        <v>-0.21488372093023256</v>
      </c>
    </row>
    <row r="366" spans="1:9" x14ac:dyDescent="0.2">
      <c r="A366" s="2">
        <f ca="1">IFERROR(__xludf.DUMMYFUNCTION("""COMPUTED_VALUE"""),45863.6666666666)</f>
        <v>45863.666666666599</v>
      </c>
      <c r="B366" s="2"/>
      <c r="C366" s="1">
        <v>4160</v>
      </c>
      <c r="D366" s="1">
        <v>4180</v>
      </c>
      <c r="E366" s="1">
        <v>4070</v>
      </c>
      <c r="F366" s="1">
        <v>4090</v>
      </c>
      <c r="G366" s="1">
        <v>48597600</v>
      </c>
      <c r="H366" s="8">
        <f t="shared" si="10"/>
        <v>-3.0805687203791468E-2</v>
      </c>
      <c r="I366" s="8">
        <f t="shared" si="11"/>
        <v>-0.23906976744186045</v>
      </c>
    </row>
    <row r="367" spans="1:9" x14ac:dyDescent="0.2">
      <c r="A367" s="2">
        <f ca="1">IFERROR(__xludf.DUMMYFUNCTION("""COMPUTED_VALUE"""),45866.6666666666)</f>
        <v>45866.666666666599</v>
      </c>
      <c r="B367" s="2"/>
      <c r="C367" s="1">
        <v>4110</v>
      </c>
      <c r="D367" s="1">
        <v>4220</v>
      </c>
      <c r="E367" s="1">
        <v>4090</v>
      </c>
      <c r="F367" s="1">
        <v>4210</v>
      </c>
      <c r="G367" s="1">
        <v>45451600</v>
      </c>
      <c r="H367" s="8">
        <f t="shared" si="10"/>
        <v>2.9339853300733496E-2</v>
      </c>
      <c r="I367" s="8">
        <f t="shared" si="11"/>
        <v>-0.21674418604651163</v>
      </c>
    </row>
    <row r="368" spans="1:9" x14ac:dyDescent="0.2">
      <c r="A368" s="2">
        <f ca="1">IFERROR(__xludf.DUMMYFUNCTION("""COMPUTED_VALUE"""),45867.6666666666)</f>
        <v>45867.666666666599</v>
      </c>
      <c r="B368" s="2"/>
      <c r="C368" s="1">
        <v>4200</v>
      </c>
      <c r="D368" s="1">
        <v>4200</v>
      </c>
      <c r="E368" s="1">
        <v>4120</v>
      </c>
      <c r="F368" s="1">
        <v>4150</v>
      </c>
      <c r="G368" s="1">
        <v>27287100</v>
      </c>
      <c r="H368" s="8">
        <f t="shared" si="10"/>
        <v>-1.4251781472684086E-2</v>
      </c>
      <c r="I368" s="8">
        <f t="shared" si="11"/>
        <v>-0.22790697674418606</v>
      </c>
    </row>
    <row r="369" spans="1:9" x14ac:dyDescent="0.2">
      <c r="A369" s="2">
        <f ca="1">IFERROR(__xludf.DUMMYFUNCTION("""COMPUTED_VALUE"""),45868.6666666666)</f>
        <v>45868.666666666599</v>
      </c>
      <c r="B369" s="2"/>
      <c r="C369" s="1">
        <v>4150</v>
      </c>
      <c r="D369" s="1">
        <v>4160</v>
      </c>
      <c r="E369" s="1">
        <v>4090</v>
      </c>
      <c r="F369" s="1">
        <v>4120</v>
      </c>
      <c r="G369" s="1">
        <v>33919100</v>
      </c>
      <c r="H369" s="8">
        <f t="shared" si="10"/>
        <v>-7.2289156626506026E-3</v>
      </c>
      <c r="I369" s="8">
        <f t="shared" si="11"/>
        <v>-0.23348837209302326</v>
      </c>
    </row>
    <row r="370" spans="1:9" x14ac:dyDescent="0.2">
      <c r="A370" s="2">
        <f ca="1">IFERROR(__xludf.DUMMYFUNCTION("""COMPUTED_VALUE"""),45869.6666666666)</f>
        <v>45869.666666666599</v>
      </c>
      <c r="B370" s="2"/>
      <c r="C370" s="1">
        <v>4100</v>
      </c>
      <c r="D370" s="1">
        <v>4110</v>
      </c>
      <c r="E370" s="1">
        <v>4010</v>
      </c>
      <c r="F370" s="1">
        <v>4010</v>
      </c>
      <c r="G370" s="1">
        <v>50384500</v>
      </c>
      <c r="H370" s="8">
        <f t="shared" si="10"/>
        <v>-2.6699029126213591E-2</v>
      </c>
      <c r="I370" s="8">
        <f t="shared" si="11"/>
        <v>-0.25395348837209303</v>
      </c>
    </row>
    <row r="371" spans="1:9" x14ac:dyDescent="0.2">
      <c r="A371" s="2">
        <f ca="1">IFERROR(__xludf.DUMMYFUNCTION("""COMPUTED_VALUE"""),45870.6666666666)</f>
        <v>45870.666666666599</v>
      </c>
      <c r="B371" s="2"/>
      <c r="C371" s="1">
        <v>4050</v>
      </c>
      <c r="D371" s="1">
        <v>4070</v>
      </c>
      <c r="E371" s="1">
        <v>4010</v>
      </c>
      <c r="F371" s="1">
        <v>4010</v>
      </c>
      <c r="G371" s="1">
        <v>32295500</v>
      </c>
      <c r="H371" s="8">
        <f t="shared" si="10"/>
        <v>0</v>
      </c>
      <c r="I371" s="8">
        <f t="shared" si="11"/>
        <v>-0.25395348837209303</v>
      </c>
    </row>
    <row r="372" spans="1:9" x14ac:dyDescent="0.2">
      <c r="A372" s="2">
        <f ca="1">IFERROR(__xludf.DUMMYFUNCTION("""COMPUTED_VALUE"""),45873.6666666666)</f>
        <v>45873.666666666599</v>
      </c>
      <c r="B372" s="2"/>
      <c r="C372" s="1">
        <v>4000</v>
      </c>
      <c r="D372" s="1">
        <v>4030</v>
      </c>
      <c r="E372" s="1">
        <v>3990</v>
      </c>
      <c r="F372" s="1">
        <v>4010</v>
      </c>
      <c r="G372" s="1">
        <v>30440700</v>
      </c>
      <c r="H372" s="8">
        <f t="shared" si="10"/>
        <v>0</v>
      </c>
      <c r="I372" s="8">
        <f t="shared" si="11"/>
        <v>-0.25395348837209303</v>
      </c>
    </row>
    <row r="373" spans="1:9" x14ac:dyDescent="0.2">
      <c r="A373" s="2">
        <f ca="1">IFERROR(__xludf.DUMMYFUNCTION("""COMPUTED_VALUE"""),45874.6666666666)</f>
        <v>45874.666666666599</v>
      </c>
      <c r="B373" s="2"/>
      <c r="C373" s="1">
        <v>4040</v>
      </c>
      <c r="D373" s="1">
        <v>4230</v>
      </c>
      <c r="E373" s="1">
        <v>4040</v>
      </c>
      <c r="F373" s="1">
        <v>4220</v>
      </c>
      <c r="G373" s="1">
        <v>93772600</v>
      </c>
      <c r="H373" s="8">
        <f t="shared" si="10"/>
        <v>5.2369077306733167E-2</v>
      </c>
      <c r="I373" s="8">
        <f t="shared" si="11"/>
        <v>-0.21488372093023256</v>
      </c>
    </row>
    <row r="374" spans="1:9" x14ac:dyDescent="0.2">
      <c r="A374" s="2">
        <f ca="1">IFERROR(__xludf.DUMMYFUNCTION("""COMPUTED_VALUE"""),45875.6666666666)</f>
        <v>45875.666666666599</v>
      </c>
      <c r="B374" s="2"/>
      <c r="C374" s="1">
        <v>4220</v>
      </c>
      <c r="D374" s="1">
        <v>4230</v>
      </c>
      <c r="E374" s="1">
        <v>4100</v>
      </c>
      <c r="F374" s="1">
        <v>4100</v>
      </c>
      <c r="G374" s="1">
        <v>27975700</v>
      </c>
      <c r="H374" s="8">
        <f t="shared" si="10"/>
        <v>-2.843601895734597E-2</v>
      </c>
      <c r="I374" s="8">
        <f t="shared" si="11"/>
        <v>-0.23720930232558141</v>
      </c>
    </row>
    <row r="375" spans="1:9" x14ac:dyDescent="0.2">
      <c r="A375" s="2">
        <f ca="1">IFERROR(__xludf.DUMMYFUNCTION("""COMPUTED_VALUE"""),45876.6666666666)</f>
        <v>45876.666666666599</v>
      </c>
      <c r="B375" s="2"/>
      <c r="C375" s="1">
        <v>4120</v>
      </c>
      <c r="D375" s="1">
        <v>4140</v>
      </c>
      <c r="E375" s="1">
        <v>4100</v>
      </c>
      <c r="F375" s="1">
        <v>4120</v>
      </c>
      <c r="G375" s="1">
        <v>21207800</v>
      </c>
      <c r="H375" s="8">
        <f t="shared" si="10"/>
        <v>4.8780487804878049E-3</v>
      </c>
      <c r="I375" s="8">
        <f t="shared" si="11"/>
        <v>-0.23348837209302326</v>
      </c>
    </row>
    <row r="376" spans="1:9" x14ac:dyDescent="0.2">
      <c r="A376" s="2">
        <f ca="1">IFERROR(__xludf.DUMMYFUNCTION("""COMPUTED_VALUE"""),45877.6666666666)</f>
        <v>45877.666666666599</v>
      </c>
      <c r="B376" s="2"/>
      <c r="C376" s="1">
        <v>4090</v>
      </c>
      <c r="D376" s="1">
        <v>4100</v>
      </c>
      <c r="E376" s="1">
        <v>4070</v>
      </c>
      <c r="F376" s="1">
        <v>4070</v>
      </c>
      <c r="G376" s="1">
        <v>43531000</v>
      </c>
      <c r="H376" s="8">
        <f t="shared" si="10"/>
        <v>-1.2135922330097087E-2</v>
      </c>
      <c r="I376" s="8">
        <f t="shared" si="11"/>
        <v>-0.2427906976744186</v>
      </c>
    </row>
    <row r="377" spans="1:9" x14ac:dyDescent="0.2">
      <c r="A377" s="2">
        <f ca="1">IFERROR(__xludf.DUMMYFUNCTION("""COMPUTED_VALUE"""),45880.6666666666)</f>
        <v>45880.666666666599</v>
      </c>
      <c r="B377" s="2"/>
      <c r="C377" s="1">
        <v>4090</v>
      </c>
      <c r="D377" s="1">
        <v>4220</v>
      </c>
      <c r="E377" s="1">
        <v>4080</v>
      </c>
      <c r="F377" s="1">
        <v>4200</v>
      </c>
      <c r="G377" s="1">
        <v>61703500</v>
      </c>
      <c r="H377" s="8">
        <f t="shared" si="10"/>
        <v>3.1941031941031942E-2</v>
      </c>
      <c r="I377" s="8">
        <f t="shared" si="11"/>
        <v>-0.21860465116279071</v>
      </c>
    </row>
    <row r="378" spans="1:9" x14ac:dyDescent="0.2">
      <c r="A378" s="2">
        <f ca="1">IFERROR(__xludf.DUMMYFUNCTION("""COMPUTED_VALUE"""),45881.6666666666)</f>
        <v>45881.666666666599</v>
      </c>
      <c r="B378" s="2"/>
      <c r="C378" s="1">
        <v>4220</v>
      </c>
      <c r="D378" s="1">
        <v>4420</v>
      </c>
      <c r="E378" s="1">
        <v>4210</v>
      </c>
      <c r="F378" s="1">
        <v>4360</v>
      </c>
      <c r="G378" s="1">
        <v>120908000</v>
      </c>
      <c r="H378" s="8">
        <f t="shared" si="10"/>
        <v>3.8095238095238099E-2</v>
      </c>
      <c r="I378" s="8">
        <f t="shared" si="11"/>
        <v>-0.18883720930232559</v>
      </c>
    </row>
    <row r="379" spans="1:9" x14ac:dyDescent="0.2">
      <c r="A379" s="2">
        <f ca="1">IFERROR(__xludf.DUMMYFUNCTION("""COMPUTED_VALUE"""),45882.6666666666)</f>
        <v>45882.666666666599</v>
      </c>
      <c r="B379" s="2"/>
      <c r="C379" s="1">
        <v>4390</v>
      </c>
      <c r="D379" s="1">
        <v>4420</v>
      </c>
      <c r="E379" s="1">
        <v>4310</v>
      </c>
      <c r="F379" s="1">
        <v>4370</v>
      </c>
      <c r="G379" s="1">
        <v>54042400</v>
      </c>
      <c r="H379" s="8">
        <f t="shared" si="10"/>
        <v>2.2935779816513763E-3</v>
      </c>
      <c r="I379" s="8">
        <f t="shared" si="11"/>
        <v>-0.18697674418604651</v>
      </c>
    </row>
    <row r="380" spans="1:9" x14ac:dyDescent="0.2">
      <c r="A380" s="2">
        <f ca="1">IFERROR(__xludf.DUMMYFUNCTION("""COMPUTED_VALUE"""),45883.6666666666)</f>
        <v>45883.666666666599</v>
      </c>
      <c r="B380" s="2"/>
      <c r="C380" s="1">
        <v>4400</v>
      </c>
      <c r="D380" s="1">
        <v>4400</v>
      </c>
      <c r="E380" s="1">
        <v>4360</v>
      </c>
      <c r="F380" s="1">
        <v>4390</v>
      </c>
      <c r="G380" s="1">
        <v>43156900</v>
      </c>
      <c r="H380" s="8">
        <f t="shared" si="10"/>
        <v>4.5766590389016018E-3</v>
      </c>
      <c r="I380" s="8">
        <f t="shared" si="11"/>
        <v>-0.18325581395348836</v>
      </c>
    </row>
    <row r="381" spans="1:9" x14ac:dyDescent="0.2">
      <c r="A381" s="2">
        <f ca="1">IFERROR(__xludf.DUMMYFUNCTION("""COMPUTED_VALUE"""),45884.6666666666)</f>
        <v>45884.666666666599</v>
      </c>
      <c r="B381" s="2"/>
      <c r="C381" s="1">
        <v>4370</v>
      </c>
      <c r="D381" s="1">
        <v>4450</v>
      </c>
      <c r="E381" s="1">
        <v>4370</v>
      </c>
      <c r="F381" s="1">
        <v>4370</v>
      </c>
      <c r="G381" s="1">
        <v>62301400</v>
      </c>
      <c r="H381" s="8">
        <f t="shared" si="10"/>
        <v>-4.5558086560364463E-3</v>
      </c>
      <c r="I381" s="8">
        <f t="shared" si="11"/>
        <v>-0.18697674418604651</v>
      </c>
    </row>
    <row r="382" spans="1:9" x14ac:dyDescent="0.2">
      <c r="A382" s="2">
        <f ca="1">IFERROR(__xludf.DUMMYFUNCTION("""COMPUTED_VALUE"""),45888.6666666666)</f>
        <v>45888.666666666599</v>
      </c>
      <c r="B382" s="2"/>
      <c r="C382" s="1">
        <v>4360</v>
      </c>
      <c r="D382" s="1">
        <v>4360</v>
      </c>
      <c r="E382" s="1">
        <v>4280</v>
      </c>
      <c r="F382" s="1">
        <v>4330</v>
      </c>
      <c r="G382" s="1">
        <v>34407300</v>
      </c>
      <c r="H382" s="8">
        <f t="shared" si="10"/>
        <v>-9.1533180778032037E-3</v>
      </c>
      <c r="I382" s="8">
        <f t="shared" si="11"/>
        <v>-0.19441860465116279</v>
      </c>
    </row>
    <row r="383" spans="1:9" x14ac:dyDescent="0.2">
      <c r="A383" s="2">
        <f ca="1">IFERROR(__xludf.DUMMYFUNCTION("""COMPUTED_VALUE"""),45889.6666666666)</f>
        <v>45889.666666666599</v>
      </c>
      <c r="B383" s="2"/>
      <c r="C383" s="1">
        <v>4290</v>
      </c>
      <c r="D383" s="1">
        <v>4450</v>
      </c>
      <c r="E383" s="1">
        <v>4290</v>
      </c>
      <c r="F383" s="1">
        <v>4430</v>
      </c>
      <c r="G383" s="1">
        <v>52897600</v>
      </c>
      <c r="H383" s="8">
        <f t="shared" si="10"/>
        <v>2.3094688221709007E-2</v>
      </c>
      <c r="I383" s="8">
        <f t="shared" si="11"/>
        <v>-0.17581395348837209</v>
      </c>
    </row>
    <row r="384" spans="1:9" x14ac:dyDescent="0.2">
      <c r="A384" s="2">
        <f ca="1">IFERROR(__xludf.DUMMYFUNCTION("""COMPUTED_VALUE"""),45890.6666666666)</f>
        <v>45890.666666666599</v>
      </c>
      <c r="B384" s="2"/>
      <c r="C384" s="1">
        <v>4420</v>
      </c>
      <c r="D384" s="1">
        <v>4490</v>
      </c>
      <c r="E384" s="1">
        <v>4400</v>
      </c>
      <c r="F384" s="1">
        <v>4490</v>
      </c>
      <c r="G384" s="1">
        <v>60899400</v>
      </c>
      <c r="H384" s="8">
        <f t="shared" si="10"/>
        <v>1.3544018058690745E-2</v>
      </c>
      <c r="I384" s="8">
        <f t="shared" si="11"/>
        <v>-0.16465116279069766</v>
      </c>
    </row>
    <row r="385" spans="1:9" x14ac:dyDescent="0.2">
      <c r="A385" s="2">
        <f ca="1">IFERROR(__xludf.DUMMYFUNCTION("""COMPUTED_VALUE"""),45891.6666666666)</f>
        <v>45891.666666666599</v>
      </c>
      <c r="B385" s="2"/>
      <c r="C385" s="1">
        <v>4500</v>
      </c>
      <c r="D385" s="1">
        <v>4500</v>
      </c>
      <c r="E385" s="1">
        <v>4380</v>
      </c>
      <c r="F385" s="1">
        <v>4390</v>
      </c>
      <c r="G385" s="1">
        <v>32633000</v>
      </c>
      <c r="H385" s="8">
        <f t="shared" si="10"/>
        <v>-2.2271714922048998E-2</v>
      </c>
      <c r="I385" s="8">
        <f t="shared" si="11"/>
        <v>-0.18325581395348836</v>
      </c>
    </row>
    <row r="386" spans="1:9" x14ac:dyDescent="0.2">
      <c r="A386" s="2">
        <f ca="1">IFERROR(__xludf.DUMMYFUNCTION("""COMPUTED_VALUE"""),45894.6666666666)</f>
        <v>45894.666666666599</v>
      </c>
      <c r="B386" s="2"/>
      <c r="C386" s="1">
        <v>4460</v>
      </c>
      <c r="D386" s="1">
        <v>4520</v>
      </c>
      <c r="E386" s="1">
        <v>4440</v>
      </c>
      <c r="F386" s="1">
        <v>4450</v>
      </c>
      <c r="G386" s="1">
        <v>53434200</v>
      </c>
      <c r="H386" s="8">
        <f t="shared" si="10"/>
        <v>1.366742596810934E-2</v>
      </c>
      <c r="I386" s="8">
        <f t="shared" si="11"/>
        <v>-0.17209302325581396</v>
      </c>
    </row>
    <row r="387" spans="1:9" x14ac:dyDescent="0.2">
      <c r="A387" s="2">
        <f ca="1">IFERROR(__xludf.DUMMYFUNCTION("""COMPUTED_VALUE"""),45895.6666666666)</f>
        <v>45895.666666666599</v>
      </c>
      <c r="B387" s="2"/>
      <c r="C387" s="1">
        <v>4430</v>
      </c>
      <c r="D387" s="1">
        <v>4540</v>
      </c>
      <c r="E387" s="1">
        <v>4370</v>
      </c>
      <c r="F387" s="1">
        <v>4540</v>
      </c>
      <c r="G387" s="1">
        <v>85603900</v>
      </c>
      <c r="H387" s="8">
        <f t="shared" si="10"/>
        <v>2.0224719101123594E-2</v>
      </c>
      <c r="I387" s="8">
        <f t="shared" si="11"/>
        <v>-0.15534883720930232</v>
      </c>
    </row>
    <row r="388" spans="1:9" x14ac:dyDescent="0.2">
      <c r="A388" s="2">
        <f ca="1">IFERROR(__xludf.DUMMYFUNCTION("""COMPUTED_VALUE"""),45896.6666666666)</f>
        <v>45896.666666666599</v>
      </c>
      <c r="B388" s="2"/>
      <c r="C388" s="1">
        <v>4500</v>
      </c>
      <c r="D388" s="1">
        <v>4500</v>
      </c>
      <c r="E388" s="1">
        <v>4400</v>
      </c>
      <c r="F388" s="1">
        <v>4450</v>
      </c>
      <c r="G388" s="1">
        <v>45966700</v>
      </c>
      <c r="H388" s="8">
        <f t="shared" ref="H388:H451" si="12">(F388-F387)/F387</f>
        <v>-1.9823788546255508E-2</v>
      </c>
      <c r="I388" s="8">
        <f t="shared" ref="I388:I451" si="13">(F388-$F$2)/$F$2</f>
        <v>-0.17209302325581396</v>
      </c>
    </row>
    <row r="389" spans="1:9" x14ac:dyDescent="0.2">
      <c r="A389" s="2">
        <f ca="1">IFERROR(__xludf.DUMMYFUNCTION("""COMPUTED_VALUE"""),45897.6666666666)</f>
        <v>45897.666666666599</v>
      </c>
      <c r="B389" s="2"/>
      <c r="C389" s="1">
        <v>4480</v>
      </c>
      <c r="D389" s="1">
        <v>4500</v>
      </c>
      <c r="E389" s="1">
        <v>4450</v>
      </c>
      <c r="F389" s="1">
        <v>4460</v>
      </c>
      <c r="G389" s="1">
        <v>37274600</v>
      </c>
      <c r="H389" s="8">
        <f t="shared" si="12"/>
        <v>2.2471910112359553E-3</v>
      </c>
      <c r="I389" s="8">
        <f t="shared" si="13"/>
        <v>-0.17023255813953489</v>
      </c>
    </row>
    <row r="390" spans="1:9" x14ac:dyDescent="0.2">
      <c r="A390" s="2">
        <f ca="1">IFERROR(__xludf.DUMMYFUNCTION("""COMPUTED_VALUE"""),45898.6666666666)</f>
        <v>45898.666666666599</v>
      </c>
      <c r="B390" s="2"/>
      <c r="C390" s="1">
        <v>4440</v>
      </c>
      <c r="D390" s="1">
        <v>4460</v>
      </c>
      <c r="E390" s="1">
        <v>4350</v>
      </c>
      <c r="F390" s="1">
        <v>4380</v>
      </c>
      <c r="G390" s="1">
        <v>60711900</v>
      </c>
      <c r="H390" s="8">
        <f t="shared" si="12"/>
        <v>-1.7937219730941704E-2</v>
      </c>
      <c r="I390" s="8">
        <f t="shared" si="13"/>
        <v>-0.18511627906976744</v>
      </c>
    </row>
    <row r="391" spans="1:9" x14ac:dyDescent="0.2">
      <c r="A391" s="2">
        <f ca="1">IFERROR(__xludf.DUMMYFUNCTION("""COMPUTED_VALUE"""),45901.6666666666)</f>
        <v>45901.666666666599</v>
      </c>
      <c r="B391" s="2"/>
      <c r="C391" s="1">
        <v>4170</v>
      </c>
      <c r="D391" s="1">
        <v>4400</v>
      </c>
      <c r="E391" s="1">
        <v>4150</v>
      </c>
      <c r="F391" s="1">
        <v>4320</v>
      </c>
      <c r="G391" s="1">
        <v>60513100</v>
      </c>
      <c r="H391" s="8">
        <f t="shared" si="12"/>
        <v>-1.3698630136986301E-2</v>
      </c>
      <c r="I391" s="8">
        <f t="shared" si="13"/>
        <v>-0.19627906976744186</v>
      </c>
    </row>
    <row r="392" spans="1:9" x14ac:dyDescent="0.2">
      <c r="A392" s="2">
        <f ca="1">IFERROR(__xludf.DUMMYFUNCTION("""COMPUTED_VALUE"""),45902.6666666666)</f>
        <v>45902.666666666599</v>
      </c>
      <c r="B392" s="2"/>
      <c r="C392" s="1">
        <v>4340</v>
      </c>
      <c r="D392" s="1">
        <v>4430</v>
      </c>
      <c r="E392" s="1">
        <v>4290</v>
      </c>
      <c r="F392" s="1">
        <v>4310</v>
      </c>
      <c r="G392" s="1">
        <v>28513000</v>
      </c>
      <c r="H392" s="8">
        <f t="shared" si="12"/>
        <v>-2.3148148148148147E-3</v>
      </c>
      <c r="I392" s="8">
        <f t="shared" si="13"/>
        <v>-0.19813953488372094</v>
      </c>
    </row>
    <row r="393" spans="1:9" x14ac:dyDescent="0.2">
      <c r="A393" s="2">
        <f ca="1">IFERROR(__xludf.DUMMYFUNCTION("""COMPUTED_VALUE"""),45903.6666666666)</f>
        <v>45903.666666666599</v>
      </c>
      <c r="B393" s="2"/>
      <c r="C393" s="1">
        <v>4320</v>
      </c>
      <c r="D393" s="1">
        <v>4410</v>
      </c>
      <c r="E393" s="1">
        <v>4320</v>
      </c>
      <c r="F393" s="1">
        <v>4410</v>
      </c>
      <c r="G393" s="1">
        <v>29754100</v>
      </c>
      <c r="H393" s="8">
        <f t="shared" si="12"/>
        <v>2.3201856148491878E-2</v>
      </c>
      <c r="I393" s="8">
        <f t="shared" si="13"/>
        <v>-0.17953488372093024</v>
      </c>
    </row>
    <row r="394" spans="1:9" x14ac:dyDescent="0.2">
      <c r="A394" s="2">
        <f ca="1">IFERROR(__xludf.DUMMYFUNCTION("""COMPUTED_VALUE"""),45904.6666666666)</f>
        <v>45904.666666666599</v>
      </c>
      <c r="B394" s="2"/>
      <c r="C394" s="1">
        <v>4410</v>
      </c>
      <c r="D394" s="1">
        <v>4410</v>
      </c>
      <c r="E394" s="1">
        <v>4340</v>
      </c>
      <c r="F394" s="1">
        <v>4370</v>
      </c>
      <c r="G394" s="1">
        <v>17346200</v>
      </c>
      <c r="H394" s="8">
        <f t="shared" si="12"/>
        <v>-9.0702947845804991E-3</v>
      </c>
      <c r="I394" s="8">
        <f t="shared" si="13"/>
        <v>-0.18697674418604651</v>
      </c>
    </row>
    <row r="395" spans="1:9" x14ac:dyDescent="0.2">
      <c r="A395" s="2">
        <f ca="1">IFERROR(__xludf.DUMMYFUNCTION("""COMPUTED_VALUE"""),45908.6666666666)</f>
        <v>45908.666666666599</v>
      </c>
      <c r="B395" s="2"/>
      <c r="C395" s="1">
        <v>4430</v>
      </c>
      <c r="D395" s="1">
        <v>4440</v>
      </c>
      <c r="E395" s="1">
        <v>4050</v>
      </c>
      <c r="F395" s="1">
        <v>4180</v>
      </c>
      <c r="G395" s="1">
        <v>55687200</v>
      </c>
      <c r="H395" s="8">
        <f t="shared" si="12"/>
        <v>-4.3478260869565216E-2</v>
      </c>
      <c r="I395" s="8">
        <f t="shared" si="13"/>
        <v>-0.22232558139534883</v>
      </c>
    </row>
    <row r="396" spans="1:9" x14ac:dyDescent="0.2">
      <c r="A396" s="2">
        <f ca="1">IFERROR(__xludf.DUMMYFUNCTION("""COMPUTED_VALUE"""),45909.6666666666)</f>
        <v>45909.666666666599</v>
      </c>
      <c r="B396" s="2"/>
      <c r="C396" s="1">
        <v>4160</v>
      </c>
      <c r="D396" s="1">
        <v>4200</v>
      </c>
      <c r="E396" s="1">
        <v>4020</v>
      </c>
      <c r="F396" s="1">
        <v>4080</v>
      </c>
      <c r="G396" s="1">
        <v>102884200</v>
      </c>
      <c r="H396" s="8">
        <f t="shared" si="12"/>
        <v>-2.3923444976076555E-2</v>
      </c>
      <c r="I396" s="8">
        <f t="shared" si="13"/>
        <v>-0.24093023255813953</v>
      </c>
    </row>
    <row r="397" spans="1:9" x14ac:dyDescent="0.2">
      <c r="A397" s="2">
        <f ca="1">IFERROR(__xludf.DUMMYFUNCTION("""COMPUTED_VALUE"""),45910.6666666666)</f>
        <v>45910.666666666599</v>
      </c>
      <c r="B397" s="2"/>
      <c r="C397" s="1">
        <v>4100</v>
      </c>
      <c r="D397" s="1">
        <v>4100</v>
      </c>
      <c r="E397" s="1">
        <v>4100</v>
      </c>
      <c r="F397" s="1">
        <v>4100</v>
      </c>
      <c r="G397" s="1">
        <v>801500</v>
      </c>
      <c r="H397" s="8">
        <f t="shared" si="12"/>
        <v>4.9019607843137254E-3</v>
      </c>
      <c r="I397" s="8">
        <f t="shared" si="13"/>
        <v>-0.23720930232558141</v>
      </c>
    </row>
    <row r="398" spans="1:9" x14ac:dyDescent="0.2">
      <c r="A398" s="2">
        <f ca="1">IFERROR(__xludf.DUMMYFUNCTION("""COMPUTED_VALUE"""),45911.6666666666)</f>
        <v>45911.666666666599</v>
      </c>
      <c r="B398" s="2"/>
      <c r="C398" s="1">
        <v>4210</v>
      </c>
      <c r="D398" s="1">
        <v>4430</v>
      </c>
      <c r="E398" s="1">
        <v>4210</v>
      </c>
      <c r="F398" s="1">
        <v>4420</v>
      </c>
      <c r="G398" s="1">
        <v>130159900</v>
      </c>
      <c r="H398" s="8">
        <f t="shared" si="12"/>
        <v>7.8048780487804878E-2</v>
      </c>
      <c r="I398" s="8">
        <f t="shared" si="13"/>
        <v>-0.17767441860465116</v>
      </c>
    </row>
    <row r="399" spans="1:9" x14ac:dyDescent="0.2">
      <c r="A399" s="2">
        <f ca="1">IFERROR(__xludf.DUMMYFUNCTION("""COMPUTED_VALUE"""),45912.6666666666)</f>
        <v>45912.666666666599</v>
      </c>
      <c r="B399" s="2"/>
      <c r="C399" s="1">
        <v>4430</v>
      </c>
      <c r="D399" s="1">
        <v>4530</v>
      </c>
      <c r="E399" s="1">
        <v>4330</v>
      </c>
      <c r="F399" s="1">
        <v>4520</v>
      </c>
      <c r="G399" s="1">
        <v>109797000</v>
      </c>
      <c r="H399" s="8">
        <f t="shared" si="12"/>
        <v>2.2624434389140271E-2</v>
      </c>
      <c r="I399" s="8">
        <f t="shared" si="13"/>
        <v>-0.15906976744186047</v>
      </c>
    </row>
    <row r="400" spans="1:9" x14ac:dyDescent="0.2">
      <c r="A400" s="2">
        <f ca="1">IFERROR(__xludf.DUMMYFUNCTION("""COMPUTED_VALUE"""),45915.6666666666)</f>
        <v>45915.666666666599</v>
      </c>
      <c r="B400" s="2"/>
      <c r="C400" s="1">
        <v>4550</v>
      </c>
      <c r="D400" s="1">
        <v>4600</v>
      </c>
      <c r="E400" s="1">
        <v>4410</v>
      </c>
      <c r="F400" s="1">
        <v>4410</v>
      </c>
      <c r="G400" s="1">
        <v>74523200</v>
      </c>
      <c r="H400" s="8">
        <f t="shared" si="12"/>
        <v>-2.4336283185840708E-2</v>
      </c>
      <c r="I400" s="8">
        <f t="shared" si="13"/>
        <v>-0.17953488372093024</v>
      </c>
    </row>
    <row r="401" spans="1:9" x14ac:dyDescent="0.2">
      <c r="A401" s="2">
        <f ca="1">IFERROR(__xludf.DUMMYFUNCTION("""COMPUTED_VALUE"""),45916.6666666666)</f>
        <v>45916.666666666599</v>
      </c>
      <c r="B401" s="2"/>
      <c r="C401" s="1">
        <v>4440</v>
      </c>
      <c r="D401" s="1">
        <v>4450</v>
      </c>
      <c r="E401" s="1">
        <v>4320</v>
      </c>
      <c r="F401" s="1">
        <v>4370</v>
      </c>
      <c r="G401" s="1">
        <v>52083500</v>
      </c>
      <c r="H401" s="8">
        <f t="shared" si="12"/>
        <v>-9.0702947845804991E-3</v>
      </c>
      <c r="I401" s="8">
        <f t="shared" si="13"/>
        <v>-0.18697674418604651</v>
      </c>
    </row>
    <row r="402" spans="1:9" x14ac:dyDescent="0.2">
      <c r="A402" s="2">
        <f ca="1">IFERROR(__xludf.DUMMYFUNCTION("""COMPUTED_VALUE"""),45917.6666666666)</f>
        <v>45917.666666666599</v>
      </c>
      <c r="B402" s="2"/>
      <c r="C402" s="1">
        <v>4390</v>
      </c>
      <c r="D402" s="1">
        <v>4450</v>
      </c>
      <c r="E402" s="1">
        <v>4330</v>
      </c>
      <c r="F402" s="1">
        <v>4450</v>
      </c>
      <c r="G402" s="1">
        <v>54546000</v>
      </c>
      <c r="H402" s="8">
        <f t="shared" si="12"/>
        <v>1.8306636155606407E-2</v>
      </c>
      <c r="I402" s="8">
        <f t="shared" si="13"/>
        <v>-0.17209302325581396</v>
      </c>
    </row>
    <row r="403" spans="1:9" x14ac:dyDescent="0.2">
      <c r="A403" s="2">
        <f ca="1">IFERROR(__xludf.DUMMYFUNCTION("""COMPUTED_VALUE"""),45918.6666666666)</f>
        <v>45918.666666666599</v>
      </c>
      <c r="B403" s="2"/>
      <c r="C403" s="1">
        <v>4480</v>
      </c>
      <c r="D403" s="1">
        <v>4490</v>
      </c>
      <c r="E403" s="1">
        <v>4250</v>
      </c>
      <c r="F403" s="1">
        <v>4340</v>
      </c>
      <c r="G403" s="1">
        <v>90929900</v>
      </c>
      <c r="H403" s="8">
        <f t="shared" si="12"/>
        <v>-2.4719101123595506E-2</v>
      </c>
      <c r="I403" s="8">
        <f t="shared" si="13"/>
        <v>-0.19255813953488371</v>
      </c>
    </row>
    <row r="404" spans="1:9" x14ac:dyDescent="0.2">
      <c r="A404" s="2">
        <f ca="1">IFERROR(__xludf.DUMMYFUNCTION("""COMPUTED_VALUE"""),45919.6666666666)</f>
        <v>45919.666666666599</v>
      </c>
      <c r="B404" s="2"/>
      <c r="C404" s="1">
        <v>4250</v>
      </c>
      <c r="D404" s="1">
        <v>4290</v>
      </c>
      <c r="E404" s="1">
        <v>4210</v>
      </c>
      <c r="F404" s="1">
        <v>4270</v>
      </c>
      <c r="G404" s="1">
        <v>100584800</v>
      </c>
      <c r="H404" s="8">
        <f t="shared" si="12"/>
        <v>-1.6129032258064516E-2</v>
      </c>
      <c r="I404" s="8">
        <f t="shared" si="13"/>
        <v>-0.20558139534883721</v>
      </c>
    </row>
    <row r="405" spans="1:9" x14ac:dyDescent="0.2">
      <c r="A405" s="2">
        <f ca="1">IFERROR(__xludf.DUMMYFUNCTION("""COMPUTED_VALUE"""),45922.6666666666)</f>
        <v>45922.666666666599</v>
      </c>
      <c r="B405" s="2"/>
      <c r="C405" s="1">
        <v>4270</v>
      </c>
      <c r="D405" s="1">
        <v>4280</v>
      </c>
      <c r="E405" s="1">
        <v>4170</v>
      </c>
      <c r="F405" s="1">
        <v>4210</v>
      </c>
      <c r="G405" s="1">
        <v>63520200</v>
      </c>
      <c r="H405" s="8">
        <f t="shared" si="12"/>
        <v>-1.405152224824356E-2</v>
      </c>
      <c r="I405" s="8">
        <f t="shared" si="13"/>
        <v>-0.21674418604651163</v>
      </c>
    </row>
    <row r="406" spans="1:9" x14ac:dyDescent="0.2">
      <c r="A406" s="2">
        <f ca="1">IFERROR(__xludf.DUMMYFUNCTION("""COMPUTED_VALUE"""),45923.6666666666)</f>
        <v>45923.666666666599</v>
      </c>
      <c r="B406" s="2"/>
      <c r="C406" s="1">
        <v>4210</v>
      </c>
      <c r="D406" s="1">
        <v>4240</v>
      </c>
      <c r="E406" s="1">
        <v>4170</v>
      </c>
      <c r="F406" s="1">
        <v>4200</v>
      </c>
      <c r="G406" s="1">
        <v>39154400</v>
      </c>
      <c r="H406" s="8">
        <f t="shared" si="12"/>
        <v>-2.3752969121140144E-3</v>
      </c>
      <c r="I406" s="8">
        <f t="shared" si="13"/>
        <v>-0.21860465116279071</v>
      </c>
    </row>
    <row r="407" spans="1:9" x14ac:dyDescent="0.2">
      <c r="A407" s="2">
        <f ca="1">IFERROR(__xludf.DUMMYFUNCTION("""COMPUTED_VALUE"""),45924.6666666666)</f>
        <v>45924.666666666599</v>
      </c>
      <c r="B407" s="2"/>
      <c r="C407" s="1">
        <v>4220</v>
      </c>
      <c r="D407" s="1">
        <v>4230</v>
      </c>
      <c r="E407" s="1">
        <v>4170</v>
      </c>
      <c r="F407" s="1">
        <v>4190</v>
      </c>
      <c r="G407" s="1">
        <v>28653700</v>
      </c>
      <c r="H407" s="8">
        <f t="shared" si="12"/>
        <v>-2.3809523809523812E-3</v>
      </c>
      <c r="I407" s="8">
        <f t="shared" si="13"/>
        <v>-0.22046511627906976</v>
      </c>
    </row>
    <row r="408" spans="1:9" x14ac:dyDescent="0.2">
      <c r="A408" s="2">
        <f ca="1">IFERROR(__xludf.DUMMYFUNCTION("""COMPUTED_VALUE"""),45925.6666666666)</f>
        <v>45925.666666666599</v>
      </c>
      <c r="B408" s="2"/>
      <c r="C408" s="1">
        <v>4180</v>
      </c>
      <c r="D408" s="1">
        <v>4190</v>
      </c>
      <c r="E408" s="1">
        <v>4140</v>
      </c>
      <c r="F408" s="1">
        <v>4190</v>
      </c>
      <c r="G408" s="1">
        <v>35633900</v>
      </c>
      <c r="H408" s="8">
        <f t="shared" si="12"/>
        <v>0</v>
      </c>
      <c r="I408" s="8">
        <f t="shared" si="13"/>
        <v>-0.22046511627906976</v>
      </c>
    </row>
    <row r="409" spans="1:9" x14ac:dyDescent="0.2">
      <c r="A409" s="2">
        <f ca="1">IFERROR(__xludf.DUMMYFUNCTION("""COMPUTED_VALUE"""),45926.6666666666)</f>
        <v>45926.666666666599</v>
      </c>
      <c r="B409" s="2"/>
      <c r="C409" s="1">
        <v>4150</v>
      </c>
      <c r="D409" s="1">
        <v>4180</v>
      </c>
      <c r="E409" s="1">
        <v>4110</v>
      </c>
      <c r="F409" s="1">
        <v>4180</v>
      </c>
      <c r="G409" s="1">
        <v>39380500</v>
      </c>
      <c r="H409" s="8">
        <f t="shared" si="12"/>
        <v>-2.3866348448687352E-3</v>
      </c>
      <c r="I409" s="8">
        <f t="shared" si="13"/>
        <v>-0.22232558139534883</v>
      </c>
    </row>
    <row r="410" spans="1:9" x14ac:dyDescent="0.2">
      <c r="A410" s="2">
        <f ca="1">IFERROR(__xludf.DUMMYFUNCTION("""COMPUTED_VALUE"""),45929.6666666666)</f>
        <v>45929.666666666599</v>
      </c>
      <c r="B410" s="2"/>
      <c r="C410" s="1">
        <v>4160</v>
      </c>
      <c r="D410" s="1">
        <v>4170</v>
      </c>
      <c r="E410" s="1">
        <v>4110</v>
      </c>
      <c r="F410" s="1">
        <v>4170</v>
      </c>
      <c r="G410" s="1">
        <v>41037000</v>
      </c>
      <c r="H410" s="8">
        <f t="shared" si="12"/>
        <v>-2.3923444976076554E-3</v>
      </c>
      <c r="I410" s="8">
        <f t="shared" si="13"/>
        <v>-0.22418604651162791</v>
      </c>
    </row>
    <row r="411" spans="1:9" x14ac:dyDescent="0.2">
      <c r="A411" s="2">
        <f ca="1">IFERROR(__xludf.DUMMYFUNCTION("""COMPUTED_VALUE"""),45930.6666666666)</f>
        <v>45930.666666666599</v>
      </c>
      <c r="B411" s="2"/>
      <c r="C411" s="1">
        <v>4170</v>
      </c>
      <c r="D411" s="1">
        <v>4170</v>
      </c>
      <c r="E411" s="1">
        <v>4100</v>
      </c>
      <c r="F411" s="1">
        <v>4100</v>
      </c>
      <c r="G411" s="1">
        <v>60162600</v>
      </c>
      <c r="H411" s="8">
        <f t="shared" si="12"/>
        <v>-1.6786570743405275E-2</v>
      </c>
      <c r="I411" s="8">
        <f t="shared" si="13"/>
        <v>-0.23720930232558141</v>
      </c>
    </row>
    <row r="412" spans="1:9" x14ac:dyDescent="0.2">
      <c r="A412" s="2">
        <f ca="1">IFERROR(__xludf.DUMMYFUNCTION("""COMPUTED_VALUE"""),45931.6666666666)</f>
        <v>45931.666666666599</v>
      </c>
      <c r="B412" s="2"/>
      <c r="C412" s="1">
        <v>4050</v>
      </c>
      <c r="D412" s="1">
        <v>4120</v>
      </c>
      <c r="E412" s="1">
        <v>4050</v>
      </c>
      <c r="F412" s="1">
        <v>4050</v>
      </c>
      <c r="G412" s="1">
        <v>37812400</v>
      </c>
      <c r="H412" s="8">
        <f t="shared" si="12"/>
        <v>-1.2195121951219513E-2</v>
      </c>
      <c r="I412" s="8">
        <f t="shared" si="13"/>
        <v>-0.24651162790697675</v>
      </c>
    </row>
    <row r="413" spans="1:9" x14ac:dyDescent="0.2">
      <c r="A413" s="2">
        <f ca="1">IFERROR(__xludf.DUMMYFUNCTION("""COMPUTED_VALUE"""),45932.6666666666)</f>
        <v>45932.666666666599</v>
      </c>
      <c r="B413" s="2"/>
      <c r="C413" s="1">
        <v>4050</v>
      </c>
      <c r="D413" s="1">
        <v>4100</v>
      </c>
      <c r="E413" s="1">
        <v>4040</v>
      </c>
      <c r="F413" s="1">
        <v>4040</v>
      </c>
      <c r="G413" s="1">
        <v>34730200</v>
      </c>
      <c r="H413" s="8">
        <f t="shared" si="12"/>
        <v>-2.4691358024691358E-3</v>
      </c>
      <c r="I413" s="8">
        <f t="shared" si="13"/>
        <v>-0.2483720930232558</v>
      </c>
    </row>
    <row r="414" spans="1:9" x14ac:dyDescent="0.2">
      <c r="A414" s="2">
        <f ca="1">IFERROR(__xludf.DUMMYFUNCTION("""COMPUTED_VALUE"""),45933.6666666666)</f>
        <v>45933.666666666599</v>
      </c>
      <c r="B414" s="2"/>
      <c r="C414" s="1">
        <v>4060</v>
      </c>
      <c r="D414" s="1">
        <v>4080</v>
      </c>
      <c r="E414" s="1">
        <v>4010</v>
      </c>
      <c r="F414" s="1">
        <v>4040</v>
      </c>
      <c r="G414" s="1">
        <v>26763100</v>
      </c>
      <c r="H414" s="8">
        <f t="shared" si="12"/>
        <v>0</v>
      </c>
      <c r="I414" s="8">
        <f t="shared" si="13"/>
        <v>-0.2483720930232558</v>
      </c>
    </row>
    <row r="415" spans="1:9" x14ac:dyDescent="0.2">
      <c r="A415" s="2">
        <f ca="1">IFERROR(__xludf.DUMMYFUNCTION("""COMPUTED_VALUE"""),45936.6666666666)</f>
        <v>45936.666666666599</v>
      </c>
      <c r="B415" s="2"/>
      <c r="C415" s="1">
        <v>4040</v>
      </c>
      <c r="D415" s="1">
        <v>4090</v>
      </c>
      <c r="E415" s="1">
        <v>4000</v>
      </c>
      <c r="F415" s="1">
        <v>4000</v>
      </c>
      <c r="G415" s="1">
        <v>35060200</v>
      </c>
      <c r="H415" s="8">
        <f t="shared" si="12"/>
        <v>-9.9009900990099011E-3</v>
      </c>
      <c r="I415" s="8">
        <f t="shared" si="13"/>
        <v>-0.2558139534883721</v>
      </c>
    </row>
    <row r="416" spans="1:9" x14ac:dyDescent="0.2">
      <c r="A416" s="2">
        <f ca="1">IFERROR(__xludf.DUMMYFUNCTION("""COMPUTED_VALUE"""),45937.6666666666)</f>
        <v>45937.666666666599</v>
      </c>
      <c r="B416" s="2"/>
      <c r="C416" s="1">
        <v>4030</v>
      </c>
      <c r="D416" s="1">
        <v>4040</v>
      </c>
      <c r="E416" s="1">
        <v>3970</v>
      </c>
      <c r="F416" s="1">
        <v>3990</v>
      </c>
      <c r="G416" s="1">
        <v>41251900</v>
      </c>
      <c r="H416" s="8">
        <f t="shared" si="12"/>
        <v>-2.5000000000000001E-3</v>
      </c>
      <c r="I416" s="8">
        <f t="shared" si="13"/>
        <v>-0.25767441860465118</v>
      </c>
    </row>
    <row r="417" spans="1:9" x14ac:dyDescent="0.2">
      <c r="A417" s="2">
        <f ca="1">IFERROR(__xludf.DUMMYFUNCTION("""COMPUTED_VALUE"""),45938.6666666666)</f>
        <v>45938.666666666599</v>
      </c>
      <c r="B417" s="2"/>
      <c r="C417" s="1">
        <v>4000</v>
      </c>
      <c r="D417" s="1">
        <v>4010</v>
      </c>
      <c r="E417" s="1">
        <v>3930</v>
      </c>
      <c r="F417" s="1">
        <v>3940</v>
      </c>
      <c r="G417" s="1">
        <v>28812600</v>
      </c>
      <c r="H417" s="8">
        <f t="shared" si="12"/>
        <v>-1.2531328320802004E-2</v>
      </c>
      <c r="I417" s="8">
        <f t="shared" si="13"/>
        <v>-0.2669767441860465</v>
      </c>
    </row>
    <row r="418" spans="1:9" x14ac:dyDescent="0.2">
      <c r="A418" s="2">
        <f ca="1">IFERROR(__xludf.DUMMYFUNCTION("""COMPUTED_VALUE"""),45939.6666666666)</f>
        <v>45939.666666666599</v>
      </c>
      <c r="B418" s="2"/>
      <c r="C418" s="1">
        <v>3910</v>
      </c>
      <c r="D418" s="1">
        <v>4150</v>
      </c>
      <c r="E418" s="1">
        <v>3860</v>
      </c>
      <c r="F418" s="1">
        <v>4100</v>
      </c>
      <c r="G418" s="1">
        <v>106114200</v>
      </c>
      <c r="H418" s="8">
        <f t="shared" si="12"/>
        <v>4.060913705583756E-2</v>
      </c>
      <c r="I418" s="8">
        <f t="shared" si="13"/>
        <v>-0.23720930232558141</v>
      </c>
    </row>
    <row r="419" spans="1:9" x14ac:dyDescent="0.2">
      <c r="A419" s="2">
        <f ca="1">IFERROR(__xludf.DUMMYFUNCTION("""COMPUTED_VALUE"""),45940.6666666666)</f>
        <v>45940.666666666599</v>
      </c>
      <c r="B419" s="2"/>
      <c r="C419" s="1">
        <v>4090</v>
      </c>
      <c r="D419" s="1">
        <v>4090</v>
      </c>
      <c r="E419" s="1">
        <v>3950</v>
      </c>
      <c r="F419" s="1">
        <v>3970</v>
      </c>
      <c r="G419" s="1">
        <v>48778300</v>
      </c>
      <c r="H419" s="8">
        <f t="shared" si="12"/>
        <v>-3.1707317073170732E-2</v>
      </c>
      <c r="I419" s="8">
        <f t="shared" si="13"/>
        <v>-0.26139534883720933</v>
      </c>
    </row>
    <row r="420" spans="1:9" x14ac:dyDescent="0.2">
      <c r="A420" s="2">
        <f ca="1">IFERROR(__xludf.DUMMYFUNCTION("""COMPUTED_VALUE"""),45943.6666666666)</f>
        <v>45943.666666666599</v>
      </c>
      <c r="B420" s="2"/>
      <c r="C420" s="1">
        <v>3920</v>
      </c>
      <c r="D420" s="1">
        <v>3940</v>
      </c>
      <c r="E420" s="1">
        <v>3870</v>
      </c>
      <c r="F420" s="1">
        <v>3900</v>
      </c>
      <c r="G420" s="1">
        <v>38351600</v>
      </c>
      <c r="H420" s="8">
        <f t="shared" si="12"/>
        <v>-1.7632241813602016E-2</v>
      </c>
      <c r="I420" s="8">
        <f t="shared" si="13"/>
        <v>-0.2744186046511628</v>
      </c>
    </row>
    <row r="421" spans="1:9" x14ac:dyDescent="0.2">
      <c r="A421" s="2">
        <f ca="1">IFERROR(__xludf.DUMMYFUNCTION("""COMPUTED_VALUE"""),45944.6666666666)</f>
        <v>45944.666666666599</v>
      </c>
      <c r="B421" s="2"/>
      <c r="C421" s="1">
        <v>3910</v>
      </c>
      <c r="D421" s="1">
        <v>3940</v>
      </c>
      <c r="E421" s="1">
        <v>3800</v>
      </c>
      <c r="F421" s="1">
        <v>3800</v>
      </c>
      <c r="G421" s="1">
        <v>69452000</v>
      </c>
      <c r="H421" s="8">
        <f t="shared" si="12"/>
        <v>-2.564102564102564E-2</v>
      </c>
      <c r="I421" s="8">
        <f t="shared" si="13"/>
        <v>-0.2930232558139535</v>
      </c>
    </row>
    <row r="422" spans="1:9" x14ac:dyDescent="0.2">
      <c r="A422" s="2">
        <f ca="1">IFERROR(__xludf.DUMMYFUNCTION("""COMPUTED_VALUE"""),45945.6666666666)</f>
        <v>45945.666666666599</v>
      </c>
      <c r="B422" s="2"/>
      <c r="C422" s="1">
        <v>3810</v>
      </c>
      <c r="D422" s="1">
        <v>3840</v>
      </c>
      <c r="E422" s="1">
        <v>3720</v>
      </c>
      <c r="F422" s="1">
        <v>3770</v>
      </c>
      <c r="G422" s="1">
        <v>84578200</v>
      </c>
      <c r="H422" s="8">
        <f t="shared" si="12"/>
        <v>-7.8947368421052634E-3</v>
      </c>
      <c r="I422" s="8">
        <f t="shared" si="13"/>
        <v>-0.29860465116279072</v>
      </c>
    </row>
    <row r="423" spans="1:9" x14ac:dyDescent="0.2">
      <c r="A423" s="2">
        <f ca="1">IFERROR(__xludf.DUMMYFUNCTION("""COMPUTED_VALUE"""),45946.6666666666)</f>
        <v>45946.666666666599</v>
      </c>
      <c r="B423" s="2"/>
      <c r="C423" s="1">
        <v>3790</v>
      </c>
      <c r="D423" s="1">
        <v>3890</v>
      </c>
      <c r="E423" s="1">
        <v>3760</v>
      </c>
      <c r="F423" s="1">
        <v>3850</v>
      </c>
      <c r="G423" s="1">
        <v>55980800</v>
      </c>
      <c r="H423" s="8">
        <f t="shared" si="12"/>
        <v>2.1220159151193633E-2</v>
      </c>
      <c r="I423" s="8">
        <f t="shared" si="13"/>
        <v>-0.28372093023255812</v>
      </c>
    </row>
    <row r="424" spans="1:9" x14ac:dyDescent="0.2">
      <c r="A424" s="2">
        <f ca="1">IFERROR(__xludf.DUMMYFUNCTION("""COMPUTED_VALUE"""),45947.6666666666)</f>
        <v>45947.666666666599</v>
      </c>
      <c r="B424" s="2"/>
      <c r="C424" s="1">
        <v>3870</v>
      </c>
      <c r="D424" s="1">
        <v>3900</v>
      </c>
      <c r="E424" s="1">
        <v>3800</v>
      </c>
      <c r="F424" s="1">
        <v>3800</v>
      </c>
      <c r="G424" s="1">
        <v>60733400</v>
      </c>
      <c r="H424" s="8">
        <f t="shared" si="12"/>
        <v>-1.2987012987012988E-2</v>
      </c>
      <c r="I424" s="8">
        <f t="shared" si="13"/>
        <v>-0.2930232558139535</v>
      </c>
    </row>
    <row r="425" spans="1:9" x14ac:dyDescent="0.2">
      <c r="A425" s="2">
        <f ca="1">IFERROR(__xludf.DUMMYFUNCTION("""COMPUTED_VALUE"""),45950.6666666666)</f>
        <v>45950.666666666599</v>
      </c>
      <c r="B425" s="2"/>
      <c r="C425" s="1">
        <v>3870</v>
      </c>
      <c r="D425" s="1">
        <v>4110</v>
      </c>
      <c r="E425" s="1">
        <v>3860</v>
      </c>
      <c r="F425" s="1">
        <v>4040</v>
      </c>
      <c r="G425" s="1">
        <v>146203400</v>
      </c>
      <c r="H425" s="8">
        <f t="shared" si="12"/>
        <v>6.3157894736842107E-2</v>
      </c>
      <c r="I425" s="8">
        <f t="shared" si="13"/>
        <v>-0.2483720930232558</v>
      </c>
    </row>
    <row r="426" spans="1:9" x14ac:dyDescent="0.2">
      <c r="A426" s="2">
        <f ca="1">IFERROR(__xludf.DUMMYFUNCTION("""COMPUTED_VALUE"""),45951.6666666666)</f>
        <v>45951.666666666599</v>
      </c>
      <c r="B426" s="2"/>
      <c r="C426" s="1">
        <v>4110</v>
      </c>
      <c r="D426" s="1">
        <v>4130</v>
      </c>
      <c r="E426" s="1">
        <v>4030</v>
      </c>
      <c r="F426" s="1">
        <v>4050</v>
      </c>
      <c r="G426" s="1">
        <v>88064800</v>
      </c>
      <c r="H426" s="8">
        <f t="shared" si="12"/>
        <v>2.4752475247524753E-3</v>
      </c>
      <c r="I426" s="8">
        <f t="shared" si="13"/>
        <v>-0.24651162790697675</v>
      </c>
    </row>
    <row r="427" spans="1:9" x14ac:dyDescent="0.2">
      <c r="A427" s="2">
        <f ca="1">IFERROR(__xludf.DUMMYFUNCTION("""COMPUTED_VALUE"""),45952.6666666666)</f>
        <v>45952.666666666599</v>
      </c>
      <c r="B427" s="2"/>
      <c r="C427" s="1">
        <v>4070</v>
      </c>
      <c r="D427" s="1">
        <v>4150</v>
      </c>
      <c r="E427" s="1">
        <v>4000</v>
      </c>
      <c r="F427" s="1">
        <v>4030</v>
      </c>
      <c r="G427" s="1">
        <v>81226400</v>
      </c>
      <c r="H427" s="8">
        <f t="shared" si="12"/>
        <v>-4.9382716049382715E-3</v>
      </c>
      <c r="I427" s="8">
        <f t="shared" si="13"/>
        <v>-0.25023255813953488</v>
      </c>
    </row>
    <row r="428" spans="1:9" x14ac:dyDescent="0.2">
      <c r="A428" s="2">
        <f ca="1">IFERROR(__xludf.DUMMYFUNCTION("""COMPUTED_VALUE"""),45953.6666666666)</f>
        <v>45953.666666666599</v>
      </c>
      <c r="B428" s="2"/>
      <c r="C428" s="1">
        <v>4030</v>
      </c>
      <c r="D428" s="1">
        <v>4250</v>
      </c>
      <c r="E428" s="1">
        <v>4020</v>
      </c>
      <c r="F428" s="1">
        <v>4240</v>
      </c>
      <c r="G428" s="1">
        <v>130641200</v>
      </c>
      <c r="H428" s="8">
        <f t="shared" si="12"/>
        <v>5.2109181141439205E-2</v>
      </c>
      <c r="I428" s="8">
        <f t="shared" si="13"/>
        <v>-0.21116279069767441</v>
      </c>
    </row>
    <row r="429" spans="1:9" x14ac:dyDescent="0.2">
      <c r="A429" s="2">
        <f ca="1">IFERROR(__xludf.DUMMYFUNCTION("""COMPUTED_VALUE"""),45954.6666666666)</f>
        <v>45954.666666666599</v>
      </c>
      <c r="B429" s="2"/>
      <c r="C429" s="1">
        <v>4220</v>
      </c>
      <c r="D429" s="1">
        <v>4440</v>
      </c>
      <c r="E429" s="1">
        <v>4210</v>
      </c>
      <c r="F429" s="1">
        <v>4370</v>
      </c>
      <c r="G429" s="1">
        <v>177603900</v>
      </c>
      <c r="H429" s="8">
        <f t="shared" si="12"/>
        <v>3.0660377358490566E-2</v>
      </c>
      <c r="I429" s="8">
        <f t="shared" si="13"/>
        <v>-0.18697674418604651</v>
      </c>
    </row>
    <row r="430" spans="1:9" x14ac:dyDescent="0.2">
      <c r="A430" s="2">
        <f ca="1">IFERROR(__xludf.DUMMYFUNCTION("""COMPUTED_VALUE"""),45957.6666666666)</f>
        <v>45957.666666666599</v>
      </c>
      <c r="B430" s="2"/>
      <c r="C430" s="1">
        <v>4440</v>
      </c>
      <c r="D430" s="1">
        <v>4450</v>
      </c>
      <c r="E430" s="1">
        <v>4270</v>
      </c>
      <c r="F430" s="1">
        <v>4370</v>
      </c>
      <c r="G430" s="1">
        <v>102355700</v>
      </c>
      <c r="H430" s="8">
        <f t="shared" si="12"/>
        <v>0</v>
      </c>
      <c r="I430" s="8">
        <f t="shared" si="13"/>
        <v>-0.18697674418604651</v>
      </c>
    </row>
    <row r="431" spans="1:9" x14ac:dyDescent="0.2">
      <c r="A431" s="2">
        <f ca="1">IFERROR(__xludf.DUMMYFUNCTION("""COMPUTED_VALUE"""),45958.6666666666)</f>
        <v>45958.666666666599</v>
      </c>
      <c r="B431" s="2"/>
      <c r="C431" s="1">
        <v>4390</v>
      </c>
      <c r="D431" s="1">
        <v>4440</v>
      </c>
      <c r="E431" s="1">
        <v>4340</v>
      </c>
      <c r="F431" s="1">
        <v>4370</v>
      </c>
      <c r="G431" s="1">
        <v>58463900</v>
      </c>
      <c r="H431" s="8">
        <f t="shared" si="12"/>
        <v>0</v>
      </c>
      <c r="I431" s="8">
        <f t="shared" si="13"/>
        <v>-0.18697674418604651</v>
      </c>
    </row>
    <row r="432" spans="1:9" x14ac:dyDescent="0.2">
      <c r="A432" s="2">
        <f ca="1">IFERROR(__xludf.DUMMYFUNCTION("""COMPUTED_VALUE"""),45959.6666666666)</f>
        <v>45959.666666666599</v>
      </c>
      <c r="B432" s="2"/>
      <c r="C432" s="1">
        <v>4380</v>
      </c>
      <c r="D432" s="1">
        <v>4440</v>
      </c>
      <c r="E432" s="1">
        <v>4320</v>
      </c>
      <c r="F432" s="1">
        <v>4440</v>
      </c>
      <c r="G432" s="1">
        <v>71743700</v>
      </c>
      <c r="H432" s="8">
        <f t="shared" si="12"/>
        <v>1.6018306636155607E-2</v>
      </c>
      <c r="I432" s="8">
        <f t="shared" si="13"/>
        <v>-0.17395348837209301</v>
      </c>
    </row>
    <row r="433" spans="1:9" x14ac:dyDescent="0.2">
      <c r="A433" s="2">
        <f ca="1">IFERROR(__xludf.DUMMYFUNCTION("""COMPUTED_VALUE"""),45960.6666666666)</f>
        <v>45960.666666666599</v>
      </c>
      <c r="B433" s="2"/>
      <c r="C433" s="1">
        <v>4420</v>
      </c>
      <c r="D433" s="1">
        <v>4530</v>
      </c>
      <c r="E433" s="1">
        <v>4370</v>
      </c>
      <c r="F433" s="1">
        <v>4410</v>
      </c>
      <c r="G433" s="1">
        <v>91042600</v>
      </c>
      <c r="H433" s="8">
        <f t="shared" si="12"/>
        <v>-6.7567567567567571E-3</v>
      </c>
      <c r="I433" s="8">
        <f t="shared" si="13"/>
        <v>-0.17953488372093024</v>
      </c>
    </row>
    <row r="434" spans="1:9" x14ac:dyDescent="0.2">
      <c r="A434" s="2">
        <f ca="1">IFERROR(__xludf.DUMMYFUNCTION("""COMPUTED_VALUE"""),45961.6666666666)</f>
        <v>45961.666666666599</v>
      </c>
      <c r="B434" s="2"/>
      <c r="C434" s="1">
        <v>4400</v>
      </c>
      <c r="D434" s="1">
        <v>4450</v>
      </c>
      <c r="E434" s="1">
        <v>4350</v>
      </c>
      <c r="F434" s="1">
        <v>4380</v>
      </c>
      <c r="G434" s="1">
        <v>69141700</v>
      </c>
      <c r="H434" s="8">
        <f t="shared" si="12"/>
        <v>-6.8027210884353739E-3</v>
      </c>
      <c r="I434" s="8">
        <f t="shared" si="13"/>
        <v>-0.18511627906976744</v>
      </c>
    </row>
    <row r="435" spans="1:9" x14ac:dyDescent="0.2">
      <c r="A435" s="2">
        <f ca="1">IFERROR(__xludf.DUMMYFUNCTION("""COMPUTED_VALUE"""),45964.6666666666)</f>
        <v>45964.666666666599</v>
      </c>
      <c r="B435" s="2"/>
      <c r="C435" s="1">
        <v>4390</v>
      </c>
      <c r="D435" s="1">
        <v>4460</v>
      </c>
      <c r="E435" s="1">
        <v>4380</v>
      </c>
      <c r="F435" s="1">
        <v>4430</v>
      </c>
      <c r="G435" s="1">
        <v>40455000</v>
      </c>
      <c r="H435" s="8">
        <f t="shared" si="12"/>
        <v>1.1415525114155251E-2</v>
      </c>
      <c r="I435" s="8">
        <f t="shared" si="13"/>
        <v>-0.17581395348837209</v>
      </c>
    </row>
    <row r="436" spans="1:9" x14ac:dyDescent="0.2">
      <c r="A436" s="2">
        <f ca="1">IFERROR(__xludf.DUMMYFUNCTION("""COMPUTED_VALUE"""),45965.6666666666)</f>
        <v>45965.666666666599</v>
      </c>
      <c r="B436" s="2"/>
      <c r="C436" s="1">
        <v>4430</v>
      </c>
      <c r="D436" s="1">
        <v>4510</v>
      </c>
      <c r="E436" s="1">
        <v>4430</v>
      </c>
      <c r="F436" s="1">
        <v>4450</v>
      </c>
      <c r="G436" s="1">
        <v>73342900</v>
      </c>
      <c r="H436" s="8">
        <f t="shared" si="12"/>
        <v>4.5146726862302479E-3</v>
      </c>
      <c r="I436" s="8">
        <f t="shared" si="13"/>
        <v>-0.17209302325581396</v>
      </c>
    </row>
    <row r="437" spans="1:9" x14ac:dyDescent="0.2">
      <c r="A437" s="2">
        <f ca="1">IFERROR(__xludf.DUMMYFUNCTION("""COMPUTED_VALUE"""),45966.6666666666)</f>
        <v>45966.666666666599</v>
      </c>
      <c r="B437" s="2"/>
      <c r="C437" s="1">
        <v>4400</v>
      </c>
      <c r="D437" s="1">
        <v>4480</v>
      </c>
      <c r="E437" s="1">
        <v>4380</v>
      </c>
      <c r="F437" s="1">
        <v>4460</v>
      </c>
      <c r="G437" s="1">
        <v>43447700</v>
      </c>
      <c r="H437" s="8">
        <f t="shared" si="12"/>
        <v>2.2471910112359553E-3</v>
      </c>
      <c r="I437" s="8">
        <f t="shared" si="13"/>
        <v>-0.17023255813953489</v>
      </c>
    </row>
    <row r="438" spans="1:9" x14ac:dyDescent="0.2">
      <c r="A438" s="2">
        <f ca="1">IFERROR(__xludf.DUMMYFUNCTION("""COMPUTED_VALUE"""),45967.6666666666)</f>
        <v>45967.666666666599</v>
      </c>
      <c r="B438" s="2"/>
      <c r="C438" s="1">
        <v>4450</v>
      </c>
      <c r="D438" s="1">
        <v>4480</v>
      </c>
      <c r="E438" s="1">
        <v>4430</v>
      </c>
      <c r="F438" s="1">
        <v>4440</v>
      </c>
      <c r="G438" s="1">
        <v>31809500</v>
      </c>
      <c r="H438" s="8">
        <f t="shared" si="12"/>
        <v>-4.4843049327354259E-3</v>
      </c>
      <c r="I438" s="8">
        <f t="shared" si="13"/>
        <v>-0.17395348837209301</v>
      </c>
    </row>
    <row r="439" spans="1:9" x14ac:dyDescent="0.2">
      <c r="A439" s="2">
        <f ca="1">IFERROR(__xludf.DUMMYFUNCTION("""COMPUTED_VALUE"""),45968.6666666666)</f>
        <v>45968.666666666599</v>
      </c>
      <c r="B439" s="2"/>
      <c r="C439" s="1">
        <v>4440</v>
      </c>
      <c r="D439" s="1">
        <v>4500</v>
      </c>
      <c r="E439" s="1">
        <v>4440</v>
      </c>
      <c r="F439" s="1">
        <v>4500</v>
      </c>
      <c r="G439" s="1">
        <v>36148800</v>
      </c>
      <c r="H439" s="8">
        <f t="shared" si="12"/>
        <v>1.3513513513513514E-2</v>
      </c>
      <c r="I439" s="8">
        <f t="shared" si="13"/>
        <v>-0.16279069767441862</v>
      </c>
    </row>
    <row r="440" spans="1:9" x14ac:dyDescent="0.2">
      <c r="A440" s="2">
        <f ca="1">IFERROR(__xludf.DUMMYFUNCTION("""COMPUTED_VALUE"""),45971.6666666666)</f>
        <v>45971.666666666599</v>
      </c>
      <c r="B440" s="2"/>
      <c r="C440" s="1">
        <v>4520</v>
      </c>
      <c r="D440" s="1">
        <v>4520</v>
      </c>
      <c r="E440" s="1">
        <v>4410</v>
      </c>
      <c r="F440" s="1">
        <v>4420</v>
      </c>
      <c r="G440" s="1">
        <v>45518800</v>
      </c>
      <c r="H440" s="8">
        <f t="shared" si="12"/>
        <v>-1.7777777777777778E-2</v>
      </c>
      <c r="I440" s="8">
        <f t="shared" si="13"/>
        <v>-0.17767441860465116</v>
      </c>
    </row>
    <row r="441" spans="1:9" x14ac:dyDescent="0.2">
      <c r="A441" s="2">
        <f ca="1">IFERROR(__xludf.DUMMYFUNCTION("""COMPUTED_VALUE"""),45972.6666666666)</f>
        <v>45972.666666666599</v>
      </c>
      <c r="B441" s="2"/>
      <c r="C441" s="1">
        <v>4450</v>
      </c>
      <c r="D441" s="1">
        <v>4450</v>
      </c>
      <c r="E441" s="1">
        <v>4370</v>
      </c>
      <c r="F441" s="1">
        <v>4420</v>
      </c>
      <c r="G441" s="1">
        <v>48792200</v>
      </c>
      <c r="H441" s="8">
        <f t="shared" si="12"/>
        <v>0</v>
      </c>
      <c r="I441" s="8">
        <f t="shared" si="13"/>
        <v>-0.17767441860465116</v>
      </c>
    </row>
    <row r="442" spans="1:9" x14ac:dyDescent="0.2">
      <c r="A442" s="2">
        <f ca="1">IFERROR(__xludf.DUMMYFUNCTION("""COMPUTED_VALUE"""),45973.6666666666)</f>
        <v>45973.666666666599</v>
      </c>
      <c r="B442" s="2"/>
      <c r="C442" s="1">
        <v>4410</v>
      </c>
      <c r="D442" s="1">
        <v>4480</v>
      </c>
      <c r="E442" s="1">
        <v>4400</v>
      </c>
      <c r="F442" s="1">
        <v>4460</v>
      </c>
      <c r="G442" s="1">
        <v>35386800</v>
      </c>
      <c r="H442" s="8">
        <f t="shared" si="12"/>
        <v>9.0497737556561094E-3</v>
      </c>
      <c r="I442" s="8">
        <f t="shared" si="13"/>
        <v>-0.17023255813953489</v>
      </c>
    </row>
    <row r="443" spans="1:9" x14ac:dyDescent="0.2">
      <c r="A443" s="2">
        <f ca="1">IFERROR(__xludf.DUMMYFUNCTION("""COMPUTED_VALUE"""),45974.6666666666)</f>
        <v>45974.666666666599</v>
      </c>
      <c r="B443" s="2"/>
      <c r="C443" s="1">
        <v>4470</v>
      </c>
      <c r="D443" s="1">
        <v>4480</v>
      </c>
      <c r="E443" s="1">
        <v>4420</v>
      </c>
      <c r="F443" s="1">
        <v>4420</v>
      </c>
      <c r="G443" s="1">
        <v>20207300</v>
      </c>
      <c r="H443" s="8">
        <f t="shared" si="12"/>
        <v>-8.9686098654708519E-3</v>
      </c>
      <c r="I443" s="8">
        <f t="shared" si="13"/>
        <v>-0.17767441860465116</v>
      </c>
    </row>
    <row r="444" spans="1:9" x14ac:dyDescent="0.2">
      <c r="A444" s="2">
        <f ca="1">IFERROR(__xludf.DUMMYFUNCTION("""COMPUTED_VALUE"""),45975.6666666666)</f>
        <v>45975.666666666599</v>
      </c>
      <c r="B444" s="2"/>
      <c r="C444" s="1">
        <v>4410</v>
      </c>
      <c r="D444" s="1">
        <v>4450</v>
      </c>
      <c r="E444" s="1">
        <v>4370</v>
      </c>
      <c r="F444" s="1">
        <v>4390</v>
      </c>
      <c r="G444" s="1">
        <v>34602500</v>
      </c>
      <c r="H444" s="8">
        <f t="shared" si="12"/>
        <v>-6.7873303167420816E-3</v>
      </c>
      <c r="I444" s="8">
        <f t="shared" si="13"/>
        <v>-0.18325581395348836</v>
      </c>
    </row>
    <row r="445" spans="1:9" x14ac:dyDescent="0.2">
      <c r="A445" s="2">
        <f ca="1">IFERROR(__xludf.DUMMYFUNCTION("""COMPUTED_VALUE"""),45978.6666666666)</f>
        <v>45978.666666666599</v>
      </c>
      <c r="B445" s="2"/>
      <c r="C445" s="1">
        <v>4390</v>
      </c>
      <c r="D445" s="1">
        <v>4440</v>
      </c>
      <c r="E445" s="1">
        <v>4380</v>
      </c>
      <c r="F445" s="1">
        <v>4390</v>
      </c>
      <c r="G445" s="1">
        <v>28453300</v>
      </c>
      <c r="H445" s="8">
        <f t="shared" si="12"/>
        <v>0</v>
      </c>
      <c r="I445" s="8">
        <f t="shared" si="13"/>
        <v>-0.18325581395348836</v>
      </c>
    </row>
    <row r="446" spans="1:9" x14ac:dyDescent="0.2">
      <c r="A446" s="2">
        <f ca="1">IFERROR(__xludf.DUMMYFUNCTION("""COMPUTED_VALUE"""),45979.6666666666)</f>
        <v>45979.666666666599</v>
      </c>
      <c r="B446" s="2"/>
      <c r="C446" s="1">
        <v>4400</v>
      </c>
      <c r="D446" s="1">
        <v>4470</v>
      </c>
      <c r="E446" s="1">
        <v>4400</v>
      </c>
      <c r="F446" s="1">
        <v>4460</v>
      </c>
      <c r="G446" s="1">
        <v>36957300</v>
      </c>
      <c r="H446" s="8">
        <f t="shared" si="12"/>
        <v>1.5945330296127564E-2</v>
      </c>
      <c r="I446" s="8">
        <f t="shared" si="13"/>
        <v>-0.17023255813953489</v>
      </c>
    </row>
    <row r="447" spans="1:9" x14ac:dyDescent="0.2">
      <c r="A447" s="2">
        <f ca="1">IFERROR(__xludf.DUMMYFUNCTION("""COMPUTED_VALUE"""),45980.6666666666)</f>
        <v>45980.666666666599</v>
      </c>
      <c r="B447" s="2"/>
      <c r="C447" s="1">
        <v>4470</v>
      </c>
      <c r="D447" s="1">
        <v>4470</v>
      </c>
      <c r="E447" s="1">
        <v>4410</v>
      </c>
      <c r="F447" s="1">
        <v>4460</v>
      </c>
      <c r="G447" s="1">
        <v>34300600</v>
      </c>
      <c r="H447" s="8">
        <f t="shared" si="12"/>
        <v>0</v>
      </c>
      <c r="I447" s="8">
        <f t="shared" si="13"/>
        <v>-0.17023255813953489</v>
      </c>
    </row>
    <row r="448" spans="1:9" x14ac:dyDescent="0.2">
      <c r="A448" s="2">
        <f ca="1">IFERROR(__xludf.DUMMYFUNCTION("""COMPUTED_VALUE"""),45981.6666666666)</f>
        <v>45981.666666666599</v>
      </c>
      <c r="B448" s="2"/>
      <c r="C448" s="1">
        <v>4470</v>
      </c>
      <c r="D448" s="1">
        <v>4560</v>
      </c>
      <c r="E448" s="1">
        <v>4450</v>
      </c>
      <c r="F448" s="1">
        <v>4460</v>
      </c>
      <c r="G448" s="1">
        <v>54706000</v>
      </c>
      <c r="H448" s="8">
        <f t="shared" si="12"/>
        <v>0</v>
      </c>
      <c r="I448" s="8">
        <f t="shared" si="13"/>
        <v>-0.17023255813953489</v>
      </c>
    </row>
    <row r="449" spans="1:9" x14ac:dyDescent="0.2">
      <c r="A449" s="2">
        <f ca="1">IFERROR(__xludf.DUMMYFUNCTION("""COMPUTED_VALUE"""),45982.6666666666)</f>
        <v>45982.666666666599</v>
      </c>
      <c r="B449" s="2"/>
      <c r="C449" s="1">
        <v>4450</v>
      </c>
      <c r="D449" s="1">
        <v>4450</v>
      </c>
      <c r="E449" s="1">
        <v>4370</v>
      </c>
      <c r="F449" s="1">
        <v>4390</v>
      </c>
      <c r="G449" s="1">
        <v>45565700</v>
      </c>
      <c r="H449" s="8">
        <f t="shared" si="12"/>
        <v>-1.5695067264573991E-2</v>
      </c>
      <c r="I449" s="8">
        <f t="shared" si="13"/>
        <v>-0.18325581395348836</v>
      </c>
    </row>
    <row r="450" spans="1:9" x14ac:dyDescent="0.2">
      <c r="A450" s="2">
        <f ca="1">IFERROR(__xludf.DUMMYFUNCTION("""COMPUTED_VALUE"""),45985.6666666666)</f>
        <v>45985.666666666599</v>
      </c>
      <c r="B450" s="2"/>
      <c r="C450" s="1">
        <v>4400</v>
      </c>
      <c r="D450" s="1">
        <v>4440</v>
      </c>
      <c r="E450" s="1">
        <v>4350</v>
      </c>
      <c r="F450" s="1">
        <v>4390</v>
      </c>
      <c r="G450" s="1">
        <v>76652700</v>
      </c>
      <c r="H450" s="8">
        <f t="shared" si="12"/>
        <v>0</v>
      </c>
      <c r="I450" s="8">
        <f t="shared" si="13"/>
        <v>-0.18325581395348836</v>
      </c>
    </row>
    <row r="451" spans="1:9" x14ac:dyDescent="0.2">
      <c r="A451" s="2">
        <f ca="1">IFERROR(__xludf.DUMMYFUNCTION("""COMPUTED_VALUE"""),45986.6666666666)</f>
        <v>45986.666666666599</v>
      </c>
      <c r="B451" s="2"/>
      <c r="C451" s="1">
        <v>4420</v>
      </c>
      <c r="D451" s="1">
        <v>4450</v>
      </c>
      <c r="E451" s="1">
        <v>4370</v>
      </c>
      <c r="F451" s="1">
        <v>4420</v>
      </c>
      <c r="G451" s="1">
        <v>36142900</v>
      </c>
      <c r="H451" s="8">
        <f t="shared" si="12"/>
        <v>6.8337129840546698E-3</v>
      </c>
      <c r="I451" s="8">
        <f t="shared" si="13"/>
        <v>-0.17767441860465116</v>
      </c>
    </row>
    <row r="452" spans="1:9" x14ac:dyDescent="0.2">
      <c r="A452" s="2">
        <f ca="1">IFERROR(__xludf.DUMMYFUNCTION("""COMPUTED_VALUE"""),45987.6666666666)</f>
        <v>45987.666666666599</v>
      </c>
      <c r="B452" s="2"/>
      <c r="C452" s="1">
        <v>4420</v>
      </c>
      <c r="D452" s="1">
        <v>4420</v>
      </c>
      <c r="E452" s="1">
        <v>4370</v>
      </c>
      <c r="F452" s="1">
        <v>4410</v>
      </c>
      <c r="G452" s="1">
        <v>31686100</v>
      </c>
      <c r="H452" s="8">
        <f t="shared" ref="H452:H474" si="14">(F452-F451)/F451</f>
        <v>-2.2624434389140274E-3</v>
      </c>
      <c r="I452" s="8">
        <f t="shared" ref="I452:I474" si="15">(F452-$F$2)/$F$2</f>
        <v>-0.17953488372093024</v>
      </c>
    </row>
    <row r="453" spans="1:9" x14ac:dyDescent="0.2">
      <c r="A453" s="2">
        <f ca="1">IFERROR(__xludf.DUMMYFUNCTION("""COMPUTED_VALUE"""),45988.6666666666)</f>
        <v>45988.666666666599</v>
      </c>
      <c r="B453" s="2"/>
      <c r="C453" s="1">
        <v>4420</v>
      </c>
      <c r="D453" s="1">
        <v>4420</v>
      </c>
      <c r="E453" s="1">
        <v>4300</v>
      </c>
      <c r="F453" s="1">
        <v>4350</v>
      </c>
      <c r="G453" s="1">
        <v>33618200</v>
      </c>
      <c r="H453" s="8">
        <f t="shared" si="14"/>
        <v>-1.3605442176870748E-2</v>
      </c>
      <c r="I453" s="8">
        <f t="shared" si="15"/>
        <v>-0.19069767441860466</v>
      </c>
    </row>
    <row r="454" spans="1:9" x14ac:dyDescent="0.2">
      <c r="A454" s="2">
        <f ca="1">IFERROR(__xludf.DUMMYFUNCTION("""COMPUTED_VALUE"""),45989.6666666666)</f>
        <v>45989.666666666599</v>
      </c>
      <c r="B454" s="2"/>
      <c r="C454" s="1">
        <v>4330</v>
      </c>
      <c r="D454" s="1">
        <v>4350</v>
      </c>
      <c r="E454" s="1">
        <v>4260</v>
      </c>
      <c r="F454" s="1">
        <v>4260</v>
      </c>
      <c r="G454" s="1">
        <v>40758200</v>
      </c>
      <c r="H454" s="8">
        <f t="shared" si="14"/>
        <v>-2.0689655172413793E-2</v>
      </c>
      <c r="I454" s="8">
        <f t="shared" si="15"/>
        <v>-0.20744186046511628</v>
      </c>
    </row>
    <row r="455" spans="1:9" x14ac:dyDescent="0.2">
      <c r="A455" s="2">
        <f ca="1">IFERROR(__xludf.DUMMYFUNCTION("""COMPUTED_VALUE"""),45992.6666666666)</f>
        <v>45992.666666666599</v>
      </c>
      <c r="B455" s="2"/>
      <c r="C455" s="1">
        <v>4240</v>
      </c>
      <c r="D455" s="1">
        <v>4350</v>
      </c>
      <c r="E455" s="1">
        <v>4240</v>
      </c>
      <c r="F455" s="1">
        <v>4310</v>
      </c>
      <c r="G455" s="1">
        <v>19335100</v>
      </c>
      <c r="H455" s="8">
        <f t="shared" si="14"/>
        <v>1.1737089201877934E-2</v>
      </c>
      <c r="I455" s="8">
        <f t="shared" si="15"/>
        <v>-0.19813953488372094</v>
      </c>
    </row>
    <row r="456" spans="1:9" x14ac:dyDescent="0.2">
      <c r="A456" s="2">
        <f ca="1">IFERROR(__xludf.DUMMYFUNCTION("""COMPUTED_VALUE"""),45993.6666666666)</f>
        <v>45993.666666666599</v>
      </c>
      <c r="B456" s="2"/>
      <c r="C456" s="1">
        <v>4340</v>
      </c>
      <c r="D456" s="1">
        <v>4360</v>
      </c>
      <c r="E456" s="1">
        <v>4250</v>
      </c>
      <c r="F456" s="1">
        <v>4270</v>
      </c>
      <c r="G456" s="1">
        <v>39091800</v>
      </c>
      <c r="H456" s="8">
        <f t="shared" si="14"/>
        <v>-9.2807424593967514E-3</v>
      </c>
      <c r="I456" s="8">
        <f t="shared" si="15"/>
        <v>-0.20558139534883721</v>
      </c>
    </row>
    <row r="457" spans="1:9" x14ac:dyDescent="0.2">
      <c r="A457" s="2">
        <f ca="1">IFERROR(__xludf.DUMMYFUNCTION("""COMPUTED_VALUE"""),45994.6666666666)</f>
        <v>45994.666666666599</v>
      </c>
      <c r="B457" s="2"/>
      <c r="C457" s="1">
        <v>4270</v>
      </c>
      <c r="D457" s="1">
        <v>4290</v>
      </c>
      <c r="E457" s="1">
        <v>4240</v>
      </c>
      <c r="F457" s="1">
        <v>4260</v>
      </c>
      <c r="G457" s="1">
        <v>28263900</v>
      </c>
      <c r="H457" s="8">
        <f t="shared" si="14"/>
        <v>-2.34192037470726E-3</v>
      </c>
      <c r="I457" s="8">
        <f t="shared" si="15"/>
        <v>-0.20744186046511628</v>
      </c>
    </row>
    <row r="458" spans="1:9" x14ac:dyDescent="0.2">
      <c r="A458" s="2">
        <f ca="1">IFERROR(__xludf.DUMMYFUNCTION("""COMPUTED_VALUE"""),45995.6666666666)</f>
        <v>45995.666666666599</v>
      </c>
      <c r="B458" s="2"/>
      <c r="C458" s="1">
        <v>4260</v>
      </c>
      <c r="D458" s="1">
        <v>4320</v>
      </c>
      <c r="E458" s="1">
        <v>4240</v>
      </c>
      <c r="F458" s="1">
        <v>4310</v>
      </c>
      <c r="G458" s="1">
        <v>23544900</v>
      </c>
      <c r="H458" s="8">
        <f t="shared" si="14"/>
        <v>1.1737089201877934E-2</v>
      </c>
      <c r="I458" s="8">
        <f t="shared" si="15"/>
        <v>-0.19813953488372094</v>
      </c>
    </row>
    <row r="459" spans="1:9" x14ac:dyDescent="0.2">
      <c r="A459" s="2">
        <f ca="1">IFERROR(__xludf.DUMMYFUNCTION("""COMPUTED_VALUE"""),45996.6666666666)</f>
        <v>45996.666666666599</v>
      </c>
      <c r="B459" s="2"/>
      <c r="C459" s="1">
        <v>4330</v>
      </c>
      <c r="D459" s="1">
        <v>4360</v>
      </c>
      <c r="E459" s="1">
        <v>4290</v>
      </c>
      <c r="F459" s="1">
        <v>4290</v>
      </c>
      <c r="G459" s="1">
        <v>28877500</v>
      </c>
      <c r="H459" s="8">
        <f t="shared" si="14"/>
        <v>-4.6403712296983757E-3</v>
      </c>
      <c r="I459" s="8">
        <f t="shared" si="15"/>
        <v>-0.20186046511627906</v>
      </c>
    </row>
    <row r="460" spans="1:9" x14ac:dyDescent="0.2">
      <c r="A460" s="2">
        <f ca="1">IFERROR(__xludf.DUMMYFUNCTION("""COMPUTED_VALUE"""),45999.6666666666)</f>
        <v>45999.666666666599</v>
      </c>
      <c r="B460" s="2"/>
      <c r="C460" s="1">
        <v>4360</v>
      </c>
      <c r="D460" s="1">
        <v>4360</v>
      </c>
      <c r="E460" s="1">
        <v>4290</v>
      </c>
      <c r="F460" s="1">
        <v>4310</v>
      </c>
      <c r="G460" s="1">
        <v>28219300</v>
      </c>
      <c r="H460" s="8">
        <f t="shared" si="14"/>
        <v>4.662004662004662E-3</v>
      </c>
      <c r="I460" s="8">
        <f t="shared" si="15"/>
        <v>-0.19813953488372094</v>
      </c>
    </row>
    <row r="461" spans="1:9" x14ac:dyDescent="0.2">
      <c r="A461" s="2">
        <f ca="1">IFERROR(__xludf.DUMMYFUNCTION("""COMPUTED_VALUE"""),46000.6666666666)</f>
        <v>46000.666666666599</v>
      </c>
      <c r="B461" s="2"/>
      <c r="C461" s="1">
        <v>4310</v>
      </c>
      <c r="D461" s="1">
        <v>4330</v>
      </c>
      <c r="E461" s="1">
        <v>4260</v>
      </c>
      <c r="F461" s="1">
        <v>4320</v>
      </c>
      <c r="G461" s="1">
        <v>34461400</v>
      </c>
      <c r="H461" s="8">
        <f t="shared" si="14"/>
        <v>2.3201856148491878E-3</v>
      </c>
      <c r="I461" s="8">
        <f t="shared" si="15"/>
        <v>-0.19627906976744186</v>
      </c>
    </row>
    <row r="462" spans="1:9" x14ac:dyDescent="0.2">
      <c r="A462" s="2">
        <f ca="1">IFERROR(__xludf.DUMMYFUNCTION("""COMPUTED_VALUE"""),46001.6666666666)</f>
        <v>46001.666666666599</v>
      </c>
      <c r="B462" s="2"/>
      <c r="C462" s="1">
        <v>4350</v>
      </c>
      <c r="D462" s="1">
        <v>4350</v>
      </c>
      <c r="E462" s="1">
        <v>4270</v>
      </c>
      <c r="F462" s="1">
        <v>4310</v>
      </c>
      <c r="G462" s="1">
        <v>19908000</v>
      </c>
      <c r="H462" s="8">
        <f t="shared" si="14"/>
        <v>-2.3148148148148147E-3</v>
      </c>
      <c r="I462" s="8">
        <f t="shared" si="15"/>
        <v>-0.19813953488372094</v>
      </c>
    </row>
    <row r="463" spans="1:9" x14ac:dyDescent="0.2">
      <c r="A463" s="2">
        <f ca="1">IFERROR(__xludf.DUMMYFUNCTION("""COMPUTED_VALUE"""),46002.6666666666)</f>
        <v>46002.666666666599</v>
      </c>
      <c r="B463" s="2"/>
      <c r="C463" s="1">
        <v>4350</v>
      </c>
      <c r="D463" s="1">
        <v>4390</v>
      </c>
      <c r="E463" s="1">
        <v>4190</v>
      </c>
      <c r="F463" s="1">
        <v>4230</v>
      </c>
      <c r="G463" s="1">
        <v>43389300</v>
      </c>
      <c r="H463" s="8">
        <f t="shared" si="14"/>
        <v>-1.8561484918793503E-2</v>
      </c>
      <c r="I463" s="8">
        <f t="shared" si="15"/>
        <v>-0.21302325581395348</v>
      </c>
    </row>
    <row r="464" spans="1:9" x14ac:dyDescent="0.2">
      <c r="A464" s="2">
        <f ca="1">IFERROR(__xludf.DUMMYFUNCTION("""COMPUTED_VALUE"""),46003.6666666666)</f>
        <v>46003.666666666599</v>
      </c>
      <c r="B464" s="2"/>
      <c r="C464" s="1">
        <v>4290</v>
      </c>
      <c r="D464" s="1">
        <v>4290</v>
      </c>
      <c r="E464" s="1">
        <v>4170</v>
      </c>
      <c r="F464" s="1">
        <v>4240</v>
      </c>
      <c r="G464" s="1">
        <v>23240100</v>
      </c>
      <c r="H464" s="8">
        <f t="shared" si="14"/>
        <v>2.3640661938534278E-3</v>
      </c>
      <c r="I464" s="8">
        <f t="shared" si="15"/>
        <v>-0.21116279069767441</v>
      </c>
    </row>
    <row r="465" spans="1:9" x14ac:dyDescent="0.2">
      <c r="A465" s="2">
        <f ca="1">IFERROR(__xludf.DUMMYFUNCTION("""COMPUTED_VALUE"""),46006.6666666666)</f>
        <v>46006.666666666599</v>
      </c>
      <c r="B465" s="2"/>
      <c r="C465" s="1">
        <v>4270</v>
      </c>
      <c r="D465" s="1">
        <v>4450</v>
      </c>
      <c r="E465" s="1">
        <v>4230</v>
      </c>
      <c r="F465" s="1">
        <v>4440</v>
      </c>
      <c r="G465" s="1">
        <v>57531500</v>
      </c>
      <c r="H465" s="8">
        <f t="shared" si="14"/>
        <v>4.716981132075472E-2</v>
      </c>
      <c r="I465" s="8">
        <f t="shared" si="15"/>
        <v>-0.17395348837209301</v>
      </c>
    </row>
    <row r="466" spans="1:9" x14ac:dyDescent="0.2">
      <c r="A466" s="2">
        <f ca="1">IFERROR(__xludf.DUMMYFUNCTION("""COMPUTED_VALUE"""),46007.6666666666)</f>
        <v>46007.666666666599</v>
      </c>
      <c r="B466" s="2"/>
      <c r="C466" s="1">
        <v>4440</v>
      </c>
      <c r="D466" s="1">
        <v>4460</v>
      </c>
      <c r="E466" s="1">
        <v>4330</v>
      </c>
      <c r="F466" s="1">
        <v>4400</v>
      </c>
      <c r="G466" s="1">
        <v>36287500</v>
      </c>
      <c r="H466" s="8">
        <f t="shared" si="14"/>
        <v>-9.0090090090090089E-3</v>
      </c>
      <c r="I466" s="8">
        <f t="shared" si="15"/>
        <v>-0.18139534883720931</v>
      </c>
    </row>
    <row r="467" spans="1:9" x14ac:dyDescent="0.2">
      <c r="A467" s="2">
        <f ca="1">IFERROR(__xludf.DUMMYFUNCTION("""COMPUTED_VALUE"""),46008.6666666666)</f>
        <v>46008.666666666599</v>
      </c>
      <c r="B467" s="2"/>
      <c r="C467" s="1">
        <v>4400</v>
      </c>
      <c r="D467" s="1">
        <v>4420</v>
      </c>
      <c r="E467" s="1">
        <v>4340</v>
      </c>
      <c r="F467" s="1">
        <v>4370</v>
      </c>
      <c r="G467" s="1">
        <v>27653900</v>
      </c>
      <c r="H467" s="8">
        <f t="shared" si="14"/>
        <v>-6.8181818181818179E-3</v>
      </c>
      <c r="I467" s="8">
        <f t="shared" si="15"/>
        <v>-0.18697674418604651</v>
      </c>
    </row>
    <row r="468" spans="1:9" x14ac:dyDescent="0.2">
      <c r="A468" s="2">
        <f ca="1">IFERROR(__xludf.DUMMYFUNCTION("""COMPUTED_VALUE"""),46009.6666666666)</f>
        <v>46009.666666666599</v>
      </c>
      <c r="B468" s="2"/>
      <c r="C468" s="1">
        <v>4360</v>
      </c>
      <c r="D468" s="1">
        <v>4440</v>
      </c>
      <c r="E468" s="1">
        <v>4360</v>
      </c>
      <c r="F468" s="1">
        <v>4380</v>
      </c>
      <c r="G468" s="1">
        <v>45694900</v>
      </c>
      <c r="H468" s="8">
        <f t="shared" si="14"/>
        <v>2.2883295194508009E-3</v>
      </c>
      <c r="I468" s="8">
        <f t="shared" si="15"/>
        <v>-0.18511627906976744</v>
      </c>
    </row>
    <row r="469" spans="1:9" x14ac:dyDescent="0.2">
      <c r="A469" s="2">
        <f ca="1">IFERROR(__xludf.DUMMYFUNCTION("""COMPUTED_VALUE"""),46010.6666666666)</f>
        <v>46010.666666666599</v>
      </c>
      <c r="B469" s="2"/>
      <c r="C469" s="1">
        <v>4380</v>
      </c>
      <c r="D469" s="1">
        <v>4410</v>
      </c>
      <c r="E469" s="1">
        <v>4320</v>
      </c>
      <c r="F469" s="1">
        <v>4340</v>
      </c>
      <c r="G469" s="1">
        <v>47290300</v>
      </c>
      <c r="H469" s="8">
        <f t="shared" si="14"/>
        <v>-9.1324200913242004E-3</v>
      </c>
      <c r="I469" s="8">
        <f t="shared" si="15"/>
        <v>-0.19255813953488371</v>
      </c>
    </row>
    <row r="470" spans="1:9" x14ac:dyDescent="0.2">
      <c r="A470" s="2">
        <f ca="1">IFERROR(__xludf.DUMMYFUNCTION("""COMPUTED_VALUE"""),46013.6666666666)</f>
        <v>46013.666666666599</v>
      </c>
      <c r="B470" s="2"/>
      <c r="C470" s="1">
        <v>4330</v>
      </c>
      <c r="D470" s="1">
        <v>4360</v>
      </c>
      <c r="E470" s="1">
        <v>4290</v>
      </c>
      <c r="F470" s="1">
        <v>4330</v>
      </c>
      <c r="G470" s="1">
        <v>28113800</v>
      </c>
      <c r="H470" s="8">
        <f t="shared" si="14"/>
        <v>-2.304147465437788E-3</v>
      </c>
      <c r="I470" s="8">
        <f t="shared" si="15"/>
        <v>-0.19441860465116279</v>
      </c>
    </row>
    <row r="471" spans="1:9" x14ac:dyDescent="0.2">
      <c r="A471" s="2">
        <f ca="1">IFERROR(__xludf.DUMMYFUNCTION("""COMPUTED_VALUE"""),46014.6666666666)</f>
        <v>46014.666666666599</v>
      </c>
      <c r="B471" s="2"/>
      <c r="C471" s="1">
        <v>4290</v>
      </c>
      <c r="D471" s="1">
        <v>4320</v>
      </c>
      <c r="E471" s="1">
        <v>4250</v>
      </c>
      <c r="F471" s="1">
        <v>4290</v>
      </c>
      <c r="G471" s="1">
        <v>26801700</v>
      </c>
      <c r="H471" s="8">
        <f t="shared" si="14"/>
        <v>-9.2378752886836026E-3</v>
      </c>
      <c r="I471" s="8">
        <f t="shared" si="15"/>
        <v>-0.20186046511627906</v>
      </c>
    </row>
    <row r="472" spans="1:9" x14ac:dyDescent="0.2">
      <c r="A472" s="2">
        <f ca="1">IFERROR(__xludf.DUMMYFUNCTION("""COMPUTED_VALUE"""),46015.6666666666)</f>
        <v>46015.666666666599</v>
      </c>
      <c r="B472" s="2"/>
      <c r="C472" s="1">
        <v>4260</v>
      </c>
      <c r="D472" s="1">
        <v>4330</v>
      </c>
      <c r="E472" s="1">
        <v>4260</v>
      </c>
      <c r="F472" s="1">
        <v>4270</v>
      </c>
      <c r="G472" s="1">
        <v>18160600</v>
      </c>
      <c r="H472" s="8">
        <f t="shared" si="14"/>
        <v>-4.662004662004662E-3</v>
      </c>
      <c r="I472" s="8">
        <f t="shared" si="15"/>
        <v>-0.20558139534883721</v>
      </c>
    </row>
    <row r="473" spans="1:9" x14ac:dyDescent="0.2">
      <c r="A473" s="2">
        <f ca="1">IFERROR(__xludf.DUMMYFUNCTION("""COMPUTED_VALUE"""),46020.6666666666)</f>
        <v>46020.666666666599</v>
      </c>
      <c r="B473" s="2"/>
      <c r="C473" s="1">
        <v>4270</v>
      </c>
      <c r="D473" s="1">
        <v>4320</v>
      </c>
      <c r="E473" s="1">
        <v>4260</v>
      </c>
      <c r="F473" s="1">
        <v>4260</v>
      </c>
      <c r="G473" s="1">
        <v>24490400</v>
      </c>
      <c r="H473" s="8">
        <f t="shared" si="14"/>
        <v>-2.34192037470726E-3</v>
      </c>
      <c r="I473" s="8">
        <f t="shared" si="15"/>
        <v>-0.20744186046511628</v>
      </c>
    </row>
    <row r="474" spans="1:9" x14ac:dyDescent="0.2">
      <c r="A474" s="2">
        <f ca="1">IFERROR(__xludf.DUMMYFUNCTION("""COMPUTED_VALUE"""),46021.6666666666)</f>
        <v>46021.666666666599</v>
      </c>
      <c r="B474" s="2"/>
      <c r="C474" s="1">
        <v>4260</v>
      </c>
      <c r="D474" s="1">
        <v>4380</v>
      </c>
      <c r="E474" s="1">
        <v>4250</v>
      </c>
      <c r="F474" s="1">
        <v>4370</v>
      </c>
      <c r="G474" s="1">
        <v>44229200</v>
      </c>
      <c r="H474" s="8">
        <f t="shared" si="14"/>
        <v>2.5821596244131457E-2</v>
      </c>
      <c r="I474" s="8">
        <f t="shared" si="15"/>
        <v>-0.18697674418604651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20"/>
  <sheetViews>
    <sheetView workbookViewId="0">
      <selection activeCell="G9" sqref="G9"/>
    </sheetView>
  </sheetViews>
  <sheetFormatPr defaultColWidth="12.5703125" defaultRowHeight="15.75" customHeight="1" x14ac:dyDescent="0.2"/>
  <sheetData>
    <row r="1" spans="1:3" x14ac:dyDescent="0.2">
      <c r="A1" s="1" t="s">
        <v>44</v>
      </c>
      <c r="B1" s="1"/>
      <c r="C1" s="1" t="s">
        <v>48</v>
      </c>
    </row>
    <row r="2" spans="1:3" x14ac:dyDescent="0.2">
      <c r="A2" s="2">
        <f ca="1">IFERROR(__xludf.DUMMYFUNCTION("""COMPUTED_VALUE"""),45292.9986111111)</f>
        <v>45292.998611111099</v>
      </c>
      <c r="B2" s="2"/>
      <c r="C2" s="5">
        <v>15383</v>
      </c>
    </row>
    <row r="3" spans="1:3" x14ac:dyDescent="0.2">
      <c r="A3" s="2">
        <f ca="1">IFERROR(__xludf.DUMMYFUNCTION("""COMPUTED_VALUE"""),45293.9986111111)</f>
        <v>45293.998611111099</v>
      </c>
      <c r="B3" s="2"/>
      <c r="C3" s="5">
        <v>15498</v>
      </c>
    </row>
    <row r="4" spans="1:3" x14ac:dyDescent="0.2">
      <c r="A4" s="2">
        <f ca="1">IFERROR(__xludf.DUMMYFUNCTION("""COMPUTED_VALUE"""),45294.9986111111)</f>
        <v>45294.998611111099</v>
      </c>
      <c r="B4" s="2"/>
      <c r="C4" s="5">
        <v>15555</v>
      </c>
    </row>
    <row r="5" spans="1:3" x14ac:dyDescent="0.2">
      <c r="A5" s="2">
        <f ca="1">IFERROR(__xludf.DUMMYFUNCTION("""COMPUTED_VALUE"""),45295.9986111111)</f>
        <v>45295.998611111099</v>
      </c>
      <c r="B5" s="2"/>
      <c r="C5" s="5">
        <v>15511</v>
      </c>
    </row>
    <row r="6" spans="1:3" x14ac:dyDescent="0.2">
      <c r="A6" s="2">
        <f ca="1">IFERROR(__xludf.DUMMYFUNCTION("""COMPUTED_VALUE"""),45296.9986111111)</f>
        <v>45296.998611111099</v>
      </c>
      <c r="B6" s="2"/>
      <c r="C6" s="5">
        <v>15477.5</v>
      </c>
    </row>
    <row r="7" spans="1:3" x14ac:dyDescent="0.2">
      <c r="A7" s="2">
        <f ca="1">IFERROR(__xludf.DUMMYFUNCTION("""COMPUTED_VALUE"""),45297.9986111111)</f>
        <v>45297.998611111099</v>
      </c>
      <c r="B7" s="2"/>
      <c r="C7" s="5">
        <v>15477.5</v>
      </c>
    </row>
    <row r="8" spans="1:3" x14ac:dyDescent="0.2">
      <c r="A8" s="2">
        <f ca="1">IFERROR(__xludf.DUMMYFUNCTION("""COMPUTED_VALUE"""),45298.9986111111)</f>
        <v>45298.998611111099</v>
      </c>
      <c r="B8" s="2"/>
      <c r="C8" s="5">
        <v>15477.5</v>
      </c>
    </row>
    <row r="9" spans="1:3" x14ac:dyDescent="0.2">
      <c r="A9" s="2">
        <f ca="1">IFERROR(__xludf.DUMMYFUNCTION("""COMPUTED_VALUE"""),45299.9986111111)</f>
        <v>45299.998611111099</v>
      </c>
      <c r="B9" s="2"/>
      <c r="C9" s="5">
        <v>15495.5</v>
      </c>
    </row>
    <row r="10" spans="1:3" x14ac:dyDescent="0.2">
      <c r="A10" s="2">
        <f ca="1">IFERROR(__xludf.DUMMYFUNCTION("""COMPUTED_VALUE"""),45300.9986111111)</f>
        <v>45300.998611111099</v>
      </c>
      <c r="B10" s="2"/>
      <c r="C10" s="5">
        <v>15534.5</v>
      </c>
    </row>
    <row r="11" spans="1:3" x14ac:dyDescent="0.2">
      <c r="A11" s="2">
        <f ca="1">IFERROR(__xludf.DUMMYFUNCTION("""COMPUTED_VALUE"""),45301.9986111111)</f>
        <v>45301.998611111099</v>
      </c>
      <c r="B11" s="2"/>
      <c r="C11" s="5">
        <v>15555</v>
      </c>
    </row>
    <row r="12" spans="1:3" x14ac:dyDescent="0.2">
      <c r="A12" s="2">
        <f ca="1">IFERROR(__xludf.DUMMYFUNCTION("""COMPUTED_VALUE"""),45302.9986111111)</f>
        <v>45302.998611111099</v>
      </c>
      <c r="B12" s="2"/>
      <c r="C12" s="5">
        <v>15556.5</v>
      </c>
    </row>
    <row r="13" spans="1:3" x14ac:dyDescent="0.2">
      <c r="A13" s="2">
        <f ca="1">IFERROR(__xludf.DUMMYFUNCTION("""COMPUTED_VALUE"""),45303.9986111111)</f>
        <v>45303.998611111099</v>
      </c>
      <c r="B13" s="2"/>
      <c r="C13" s="5">
        <v>15503.2</v>
      </c>
    </row>
    <row r="14" spans="1:3" x14ac:dyDescent="0.2">
      <c r="A14" s="2">
        <f ca="1">IFERROR(__xludf.DUMMYFUNCTION("""COMPUTED_VALUE"""),45304.9986111111)</f>
        <v>45304.998611111099</v>
      </c>
      <c r="B14" s="2"/>
      <c r="C14" s="5">
        <v>15503.2</v>
      </c>
    </row>
    <row r="15" spans="1:3" x14ac:dyDescent="0.2">
      <c r="A15" s="2">
        <f ca="1">IFERROR(__xludf.DUMMYFUNCTION("""COMPUTED_VALUE"""),45305.9986111111)</f>
        <v>45305.998611111099</v>
      </c>
      <c r="B15" s="2"/>
      <c r="C15" s="5">
        <v>15503.2</v>
      </c>
    </row>
    <row r="16" spans="1:3" x14ac:dyDescent="0.2">
      <c r="A16" s="2">
        <f ca="1">IFERROR(__xludf.DUMMYFUNCTION("""COMPUTED_VALUE"""),45306.9986111111)</f>
        <v>45306.998611111099</v>
      </c>
      <c r="B16" s="2"/>
      <c r="C16" s="5">
        <v>15546</v>
      </c>
    </row>
    <row r="17" spans="1:3" x14ac:dyDescent="0.2">
      <c r="A17" s="2">
        <f ca="1">IFERROR(__xludf.DUMMYFUNCTION("""COMPUTED_VALUE"""),45307.9986111111)</f>
        <v>45307.998611111099</v>
      </c>
      <c r="B17" s="2"/>
      <c r="C17" s="5">
        <v>15625</v>
      </c>
    </row>
    <row r="18" spans="1:3" x14ac:dyDescent="0.2">
      <c r="A18" s="2">
        <f ca="1">IFERROR(__xludf.DUMMYFUNCTION("""COMPUTED_VALUE"""),45308.9986111111)</f>
        <v>45308.998611111099</v>
      </c>
      <c r="B18" s="2"/>
      <c r="C18" s="5">
        <v>15624</v>
      </c>
    </row>
    <row r="19" spans="1:3" x14ac:dyDescent="0.2">
      <c r="A19" s="2">
        <f ca="1">IFERROR(__xludf.DUMMYFUNCTION("""COMPUTED_VALUE"""),45309.9986111111)</f>
        <v>45309.998611111099</v>
      </c>
      <c r="B19" s="2"/>
      <c r="C19" s="5">
        <v>15613.1</v>
      </c>
    </row>
    <row r="20" spans="1:3" x14ac:dyDescent="0.2">
      <c r="A20" s="2">
        <f ca="1">IFERROR(__xludf.DUMMYFUNCTION("""COMPUTED_VALUE"""),45310.9986111111)</f>
        <v>45310.998611111099</v>
      </c>
      <c r="B20" s="2"/>
      <c r="C20" s="5">
        <v>15601</v>
      </c>
    </row>
    <row r="21" spans="1:3" x14ac:dyDescent="0.2">
      <c r="A21" s="2">
        <f ca="1">IFERROR(__xludf.DUMMYFUNCTION("""COMPUTED_VALUE"""),45311.9986111111)</f>
        <v>45311.998611111099</v>
      </c>
      <c r="B21" s="2"/>
      <c r="C21" s="5">
        <v>15601</v>
      </c>
    </row>
    <row r="22" spans="1:3" x14ac:dyDescent="0.2">
      <c r="A22" s="2">
        <f ca="1">IFERROR(__xludf.DUMMYFUNCTION("""COMPUTED_VALUE"""),45312.9986111111)</f>
        <v>45312.998611111099</v>
      </c>
      <c r="B22" s="2"/>
      <c r="C22" s="5">
        <v>15601</v>
      </c>
    </row>
    <row r="23" spans="1:3" x14ac:dyDescent="0.2">
      <c r="A23" s="2">
        <f ca="1">IFERROR(__xludf.DUMMYFUNCTION("""COMPUTED_VALUE"""),45313.9986111111)</f>
        <v>45313.998611111099</v>
      </c>
      <c r="B23" s="2"/>
      <c r="C23" s="5">
        <v>15655.5</v>
      </c>
    </row>
    <row r="24" spans="1:3" x14ac:dyDescent="0.2">
      <c r="A24" s="2">
        <f ca="1">IFERROR(__xludf.DUMMYFUNCTION("""COMPUTED_VALUE"""),45314.9986111111)</f>
        <v>45314.998611111099</v>
      </c>
      <c r="B24" s="2"/>
      <c r="C24" s="5">
        <v>15715</v>
      </c>
    </row>
    <row r="25" spans="1:3" x14ac:dyDescent="0.2">
      <c r="A25" s="2">
        <f ca="1">IFERROR(__xludf.DUMMYFUNCTION("""COMPUTED_VALUE"""),45315.9986111111)</f>
        <v>45315.998611111099</v>
      </c>
      <c r="B25" s="2"/>
      <c r="C25" s="5">
        <v>15714.5</v>
      </c>
    </row>
    <row r="26" spans="1:3" x14ac:dyDescent="0.2">
      <c r="A26" s="2">
        <f ca="1">IFERROR(__xludf.DUMMYFUNCTION("""COMPUTED_VALUE"""),45316.9986111111)</f>
        <v>45316.998611111099</v>
      </c>
      <c r="B26" s="2"/>
      <c r="C26" s="5">
        <v>15808</v>
      </c>
    </row>
    <row r="27" spans="1:3" x14ac:dyDescent="0.2">
      <c r="A27" s="2">
        <f ca="1">IFERROR(__xludf.DUMMYFUNCTION("""COMPUTED_VALUE"""),45317.9986111111)</f>
        <v>45317.998611111099</v>
      </c>
      <c r="B27" s="2"/>
      <c r="C27" s="5">
        <v>15767.6</v>
      </c>
    </row>
    <row r="28" spans="1:3" x14ac:dyDescent="0.2">
      <c r="A28" s="2">
        <f ca="1">IFERROR(__xludf.DUMMYFUNCTION("""COMPUTED_VALUE"""),45318.9986111111)</f>
        <v>45318.998611111099</v>
      </c>
      <c r="B28" s="2"/>
      <c r="C28" s="5">
        <v>15767.6</v>
      </c>
    </row>
    <row r="29" spans="1:3" x14ac:dyDescent="0.2">
      <c r="A29" s="2">
        <f ca="1">IFERROR(__xludf.DUMMYFUNCTION("""COMPUTED_VALUE"""),45319.9986111111)</f>
        <v>45319.998611111099</v>
      </c>
      <c r="B29" s="2"/>
      <c r="C29" s="5">
        <v>15767.6</v>
      </c>
    </row>
    <row r="30" spans="1:3" x14ac:dyDescent="0.2">
      <c r="A30" s="2">
        <f ca="1">IFERROR(__xludf.DUMMYFUNCTION("""COMPUTED_VALUE"""),45320.9986111111)</f>
        <v>45320.998611111099</v>
      </c>
      <c r="B30" s="2"/>
      <c r="C30" s="5">
        <v>15828</v>
      </c>
    </row>
    <row r="31" spans="1:3" x14ac:dyDescent="0.2">
      <c r="A31" s="2">
        <f ca="1">IFERROR(__xludf.DUMMYFUNCTION("""COMPUTED_VALUE"""),45321.9986111111)</f>
        <v>45321.998611111099</v>
      </c>
      <c r="B31" s="2"/>
      <c r="C31" s="5">
        <v>15785</v>
      </c>
    </row>
    <row r="32" spans="1:3" x14ac:dyDescent="0.2">
      <c r="A32" s="2">
        <f ca="1">IFERROR(__xludf.DUMMYFUNCTION("""COMPUTED_VALUE"""),45322.9986111111)</f>
        <v>45322.998611111099</v>
      </c>
      <c r="B32" s="2"/>
      <c r="C32" s="5">
        <v>15769</v>
      </c>
    </row>
    <row r="33" spans="1:3" x14ac:dyDescent="0.2">
      <c r="A33" s="2">
        <f ca="1">IFERROR(__xludf.DUMMYFUNCTION("""COMPUTED_VALUE"""),45323.9986111111)</f>
        <v>45323.998611111099</v>
      </c>
      <c r="B33" s="2"/>
      <c r="C33" s="5">
        <v>15726</v>
      </c>
    </row>
    <row r="34" spans="1:3" x14ac:dyDescent="0.2">
      <c r="A34" s="2">
        <f ca="1">IFERROR(__xludf.DUMMYFUNCTION("""COMPUTED_VALUE"""),45324.9986111111)</f>
        <v>45324.998611111099</v>
      </c>
      <c r="B34" s="2"/>
      <c r="C34" s="5">
        <v>15727.2</v>
      </c>
    </row>
    <row r="35" spans="1:3" x14ac:dyDescent="0.2">
      <c r="A35" s="2">
        <f ca="1">IFERROR(__xludf.DUMMYFUNCTION("""COMPUTED_VALUE"""),45325.9986111111)</f>
        <v>45325.998611111099</v>
      </c>
      <c r="B35" s="2"/>
      <c r="C35" s="5">
        <v>15727.2</v>
      </c>
    </row>
    <row r="36" spans="1:3" x14ac:dyDescent="0.2">
      <c r="A36" s="2">
        <f ca="1">IFERROR(__xludf.DUMMYFUNCTION("""COMPUTED_VALUE"""),45326.9986111111)</f>
        <v>45326.998611111099</v>
      </c>
      <c r="B36" s="2"/>
      <c r="C36" s="5">
        <v>15727.2</v>
      </c>
    </row>
    <row r="37" spans="1:3" x14ac:dyDescent="0.2">
      <c r="A37" s="2">
        <f ca="1">IFERROR(__xludf.DUMMYFUNCTION("""COMPUTED_VALUE"""),45327.9986111111)</f>
        <v>45327.998611111099</v>
      </c>
      <c r="B37" s="2"/>
      <c r="C37" s="5">
        <v>15711.5</v>
      </c>
    </row>
    <row r="38" spans="1:3" x14ac:dyDescent="0.2">
      <c r="A38" s="2">
        <f ca="1">IFERROR(__xludf.DUMMYFUNCTION("""COMPUTED_VALUE"""),45328.9986111111)</f>
        <v>45328.998611111099</v>
      </c>
      <c r="B38" s="2"/>
      <c r="C38" s="5">
        <v>15733</v>
      </c>
    </row>
    <row r="39" spans="1:3" x14ac:dyDescent="0.2">
      <c r="A39" s="2">
        <f ca="1">IFERROR(__xludf.DUMMYFUNCTION("""COMPUTED_VALUE"""),45329.9986111111)</f>
        <v>45329.998611111099</v>
      </c>
      <c r="B39" s="2"/>
      <c r="C39" s="5">
        <v>15647</v>
      </c>
    </row>
    <row r="40" spans="1:3" x14ac:dyDescent="0.2">
      <c r="A40" s="2">
        <f ca="1">IFERROR(__xludf.DUMMYFUNCTION("""COMPUTED_VALUE"""),45330.9986111111)</f>
        <v>45330.998611111099</v>
      </c>
      <c r="B40" s="2"/>
      <c r="C40" s="5">
        <v>15660.3</v>
      </c>
    </row>
    <row r="41" spans="1:3" x14ac:dyDescent="0.2">
      <c r="A41" s="2">
        <f ca="1">IFERROR(__xludf.DUMMYFUNCTION("""COMPUTED_VALUE"""),45331.9986111111)</f>
        <v>45331.998611111099</v>
      </c>
      <c r="B41" s="2"/>
      <c r="C41" s="5">
        <v>15598</v>
      </c>
    </row>
    <row r="42" spans="1:3" x14ac:dyDescent="0.2">
      <c r="A42" s="2">
        <f ca="1">IFERROR(__xludf.DUMMYFUNCTION("""COMPUTED_VALUE"""),45332.9986111111)</f>
        <v>45332.998611111099</v>
      </c>
      <c r="B42" s="2"/>
      <c r="C42" s="5">
        <v>15598</v>
      </c>
    </row>
    <row r="43" spans="1:3" x14ac:dyDescent="0.2">
      <c r="A43" s="2">
        <f ca="1">IFERROR(__xludf.DUMMYFUNCTION("""COMPUTED_VALUE"""),45333.9986111111)</f>
        <v>45333.998611111099</v>
      </c>
      <c r="B43" s="2"/>
      <c r="C43" s="5">
        <v>15598</v>
      </c>
    </row>
    <row r="44" spans="1:3" x14ac:dyDescent="0.2">
      <c r="A44" s="2">
        <f ca="1">IFERROR(__xludf.DUMMYFUNCTION("""COMPUTED_VALUE"""),45334.9986111111)</f>
        <v>45334.998611111099</v>
      </c>
      <c r="B44" s="2"/>
      <c r="C44" s="5">
        <v>15579.5</v>
      </c>
    </row>
    <row r="45" spans="1:3" x14ac:dyDescent="0.2">
      <c r="A45" s="2">
        <f ca="1">IFERROR(__xludf.DUMMYFUNCTION("""COMPUTED_VALUE"""),45335.9986111111)</f>
        <v>45335.998611111099</v>
      </c>
      <c r="B45" s="2"/>
      <c r="C45" s="5">
        <v>15661.5</v>
      </c>
    </row>
    <row r="46" spans="1:3" x14ac:dyDescent="0.2">
      <c r="A46" s="2">
        <f ca="1">IFERROR(__xludf.DUMMYFUNCTION("""COMPUTED_VALUE"""),45336.9986111111)</f>
        <v>45336.998611111099</v>
      </c>
      <c r="B46" s="2"/>
      <c r="C46" s="5">
        <v>15553.1</v>
      </c>
    </row>
    <row r="47" spans="1:3" x14ac:dyDescent="0.2">
      <c r="A47" s="2">
        <f ca="1">IFERROR(__xludf.DUMMYFUNCTION("""COMPUTED_VALUE"""),45337.9986111111)</f>
        <v>45337.998611111099</v>
      </c>
      <c r="B47" s="2"/>
      <c r="C47" s="5">
        <v>15672</v>
      </c>
    </row>
    <row r="48" spans="1:3" x14ac:dyDescent="0.2">
      <c r="A48" s="2">
        <f ca="1">IFERROR(__xludf.DUMMYFUNCTION("""COMPUTED_VALUE"""),45338.9986111111)</f>
        <v>45338.998611111099</v>
      </c>
      <c r="B48" s="2"/>
      <c r="C48" s="5">
        <v>15628.6</v>
      </c>
    </row>
    <row r="49" spans="1:3" x14ac:dyDescent="0.2">
      <c r="A49" s="2">
        <f ca="1">IFERROR(__xludf.DUMMYFUNCTION("""COMPUTED_VALUE"""),45339.9986111111)</f>
        <v>45339.998611111099</v>
      </c>
      <c r="B49" s="2"/>
      <c r="C49" s="5">
        <v>15628.6</v>
      </c>
    </row>
    <row r="50" spans="1:3" x14ac:dyDescent="0.2">
      <c r="A50" s="2">
        <f ca="1">IFERROR(__xludf.DUMMYFUNCTION("""COMPUTED_VALUE"""),45340.9986111111)</f>
        <v>45340.998611111099</v>
      </c>
      <c r="B50" s="2"/>
      <c r="C50" s="5">
        <v>15628.6</v>
      </c>
    </row>
    <row r="51" spans="1:3" x14ac:dyDescent="0.2">
      <c r="A51" s="2">
        <f ca="1">IFERROR(__xludf.DUMMYFUNCTION("""COMPUTED_VALUE"""),45341.9986111111)</f>
        <v>45341.998611111099</v>
      </c>
      <c r="B51" s="2"/>
      <c r="C51" s="5">
        <v>15634</v>
      </c>
    </row>
    <row r="52" spans="1:3" x14ac:dyDescent="0.2">
      <c r="A52" s="2">
        <f ca="1">IFERROR(__xludf.DUMMYFUNCTION("""COMPUTED_VALUE"""),45342.9986111111)</f>
        <v>45342.998611111099</v>
      </c>
      <c r="B52" s="2"/>
      <c r="C52" s="5">
        <v>15661</v>
      </c>
    </row>
    <row r="53" spans="1:3" x14ac:dyDescent="0.2">
      <c r="A53" s="2">
        <f ca="1">IFERROR(__xludf.DUMMYFUNCTION("""COMPUTED_VALUE"""),45343.9986111111)</f>
        <v>45343.998611111099</v>
      </c>
      <c r="B53" s="2"/>
      <c r="C53" s="5">
        <v>15642</v>
      </c>
    </row>
    <row r="54" spans="1:3" x14ac:dyDescent="0.2">
      <c r="A54" s="2">
        <f ca="1">IFERROR(__xludf.DUMMYFUNCTION("""COMPUTED_VALUE"""),45344.9986111111)</f>
        <v>45344.998611111099</v>
      </c>
      <c r="B54" s="2"/>
      <c r="C54" s="5">
        <v>15588</v>
      </c>
    </row>
    <row r="55" spans="1:3" x14ac:dyDescent="0.2">
      <c r="A55" s="2">
        <f ca="1">IFERROR(__xludf.DUMMYFUNCTION("""COMPUTED_VALUE"""),45345.9986111111)</f>
        <v>45345.998611111099</v>
      </c>
      <c r="B55" s="2"/>
      <c r="C55" s="5">
        <v>15586.1</v>
      </c>
    </row>
    <row r="56" spans="1:3" x14ac:dyDescent="0.2">
      <c r="A56" s="2">
        <f ca="1">IFERROR(__xludf.DUMMYFUNCTION("""COMPUTED_VALUE"""),45346.9986111111)</f>
        <v>45346.998611111099</v>
      </c>
      <c r="B56" s="2"/>
      <c r="C56" s="5">
        <v>15586.1</v>
      </c>
    </row>
    <row r="57" spans="1:3" x14ac:dyDescent="0.2">
      <c r="A57" s="2">
        <f ca="1">IFERROR(__xludf.DUMMYFUNCTION("""COMPUTED_VALUE"""),45347.9986111111)</f>
        <v>45347.998611111099</v>
      </c>
      <c r="B57" s="2"/>
      <c r="C57" s="5">
        <v>15586.1</v>
      </c>
    </row>
    <row r="58" spans="1:3" x14ac:dyDescent="0.2">
      <c r="A58" s="2">
        <f ca="1">IFERROR(__xludf.DUMMYFUNCTION("""COMPUTED_VALUE"""),45348.9986111111)</f>
        <v>45348.998611111099</v>
      </c>
      <c r="B58" s="2"/>
      <c r="C58" s="5">
        <v>15638.5</v>
      </c>
    </row>
    <row r="59" spans="1:3" x14ac:dyDescent="0.2">
      <c r="A59" s="2">
        <f ca="1">IFERROR(__xludf.DUMMYFUNCTION("""COMPUTED_VALUE"""),45349.9986111111)</f>
        <v>45349.998611111099</v>
      </c>
      <c r="B59" s="2"/>
      <c r="C59" s="5">
        <v>15653</v>
      </c>
    </row>
    <row r="60" spans="1:3" x14ac:dyDescent="0.2">
      <c r="A60" s="2">
        <f ca="1">IFERROR(__xludf.DUMMYFUNCTION("""COMPUTED_VALUE"""),45350.9986111111)</f>
        <v>45350.998611111099</v>
      </c>
      <c r="B60" s="2"/>
      <c r="C60" s="5">
        <v>15712.2</v>
      </c>
    </row>
    <row r="61" spans="1:3" x14ac:dyDescent="0.2">
      <c r="A61" s="2">
        <f ca="1">IFERROR(__xludf.DUMMYFUNCTION("""COMPUTED_VALUE"""),45351.9986111111)</f>
        <v>45351.998611111099</v>
      </c>
      <c r="B61" s="2"/>
      <c r="C61" s="5">
        <v>15704</v>
      </c>
    </row>
    <row r="62" spans="1:3" x14ac:dyDescent="0.2">
      <c r="A62" s="2">
        <f ca="1">IFERROR(__xludf.DUMMYFUNCTION("""COMPUTED_VALUE"""),45352.9986111111)</f>
        <v>45352.998611111099</v>
      </c>
      <c r="B62" s="2"/>
      <c r="C62" s="5">
        <v>15691.9</v>
      </c>
    </row>
    <row r="63" spans="1:3" x14ac:dyDescent="0.2">
      <c r="A63" s="2">
        <f ca="1">IFERROR(__xludf.DUMMYFUNCTION("""COMPUTED_VALUE"""),45353.9986111111)</f>
        <v>45353.998611111099</v>
      </c>
      <c r="B63" s="2"/>
      <c r="C63" s="5">
        <v>15691.9</v>
      </c>
    </row>
    <row r="64" spans="1:3" x14ac:dyDescent="0.2">
      <c r="A64" s="2">
        <f ca="1">IFERROR(__xludf.DUMMYFUNCTION("""COMPUTED_VALUE"""),45354.9986111111)</f>
        <v>45354.998611111099</v>
      </c>
      <c r="B64" s="2"/>
      <c r="C64" s="5">
        <v>15691.9</v>
      </c>
    </row>
    <row r="65" spans="1:3" x14ac:dyDescent="0.2">
      <c r="A65" s="2">
        <f ca="1">IFERROR(__xludf.DUMMYFUNCTION("""COMPUTED_VALUE"""),45355.9986111111)</f>
        <v>45355.998611111099</v>
      </c>
      <c r="B65" s="2"/>
      <c r="C65" s="5">
        <v>15766</v>
      </c>
    </row>
    <row r="66" spans="1:3" x14ac:dyDescent="0.2">
      <c r="A66" s="2">
        <f ca="1">IFERROR(__xludf.DUMMYFUNCTION("""COMPUTED_VALUE"""),45356.9986111111)</f>
        <v>45356.998611111099</v>
      </c>
      <c r="B66" s="2"/>
      <c r="C66" s="5">
        <v>15751.5</v>
      </c>
    </row>
    <row r="67" spans="1:3" x14ac:dyDescent="0.2">
      <c r="A67" s="2">
        <f ca="1">IFERROR(__xludf.DUMMYFUNCTION("""COMPUTED_VALUE"""),45357.9986111111)</f>
        <v>45357.998611111099</v>
      </c>
      <c r="B67" s="2"/>
      <c r="C67" s="5">
        <v>15668</v>
      </c>
    </row>
    <row r="68" spans="1:3" x14ac:dyDescent="0.2">
      <c r="A68" s="2">
        <f ca="1">IFERROR(__xludf.DUMMYFUNCTION("""COMPUTED_VALUE"""),45358.9986111111)</f>
        <v>45358.998611111099</v>
      </c>
      <c r="B68" s="2"/>
      <c r="C68" s="5">
        <v>15621</v>
      </c>
    </row>
    <row r="69" spans="1:3" x14ac:dyDescent="0.2">
      <c r="A69" s="2">
        <f ca="1">IFERROR(__xludf.DUMMYFUNCTION("""COMPUTED_VALUE"""),45359.9986111111)</f>
        <v>45359.998611111099</v>
      </c>
      <c r="B69" s="2"/>
      <c r="C69" s="5">
        <v>15536.3</v>
      </c>
    </row>
    <row r="70" spans="1:3" x14ac:dyDescent="0.2">
      <c r="A70" s="2">
        <f ca="1">IFERROR(__xludf.DUMMYFUNCTION("""COMPUTED_VALUE"""),45360.9986111111)</f>
        <v>45360.998611111099</v>
      </c>
      <c r="B70" s="2"/>
      <c r="C70" s="5">
        <v>15536.3</v>
      </c>
    </row>
    <row r="71" spans="1:3" x14ac:dyDescent="0.2">
      <c r="A71" s="2">
        <f ca="1">IFERROR(__xludf.DUMMYFUNCTION("""COMPUTED_VALUE"""),45361.9986111111)</f>
        <v>45361.998611111099</v>
      </c>
      <c r="B71" s="2"/>
      <c r="C71" s="5">
        <v>15536.3</v>
      </c>
    </row>
    <row r="72" spans="1:3" x14ac:dyDescent="0.2">
      <c r="A72" s="2">
        <f ca="1">IFERROR(__xludf.DUMMYFUNCTION("""COMPUTED_VALUE"""),45362.9986111111)</f>
        <v>45362.998611111099</v>
      </c>
      <c r="B72" s="2"/>
      <c r="C72" s="5">
        <v>15518</v>
      </c>
    </row>
    <row r="73" spans="1:3" x14ac:dyDescent="0.2">
      <c r="A73" s="2">
        <f ca="1">IFERROR(__xludf.DUMMYFUNCTION("""COMPUTED_VALUE"""),45363.9986111111)</f>
        <v>45363.998611111099</v>
      </c>
      <c r="B73" s="2"/>
      <c r="C73" s="5">
        <v>15546</v>
      </c>
    </row>
    <row r="74" spans="1:3" x14ac:dyDescent="0.2">
      <c r="A74" s="2">
        <f ca="1">IFERROR(__xludf.DUMMYFUNCTION("""COMPUTED_VALUE"""),45364.9986111111)</f>
        <v>45364.998611111099</v>
      </c>
      <c r="B74" s="2"/>
      <c r="C74" s="5">
        <v>15574</v>
      </c>
    </row>
    <row r="75" spans="1:3" x14ac:dyDescent="0.2">
      <c r="A75" s="2">
        <f ca="1">IFERROR(__xludf.DUMMYFUNCTION("""COMPUTED_VALUE"""),45365.9986111111)</f>
        <v>45365.998611111099</v>
      </c>
      <c r="B75" s="2"/>
      <c r="C75" s="5">
        <v>15630</v>
      </c>
    </row>
    <row r="76" spans="1:3" x14ac:dyDescent="0.2">
      <c r="A76" s="2">
        <f ca="1">IFERROR(__xludf.DUMMYFUNCTION("""COMPUTED_VALUE"""),45366.9986111111)</f>
        <v>45366.998611111099</v>
      </c>
      <c r="B76" s="2"/>
      <c r="C76" s="5">
        <v>15639.3</v>
      </c>
    </row>
    <row r="77" spans="1:3" x14ac:dyDescent="0.2">
      <c r="A77" s="2">
        <f ca="1">IFERROR(__xludf.DUMMYFUNCTION("""COMPUTED_VALUE"""),45367.9986111111)</f>
        <v>45367.998611111099</v>
      </c>
      <c r="B77" s="2"/>
      <c r="C77" s="5">
        <v>15639.3</v>
      </c>
    </row>
    <row r="78" spans="1:3" x14ac:dyDescent="0.2">
      <c r="A78" s="2">
        <f ca="1">IFERROR(__xludf.DUMMYFUNCTION("""COMPUTED_VALUE"""),45368.9986111111)</f>
        <v>45368.998611111099</v>
      </c>
      <c r="B78" s="2"/>
      <c r="C78" s="5">
        <v>15639.3</v>
      </c>
    </row>
    <row r="79" spans="1:3" x14ac:dyDescent="0.2">
      <c r="A79" s="2">
        <f ca="1">IFERROR(__xludf.DUMMYFUNCTION("""COMPUTED_VALUE"""),45369.9986111111)</f>
        <v>45369.998611111099</v>
      </c>
      <c r="B79" s="2"/>
      <c r="C79" s="5">
        <v>15743</v>
      </c>
    </row>
    <row r="80" spans="1:3" x14ac:dyDescent="0.2">
      <c r="A80" s="2">
        <f ca="1">IFERROR(__xludf.DUMMYFUNCTION("""COMPUTED_VALUE"""),45370.9986111111)</f>
        <v>45370.998611111099</v>
      </c>
      <c r="B80" s="2"/>
      <c r="C80" s="5">
        <v>15718</v>
      </c>
    </row>
    <row r="81" spans="1:3" x14ac:dyDescent="0.2">
      <c r="A81" s="2">
        <f ca="1">IFERROR(__xludf.DUMMYFUNCTION("""COMPUTED_VALUE"""),45371.9986111111)</f>
        <v>45371.998611111099</v>
      </c>
      <c r="B81" s="2"/>
      <c r="C81" s="5">
        <v>15687</v>
      </c>
    </row>
    <row r="82" spans="1:3" x14ac:dyDescent="0.2">
      <c r="A82" s="2">
        <f ca="1">IFERROR(__xludf.DUMMYFUNCTION("""COMPUTED_VALUE"""),45372.9986111111)</f>
        <v>45372.998611111099</v>
      </c>
      <c r="B82" s="2"/>
      <c r="C82" s="5">
        <v>15723.5</v>
      </c>
    </row>
    <row r="83" spans="1:3" x14ac:dyDescent="0.2">
      <c r="A83" s="2">
        <f ca="1">IFERROR(__xludf.DUMMYFUNCTION("""COMPUTED_VALUE"""),45373.9986111111)</f>
        <v>45373.998611111099</v>
      </c>
      <c r="B83" s="2"/>
      <c r="C83" s="5">
        <v>15802.6</v>
      </c>
    </row>
    <row r="84" spans="1:3" x14ac:dyDescent="0.2">
      <c r="A84" s="2">
        <f ca="1">IFERROR(__xludf.DUMMYFUNCTION("""COMPUTED_VALUE"""),45374.9986111111)</f>
        <v>45374.998611111099</v>
      </c>
      <c r="B84" s="2"/>
      <c r="C84" s="5">
        <v>15802.6</v>
      </c>
    </row>
    <row r="85" spans="1:3" x14ac:dyDescent="0.2">
      <c r="A85" s="2">
        <f ca="1">IFERROR(__xludf.DUMMYFUNCTION("""COMPUTED_VALUE"""),45375.9986111111)</f>
        <v>45375.998611111099</v>
      </c>
      <c r="B85" s="2"/>
      <c r="C85" s="5">
        <v>15802.6</v>
      </c>
    </row>
    <row r="86" spans="1:3" x14ac:dyDescent="0.2">
      <c r="A86" s="2">
        <f ca="1">IFERROR(__xludf.DUMMYFUNCTION("""COMPUTED_VALUE"""),45376.9986111111)</f>
        <v>45376.998611111099</v>
      </c>
      <c r="B86" s="2"/>
      <c r="C86" s="5">
        <v>15784</v>
      </c>
    </row>
    <row r="87" spans="1:3" x14ac:dyDescent="0.2">
      <c r="A87" s="2">
        <f ca="1">IFERROR(__xludf.DUMMYFUNCTION("""COMPUTED_VALUE"""),45377.9986111111)</f>
        <v>45377.998611111099</v>
      </c>
      <c r="B87" s="2"/>
      <c r="C87" s="5">
        <v>15828</v>
      </c>
    </row>
    <row r="88" spans="1:3" x14ac:dyDescent="0.2">
      <c r="A88" s="2">
        <f ca="1">IFERROR(__xludf.DUMMYFUNCTION("""COMPUTED_VALUE"""),45378.9986111111)</f>
        <v>45378.998611111099</v>
      </c>
      <c r="B88" s="2"/>
      <c r="C88" s="5">
        <v>15877</v>
      </c>
    </row>
    <row r="89" spans="1:3" x14ac:dyDescent="0.2">
      <c r="A89" s="2">
        <f ca="1">IFERROR(__xludf.DUMMYFUNCTION("""COMPUTED_VALUE"""),45379.9986111111)</f>
        <v>45379.998611111099</v>
      </c>
      <c r="B89" s="2"/>
      <c r="C89" s="5">
        <v>15877</v>
      </c>
    </row>
    <row r="90" spans="1:3" x14ac:dyDescent="0.2">
      <c r="A90" s="2">
        <f ca="1">IFERROR(__xludf.DUMMYFUNCTION("""COMPUTED_VALUE"""),45380.9986111111)</f>
        <v>45380.998611111099</v>
      </c>
      <c r="B90" s="2"/>
      <c r="C90" s="5">
        <v>15873.1</v>
      </c>
    </row>
    <row r="91" spans="1:3" x14ac:dyDescent="0.2">
      <c r="A91" s="2">
        <f ca="1">IFERROR(__xludf.DUMMYFUNCTION("""COMPUTED_VALUE"""),45381.9986111111)</f>
        <v>45381.998611111099</v>
      </c>
      <c r="B91" s="2"/>
      <c r="C91" s="5">
        <v>15873.1</v>
      </c>
    </row>
    <row r="92" spans="1:3" x14ac:dyDescent="0.2">
      <c r="A92" s="2">
        <f ca="1">IFERROR(__xludf.DUMMYFUNCTION("""COMPUTED_VALUE"""),45382.9986111111)</f>
        <v>45382.998611111099</v>
      </c>
      <c r="B92" s="2"/>
      <c r="C92" s="5">
        <v>15848</v>
      </c>
    </row>
    <row r="93" spans="1:3" x14ac:dyDescent="0.2">
      <c r="A93" s="2">
        <f ca="1">IFERROR(__xludf.DUMMYFUNCTION("""COMPUTED_VALUE"""),45383.9986111111)</f>
        <v>45383.998611111099</v>
      </c>
      <c r="B93" s="2"/>
      <c r="C93" s="5">
        <v>15945.8</v>
      </c>
    </row>
    <row r="94" spans="1:3" x14ac:dyDescent="0.2">
      <c r="A94" s="2">
        <f ca="1">IFERROR(__xludf.DUMMYFUNCTION("""COMPUTED_VALUE"""),45384.9986111111)</f>
        <v>45384.998611111099</v>
      </c>
      <c r="B94" s="2"/>
      <c r="C94" s="5">
        <v>15955</v>
      </c>
    </row>
    <row r="95" spans="1:3" x14ac:dyDescent="0.2">
      <c r="A95" s="2">
        <f ca="1">IFERROR(__xludf.DUMMYFUNCTION("""COMPUTED_VALUE"""),45385.9986111111)</f>
        <v>45385.998611111099</v>
      </c>
      <c r="B95" s="2"/>
      <c r="C95" s="5">
        <v>15936</v>
      </c>
    </row>
    <row r="96" spans="1:3" x14ac:dyDescent="0.2">
      <c r="A96" s="2">
        <f ca="1">IFERROR(__xludf.DUMMYFUNCTION("""COMPUTED_VALUE"""),45386.9986111111)</f>
        <v>45386.998611111099</v>
      </c>
      <c r="B96" s="2"/>
      <c r="C96" s="5">
        <v>15904.5</v>
      </c>
    </row>
    <row r="97" spans="1:3" x14ac:dyDescent="0.2">
      <c r="A97" s="2">
        <f ca="1">IFERROR(__xludf.DUMMYFUNCTION("""COMPUTED_VALUE"""),45387.9986111111)</f>
        <v>45387.998611111099</v>
      </c>
      <c r="B97" s="2"/>
      <c r="C97" s="5">
        <v>15882.5</v>
      </c>
    </row>
    <row r="98" spans="1:3" x14ac:dyDescent="0.2">
      <c r="A98" s="2">
        <f ca="1">IFERROR(__xludf.DUMMYFUNCTION("""COMPUTED_VALUE"""),45388.9986111111)</f>
        <v>45388.998611111099</v>
      </c>
      <c r="B98" s="2"/>
      <c r="C98" s="5">
        <v>15882.5</v>
      </c>
    </row>
    <row r="99" spans="1:3" x14ac:dyDescent="0.2">
      <c r="A99" s="2">
        <f ca="1">IFERROR(__xludf.DUMMYFUNCTION("""COMPUTED_VALUE"""),45389.9986111111)</f>
        <v>45389.998611111099</v>
      </c>
      <c r="B99" s="2"/>
      <c r="C99" s="5">
        <v>15881</v>
      </c>
    </row>
    <row r="100" spans="1:3" x14ac:dyDescent="0.2">
      <c r="A100" s="2">
        <f ca="1">IFERROR(__xludf.DUMMYFUNCTION("""COMPUTED_VALUE"""),45390.9986111111)</f>
        <v>45390.998611111099</v>
      </c>
      <c r="B100" s="2"/>
      <c r="C100" s="5">
        <v>15918</v>
      </c>
    </row>
    <row r="101" spans="1:3" x14ac:dyDescent="0.2">
      <c r="A101" s="2">
        <f ca="1">IFERROR(__xludf.DUMMYFUNCTION("""COMPUTED_VALUE"""),45391.9986111111)</f>
        <v>45391.998611111099</v>
      </c>
      <c r="B101" s="2"/>
      <c r="C101" s="5">
        <v>15892.3</v>
      </c>
    </row>
    <row r="102" spans="1:3" x14ac:dyDescent="0.2">
      <c r="A102" s="2">
        <f ca="1">IFERROR(__xludf.DUMMYFUNCTION("""COMPUTED_VALUE"""),45392.9986111111)</f>
        <v>45392.998611111099</v>
      </c>
      <c r="B102" s="2"/>
      <c r="C102" s="5">
        <v>15998.2</v>
      </c>
    </row>
    <row r="103" spans="1:3" x14ac:dyDescent="0.2">
      <c r="A103" s="2">
        <f ca="1">IFERROR(__xludf.DUMMYFUNCTION("""COMPUTED_VALUE"""),45393.9986111111)</f>
        <v>45393.998611111099</v>
      </c>
      <c r="B103" s="2"/>
      <c r="C103" s="5">
        <v>16007</v>
      </c>
    </row>
    <row r="104" spans="1:3" x14ac:dyDescent="0.2">
      <c r="A104" s="2">
        <f ca="1">IFERROR(__xludf.DUMMYFUNCTION("""COMPUTED_VALUE"""),45394.9986111111)</f>
        <v>45394.998611111099</v>
      </c>
      <c r="B104" s="2"/>
      <c r="C104" s="5">
        <v>16112.3</v>
      </c>
    </row>
    <row r="105" spans="1:3" x14ac:dyDescent="0.2">
      <c r="A105" s="2">
        <f ca="1">IFERROR(__xludf.DUMMYFUNCTION("""COMPUTED_VALUE"""),45395.9986111111)</f>
        <v>45395.998611111099</v>
      </c>
      <c r="B105" s="2"/>
      <c r="C105" s="5">
        <v>16112.3</v>
      </c>
    </row>
    <row r="106" spans="1:3" x14ac:dyDescent="0.2">
      <c r="A106" s="2">
        <f ca="1">IFERROR(__xludf.DUMMYFUNCTION("""COMPUTED_VALUE"""),45396.9986111111)</f>
        <v>45396.998611111099</v>
      </c>
      <c r="B106" s="2"/>
      <c r="C106" s="5">
        <v>16111</v>
      </c>
    </row>
    <row r="107" spans="1:3" x14ac:dyDescent="0.2">
      <c r="A107" s="2">
        <f ca="1">IFERROR(__xludf.DUMMYFUNCTION("""COMPUTED_VALUE"""),45397.9986111111)</f>
        <v>45397.998611111099</v>
      </c>
      <c r="B107" s="2"/>
      <c r="C107" s="5">
        <v>16075</v>
      </c>
    </row>
    <row r="108" spans="1:3" x14ac:dyDescent="0.2">
      <c r="A108" s="2">
        <f ca="1">IFERROR(__xludf.DUMMYFUNCTION("""COMPUTED_VALUE"""),45398.9986111111)</f>
        <v>45398.998611111099</v>
      </c>
      <c r="B108" s="2"/>
      <c r="C108" s="5">
        <v>16312.2</v>
      </c>
    </row>
    <row r="109" spans="1:3" x14ac:dyDescent="0.2">
      <c r="A109" s="2">
        <f ca="1">IFERROR(__xludf.DUMMYFUNCTION("""COMPUTED_VALUE"""),45399.9986111111)</f>
        <v>45399.998611111099</v>
      </c>
      <c r="B109" s="2"/>
      <c r="C109" s="5">
        <v>16246</v>
      </c>
    </row>
    <row r="110" spans="1:3" x14ac:dyDescent="0.2">
      <c r="A110" s="2">
        <f ca="1">IFERROR(__xludf.DUMMYFUNCTION("""COMPUTED_VALUE"""),45400.9986111111)</f>
        <v>45400.998611111099</v>
      </c>
      <c r="B110" s="2"/>
      <c r="C110" s="5">
        <v>16220</v>
      </c>
    </row>
    <row r="111" spans="1:3" x14ac:dyDescent="0.2">
      <c r="A111" s="2">
        <f ca="1">IFERROR(__xludf.DUMMYFUNCTION("""COMPUTED_VALUE"""),45401.9986111111)</f>
        <v>45401.998611111099</v>
      </c>
      <c r="B111" s="2"/>
      <c r="C111" s="5">
        <v>16210.3</v>
      </c>
    </row>
    <row r="112" spans="1:3" x14ac:dyDescent="0.2">
      <c r="A112" s="2">
        <f ca="1">IFERROR(__xludf.DUMMYFUNCTION("""COMPUTED_VALUE"""),45402.9986111111)</f>
        <v>45402.998611111099</v>
      </c>
      <c r="B112" s="2"/>
      <c r="C112" s="5">
        <v>16210.3</v>
      </c>
    </row>
    <row r="113" spans="1:3" x14ac:dyDescent="0.2">
      <c r="A113" s="2">
        <f ca="1">IFERROR(__xludf.DUMMYFUNCTION("""COMPUTED_VALUE"""),45403.9986111111)</f>
        <v>45403.998611111099</v>
      </c>
      <c r="B113" s="2"/>
      <c r="C113" s="5">
        <v>16210.3</v>
      </c>
    </row>
    <row r="114" spans="1:3" x14ac:dyDescent="0.2">
      <c r="A114" s="2">
        <f ca="1">IFERROR(__xludf.DUMMYFUNCTION("""COMPUTED_VALUE"""),45404.9986111111)</f>
        <v>45404.998611111099</v>
      </c>
      <c r="B114" s="2"/>
      <c r="C114" s="5">
        <v>16246</v>
      </c>
    </row>
    <row r="115" spans="1:3" x14ac:dyDescent="0.2">
      <c r="A115" s="2">
        <f ca="1">IFERROR(__xludf.DUMMYFUNCTION("""COMPUTED_VALUE"""),45405.9986111111)</f>
        <v>45405.998611111099</v>
      </c>
      <c r="B115" s="2"/>
      <c r="C115" s="5">
        <v>16140.2</v>
      </c>
    </row>
    <row r="116" spans="1:3" x14ac:dyDescent="0.2">
      <c r="A116" s="2">
        <f ca="1">IFERROR(__xludf.DUMMYFUNCTION("""COMPUTED_VALUE"""),45406.9986111111)</f>
        <v>45406.998611111099</v>
      </c>
      <c r="B116" s="2"/>
      <c r="C116" s="5">
        <v>16220</v>
      </c>
    </row>
    <row r="117" spans="1:3" x14ac:dyDescent="0.2">
      <c r="A117" s="2">
        <f ca="1">IFERROR(__xludf.DUMMYFUNCTION("""COMPUTED_VALUE"""),45407.9986111111)</f>
        <v>45407.998611111099</v>
      </c>
      <c r="B117" s="2"/>
      <c r="C117" s="5">
        <v>16202</v>
      </c>
    </row>
    <row r="118" spans="1:3" x14ac:dyDescent="0.2">
      <c r="A118" s="2">
        <f ca="1">IFERROR(__xludf.DUMMYFUNCTION("""COMPUTED_VALUE"""),45408.9986111111)</f>
        <v>45408.998611111099</v>
      </c>
      <c r="B118" s="2"/>
      <c r="C118" s="5">
        <v>16232.2</v>
      </c>
    </row>
    <row r="119" spans="1:3" x14ac:dyDescent="0.2">
      <c r="A119" s="2">
        <f ca="1">IFERROR(__xludf.DUMMYFUNCTION("""COMPUTED_VALUE"""),45409.9986111111)</f>
        <v>45409.998611111099</v>
      </c>
      <c r="B119" s="2"/>
      <c r="C119" s="5">
        <v>16232.2</v>
      </c>
    </row>
    <row r="120" spans="1:3" x14ac:dyDescent="0.2">
      <c r="A120" s="2">
        <f ca="1">IFERROR(__xludf.DUMMYFUNCTION("""COMPUTED_VALUE"""),45410.9986111111)</f>
        <v>45410.998611111099</v>
      </c>
      <c r="B120" s="2"/>
      <c r="C120" s="5">
        <v>16203</v>
      </c>
    </row>
    <row r="121" spans="1:3" x14ac:dyDescent="0.2">
      <c r="A121" s="2">
        <f ca="1">IFERROR(__xludf.DUMMYFUNCTION("""COMPUTED_VALUE"""),45411.9986111111)</f>
        <v>45411.998611111099</v>
      </c>
      <c r="B121" s="2"/>
      <c r="C121" s="5">
        <v>16246</v>
      </c>
    </row>
    <row r="122" spans="1:3" x14ac:dyDescent="0.2">
      <c r="A122" s="2">
        <f ca="1">IFERROR(__xludf.DUMMYFUNCTION("""COMPUTED_VALUE"""),45412.9986111111)</f>
        <v>45412.998611111099</v>
      </c>
      <c r="B122" s="2"/>
      <c r="C122" s="5">
        <v>16273</v>
      </c>
    </row>
    <row r="123" spans="1:3" x14ac:dyDescent="0.2">
      <c r="A123" s="2">
        <f ca="1">IFERROR(__xludf.DUMMYFUNCTION("""COMPUTED_VALUE"""),45413.9986111111)</f>
        <v>45413.998611111099</v>
      </c>
      <c r="B123" s="2"/>
      <c r="C123" s="5">
        <v>16190.4</v>
      </c>
    </row>
    <row r="124" spans="1:3" x14ac:dyDescent="0.2">
      <c r="A124" s="2">
        <f ca="1">IFERROR(__xludf.DUMMYFUNCTION("""COMPUTED_VALUE"""),45414.9986111111)</f>
        <v>45414.998611111099</v>
      </c>
      <c r="B124" s="2"/>
      <c r="C124" s="5">
        <v>16097</v>
      </c>
    </row>
    <row r="125" spans="1:3" x14ac:dyDescent="0.2">
      <c r="A125" s="2">
        <f ca="1">IFERROR(__xludf.DUMMYFUNCTION("""COMPUTED_VALUE"""),45415.9986111111)</f>
        <v>45415.998611111099</v>
      </c>
      <c r="B125" s="2"/>
      <c r="C125" s="5">
        <v>15951.2</v>
      </c>
    </row>
    <row r="126" spans="1:3" x14ac:dyDescent="0.2">
      <c r="A126" s="2">
        <f ca="1">IFERROR(__xludf.DUMMYFUNCTION("""COMPUTED_VALUE"""),45416.9986111111)</f>
        <v>45416.998611111099</v>
      </c>
      <c r="B126" s="2"/>
      <c r="C126" s="5">
        <v>15951.2</v>
      </c>
    </row>
    <row r="127" spans="1:3" x14ac:dyDescent="0.2">
      <c r="A127" s="2">
        <f ca="1">IFERROR(__xludf.DUMMYFUNCTION("""COMPUTED_VALUE"""),45417.9986111111)</f>
        <v>45417.998611111099</v>
      </c>
      <c r="B127" s="2"/>
      <c r="C127" s="5">
        <v>16077</v>
      </c>
    </row>
    <row r="128" spans="1:3" x14ac:dyDescent="0.2">
      <c r="A128" s="2">
        <f ca="1">IFERROR(__xludf.DUMMYFUNCTION("""COMPUTED_VALUE"""),45418.9986111111)</f>
        <v>45418.998611111099</v>
      </c>
      <c r="B128" s="2"/>
      <c r="C128" s="5">
        <v>16034</v>
      </c>
    </row>
    <row r="129" spans="1:3" x14ac:dyDescent="0.2">
      <c r="A129" s="2">
        <f ca="1">IFERROR(__xludf.DUMMYFUNCTION("""COMPUTED_VALUE"""),45419.9986111111)</f>
        <v>45419.998611111099</v>
      </c>
      <c r="B129" s="2"/>
      <c r="C129" s="5">
        <v>16073</v>
      </c>
    </row>
    <row r="130" spans="1:3" x14ac:dyDescent="0.2">
      <c r="A130" s="2">
        <f ca="1">IFERROR(__xludf.DUMMYFUNCTION("""COMPUTED_VALUE"""),45420.9986111111)</f>
        <v>45420.998611111099</v>
      </c>
      <c r="B130" s="2"/>
      <c r="C130" s="5">
        <v>16074</v>
      </c>
    </row>
    <row r="131" spans="1:3" x14ac:dyDescent="0.2">
      <c r="A131" s="2">
        <f ca="1">IFERROR(__xludf.DUMMYFUNCTION("""COMPUTED_VALUE"""),45421.9986111111)</f>
        <v>45421.998611111099</v>
      </c>
      <c r="B131" s="2"/>
      <c r="C131" s="5">
        <v>16030</v>
      </c>
    </row>
    <row r="132" spans="1:3" x14ac:dyDescent="0.2">
      <c r="A132" s="2">
        <f ca="1">IFERROR(__xludf.DUMMYFUNCTION("""COMPUTED_VALUE"""),45422.9986111111)</f>
        <v>45422.998611111099</v>
      </c>
      <c r="B132" s="2"/>
      <c r="C132" s="5">
        <v>16047</v>
      </c>
    </row>
    <row r="133" spans="1:3" x14ac:dyDescent="0.2">
      <c r="A133" s="2">
        <f ca="1">IFERROR(__xludf.DUMMYFUNCTION("""COMPUTED_VALUE"""),45423.9986111111)</f>
        <v>45423.998611111099</v>
      </c>
      <c r="B133" s="2"/>
      <c r="C133" s="5">
        <v>16047</v>
      </c>
    </row>
    <row r="134" spans="1:3" x14ac:dyDescent="0.2">
      <c r="A134" s="2">
        <f ca="1">IFERROR(__xludf.DUMMYFUNCTION("""COMPUTED_VALUE"""),45424.9986111111)</f>
        <v>45424.998611111099</v>
      </c>
      <c r="B134" s="2"/>
      <c r="C134" s="5">
        <v>16038</v>
      </c>
    </row>
    <row r="135" spans="1:3" x14ac:dyDescent="0.2">
      <c r="A135" s="2">
        <f ca="1">IFERROR(__xludf.DUMMYFUNCTION("""COMPUTED_VALUE"""),45425.9986111111)</f>
        <v>45425.998611111099</v>
      </c>
      <c r="B135" s="2"/>
      <c r="C135" s="5">
        <v>16121</v>
      </c>
    </row>
    <row r="136" spans="1:3" x14ac:dyDescent="0.2">
      <c r="A136" s="2">
        <f ca="1">IFERROR(__xludf.DUMMYFUNCTION("""COMPUTED_VALUE"""),45426.9986111111)</f>
        <v>45426.998611111099</v>
      </c>
      <c r="B136" s="2"/>
      <c r="C136" s="5">
        <v>16102</v>
      </c>
    </row>
    <row r="137" spans="1:3" x14ac:dyDescent="0.2">
      <c r="A137" s="2">
        <f ca="1">IFERROR(__xludf.DUMMYFUNCTION("""COMPUTED_VALUE"""),45427.9986111111)</f>
        <v>45427.998611111099</v>
      </c>
      <c r="B137" s="2"/>
      <c r="C137" s="5">
        <v>15914</v>
      </c>
    </row>
    <row r="138" spans="1:3" x14ac:dyDescent="0.2">
      <c r="A138" s="2">
        <f ca="1">IFERROR(__xludf.DUMMYFUNCTION("""COMPUTED_VALUE"""),45428.9986111111)</f>
        <v>45428.998611111099</v>
      </c>
      <c r="B138" s="2"/>
      <c r="C138" s="5">
        <v>15930.8</v>
      </c>
    </row>
    <row r="139" spans="1:3" x14ac:dyDescent="0.2">
      <c r="A139" s="2">
        <f ca="1">IFERROR(__xludf.DUMMYFUNCTION("""COMPUTED_VALUE"""),45429.9986111111)</f>
        <v>45429.998611111099</v>
      </c>
      <c r="B139" s="2"/>
      <c r="C139" s="5">
        <v>15920.3</v>
      </c>
    </row>
    <row r="140" spans="1:3" x14ac:dyDescent="0.2">
      <c r="A140" s="2">
        <f ca="1">IFERROR(__xludf.DUMMYFUNCTION("""COMPUTED_VALUE"""),45430.9986111111)</f>
        <v>45430.998611111099</v>
      </c>
      <c r="B140" s="2"/>
      <c r="C140" s="5">
        <v>15920.3</v>
      </c>
    </row>
    <row r="141" spans="1:3" x14ac:dyDescent="0.2">
      <c r="A141" s="2">
        <f ca="1">IFERROR(__xludf.DUMMYFUNCTION("""COMPUTED_VALUE"""),45431.9986111111)</f>
        <v>45431.998611111099</v>
      </c>
      <c r="B141" s="2"/>
      <c r="C141" s="5">
        <v>15958</v>
      </c>
    </row>
    <row r="142" spans="1:3" x14ac:dyDescent="0.2">
      <c r="A142" s="2">
        <f ca="1">IFERROR(__xludf.DUMMYFUNCTION("""COMPUTED_VALUE"""),45432.9986111111)</f>
        <v>45432.998611111099</v>
      </c>
      <c r="B142" s="2"/>
      <c r="C142" s="5">
        <v>16031</v>
      </c>
    </row>
    <row r="143" spans="1:3" x14ac:dyDescent="0.2">
      <c r="A143" s="2">
        <f ca="1">IFERROR(__xludf.DUMMYFUNCTION("""COMPUTED_VALUE"""),45433.9986111111)</f>
        <v>45433.998611111099</v>
      </c>
      <c r="B143" s="2"/>
      <c r="C143" s="5">
        <v>16005</v>
      </c>
    </row>
    <row r="144" spans="1:3" x14ac:dyDescent="0.2">
      <c r="A144" s="2">
        <f ca="1">IFERROR(__xludf.DUMMYFUNCTION("""COMPUTED_VALUE"""),45434.9986111111)</f>
        <v>45434.998611111099</v>
      </c>
      <c r="B144" s="2"/>
      <c r="C144" s="5">
        <v>16040.7</v>
      </c>
    </row>
    <row r="145" spans="1:3" x14ac:dyDescent="0.2">
      <c r="A145" s="2">
        <f ca="1">IFERROR(__xludf.DUMMYFUNCTION("""COMPUTED_VALUE"""),45435.9986111111)</f>
        <v>45435.998611111099</v>
      </c>
      <c r="B145" s="2"/>
      <c r="C145" s="5">
        <v>16095</v>
      </c>
    </row>
    <row r="146" spans="1:3" x14ac:dyDescent="0.2">
      <c r="A146" s="2">
        <f ca="1">IFERROR(__xludf.DUMMYFUNCTION("""COMPUTED_VALUE"""),45436.9986111111)</f>
        <v>45436.998611111099</v>
      </c>
      <c r="B146" s="2"/>
      <c r="C146" s="5">
        <v>16038</v>
      </c>
    </row>
    <row r="147" spans="1:3" x14ac:dyDescent="0.2">
      <c r="A147" s="2">
        <f ca="1">IFERROR(__xludf.DUMMYFUNCTION("""COMPUTED_VALUE"""),45437.9986111111)</f>
        <v>45437.998611111099</v>
      </c>
      <c r="B147" s="2"/>
      <c r="C147" s="5">
        <v>16038</v>
      </c>
    </row>
    <row r="148" spans="1:3" x14ac:dyDescent="0.2">
      <c r="A148" s="2">
        <f ca="1">IFERROR(__xludf.DUMMYFUNCTION("""COMPUTED_VALUE"""),45438.9986111111)</f>
        <v>45438.998611111099</v>
      </c>
      <c r="B148" s="2"/>
      <c r="C148" s="5">
        <v>16038</v>
      </c>
    </row>
    <row r="149" spans="1:3" x14ac:dyDescent="0.2">
      <c r="A149" s="2">
        <f ca="1">IFERROR(__xludf.DUMMYFUNCTION("""COMPUTED_VALUE"""),45439.9986111111)</f>
        <v>45439.998611111099</v>
      </c>
      <c r="B149" s="2"/>
      <c r="C149" s="5">
        <v>16071</v>
      </c>
    </row>
    <row r="150" spans="1:3" x14ac:dyDescent="0.2">
      <c r="A150" s="2">
        <f ca="1">IFERROR(__xludf.DUMMYFUNCTION("""COMPUTED_VALUE"""),45440.9986111111)</f>
        <v>45440.998611111099</v>
      </c>
      <c r="B150" s="2"/>
      <c r="C150" s="5">
        <v>16117</v>
      </c>
    </row>
    <row r="151" spans="1:3" x14ac:dyDescent="0.2">
      <c r="A151" s="2">
        <f ca="1">IFERROR(__xludf.DUMMYFUNCTION("""COMPUTED_VALUE"""),45441.9986111111)</f>
        <v>45441.998611111099</v>
      </c>
      <c r="B151" s="2"/>
      <c r="C151" s="5">
        <v>16232.1</v>
      </c>
    </row>
    <row r="152" spans="1:3" x14ac:dyDescent="0.2">
      <c r="A152" s="2">
        <f ca="1">IFERROR(__xludf.DUMMYFUNCTION("""COMPUTED_VALUE"""),45442.9986111111)</f>
        <v>45442.998611111099</v>
      </c>
      <c r="B152" s="2"/>
      <c r="C152" s="5">
        <v>16228</v>
      </c>
    </row>
    <row r="153" spans="1:3" x14ac:dyDescent="0.2">
      <c r="A153" s="2">
        <f ca="1">IFERROR(__xludf.DUMMYFUNCTION("""COMPUTED_VALUE"""),45443.9986111111)</f>
        <v>45443.998611111099</v>
      </c>
      <c r="B153" s="2"/>
      <c r="C153" s="5">
        <v>16244.2</v>
      </c>
    </row>
    <row r="154" spans="1:3" x14ac:dyDescent="0.2">
      <c r="A154" s="2">
        <f ca="1">IFERROR(__xludf.DUMMYFUNCTION("""COMPUTED_VALUE"""),45444.9986111111)</f>
        <v>45444.998611111099</v>
      </c>
      <c r="B154" s="2"/>
      <c r="C154" s="5">
        <v>16244.2</v>
      </c>
    </row>
    <row r="155" spans="1:3" x14ac:dyDescent="0.2">
      <c r="A155" s="2">
        <f ca="1">IFERROR(__xludf.DUMMYFUNCTION("""COMPUTED_VALUE"""),45445.9986111111)</f>
        <v>45445.998611111099</v>
      </c>
      <c r="B155" s="2"/>
      <c r="C155" s="5">
        <v>16243</v>
      </c>
    </row>
    <row r="156" spans="1:3" x14ac:dyDescent="0.2">
      <c r="A156" s="2">
        <f ca="1">IFERROR(__xludf.DUMMYFUNCTION("""COMPUTED_VALUE"""),45446.9986111111)</f>
        <v>45446.998611111099</v>
      </c>
      <c r="B156" s="2"/>
      <c r="C156" s="5">
        <v>16203</v>
      </c>
    </row>
    <row r="157" spans="1:3" x14ac:dyDescent="0.2">
      <c r="A157" s="2">
        <f ca="1">IFERROR(__xludf.DUMMYFUNCTION("""COMPUTED_VALUE"""),45447.9986111111)</f>
        <v>45447.998611111099</v>
      </c>
      <c r="B157" s="2"/>
      <c r="C157" s="5">
        <v>16276</v>
      </c>
    </row>
    <row r="158" spans="1:3" x14ac:dyDescent="0.2">
      <c r="A158" s="2">
        <f ca="1">IFERROR(__xludf.DUMMYFUNCTION("""COMPUTED_VALUE"""),45448.9986111111)</f>
        <v>45448.998611111099</v>
      </c>
      <c r="B158" s="2"/>
      <c r="C158" s="5">
        <v>16315</v>
      </c>
    </row>
    <row r="159" spans="1:3" x14ac:dyDescent="0.2">
      <c r="A159" s="2">
        <f ca="1">IFERROR(__xludf.DUMMYFUNCTION("""COMPUTED_VALUE"""),45449.9986111111)</f>
        <v>45449.998611111099</v>
      </c>
      <c r="B159" s="2"/>
      <c r="C159" s="5">
        <v>16241.7</v>
      </c>
    </row>
    <row r="160" spans="1:3" x14ac:dyDescent="0.2">
      <c r="A160" s="2">
        <f ca="1">IFERROR(__xludf.DUMMYFUNCTION("""COMPUTED_VALUE"""),45450.9986111111)</f>
        <v>45450.998611111099</v>
      </c>
      <c r="B160" s="2"/>
      <c r="C160" s="5">
        <v>16268.2</v>
      </c>
    </row>
    <row r="161" spans="1:3" x14ac:dyDescent="0.2">
      <c r="A161" s="2">
        <f ca="1">IFERROR(__xludf.DUMMYFUNCTION("""COMPUTED_VALUE"""),45451.9986111111)</f>
        <v>45451.998611111099</v>
      </c>
      <c r="B161" s="2"/>
      <c r="C161" s="5">
        <v>16268.2</v>
      </c>
    </row>
    <row r="162" spans="1:3" x14ac:dyDescent="0.2">
      <c r="A162" s="2">
        <f ca="1">IFERROR(__xludf.DUMMYFUNCTION("""COMPUTED_VALUE"""),45452.9986111111)</f>
        <v>45452.998611111099</v>
      </c>
      <c r="B162" s="2"/>
      <c r="C162" s="5">
        <v>16270</v>
      </c>
    </row>
    <row r="163" spans="1:3" x14ac:dyDescent="0.2">
      <c r="A163" s="2">
        <f ca="1">IFERROR(__xludf.DUMMYFUNCTION("""COMPUTED_VALUE"""),45453.9986111111)</f>
        <v>45453.998611111099</v>
      </c>
      <c r="B163" s="2"/>
      <c r="C163" s="5">
        <v>16312</v>
      </c>
    </row>
    <row r="164" spans="1:3" x14ac:dyDescent="0.2">
      <c r="A164" s="2">
        <f ca="1">IFERROR(__xludf.DUMMYFUNCTION("""COMPUTED_VALUE"""),45454.9986111111)</f>
        <v>45454.998611111099</v>
      </c>
      <c r="B164" s="2"/>
      <c r="C164" s="5">
        <v>16305.4</v>
      </c>
    </row>
    <row r="165" spans="1:3" x14ac:dyDescent="0.2">
      <c r="A165" s="2">
        <f ca="1">IFERROR(__xludf.DUMMYFUNCTION("""COMPUTED_VALUE"""),45455.9986111111)</f>
        <v>45455.998611111099</v>
      </c>
      <c r="B165" s="2"/>
      <c r="C165" s="5">
        <v>16230</v>
      </c>
    </row>
    <row r="166" spans="1:3" x14ac:dyDescent="0.2">
      <c r="A166" s="2">
        <f ca="1">IFERROR(__xludf.DUMMYFUNCTION("""COMPUTED_VALUE"""),45456.9986111111)</f>
        <v>45456.998611111099</v>
      </c>
      <c r="B166" s="2"/>
      <c r="C166" s="5">
        <v>16286</v>
      </c>
    </row>
    <row r="167" spans="1:3" x14ac:dyDescent="0.2">
      <c r="A167" s="2">
        <f ca="1">IFERROR(__xludf.DUMMYFUNCTION("""COMPUTED_VALUE"""),45457.9986111111)</f>
        <v>45457.998611111099</v>
      </c>
      <c r="B167" s="2"/>
      <c r="C167" s="5">
        <v>16479.900000000001</v>
      </c>
    </row>
    <row r="168" spans="1:3" x14ac:dyDescent="0.2">
      <c r="A168" s="2">
        <f ca="1">IFERROR(__xludf.DUMMYFUNCTION("""COMPUTED_VALUE"""),45458.9986111111)</f>
        <v>45458.998611111099</v>
      </c>
      <c r="B168" s="2"/>
      <c r="C168" s="5">
        <v>16479.900000000001</v>
      </c>
    </row>
    <row r="169" spans="1:3" x14ac:dyDescent="0.2">
      <c r="A169" s="2">
        <f ca="1">IFERROR(__xludf.DUMMYFUNCTION("""COMPUTED_VALUE"""),45459.9986111111)</f>
        <v>45459.998611111099</v>
      </c>
      <c r="B169" s="2"/>
      <c r="C169" s="5">
        <v>16479.900000000001</v>
      </c>
    </row>
    <row r="170" spans="1:3" x14ac:dyDescent="0.2">
      <c r="A170" s="2">
        <f ca="1">IFERROR(__xludf.DUMMYFUNCTION("""COMPUTED_VALUE"""),45460.9986111111)</f>
        <v>45460.998611111099</v>
      </c>
      <c r="B170" s="2"/>
      <c r="C170" s="5">
        <v>16479</v>
      </c>
    </row>
    <row r="171" spans="1:3" x14ac:dyDescent="0.2">
      <c r="A171" s="2">
        <f ca="1">IFERROR(__xludf.DUMMYFUNCTION("""COMPUTED_VALUE"""),45461.9986111111)</f>
        <v>45461.998611111099</v>
      </c>
      <c r="B171" s="2"/>
      <c r="C171" s="5">
        <v>16379</v>
      </c>
    </row>
    <row r="172" spans="1:3" x14ac:dyDescent="0.2">
      <c r="A172" s="2">
        <f ca="1">IFERROR(__xludf.DUMMYFUNCTION("""COMPUTED_VALUE"""),45462.9986111111)</f>
        <v>45462.998611111099</v>
      </c>
      <c r="B172" s="2"/>
      <c r="C172" s="5">
        <v>16380.9</v>
      </c>
    </row>
    <row r="173" spans="1:3" x14ac:dyDescent="0.2">
      <c r="A173" s="2">
        <f ca="1">IFERROR(__xludf.DUMMYFUNCTION("""COMPUTED_VALUE"""),45463.9986111111)</f>
        <v>45463.998611111099</v>
      </c>
      <c r="B173" s="2"/>
      <c r="C173" s="5">
        <v>16491.900000000001</v>
      </c>
    </row>
    <row r="174" spans="1:3" x14ac:dyDescent="0.2">
      <c r="A174" s="2">
        <f ca="1">IFERROR(__xludf.DUMMYFUNCTION("""COMPUTED_VALUE"""),45464.9986111111)</f>
        <v>45464.998611111099</v>
      </c>
      <c r="B174" s="2"/>
      <c r="C174" s="5">
        <v>16470.2</v>
      </c>
    </row>
    <row r="175" spans="1:3" x14ac:dyDescent="0.2">
      <c r="A175" s="2">
        <f ca="1">IFERROR(__xludf.DUMMYFUNCTION("""COMPUTED_VALUE"""),45465.9986111111)</f>
        <v>45465.998611111099</v>
      </c>
      <c r="B175" s="2"/>
      <c r="C175" s="5">
        <v>16470.2</v>
      </c>
    </row>
    <row r="176" spans="1:3" x14ac:dyDescent="0.2">
      <c r="A176" s="2">
        <f ca="1">IFERROR(__xludf.DUMMYFUNCTION("""COMPUTED_VALUE"""),45466.9986111111)</f>
        <v>45466.998611111099</v>
      </c>
      <c r="B176" s="2"/>
      <c r="C176" s="5">
        <v>16443</v>
      </c>
    </row>
    <row r="177" spans="1:3" x14ac:dyDescent="0.2">
      <c r="A177" s="2">
        <f ca="1">IFERROR(__xludf.DUMMYFUNCTION("""COMPUTED_VALUE"""),45467.9986111111)</f>
        <v>45467.998611111099</v>
      </c>
      <c r="B177" s="2"/>
      <c r="C177" s="5">
        <v>16394.099999999999</v>
      </c>
    </row>
    <row r="178" spans="1:3" x14ac:dyDescent="0.2">
      <c r="A178" s="2">
        <f ca="1">IFERROR(__xludf.DUMMYFUNCTION("""COMPUTED_VALUE"""),45469.9986111111)</f>
        <v>45469.998611111099</v>
      </c>
      <c r="B178" s="2"/>
      <c r="C178" s="5">
        <v>16434</v>
      </c>
    </row>
    <row r="179" spans="1:3" x14ac:dyDescent="0.2">
      <c r="A179" s="2">
        <f ca="1">IFERROR(__xludf.DUMMYFUNCTION("""COMPUTED_VALUE"""),45470.9986111111)</f>
        <v>45470.998611111099</v>
      </c>
      <c r="B179" s="2"/>
      <c r="C179" s="5">
        <v>16374.4</v>
      </c>
    </row>
    <row r="180" spans="1:3" x14ac:dyDescent="0.2">
      <c r="A180" s="2">
        <f ca="1">IFERROR(__xludf.DUMMYFUNCTION("""COMPUTED_VALUE"""),45471.9986111111)</f>
        <v>45471.998611111099</v>
      </c>
      <c r="B180" s="2"/>
      <c r="C180" s="5">
        <v>16342.8</v>
      </c>
    </row>
    <row r="181" spans="1:3" x14ac:dyDescent="0.2">
      <c r="A181" s="2">
        <f ca="1">IFERROR(__xludf.DUMMYFUNCTION("""COMPUTED_VALUE"""),45472.9986111111)</f>
        <v>45472.998611111099</v>
      </c>
      <c r="B181" s="2"/>
      <c r="C181" s="5">
        <v>16342.8</v>
      </c>
    </row>
    <row r="182" spans="1:3" x14ac:dyDescent="0.2">
      <c r="A182" s="2">
        <f ca="1">IFERROR(__xludf.DUMMYFUNCTION("""COMPUTED_VALUE"""),45473.9986111111)</f>
        <v>45473.998611111099</v>
      </c>
      <c r="B182" s="2"/>
      <c r="C182" s="5">
        <v>16343</v>
      </c>
    </row>
    <row r="183" spans="1:3" x14ac:dyDescent="0.2">
      <c r="A183" s="2">
        <f ca="1">IFERROR(__xludf.DUMMYFUNCTION("""COMPUTED_VALUE"""),45474.9986111111)</f>
        <v>45474.998611111099</v>
      </c>
      <c r="B183" s="2"/>
      <c r="C183" s="5">
        <v>16390</v>
      </c>
    </row>
    <row r="184" spans="1:3" x14ac:dyDescent="0.2">
      <c r="A184" s="2">
        <f ca="1">IFERROR(__xludf.DUMMYFUNCTION("""COMPUTED_VALUE"""),45475.9986111111)</f>
        <v>45475.998611111099</v>
      </c>
      <c r="B184" s="2"/>
      <c r="C184" s="5">
        <v>16391</v>
      </c>
    </row>
    <row r="185" spans="1:3" x14ac:dyDescent="0.2">
      <c r="A185" s="2">
        <f ca="1">IFERROR(__xludf.DUMMYFUNCTION("""COMPUTED_VALUE"""),45476.9986111111)</f>
        <v>45476.998611111099</v>
      </c>
      <c r="B185" s="2"/>
      <c r="C185" s="5">
        <v>16340</v>
      </c>
    </row>
    <row r="186" spans="1:3" x14ac:dyDescent="0.2">
      <c r="A186" s="2">
        <f ca="1">IFERROR(__xludf.DUMMYFUNCTION("""COMPUTED_VALUE"""),45477.9986111111)</f>
        <v>45477.998611111099</v>
      </c>
      <c r="B186" s="2"/>
      <c r="C186" s="5">
        <v>16328.5</v>
      </c>
    </row>
    <row r="187" spans="1:3" x14ac:dyDescent="0.2">
      <c r="A187" s="2">
        <f ca="1">IFERROR(__xludf.DUMMYFUNCTION("""COMPUTED_VALUE"""),45478.9986111111)</f>
        <v>45478.998611111099</v>
      </c>
      <c r="B187" s="2"/>
      <c r="C187" s="5">
        <v>16239.3</v>
      </c>
    </row>
    <row r="188" spans="1:3" x14ac:dyDescent="0.2">
      <c r="A188" s="2">
        <f ca="1">IFERROR(__xludf.DUMMYFUNCTION("""COMPUTED_VALUE"""),45479.9986111111)</f>
        <v>45479.998611111099</v>
      </c>
      <c r="B188" s="2"/>
      <c r="C188" s="5">
        <v>16239.3</v>
      </c>
    </row>
    <row r="189" spans="1:3" x14ac:dyDescent="0.2">
      <c r="A189" s="2">
        <f ca="1">IFERROR(__xludf.DUMMYFUNCTION("""COMPUTED_VALUE"""),45480.9986111111)</f>
        <v>45480.998611111099</v>
      </c>
      <c r="B189" s="2"/>
      <c r="C189" s="5">
        <v>16245</v>
      </c>
    </row>
    <row r="190" spans="1:3" x14ac:dyDescent="0.2">
      <c r="A190" s="2">
        <f ca="1">IFERROR(__xludf.DUMMYFUNCTION("""COMPUTED_VALUE"""),45481.9986111111)</f>
        <v>45481.998611111099</v>
      </c>
      <c r="B190" s="2"/>
      <c r="C190" s="5">
        <v>16277.2</v>
      </c>
    </row>
    <row r="191" spans="1:3" x14ac:dyDescent="0.2">
      <c r="A191" s="2">
        <f ca="1">IFERROR(__xludf.DUMMYFUNCTION("""COMPUTED_VALUE"""),45482.9986111111)</f>
        <v>45482.998611111099</v>
      </c>
      <c r="B191" s="2"/>
      <c r="C191" s="5">
        <v>16277</v>
      </c>
    </row>
    <row r="192" spans="1:3" x14ac:dyDescent="0.2">
      <c r="A192" s="2">
        <f ca="1">IFERROR(__xludf.DUMMYFUNCTION("""COMPUTED_VALUE"""),45483.9986111111)</f>
        <v>45483.998611111099</v>
      </c>
      <c r="B192" s="2"/>
      <c r="C192" s="5">
        <v>16198</v>
      </c>
    </row>
    <row r="193" spans="1:3" x14ac:dyDescent="0.2">
      <c r="A193" s="2">
        <f ca="1">IFERROR(__xludf.DUMMYFUNCTION("""COMPUTED_VALUE"""),45484.9986111111)</f>
        <v>45484.998611111099</v>
      </c>
      <c r="B193" s="2"/>
      <c r="C193" s="5">
        <v>16104</v>
      </c>
    </row>
    <row r="194" spans="1:3" x14ac:dyDescent="0.2">
      <c r="A194" s="2">
        <f ca="1">IFERROR(__xludf.DUMMYFUNCTION("""COMPUTED_VALUE"""),45485.9986111111)</f>
        <v>45485.998611111099</v>
      </c>
      <c r="B194" s="2"/>
      <c r="C194" s="5">
        <v>16067.3</v>
      </c>
    </row>
    <row r="195" spans="1:3" x14ac:dyDescent="0.2">
      <c r="A195" s="2">
        <f ca="1">IFERROR(__xludf.DUMMYFUNCTION("""COMPUTED_VALUE"""),45486.9986111111)</f>
        <v>45486.998611111099</v>
      </c>
      <c r="B195" s="2"/>
      <c r="C195" s="5">
        <v>16067.3</v>
      </c>
    </row>
    <row r="196" spans="1:3" x14ac:dyDescent="0.2">
      <c r="A196" s="2">
        <f ca="1">IFERROR(__xludf.DUMMYFUNCTION("""COMPUTED_VALUE"""),45487.9986111111)</f>
        <v>45487.998611111099</v>
      </c>
      <c r="B196" s="2"/>
      <c r="C196" s="5">
        <v>16108</v>
      </c>
    </row>
    <row r="197" spans="1:3" x14ac:dyDescent="0.2">
      <c r="A197" s="2">
        <f ca="1">IFERROR(__xludf.DUMMYFUNCTION("""COMPUTED_VALUE"""),45488.9986111111)</f>
        <v>45488.998611111099</v>
      </c>
      <c r="B197" s="2"/>
      <c r="C197" s="5">
        <v>16195</v>
      </c>
    </row>
    <row r="198" spans="1:3" x14ac:dyDescent="0.2">
      <c r="A198" s="2">
        <f ca="1">IFERROR(__xludf.DUMMYFUNCTION("""COMPUTED_VALUE"""),45489.9986111111)</f>
        <v>45489.998611111099</v>
      </c>
      <c r="B198" s="2"/>
      <c r="C198" s="5">
        <v>16173</v>
      </c>
    </row>
    <row r="199" spans="1:3" x14ac:dyDescent="0.2">
      <c r="A199" s="2">
        <f ca="1">IFERROR(__xludf.DUMMYFUNCTION("""COMPUTED_VALUE"""),45490.9986111111)</f>
        <v>45490.998611111099</v>
      </c>
      <c r="B199" s="2"/>
      <c r="C199" s="5">
        <v>16138</v>
      </c>
    </row>
    <row r="200" spans="1:3" x14ac:dyDescent="0.2">
      <c r="A200" s="2">
        <f ca="1">IFERROR(__xludf.DUMMYFUNCTION("""COMPUTED_VALUE"""),45491.9986111111)</f>
        <v>45491.998611111099</v>
      </c>
      <c r="B200" s="2"/>
      <c r="C200" s="5">
        <v>16185</v>
      </c>
    </row>
    <row r="201" spans="1:3" x14ac:dyDescent="0.2">
      <c r="A201" s="2">
        <f ca="1">IFERROR(__xludf.DUMMYFUNCTION("""COMPUTED_VALUE"""),45492.9986111111)</f>
        <v>45492.998611111099</v>
      </c>
      <c r="B201" s="2"/>
      <c r="C201" s="5">
        <v>16207.8</v>
      </c>
    </row>
    <row r="202" spans="1:3" x14ac:dyDescent="0.2">
      <c r="A202" s="2">
        <f ca="1">IFERROR(__xludf.DUMMYFUNCTION("""COMPUTED_VALUE"""),45493.9986111111)</f>
        <v>45493.998611111099</v>
      </c>
      <c r="B202" s="2"/>
      <c r="C202" s="5">
        <v>16207.8</v>
      </c>
    </row>
    <row r="203" spans="1:3" x14ac:dyDescent="0.2">
      <c r="A203" s="2">
        <f ca="1">IFERROR(__xludf.DUMMYFUNCTION("""COMPUTED_VALUE"""),45494.9986111111)</f>
        <v>45494.998611111099</v>
      </c>
      <c r="B203" s="2"/>
      <c r="C203" s="5">
        <v>16206</v>
      </c>
    </row>
    <row r="204" spans="1:3" x14ac:dyDescent="0.2">
      <c r="A204" s="2">
        <f ca="1">IFERROR(__xludf.DUMMYFUNCTION("""COMPUTED_VALUE"""),45495.9986111111)</f>
        <v>45495.998611111099</v>
      </c>
      <c r="B204" s="2"/>
      <c r="C204" s="5">
        <v>16220.2</v>
      </c>
    </row>
    <row r="205" spans="1:3" x14ac:dyDescent="0.2">
      <c r="A205" s="2">
        <f ca="1">IFERROR(__xludf.DUMMYFUNCTION("""COMPUTED_VALUE"""),45496.9986111111)</f>
        <v>45496.998611111099</v>
      </c>
      <c r="B205" s="2"/>
      <c r="C205" s="5">
        <v>16222</v>
      </c>
    </row>
    <row r="206" spans="1:3" x14ac:dyDescent="0.2">
      <c r="A206" s="2">
        <f ca="1">IFERROR(__xludf.DUMMYFUNCTION("""COMPUTED_VALUE"""),45497.9986111111)</f>
        <v>45497.998611111099</v>
      </c>
      <c r="B206" s="2"/>
      <c r="C206" s="5">
        <v>16246</v>
      </c>
    </row>
    <row r="207" spans="1:3" x14ac:dyDescent="0.2">
      <c r="A207" s="2">
        <f ca="1">IFERROR(__xludf.DUMMYFUNCTION("""COMPUTED_VALUE"""),45498.9986111111)</f>
        <v>45498.998611111099</v>
      </c>
      <c r="B207" s="2"/>
      <c r="C207" s="5">
        <v>16337.8</v>
      </c>
    </row>
    <row r="208" spans="1:3" x14ac:dyDescent="0.2">
      <c r="A208" s="2">
        <f ca="1">IFERROR(__xludf.DUMMYFUNCTION("""COMPUTED_VALUE"""),45499.9986111111)</f>
        <v>45499.998611111099</v>
      </c>
      <c r="B208" s="2"/>
      <c r="C208" s="5">
        <v>16284.1</v>
      </c>
    </row>
    <row r="209" spans="1:3" x14ac:dyDescent="0.2">
      <c r="A209" s="2">
        <f ca="1">IFERROR(__xludf.DUMMYFUNCTION("""COMPUTED_VALUE"""),45500.9986111111)</f>
        <v>45500.998611111099</v>
      </c>
      <c r="B209" s="2"/>
      <c r="C209" s="5">
        <v>16284.1</v>
      </c>
    </row>
    <row r="210" spans="1:3" x14ac:dyDescent="0.2">
      <c r="A210" s="2">
        <f ca="1">IFERROR(__xludf.DUMMYFUNCTION("""COMPUTED_VALUE"""),45501.9986111111)</f>
        <v>45501.998611111099</v>
      </c>
      <c r="B210" s="2"/>
      <c r="C210" s="5">
        <v>16283</v>
      </c>
    </row>
    <row r="211" spans="1:3" x14ac:dyDescent="0.2">
      <c r="A211" s="2">
        <f ca="1">IFERROR(__xludf.DUMMYFUNCTION("""COMPUTED_VALUE"""),45502.9986111111)</f>
        <v>45502.998611111099</v>
      </c>
      <c r="B211" s="2"/>
      <c r="C211" s="5">
        <v>16301.7</v>
      </c>
    </row>
    <row r="212" spans="1:3" x14ac:dyDescent="0.2">
      <c r="A212" s="2">
        <f ca="1">IFERROR(__xludf.DUMMYFUNCTION("""COMPUTED_VALUE"""),45503.9986111111)</f>
        <v>45503.998611111099</v>
      </c>
      <c r="B212" s="2"/>
      <c r="C212" s="5">
        <v>16328.5</v>
      </c>
    </row>
    <row r="213" spans="1:3" x14ac:dyDescent="0.2">
      <c r="A213" s="2">
        <f ca="1">IFERROR(__xludf.DUMMYFUNCTION("""COMPUTED_VALUE"""),45504.9986111111)</f>
        <v>45504.998611111099</v>
      </c>
      <c r="B213" s="2"/>
      <c r="C213" s="5">
        <v>16255</v>
      </c>
    </row>
    <row r="214" spans="1:3" x14ac:dyDescent="0.2">
      <c r="A214" s="2">
        <f ca="1">IFERROR(__xludf.DUMMYFUNCTION("""COMPUTED_VALUE"""),45505.9986111111)</f>
        <v>45505.998611111099</v>
      </c>
      <c r="B214" s="2"/>
      <c r="C214" s="5">
        <v>16281</v>
      </c>
    </row>
    <row r="215" spans="1:3" x14ac:dyDescent="0.2">
      <c r="A215" s="2">
        <f ca="1">IFERROR(__xludf.DUMMYFUNCTION("""COMPUTED_VALUE"""),45506.9986111111)</f>
        <v>45506.998611111099</v>
      </c>
      <c r="B215" s="2"/>
      <c r="C215" s="5">
        <v>16134.6</v>
      </c>
    </row>
    <row r="216" spans="1:3" x14ac:dyDescent="0.2">
      <c r="A216" s="2">
        <f ca="1">IFERROR(__xludf.DUMMYFUNCTION("""COMPUTED_VALUE"""),45507.9986111111)</f>
        <v>45507.998611111099</v>
      </c>
      <c r="B216" s="2"/>
      <c r="C216" s="5">
        <v>16134.6</v>
      </c>
    </row>
    <row r="217" spans="1:3" x14ac:dyDescent="0.2">
      <c r="A217" s="2">
        <f ca="1">IFERROR(__xludf.DUMMYFUNCTION("""COMPUTED_VALUE"""),45508.9986111111)</f>
        <v>45508.998611111099</v>
      </c>
      <c r="B217" s="2"/>
      <c r="C217" s="5">
        <v>16012</v>
      </c>
    </row>
    <row r="218" spans="1:3" x14ac:dyDescent="0.2">
      <c r="A218" s="2">
        <f ca="1">IFERROR(__xludf.DUMMYFUNCTION("""COMPUTED_VALUE"""),45509.9986111111)</f>
        <v>45509.998611111099</v>
      </c>
      <c r="B218" s="2"/>
      <c r="C218" s="5">
        <v>16208</v>
      </c>
    </row>
    <row r="219" spans="1:3" x14ac:dyDescent="0.2">
      <c r="A219" s="2">
        <f ca="1">IFERROR(__xludf.DUMMYFUNCTION("""COMPUTED_VALUE"""),45510.9986111111)</f>
        <v>45510.998611111099</v>
      </c>
      <c r="B219" s="2"/>
      <c r="C219" s="5">
        <v>16152.3</v>
      </c>
    </row>
    <row r="220" spans="1:3" x14ac:dyDescent="0.2">
      <c r="A220" s="2">
        <f ca="1">IFERROR(__xludf.DUMMYFUNCTION("""COMPUTED_VALUE"""),45511.9986111111)</f>
        <v>45511.998611111099</v>
      </c>
      <c r="B220" s="2"/>
      <c r="C220" s="5">
        <v>16023</v>
      </c>
    </row>
    <row r="221" spans="1:3" x14ac:dyDescent="0.2">
      <c r="A221" s="2">
        <f ca="1">IFERROR(__xludf.DUMMYFUNCTION("""COMPUTED_VALUE"""),45512.9986111111)</f>
        <v>45512.998611111099</v>
      </c>
      <c r="B221" s="2"/>
      <c r="C221" s="5">
        <v>15979</v>
      </c>
    </row>
    <row r="222" spans="1:3" x14ac:dyDescent="0.2">
      <c r="A222" s="2">
        <f ca="1">IFERROR(__xludf.DUMMYFUNCTION("""COMPUTED_VALUE"""),45513.9986111111)</f>
        <v>45513.998611111099</v>
      </c>
      <c r="B222" s="2"/>
      <c r="C222" s="5">
        <v>15934</v>
      </c>
    </row>
    <row r="223" spans="1:3" x14ac:dyDescent="0.2">
      <c r="A223" s="2">
        <f ca="1">IFERROR(__xludf.DUMMYFUNCTION("""COMPUTED_VALUE"""),45514.9986111111)</f>
        <v>45514.998611111099</v>
      </c>
      <c r="B223" s="2"/>
      <c r="C223" s="5">
        <v>15934</v>
      </c>
    </row>
    <row r="224" spans="1:3" x14ac:dyDescent="0.2">
      <c r="A224" s="2">
        <f ca="1">IFERROR(__xludf.DUMMYFUNCTION("""COMPUTED_VALUE"""),45515.9986111111)</f>
        <v>45515.998611111099</v>
      </c>
      <c r="B224" s="2"/>
      <c r="C224" s="5">
        <v>15918</v>
      </c>
    </row>
    <row r="225" spans="1:3" x14ac:dyDescent="0.2">
      <c r="A225" s="2">
        <f ca="1">IFERROR(__xludf.DUMMYFUNCTION("""COMPUTED_VALUE"""),45516.9986111111)</f>
        <v>45516.998611111099</v>
      </c>
      <c r="B225" s="2"/>
      <c r="C225" s="5">
        <v>15949.1</v>
      </c>
    </row>
    <row r="226" spans="1:3" x14ac:dyDescent="0.2">
      <c r="A226" s="2">
        <f ca="1">IFERROR(__xludf.DUMMYFUNCTION("""COMPUTED_VALUE"""),45517.9986111111)</f>
        <v>45517.998611111099</v>
      </c>
      <c r="B226" s="2"/>
      <c r="C226" s="5">
        <v>15749</v>
      </c>
    </row>
    <row r="227" spans="1:3" x14ac:dyDescent="0.2">
      <c r="A227" s="2">
        <f ca="1">IFERROR(__xludf.DUMMYFUNCTION("""COMPUTED_VALUE"""),45518.9986111111)</f>
        <v>45518.998611111099</v>
      </c>
      <c r="B227" s="2"/>
      <c r="C227" s="5">
        <v>15619.5</v>
      </c>
    </row>
    <row r="228" spans="1:3" x14ac:dyDescent="0.2">
      <c r="A228" s="2">
        <f ca="1">IFERROR(__xludf.DUMMYFUNCTION("""COMPUTED_VALUE"""),45519.9986111111)</f>
        <v>45519.998611111099</v>
      </c>
      <c r="B228" s="2"/>
      <c r="C228" s="5">
        <v>15755</v>
      </c>
    </row>
    <row r="229" spans="1:3" x14ac:dyDescent="0.2">
      <c r="A229" s="2">
        <f ca="1">IFERROR(__xludf.DUMMYFUNCTION("""COMPUTED_VALUE"""),45520.9986111111)</f>
        <v>45520.998611111099</v>
      </c>
      <c r="B229" s="2"/>
      <c r="C229" s="5">
        <v>15672</v>
      </c>
    </row>
    <row r="230" spans="1:3" x14ac:dyDescent="0.2">
      <c r="A230" s="2">
        <f ca="1">IFERROR(__xludf.DUMMYFUNCTION("""COMPUTED_VALUE"""),45521.9986111111)</f>
        <v>45521.998611111099</v>
      </c>
      <c r="B230" s="2"/>
      <c r="C230" s="5">
        <v>15672</v>
      </c>
    </row>
    <row r="231" spans="1:3" x14ac:dyDescent="0.2">
      <c r="A231" s="2">
        <f ca="1">IFERROR(__xludf.DUMMYFUNCTION("""COMPUTED_VALUE"""),45522.9986111111)</f>
        <v>45522.998611111099</v>
      </c>
      <c r="B231" s="2"/>
      <c r="C231" s="5">
        <v>15683</v>
      </c>
    </row>
    <row r="232" spans="1:3" x14ac:dyDescent="0.2">
      <c r="A232" s="2">
        <f ca="1">IFERROR(__xludf.DUMMYFUNCTION("""COMPUTED_VALUE"""),45523.9986111111)</f>
        <v>45523.998611111099</v>
      </c>
      <c r="B232" s="2"/>
      <c r="C232" s="5">
        <v>15523</v>
      </c>
    </row>
    <row r="233" spans="1:3" x14ac:dyDescent="0.2">
      <c r="A233" s="2">
        <f ca="1">IFERROR(__xludf.DUMMYFUNCTION("""COMPUTED_VALUE"""),45524.9986111111)</f>
        <v>45524.998611111099</v>
      </c>
      <c r="B233" s="2"/>
      <c r="C233" s="5">
        <v>15442</v>
      </c>
    </row>
    <row r="234" spans="1:3" x14ac:dyDescent="0.2">
      <c r="A234" s="2">
        <f ca="1">IFERROR(__xludf.DUMMYFUNCTION("""COMPUTED_VALUE"""),45525.9986111111)</f>
        <v>45525.998611111099</v>
      </c>
      <c r="B234" s="2"/>
      <c r="C234" s="5">
        <v>15484</v>
      </c>
    </row>
    <row r="235" spans="1:3" x14ac:dyDescent="0.2">
      <c r="A235" s="2">
        <f ca="1">IFERROR(__xludf.DUMMYFUNCTION("""COMPUTED_VALUE"""),45526.9986111111)</f>
        <v>45526.998611111099</v>
      </c>
      <c r="B235" s="2"/>
      <c r="C235" s="5">
        <v>15728.5</v>
      </c>
    </row>
    <row r="236" spans="1:3" x14ac:dyDescent="0.2">
      <c r="A236" s="2">
        <f ca="1">IFERROR(__xludf.DUMMYFUNCTION("""COMPUTED_VALUE"""),45527.9986111111)</f>
        <v>45527.998611111099</v>
      </c>
      <c r="B236" s="2"/>
      <c r="C236" s="5">
        <v>15377.2</v>
      </c>
    </row>
    <row r="237" spans="1:3" x14ac:dyDescent="0.2">
      <c r="A237" s="2">
        <f ca="1">IFERROR(__xludf.DUMMYFUNCTION("""COMPUTED_VALUE"""),45528.9986111111)</f>
        <v>45528.998611111099</v>
      </c>
      <c r="B237" s="2"/>
      <c r="C237" s="5">
        <v>15377.2</v>
      </c>
    </row>
    <row r="238" spans="1:3" x14ac:dyDescent="0.2">
      <c r="A238" s="2">
        <f ca="1">IFERROR(__xludf.DUMMYFUNCTION("""COMPUTED_VALUE"""),45529.9986111111)</f>
        <v>45529.998611111099</v>
      </c>
      <c r="B238" s="2"/>
      <c r="C238" s="5">
        <v>15377.2</v>
      </c>
    </row>
    <row r="239" spans="1:3" x14ac:dyDescent="0.2">
      <c r="A239" s="2">
        <f ca="1">IFERROR(__xludf.DUMMYFUNCTION("""COMPUTED_VALUE"""),45530.9986111111)</f>
        <v>45530.998611111099</v>
      </c>
      <c r="B239" s="2"/>
      <c r="C239" s="5">
        <v>15462.6</v>
      </c>
    </row>
    <row r="240" spans="1:3" x14ac:dyDescent="0.2">
      <c r="A240" s="2">
        <f ca="1">IFERROR(__xludf.DUMMYFUNCTION("""COMPUTED_VALUE"""),45531.9986111111)</f>
        <v>45531.998611111099</v>
      </c>
      <c r="B240" s="2"/>
      <c r="C240" s="5">
        <v>15467.1</v>
      </c>
    </row>
    <row r="241" spans="1:3" x14ac:dyDescent="0.2">
      <c r="A241" s="2">
        <f ca="1">IFERROR(__xludf.DUMMYFUNCTION("""COMPUTED_VALUE"""),45532.9986111111)</f>
        <v>45532.998611111099</v>
      </c>
      <c r="B241" s="2"/>
      <c r="C241" s="5">
        <v>15440</v>
      </c>
    </row>
    <row r="242" spans="1:3" x14ac:dyDescent="0.2">
      <c r="A242" s="2">
        <f ca="1">IFERROR(__xludf.DUMMYFUNCTION("""COMPUTED_VALUE"""),45533.9986111111)</f>
        <v>45533.998611111099</v>
      </c>
      <c r="B242" s="2"/>
      <c r="C242" s="5">
        <v>15444.8</v>
      </c>
    </row>
    <row r="243" spans="1:3" x14ac:dyDescent="0.2">
      <c r="A243" s="2">
        <f ca="1">IFERROR(__xludf.DUMMYFUNCTION("""COMPUTED_VALUE"""),45534.9986111111)</f>
        <v>45534.998611111099</v>
      </c>
      <c r="B243" s="2"/>
      <c r="C243" s="5">
        <v>15521.4</v>
      </c>
    </row>
    <row r="244" spans="1:3" x14ac:dyDescent="0.2">
      <c r="A244" s="2">
        <f ca="1">IFERROR(__xludf.DUMMYFUNCTION("""COMPUTED_VALUE"""),45535.9986111111)</f>
        <v>45535.998611111099</v>
      </c>
      <c r="B244" s="2"/>
      <c r="C244" s="5">
        <v>15521.4</v>
      </c>
    </row>
    <row r="245" spans="1:3" x14ac:dyDescent="0.2">
      <c r="A245" s="2">
        <f ca="1">IFERROR(__xludf.DUMMYFUNCTION("""COMPUTED_VALUE"""),45536.9986111111)</f>
        <v>45536.998611111099</v>
      </c>
      <c r="B245" s="2"/>
      <c r="C245" s="5">
        <v>15525</v>
      </c>
    </row>
    <row r="246" spans="1:3" x14ac:dyDescent="0.2">
      <c r="A246" s="2">
        <f ca="1">IFERROR(__xludf.DUMMYFUNCTION("""COMPUTED_VALUE"""),45537.9986111111)</f>
        <v>45537.998611111099</v>
      </c>
      <c r="B246" s="2"/>
      <c r="C246" s="5">
        <v>15520.1</v>
      </c>
    </row>
    <row r="247" spans="1:3" x14ac:dyDescent="0.2">
      <c r="A247" s="2">
        <f ca="1">IFERROR(__xludf.DUMMYFUNCTION("""COMPUTED_VALUE"""),45538.9986111111)</f>
        <v>45538.998611111099</v>
      </c>
      <c r="B247" s="2"/>
      <c r="C247" s="5">
        <v>15532.9</v>
      </c>
    </row>
    <row r="248" spans="1:3" x14ac:dyDescent="0.2">
      <c r="A248" s="2">
        <f ca="1">IFERROR(__xludf.DUMMYFUNCTION("""COMPUTED_VALUE"""),45539.9986111111)</f>
        <v>45539.998611111099</v>
      </c>
      <c r="B248" s="2"/>
      <c r="C248" s="5">
        <v>15444.4</v>
      </c>
    </row>
    <row r="249" spans="1:3" x14ac:dyDescent="0.2">
      <c r="A249" s="2">
        <f ca="1">IFERROR(__xludf.DUMMYFUNCTION("""COMPUTED_VALUE"""),45540.9986111111)</f>
        <v>45540.998611111099</v>
      </c>
      <c r="B249" s="2"/>
      <c r="C249" s="5">
        <v>15417</v>
      </c>
    </row>
    <row r="250" spans="1:3" x14ac:dyDescent="0.2">
      <c r="A250" s="2">
        <f ca="1">IFERROR(__xludf.DUMMYFUNCTION("""COMPUTED_VALUE"""),45541.9986111111)</f>
        <v>45541.998611111099</v>
      </c>
      <c r="B250" s="2"/>
      <c r="C250" s="5">
        <v>15404.6</v>
      </c>
    </row>
    <row r="251" spans="1:3" x14ac:dyDescent="0.2">
      <c r="A251" s="2">
        <f ca="1">IFERROR(__xludf.DUMMYFUNCTION("""COMPUTED_VALUE"""),45542.9986111111)</f>
        <v>45542.998611111099</v>
      </c>
      <c r="B251" s="2"/>
      <c r="C251" s="5">
        <v>15404.6</v>
      </c>
    </row>
    <row r="252" spans="1:3" x14ac:dyDescent="0.2">
      <c r="A252" s="2">
        <f ca="1">IFERROR(__xludf.DUMMYFUNCTION("""COMPUTED_VALUE"""),45543.9986111111)</f>
        <v>45543.998611111099</v>
      </c>
      <c r="B252" s="2"/>
      <c r="C252" s="5">
        <v>15405</v>
      </c>
    </row>
    <row r="253" spans="1:3" x14ac:dyDescent="0.2">
      <c r="A253" s="2">
        <f ca="1">IFERROR(__xludf.DUMMYFUNCTION("""COMPUTED_VALUE"""),45544.9986111111)</f>
        <v>45544.998611111099</v>
      </c>
      <c r="B253" s="2"/>
      <c r="C253" s="5">
        <v>15456.8</v>
      </c>
    </row>
    <row r="254" spans="1:3" x14ac:dyDescent="0.2">
      <c r="A254" s="2">
        <f ca="1">IFERROR(__xludf.DUMMYFUNCTION("""COMPUTED_VALUE"""),45545.9986111111)</f>
        <v>45545.998611111099</v>
      </c>
      <c r="B254" s="2"/>
      <c r="C254" s="5">
        <v>15489</v>
      </c>
    </row>
    <row r="255" spans="1:3" x14ac:dyDescent="0.2">
      <c r="A255" s="2">
        <f ca="1">IFERROR(__xludf.DUMMYFUNCTION("""COMPUTED_VALUE"""),45546.9986111111)</f>
        <v>45546.998611111099</v>
      </c>
      <c r="B255" s="2"/>
      <c r="C255" s="5">
        <v>15437</v>
      </c>
    </row>
    <row r="256" spans="1:3" x14ac:dyDescent="0.2">
      <c r="A256" s="2">
        <f ca="1">IFERROR(__xludf.DUMMYFUNCTION("""COMPUTED_VALUE"""),45547.9986111111)</f>
        <v>45547.998611111099</v>
      </c>
      <c r="B256" s="2"/>
      <c r="C256" s="5">
        <v>15418.7</v>
      </c>
    </row>
    <row r="257" spans="1:3" x14ac:dyDescent="0.2">
      <c r="A257" s="2">
        <f ca="1">IFERROR(__xludf.DUMMYFUNCTION("""COMPUTED_VALUE"""),45548.9986111111)</f>
        <v>45548.998611111099</v>
      </c>
      <c r="B257" s="2"/>
      <c r="C257" s="5">
        <v>15397.8</v>
      </c>
    </row>
    <row r="258" spans="1:3" x14ac:dyDescent="0.2">
      <c r="A258" s="2">
        <f ca="1">IFERROR(__xludf.DUMMYFUNCTION("""COMPUTED_VALUE"""),45549.9986111111)</f>
        <v>45549.998611111099</v>
      </c>
      <c r="B258" s="2"/>
      <c r="C258" s="5">
        <v>15397.8</v>
      </c>
    </row>
    <row r="259" spans="1:3" x14ac:dyDescent="0.2">
      <c r="A259" s="2">
        <f ca="1">IFERROR(__xludf.DUMMYFUNCTION("""COMPUTED_VALUE"""),45550.9986111111)</f>
        <v>45550.998611111099</v>
      </c>
      <c r="B259" s="2"/>
      <c r="C259" s="5">
        <v>15393</v>
      </c>
    </row>
    <row r="260" spans="1:3" x14ac:dyDescent="0.2">
      <c r="A260" s="2">
        <f ca="1">IFERROR(__xludf.DUMMYFUNCTION("""COMPUTED_VALUE"""),45551.9986111111)</f>
        <v>45551.998611111099</v>
      </c>
      <c r="B260" s="2"/>
      <c r="C260" s="5">
        <v>15385</v>
      </c>
    </row>
    <row r="261" spans="1:3" x14ac:dyDescent="0.2">
      <c r="A261" s="2">
        <f ca="1">IFERROR(__xludf.DUMMYFUNCTION("""COMPUTED_VALUE"""),45552.9986111111)</f>
        <v>45552.998611111099</v>
      </c>
      <c r="B261" s="2"/>
      <c r="C261" s="5">
        <v>15345</v>
      </c>
    </row>
    <row r="262" spans="1:3" x14ac:dyDescent="0.2">
      <c r="A262" s="2">
        <f ca="1">IFERROR(__xludf.DUMMYFUNCTION("""COMPUTED_VALUE"""),45553.9986111111)</f>
        <v>45553.998611111099</v>
      </c>
      <c r="B262" s="2"/>
      <c r="C262" s="5">
        <v>15300.2</v>
      </c>
    </row>
    <row r="263" spans="1:3" x14ac:dyDescent="0.2">
      <c r="A263" s="2">
        <f ca="1">IFERROR(__xludf.DUMMYFUNCTION("""COMPUTED_VALUE"""),45554.9986111111)</f>
        <v>45554.998611111099</v>
      </c>
      <c r="B263" s="2"/>
      <c r="C263" s="5">
        <v>15197.6</v>
      </c>
    </row>
    <row r="264" spans="1:3" x14ac:dyDescent="0.2">
      <c r="A264" s="2">
        <f ca="1">IFERROR(__xludf.DUMMYFUNCTION("""COMPUTED_VALUE"""),45555.9986111111)</f>
        <v>45555.998611111099</v>
      </c>
      <c r="B264" s="2"/>
      <c r="C264" s="5">
        <v>15143.2</v>
      </c>
    </row>
    <row r="265" spans="1:3" x14ac:dyDescent="0.2">
      <c r="A265" s="2">
        <f ca="1">IFERROR(__xludf.DUMMYFUNCTION("""COMPUTED_VALUE"""),45556.9986111111)</f>
        <v>45556.998611111099</v>
      </c>
      <c r="B265" s="2"/>
      <c r="C265" s="5">
        <v>15143.2</v>
      </c>
    </row>
    <row r="266" spans="1:3" x14ac:dyDescent="0.2">
      <c r="A266" s="2">
        <f ca="1">IFERROR(__xludf.DUMMYFUNCTION("""COMPUTED_VALUE"""),45557.9986111111)</f>
        <v>45557.998611111099</v>
      </c>
      <c r="B266" s="2"/>
      <c r="C266" s="5">
        <v>15154</v>
      </c>
    </row>
    <row r="267" spans="1:3" x14ac:dyDescent="0.2">
      <c r="A267" s="2">
        <f ca="1">IFERROR(__xludf.DUMMYFUNCTION("""COMPUTED_VALUE"""),45558.9986111111)</f>
        <v>45558.998611111099</v>
      </c>
      <c r="B267" s="2"/>
      <c r="C267" s="5">
        <v>15174.1</v>
      </c>
    </row>
    <row r="268" spans="1:3" x14ac:dyDescent="0.2">
      <c r="A268" s="2">
        <f ca="1">IFERROR(__xludf.DUMMYFUNCTION("""COMPUTED_VALUE"""),45559.9986111111)</f>
        <v>45559.998611111099</v>
      </c>
      <c r="B268" s="2"/>
      <c r="C268" s="5">
        <v>15121.1</v>
      </c>
    </row>
    <row r="269" spans="1:3" x14ac:dyDescent="0.2">
      <c r="A269" s="2">
        <f ca="1">IFERROR(__xludf.DUMMYFUNCTION("""COMPUTED_VALUE"""),45560.9986111111)</f>
        <v>45560.998611111099</v>
      </c>
      <c r="B269" s="2"/>
      <c r="C269" s="5">
        <v>15201.5</v>
      </c>
    </row>
    <row r="270" spans="1:3" x14ac:dyDescent="0.2">
      <c r="A270" s="2">
        <f ca="1">IFERROR(__xludf.DUMMYFUNCTION("""COMPUTED_VALUE"""),45561.9986111111)</f>
        <v>45561.998611111099</v>
      </c>
      <c r="B270" s="2"/>
      <c r="C270" s="5">
        <v>15070</v>
      </c>
    </row>
    <row r="271" spans="1:3" x14ac:dyDescent="0.2">
      <c r="A271" s="2">
        <f ca="1">IFERROR(__xludf.DUMMYFUNCTION("""COMPUTED_VALUE"""),45562.9986111111)</f>
        <v>45562.998611111099</v>
      </c>
      <c r="B271" s="2"/>
      <c r="C271" s="5">
        <v>15101.9</v>
      </c>
    </row>
    <row r="272" spans="1:3" x14ac:dyDescent="0.2">
      <c r="A272" s="2">
        <f ca="1">IFERROR(__xludf.DUMMYFUNCTION("""COMPUTED_VALUE"""),45563.9986111111)</f>
        <v>45563.998611111099</v>
      </c>
      <c r="B272" s="2"/>
      <c r="C272" s="5">
        <v>15101.9</v>
      </c>
    </row>
    <row r="273" spans="1:3" x14ac:dyDescent="0.2">
      <c r="A273" s="2">
        <f ca="1">IFERROR(__xludf.DUMMYFUNCTION("""COMPUTED_VALUE"""),45564.9986111111)</f>
        <v>45564.998611111099</v>
      </c>
      <c r="B273" s="2"/>
      <c r="C273" s="5">
        <v>15118</v>
      </c>
    </row>
    <row r="274" spans="1:3" x14ac:dyDescent="0.2">
      <c r="A274" s="2">
        <f ca="1">IFERROR(__xludf.DUMMYFUNCTION("""COMPUTED_VALUE"""),45565.9986111111)</f>
        <v>45565.998611111099</v>
      </c>
      <c r="B274" s="2"/>
      <c r="C274" s="5">
        <v>15170.6</v>
      </c>
    </row>
    <row r="275" spans="1:3" x14ac:dyDescent="0.2">
      <c r="A275" s="2">
        <f ca="1">IFERROR(__xludf.DUMMYFUNCTION("""COMPUTED_VALUE"""),45566.9986111111)</f>
        <v>45566.998611111099</v>
      </c>
      <c r="B275" s="2"/>
      <c r="C275" s="5">
        <v>15260.6</v>
      </c>
    </row>
    <row r="276" spans="1:3" x14ac:dyDescent="0.2">
      <c r="A276" s="2">
        <f ca="1">IFERROR(__xludf.DUMMYFUNCTION("""COMPUTED_VALUE"""),45567.9986111111)</f>
        <v>45567.998611111099</v>
      </c>
      <c r="B276" s="2"/>
      <c r="C276" s="5">
        <v>15324</v>
      </c>
    </row>
    <row r="277" spans="1:3" x14ac:dyDescent="0.2">
      <c r="A277" s="2">
        <f ca="1">IFERROR(__xludf.DUMMYFUNCTION("""COMPUTED_VALUE"""),45568.9986111111)</f>
        <v>45568.998611111099</v>
      </c>
      <c r="B277" s="2"/>
      <c r="C277" s="5">
        <v>15457</v>
      </c>
    </row>
    <row r="278" spans="1:3" x14ac:dyDescent="0.2">
      <c r="A278" s="2">
        <f ca="1">IFERROR(__xludf.DUMMYFUNCTION("""COMPUTED_VALUE"""),45569.9986111111)</f>
        <v>45569.998611111099</v>
      </c>
      <c r="B278" s="2"/>
      <c r="C278" s="5">
        <v>15650</v>
      </c>
    </row>
    <row r="279" spans="1:3" x14ac:dyDescent="0.2">
      <c r="A279" s="2">
        <f ca="1">IFERROR(__xludf.DUMMYFUNCTION("""COMPUTED_VALUE"""),45570.9986111111)</f>
        <v>45570.998611111099</v>
      </c>
      <c r="B279" s="2"/>
      <c r="C279" s="5">
        <v>15650</v>
      </c>
    </row>
    <row r="280" spans="1:3" x14ac:dyDescent="0.2">
      <c r="A280" s="2">
        <f ca="1">IFERROR(__xludf.DUMMYFUNCTION("""COMPUTED_VALUE"""),45571.9986111111)</f>
        <v>45571.998611111099</v>
      </c>
      <c r="B280" s="2"/>
      <c r="C280" s="5">
        <v>15650</v>
      </c>
    </row>
    <row r="281" spans="1:3" x14ac:dyDescent="0.2">
      <c r="A281" s="2">
        <f ca="1">IFERROR(__xludf.DUMMYFUNCTION("""COMPUTED_VALUE"""),45572.9986111111)</f>
        <v>45572.998611111099</v>
      </c>
      <c r="B281" s="2"/>
      <c r="C281" s="5">
        <v>15744</v>
      </c>
    </row>
    <row r="282" spans="1:3" x14ac:dyDescent="0.2">
      <c r="A282" s="2">
        <f ca="1">IFERROR(__xludf.DUMMYFUNCTION("""COMPUTED_VALUE"""),45573.9986111111)</f>
        <v>45573.998611111099</v>
      </c>
      <c r="B282" s="2"/>
      <c r="C282" s="5">
        <v>15682.4</v>
      </c>
    </row>
    <row r="283" spans="1:3" x14ac:dyDescent="0.2">
      <c r="A283" s="2">
        <f ca="1">IFERROR(__xludf.DUMMYFUNCTION("""COMPUTED_VALUE"""),45574.9986111111)</f>
        <v>45574.998611111099</v>
      </c>
      <c r="B283" s="2"/>
      <c r="C283" s="5">
        <v>15664.6</v>
      </c>
    </row>
    <row r="284" spans="1:3" x14ac:dyDescent="0.2">
      <c r="A284" s="2">
        <f ca="1">IFERROR(__xludf.DUMMYFUNCTION("""COMPUTED_VALUE"""),45575.9986111111)</f>
        <v>45575.998611111099</v>
      </c>
      <c r="B284" s="2"/>
      <c r="C284" s="5">
        <v>15670.9</v>
      </c>
    </row>
    <row r="285" spans="1:3" x14ac:dyDescent="0.2">
      <c r="A285" s="2">
        <f ca="1">IFERROR(__xludf.DUMMYFUNCTION("""COMPUTED_VALUE"""),45576.9986111111)</f>
        <v>45576.998611111099</v>
      </c>
      <c r="B285" s="2"/>
      <c r="C285" s="5">
        <v>15557.9</v>
      </c>
    </row>
    <row r="286" spans="1:3" x14ac:dyDescent="0.2">
      <c r="A286" s="2">
        <f ca="1">IFERROR(__xludf.DUMMYFUNCTION("""COMPUTED_VALUE"""),45577.9986111111)</f>
        <v>45577.998611111099</v>
      </c>
      <c r="B286" s="2"/>
      <c r="C286" s="5">
        <v>15557.9</v>
      </c>
    </row>
    <row r="287" spans="1:3" x14ac:dyDescent="0.2">
      <c r="A287" s="2">
        <f ca="1">IFERROR(__xludf.DUMMYFUNCTION("""COMPUTED_VALUE"""),45578.9986111111)</f>
        <v>45578.998611111099</v>
      </c>
      <c r="B287" s="2"/>
      <c r="C287" s="5">
        <v>15562</v>
      </c>
    </row>
    <row r="288" spans="1:3" x14ac:dyDescent="0.2">
      <c r="A288" s="2">
        <f ca="1">IFERROR(__xludf.DUMMYFUNCTION("""COMPUTED_VALUE"""),45579.9986111111)</f>
        <v>45579.998611111099</v>
      </c>
      <c r="B288" s="2"/>
      <c r="C288" s="5">
        <v>15573</v>
      </c>
    </row>
    <row r="289" spans="1:3" x14ac:dyDescent="0.2">
      <c r="A289" s="2">
        <f ca="1">IFERROR(__xludf.DUMMYFUNCTION("""COMPUTED_VALUE"""),45580.9986111111)</f>
        <v>45580.998611111099</v>
      </c>
      <c r="B289" s="2"/>
      <c r="C289" s="5">
        <v>15578.6</v>
      </c>
    </row>
    <row r="290" spans="1:3" x14ac:dyDescent="0.2">
      <c r="A290" s="2">
        <f ca="1">IFERROR(__xludf.DUMMYFUNCTION("""COMPUTED_VALUE"""),45581.9986111111)</f>
        <v>45581.998611111099</v>
      </c>
      <c r="B290" s="2"/>
      <c r="C290" s="5">
        <v>15583.9</v>
      </c>
    </row>
    <row r="291" spans="1:3" x14ac:dyDescent="0.2">
      <c r="A291" s="2">
        <f ca="1">IFERROR(__xludf.DUMMYFUNCTION("""COMPUTED_VALUE"""),45582.9986111111)</f>
        <v>45582.998611111099</v>
      </c>
      <c r="B291" s="2"/>
      <c r="C291" s="5">
        <v>15493</v>
      </c>
    </row>
    <row r="292" spans="1:3" x14ac:dyDescent="0.2">
      <c r="A292" s="2">
        <f ca="1">IFERROR(__xludf.DUMMYFUNCTION("""COMPUTED_VALUE"""),45583.9986111111)</f>
        <v>45583.998611111099</v>
      </c>
      <c r="B292" s="2"/>
      <c r="C292" s="5">
        <v>15465</v>
      </c>
    </row>
    <row r="293" spans="1:3" x14ac:dyDescent="0.2">
      <c r="A293" s="2">
        <f ca="1">IFERROR(__xludf.DUMMYFUNCTION("""COMPUTED_VALUE"""),45584.9986111111)</f>
        <v>45584.998611111099</v>
      </c>
      <c r="B293" s="2"/>
      <c r="C293" s="5">
        <v>15465</v>
      </c>
    </row>
    <row r="294" spans="1:3" x14ac:dyDescent="0.2">
      <c r="A294" s="2">
        <f ca="1">IFERROR(__xludf.DUMMYFUNCTION("""COMPUTED_VALUE"""),45585.9986111111)</f>
        <v>45585.998611111099</v>
      </c>
      <c r="B294" s="2"/>
      <c r="C294" s="5">
        <v>15467</v>
      </c>
    </row>
    <row r="295" spans="1:3" x14ac:dyDescent="0.2">
      <c r="A295" s="2">
        <f ca="1">IFERROR(__xludf.DUMMYFUNCTION("""COMPUTED_VALUE"""),45586.9986111111)</f>
        <v>45586.998611111099</v>
      </c>
      <c r="B295" s="2"/>
      <c r="C295" s="5">
        <v>15556</v>
      </c>
    </row>
    <row r="296" spans="1:3" x14ac:dyDescent="0.2">
      <c r="A296" s="2">
        <f ca="1">IFERROR(__xludf.DUMMYFUNCTION("""COMPUTED_VALUE"""),45587.9986111111)</f>
        <v>45587.998611111099</v>
      </c>
      <c r="B296" s="2"/>
      <c r="C296" s="5">
        <v>15586</v>
      </c>
    </row>
    <row r="297" spans="1:3" x14ac:dyDescent="0.2">
      <c r="A297" s="2">
        <f ca="1">IFERROR(__xludf.DUMMYFUNCTION("""COMPUTED_VALUE"""),45588.9986111111)</f>
        <v>45588.998611111099</v>
      </c>
      <c r="B297" s="2"/>
      <c r="C297" s="5">
        <v>15663</v>
      </c>
    </row>
    <row r="298" spans="1:3" x14ac:dyDescent="0.2">
      <c r="A298" s="2">
        <f ca="1">IFERROR(__xludf.DUMMYFUNCTION("""COMPUTED_VALUE"""),45589.9986111111)</f>
        <v>45589.998611111099</v>
      </c>
      <c r="B298" s="2"/>
      <c r="C298" s="5">
        <v>15621.5</v>
      </c>
    </row>
    <row r="299" spans="1:3" x14ac:dyDescent="0.2">
      <c r="A299" s="2">
        <f ca="1">IFERROR(__xludf.DUMMYFUNCTION("""COMPUTED_VALUE"""),45590.9986111111)</f>
        <v>45590.998611111099</v>
      </c>
      <c r="B299" s="2"/>
      <c r="C299" s="5">
        <v>15688.1</v>
      </c>
    </row>
    <row r="300" spans="1:3" x14ac:dyDescent="0.2">
      <c r="A300" s="2">
        <f ca="1">IFERROR(__xludf.DUMMYFUNCTION("""COMPUTED_VALUE"""),45591.9986111111)</f>
        <v>45591.998611111099</v>
      </c>
      <c r="B300" s="2"/>
      <c r="C300" s="5">
        <v>15688.1</v>
      </c>
    </row>
    <row r="301" spans="1:3" x14ac:dyDescent="0.2">
      <c r="A301" s="2">
        <f ca="1">IFERROR(__xludf.DUMMYFUNCTION("""COMPUTED_VALUE"""),45592.9986111111)</f>
        <v>45592.998611111099</v>
      </c>
      <c r="B301" s="2"/>
      <c r="C301" s="5">
        <v>15688.1</v>
      </c>
    </row>
    <row r="302" spans="1:3" x14ac:dyDescent="0.2">
      <c r="A302" s="2">
        <f ca="1">IFERROR(__xludf.DUMMYFUNCTION("""COMPUTED_VALUE"""),45593.9986111111)</f>
        <v>45593.998611111099</v>
      </c>
      <c r="B302" s="2"/>
      <c r="C302" s="5">
        <v>15747</v>
      </c>
    </row>
    <row r="303" spans="1:3" x14ac:dyDescent="0.2">
      <c r="A303" s="2">
        <f ca="1">IFERROR(__xludf.DUMMYFUNCTION("""COMPUTED_VALUE"""),45595.9986111111)</f>
        <v>45595.998611111099</v>
      </c>
      <c r="B303" s="2"/>
      <c r="C303" s="5">
        <v>15695.5</v>
      </c>
    </row>
    <row r="304" spans="1:3" x14ac:dyDescent="0.2">
      <c r="A304" s="2">
        <f ca="1">IFERROR(__xludf.DUMMYFUNCTION("""COMPUTED_VALUE"""),45596.9986111111)</f>
        <v>45596.998611111099</v>
      </c>
      <c r="B304" s="2"/>
      <c r="C304" s="5">
        <v>15713</v>
      </c>
    </row>
    <row r="305" spans="1:3" x14ac:dyDescent="0.2">
      <c r="A305" s="2">
        <f ca="1">IFERROR(__xludf.DUMMYFUNCTION("""COMPUTED_VALUE"""),45597.9986111111)</f>
        <v>45597.998611111099</v>
      </c>
      <c r="B305" s="2"/>
      <c r="C305" s="5">
        <v>15842</v>
      </c>
    </row>
    <row r="306" spans="1:3" x14ac:dyDescent="0.2">
      <c r="A306" s="2">
        <f ca="1">IFERROR(__xludf.DUMMYFUNCTION("""COMPUTED_VALUE"""),45598.9986111111)</f>
        <v>45598.998611111099</v>
      </c>
      <c r="B306" s="2"/>
      <c r="C306" s="5">
        <v>15842</v>
      </c>
    </row>
    <row r="307" spans="1:3" x14ac:dyDescent="0.2">
      <c r="A307" s="2">
        <f ca="1">IFERROR(__xludf.DUMMYFUNCTION("""COMPUTED_VALUE"""),45599.9986111111)</f>
        <v>45599.998611111099</v>
      </c>
      <c r="B307" s="2"/>
      <c r="C307" s="5">
        <v>15842</v>
      </c>
    </row>
    <row r="308" spans="1:3" x14ac:dyDescent="0.2">
      <c r="A308" s="2">
        <f ca="1">IFERROR(__xludf.DUMMYFUNCTION("""COMPUTED_VALUE"""),45600.9986111111)</f>
        <v>45600.998611111099</v>
      </c>
      <c r="B308" s="2"/>
      <c r="C308" s="5">
        <v>15790</v>
      </c>
    </row>
    <row r="309" spans="1:3" x14ac:dyDescent="0.2">
      <c r="A309" s="2">
        <f ca="1">IFERROR(__xludf.DUMMYFUNCTION("""COMPUTED_VALUE"""),45601.9986111111)</f>
        <v>45601.998611111099</v>
      </c>
      <c r="B309" s="2"/>
      <c r="C309" s="5">
        <v>15665</v>
      </c>
    </row>
    <row r="310" spans="1:3" x14ac:dyDescent="0.2">
      <c r="A310" s="2">
        <f ca="1">IFERROR(__xludf.DUMMYFUNCTION("""COMPUTED_VALUE"""),45602.9986111111)</f>
        <v>45602.998611111099</v>
      </c>
      <c r="B310" s="2"/>
      <c r="C310" s="5">
        <v>15818.2</v>
      </c>
    </row>
    <row r="311" spans="1:3" x14ac:dyDescent="0.2">
      <c r="A311" s="2">
        <f ca="1">IFERROR(__xludf.DUMMYFUNCTION("""COMPUTED_VALUE"""),45603.9986111111)</f>
        <v>45603.998611111099</v>
      </c>
      <c r="B311" s="2"/>
      <c r="C311" s="5">
        <v>15558</v>
      </c>
    </row>
    <row r="312" spans="1:3" x14ac:dyDescent="0.2">
      <c r="A312" s="2">
        <f ca="1">IFERROR(__xludf.DUMMYFUNCTION("""COMPUTED_VALUE"""),45604.9986111111)</f>
        <v>45604.998611111099</v>
      </c>
      <c r="B312" s="2"/>
      <c r="C312" s="5">
        <v>15647.2</v>
      </c>
    </row>
    <row r="313" spans="1:3" x14ac:dyDescent="0.2">
      <c r="A313" s="2">
        <f ca="1">IFERROR(__xludf.DUMMYFUNCTION("""COMPUTED_VALUE"""),45605.9986111111)</f>
        <v>45605.998611111099</v>
      </c>
      <c r="B313" s="2"/>
      <c r="C313" s="5">
        <v>15647.2</v>
      </c>
    </row>
    <row r="314" spans="1:3" x14ac:dyDescent="0.2">
      <c r="A314" s="2">
        <f ca="1">IFERROR(__xludf.DUMMYFUNCTION("""COMPUTED_VALUE"""),45606.9986111111)</f>
        <v>45606.998611111099</v>
      </c>
      <c r="B314" s="2"/>
      <c r="C314" s="5">
        <v>15647.2</v>
      </c>
    </row>
    <row r="315" spans="1:3" x14ac:dyDescent="0.2">
      <c r="A315" s="2">
        <f ca="1">IFERROR(__xludf.DUMMYFUNCTION("""COMPUTED_VALUE"""),45607.9986111111)</f>
        <v>45607.998611111099</v>
      </c>
      <c r="B315" s="2"/>
      <c r="C315" s="5">
        <v>15765</v>
      </c>
    </row>
    <row r="316" spans="1:3" x14ac:dyDescent="0.2">
      <c r="A316" s="2">
        <f ca="1">IFERROR(__xludf.DUMMYFUNCTION("""COMPUTED_VALUE"""),45608.9986111111)</f>
        <v>45608.998611111099</v>
      </c>
      <c r="B316" s="2"/>
      <c r="C316" s="5">
        <v>15788.9</v>
      </c>
    </row>
    <row r="317" spans="1:3" x14ac:dyDescent="0.2">
      <c r="A317" s="2">
        <f ca="1">IFERROR(__xludf.DUMMYFUNCTION("""COMPUTED_VALUE"""),45609.9986111111)</f>
        <v>45609.998611111099</v>
      </c>
      <c r="B317" s="2"/>
      <c r="C317" s="5">
        <v>15847.2</v>
      </c>
    </row>
    <row r="318" spans="1:3" x14ac:dyDescent="0.2">
      <c r="A318" s="2">
        <f ca="1">IFERROR(__xludf.DUMMYFUNCTION("""COMPUTED_VALUE"""),45610.9986111111)</f>
        <v>45610.998611111099</v>
      </c>
      <c r="B318" s="2"/>
      <c r="C318" s="5">
        <v>15933.3</v>
      </c>
    </row>
    <row r="319" spans="1:3" x14ac:dyDescent="0.2">
      <c r="A319" s="2">
        <f ca="1">IFERROR(__xludf.DUMMYFUNCTION("""COMPUTED_VALUE"""),45611.9986111111)</f>
        <v>45611.998611111099</v>
      </c>
      <c r="B319" s="2"/>
      <c r="C319" s="5">
        <v>15891.3</v>
      </c>
    </row>
    <row r="320" spans="1:3" x14ac:dyDescent="0.2">
      <c r="A320" s="2">
        <f ca="1">IFERROR(__xludf.DUMMYFUNCTION("""COMPUTED_VALUE"""),45612.9986111111)</f>
        <v>45612.998611111099</v>
      </c>
      <c r="B320" s="2"/>
      <c r="C320" s="5">
        <v>15891.3</v>
      </c>
    </row>
    <row r="321" spans="1:3" x14ac:dyDescent="0.2">
      <c r="A321" s="2">
        <f ca="1">IFERROR(__xludf.DUMMYFUNCTION("""COMPUTED_VALUE"""),45613.9986111111)</f>
        <v>45613.998611111099</v>
      </c>
      <c r="B321" s="2"/>
      <c r="C321" s="5">
        <v>15891.3</v>
      </c>
    </row>
    <row r="322" spans="1:3" x14ac:dyDescent="0.2">
      <c r="A322" s="2">
        <f ca="1">IFERROR(__xludf.DUMMYFUNCTION("""COMPUTED_VALUE"""),45614.9986111111)</f>
        <v>45614.998611111099</v>
      </c>
      <c r="B322" s="2"/>
      <c r="C322" s="5">
        <v>15806.1</v>
      </c>
    </row>
    <row r="323" spans="1:3" x14ac:dyDescent="0.2">
      <c r="A323" s="2">
        <f ca="1">IFERROR(__xludf.DUMMYFUNCTION("""COMPUTED_VALUE"""),45615.9986111111)</f>
        <v>45615.998611111099</v>
      </c>
      <c r="B323" s="2"/>
      <c r="C323" s="5">
        <v>15817.1</v>
      </c>
    </row>
    <row r="324" spans="1:3" x14ac:dyDescent="0.2">
      <c r="A324" s="2">
        <f ca="1">IFERROR(__xludf.DUMMYFUNCTION("""COMPUTED_VALUE"""),45616.9986111111)</f>
        <v>45616.998611111099</v>
      </c>
      <c r="B324" s="2"/>
      <c r="C324" s="5">
        <v>15913</v>
      </c>
    </row>
    <row r="325" spans="1:3" x14ac:dyDescent="0.2">
      <c r="A325" s="2">
        <f ca="1">IFERROR(__xludf.DUMMYFUNCTION("""COMPUTED_VALUE"""),45617.9986111111)</f>
        <v>45617.998611111099</v>
      </c>
      <c r="B325" s="2"/>
      <c r="C325" s="5">
        <v>15816.9</v>
      </c>
    </row>
    <row r="326" spans="1:3" x14ac:dyDescent="0.2">
      <c r="A326" s="2">
        <f ca="1">IFERROR(__xludf.DUMMYFUNCTION("""COMPUTED_VALUE"""),45618.9986111111)</f>
        <v>45618.998611111099</v>
      </c>
      <c r="B326" s="2"/>
      <c r="C326" s="5">
        <v>15940</v>
      </c>
    </row>
    <row r="327" spans="1:3" x14ac:dyDescent="0.2">
      <c r="A327" s="2">
        <f ca="1">IFERROR(__xludf.DUMMYFUNCTION("""COMPUTED_VALUE"""),45619.9986111111)</f>
        <v>45619.998611111099</v>
      </c>
      <c r="B327" s="2"/>
      <c r="C327" s="5">
        <v>15940</v>
      </c>
    </row>
    <row r="328" spans="1:3" x14ac:dyDescent="0.2">
      <c r="A328" s="2">
        <f ca="1">IFERROR(__xludf.DUMMYFUNCTION("""COMPUTED_VALUE"""),45620.9986111111)</f>
        <v>45620.998611111099</v>
      </c>
      <c r="B328" s="2"/>
      <c r="C328" s="5">
        <v>15940</v>
      </c>
    </row>
    <row r="329" spans="1:3" x14ac:dyDescent="0.2">
      <c r="A329" s="2">
        <f ca="1">IFERROR(__xludf.DUMMYFUNCTION("""COMPUTED_VALUE"""),45621.9986111111)</f>
        <v>45621.998611111099</v>
      </c>
      <c r="B329" s="2"/>
      <c r="C329" s="5">
        <v>15901.2</v>
      </c>
    </row>
    <row r="330" spans="1:3" x14ac:dyDescent="0.2">
      <c r="A330" s="2">
        <f ca="1">IFERROR(__xludf.DUMMYFUNCTION("""COMPUTED_VALUE"""),45622.9986111111)</f>
        <v>45622.998611111099</v>
      </c>
      <c r="B330" s="2"/>
      <c r="C330" s="5">
        <v>15930</v>
      </c>
    </row>
    <row r="331" spans="1:3" x14ac:dyDescent="0.2">
      <c r="A331" s="2">
        <f ca="1">IFERROR(__xludf.DUMMYFUNCTION("""COMPUTED_VALUE"""),45623.9986111111)</f>
        <v>45623.998611111099</v>
      </c>
      <c r="B331" s="2"/>
      <c r="C331" s="5">
        <v>15863.5</v>
      </c>
    </row>
    <row r="332" spans="1:3" x14ac:dyDescent="0.2">
      <c r="A332" s="2">
        <f ca="1">IFERROR(__xludf.DUMMYFUNCTION("""COMPUTED_VALUE"""),45624.9986111111)</f>
        <v>45624.998611111099</v>
      </c>
      <c r="B332" s="2"/>
      <c r="C332" s="5">
        <v>15878</v>
      </c>
    </row>
    <row r="333" spans="1:3" x14ac:dyDescent="0.2">
      <c r="A333" s="2">
        <f ca="1">IFERROR(__xludf.DUMMYFUNCTION("""COMPUTED_VALUE"""),45625.9986111111)</f>
        <v>45625.998611111099</v>
      </c>
      <c r="B333" s="2"/>
      <c r="C333" s="5">
        <v>15829</v>
      </c>
    </row>
    <row r="334" spans="1:3" x14ac:dyDescent="0.2">
      <c r="A334" s="2">
        <f ca="1">IFERROR(__xludf.DUMMYFUNCTION("""COMPUTED_VALUE"""),45626.9986111111)</f>
        <v>45626.998611111099</v>
      </c>
      <c r="B334" s="2"/>
      <c r="C334" s="5">
        <v>15829</v>
      </c>
    </row>
    <row r="335" spans="1:3" x14ac:dyDescent="0.2">
      <c r="A335" s="2">
        <f ca="1">IFERROR(__xludf.DUMMYFUNCTION("""COMPUTED_VALUE"""),45627.9986111111)</f>
        <v>45627.998611111099</v>
      </c>
      <c r="B335" s="2"/>
      <c r="C335" s="5">
        <v>15829</v>
      </c>
    </row>
    <row r="336" spans="1:3" x14ac:dyDescent="0.2">
      <c r="A336" s="2">
        <f ca="1">IFERROR(__xludf.DUMMYFUNCTION("""COMPUTED_VALUE"""),45628.9986111111)</f>
        <v>45628.998611111099</v>
      </c>
      <c r="B336" s="2"/>
      <c r="C336" s="5">
        <v>15910</v>
      </c>
    </row>
    <row r="337" spans="1:3" x14ac:dyDescent="0.2">
      <c r="A337" s="2">
        <f ca="1">IFERROR(__xludf.DUMMYFUNCTION("""COMPUTED_VALUE"""),45629.9986111111)</f>
        <v>45629.998611111099</v>
      </c>
      <c r="B337" s="2"/>
      <c r="C337" s="5">
        <v>15940</v>
      </c>
    </row>
    <row r="338" spans="1:3" x14ac:dyDescent="0.2">
      <c r="A338" s="2">
        <f ca="1">IFERROR(__xludf.DUMMYFUNCTION("""COMPUTED_VALUE"""),45630.9986111111)</f>
        <v>45630.998611111099</v>
      </c>
      <c r="B338" s="2"/>
      <c r="C338" s="5">
        <v>15906.6</v>
      </c>
    </row>
    <row r="339" spans="1:3" x14ac:dyDescent="0.2">
      <c r="A339" s="2">
        <f ca="1">IFERROR(__xludf.DUMMYFUNCTION("""COMPUTED_VALUE"""),45631.9986111111)</f>
        <v>45631.998611111099</v>
      </c>
      <c r="B339" s="2"/>
      <c r="C339" s="5">
        <v>15839.8</v>
      </c>
    </row>
    <row r="340" spans="1:3" x14ac:dyDescent="0.2">
      <c r="A340" s="2">
        <f ca="1">IFERROR(__xludf.DUMMYFUNCTION("""COMPUTED_VALUE"""),45632.9986111111)</f>
        <v>45632.998611111099</v>
      </c>
      <c r="B340" s="2"/>
      <c r="C340" s="5">
        <v>15825.8</v>
      </c>
    </row>
    <row r="341" spans="1:3" x14ac:dyDescent="0.2">
      <c r="A341" s="2">
        <f ca="1">IFERROR(__xludf.DUMMYFUNCTION("""COMPUTED_VALUE"""),45633.9986111111)</f>
        <v>45633.998611111099</v>
      </c>
      <c r="B341" s="2"/>
      <c r="C341" s="5">
        <v>15825.8</v>
      </c>
    </row>
    <row r="342" spans="1:3" x14ac:dyDescent="0.2">
      <c r="A342" s="2">
        <f ca="1">IFERROR(__xludf.DUMMYFUNCTION("""COMPUTED_VALUE"""),45634.9986111111)</f>
        <v>45634.998611111099</v>
      </c>
      <c r="B342" s="2"/>
      <c r="C342" s="5">
        <v>15825.8</v>
      </c>
    </row>
    <row r="343" spans="1:3" x14ac:dyDescent="0.2">
      <c r="A343" s="2">
        <f ca="1">IFERROR(__xludf.DUMMYFUNCTION("""COMPUTED_VALUE"""),45635.9986111111)</f>
        <v>45635.998611111099</v>
      </c>
      <c r="B343" s="2"/>
      <c r="C343" s="5">
        <v>15864</v>
      </c>
    </row>
    <row r="344" spans="1:3" x14ac:dyDescent="0.2">
      <c r="A344" s="2">
        <f ca="1">IFERROR(__xludf.DUMMYFUNCTION("""COMPUTED_VALUE"""),45636.9986111111)</f>
        <v>45636.998611111099</v>
      </c>
      <c r="B344" s="2"/>
      <c r="C344" s="5">
        <v>15908</v>
      </c>
    </row>
    <row r="345" spans="1:3" x14ac:dyDescent="0.2">
      <c r="A345" s="2">
        <f ca="1">IFERROR(__xludf.DUMMYFUNCTION("""COMPUTED_VALUE"""),45637.9986111111)</f>
        <v>45637.998611111099</v>
      </c>
      <c r="B345" s="2"/>
      <c r="C345" s="5">
        <v>15963</v>
      </c>
    </row>
    <row r="346" spans="1:3" x14ac:dyDescent="0.2">
      <c r="A346" s="2">
        <f ca="1">IFERROR(__xludf.DUMMYFUNCTION("""COMPUTED_VALUE"""),45638.9986111111)</f>
        <v>45638.998611111099</v>
      </c>
      <c r="B346" s="2"/>
      <c r="C346" s="5">
        <v>15967.4</v>
      </c>
    </row>
    <row r="347" spans="1:3" x14ac:dyDescent="0.2">
      <c r="A347" s="2">
        <f ca="1">IFERROR(__xludf.DUMMYFUNCTION("""COMPUTED_VALUE"""),45639.9986111111)</f>
        <v>45639.998611111099</v>
      </c>
      <c r="B347" s="2"/>
      <c r="C347" s="5">
        <v>16025.8</v>
      </c>
    </row>
    <row r="348" spans="1:3" x14ac:dyDescent="0.2">
      <c r="A348" s="2">
        <f ca="1">IFERROR(__xludf.DUMMYFUNCTION("""COMPUTED_VALUE"""),45640.9986111111)</f>
        <v>45640.998611111099</v>
      </c>
      <c r="B348" s="2"/>
      <c r="C348" s="5">
        <v>16025.8</v>
      </c>
    </row>
    <row r="349" spans="1:3" x14ac:dyDescent="0.2">
      <c r="A349" s="2">
        <f ca="1">IFERROR(__xludf.DUMMYFUNCTION("""COMPUTED_VALUE"""),45641.9986111111)</f>
        <v>45641.998611111099</v>
      </c>
      <c r="B349" s="2"/>
      <c r="C349" s="5">
        <v>16025.8</v>
      </c>
    </row>
    <row r="350" spans="1:3" x14ac:dyDescent="0.2">
      <c r="A350" s="2">
        <f ca="1">IFERROR(__xludf.DUMMYFUNCTION("""COMPUTED_VALUE"""),45642.9986111111)</f>
        <v>45642.998611111099</v>
      </c>
      <c r="B350" s="2"/>
      <c r="C350" s="5">
        <v>15955</v>
      </c>
    </row>
    <row r="351" spans="1:3" x14ac:dyDescent="0.2">
      <c r="A351" s="2">
        <f ca="1">IFERROR(__xludf.DUMMYFUNCTION("""COMPUTED_VALUE"""),45643.9986111111)</f>
        <v>45643.998611111099</v>
      </c>
      <c r="B351" s="2"/>
      <c r="C351" s="5">
        <v>15926.2</v>
      </c>
    </row>
    <row r="352" spans="1:3" x14ac:dyDescent="0.2">
      <c r="A352" s="2">
        <f ca="1">IFERROR(__xludf.DUMMYFUNCTION("""COMPUTED_VALUE"""),45644.9986111111)</f>
        <v>45644.998611111099</v>
      </c>
      <c r="B352" s="2"/>
      <c r="C352" s="5">
        <v>16145.3</v>
      </c>
    </row>
    <row r="353" spans="1:3" x14ac:dyDescent="0.2">
      <c r="A353" s="2">
        <f ca="1">IFERROR(__xludf.DUMMYFUNCTION("""COMPUTED_VALUE"""),45645.9986111111)</f>
        <v>45645.998611111099</v>
      </c>
      <c r="B353" s="2"/>
      <c r="C353" s="5">
        <v>15981.3</v>
      </c>
    </row>
    <row r="354" spans="1:3" x14ac:dyDescent="0.2">
      <c r="A354" s="2">
        <f ca="1">IFERROR(__xludf.DUMMYFUNCTION("""COMPUTED_VALUE"""),45646.9986111111)</f>
        <v>45646.998611111099</v>
      </c>
      <c r="B354" s="2"/>
      <c r="C354" s="5">
        <v>16159.3</v>
      </c>
    </row>
    <row r="355" spans="1:3" x14ac:dyDescent="0.2">
      <c r="A355" s="2">
        <f ca="1">IFERROR(__xludf.DUMMYFUNCTION("""COMPUTED_VALUE"""),45647.9986111111)</f>
        <v>45647.998611111099</v>
      </c>
      <c r="B355" s="2"/>
      <c r="C355" s="5">
        <v>16159.3</v>
      </c>
    </row>
    <row r="356" spans="1:3" x14ac:dyDescent="0.2">
      <c r="A356" s="2">
        <f ca="1">IFERROR(__xludf.DUMMYFUNCTION("""COMPUTED_VALUE"""),45648.9986111111)</f>
        <v>45648.998611111099</v>
      </c>
      <c r="B356" s="2"/>
      <c r="C356" s="5">
        <v>16159.3</v>
      </c>
    </row>
    <row r="357" spans="1:3" x14ac:dyDescent="0.2">
      <c r="A357" s="2">
        <f ca="1">IFERROR(__xludf.DUMMYFUNCTION("""COMPUTED_VALUE"""),45649.9986111111)</f>
        <v>45649.998611111099</v>
      </c>
      <c r="B357" s="2"/>
      <c r="C357" s="5">
        <v>16217.6</v>
      </c>
    </row>
    <row r="358" spans="1:3" x14ac:dyDescent="0.2">
      <c r="A358" s="2">
        <f ca="1">IFERROR(__xludf.DUMMYFUNCTION("""COMPUTED_VALUE"""),45650.9986111111)</f>
        <v>45650.998611111099</v>
      </c>
      <c r="B358" s="2"/>
      <c r="C358" s="5">
        <v>15970.8</v>
      </c>
    </row>
    <row r="359" spans="1:3" x14ac:dyDescent="0.2">
      <c r="A359" s="2">
        <f ca="1">IFERROR(__xludf.DUMMYFUNCTION("""COMPUTED_VALUE"""),45651.9986111111)</f>
        <v>45651.998611111099</v>
      </c>
      <c r="B359" s="2"/>
      <c r="C359" s="5">
        <v>15069.4</v>
      </c>
    </row>
    <row r="360" spans="1:3" x14ac:dyDescent="0.2">
      <c r="A360" s="2">
        <f ca="1">IFERROR(__xludf.DUMMYFUNCTION("""COMPUTED_VALUE"""),45652.9986111111)</f>
        <v>45652.998611111099</v>
      </c>
      <c r="B360" s="2"/>
      <c r="C360" s="5">
        <v>16189</v>
      </c>
    </row>
    <row r="361" spans="1:3" x14ac:dyDescent="0.2">
      <c r="A361" s="2">
        <f ca="1">IFERROR(__xludf.DUMMYFUNCTION("""COMPUTED_VALUE"""),45653.9986111111)</f>
        <v>45653.998611111099</v>
      </c>
      <c r="B361" s="2"/>
      <c r="C361" s="5">
        <v>16178</v>
      </c>
    </row>
    <row r="362" spans="1:3" x14ac:dyDescent="0.2">
      <c r="A362" s="2">
        <f ca="1">IFERROR(__xludf.DUMMYFUNCTION("""COMPUTED_VALUE"""),45654.9986111111)</f>
        <v>45654.998611111099</v>
      </c>
      <c r="B362" s="2"/>
      <c r="C362" s="5">
        <v>16178</v>
      </c>
    </row>
    <row r="363" spans="1:3" x14ac:dyDescent="0.2">
      <c r="A363" s="2">
        <f ca="1">IFERROR(__xludf.DUMMYFUNCTION("""COMPUTED_VALUE"""),45655.9986111111)</f>
        <v>45655.998611111099</v>
      </c>
      <c r="B363" s="2"/>
      <c r="C363" s="5">
        <v>16178</v>
      </c>
    </row>
    <row r="364" spans="1:3" x14ac:dyDescent="0.2">
      <c r="A364" s="2">
        <f ca="1">IFERROR(__xludf.DUMMYFUNCTION("""COMPUTED_VALUE"""),45656.9986111111)</f>
        <v>45656.998611111099</v>
      </c>
      <c r="B364" s="2"/>
      <c r="C364" s="5">
        <v>16085.6</v>
      </c>
    </row>
    <row r="365" spans="1:3" x14ac:dyDescent="0.2">
      <c r="A365" s="2">
        <f ca="1">IFERROR(__xludf.DUMMYFUNCTION("""COMPUTED_VALUE"""),45657.9986111111)</f>
        <v>45657.998611111099</v>
      </c>
      <c r="B365" s="2"/>
      <c r="C365" s="5">
        <v>16244.8</v>
      </c>
    </row>
    <row r="366" spans="1:3" x14ac:dyDescent="0.2">
      <c r="A366" s="2">
        <f ca="1">IFERROR(__xludf.DUMMYFUNCTION("""COMPUTED_VALUE"""),45658.9986111111)</f>
        <v>45658.998611111099</v>
      </c>
      <c r="B366" s="2"/>
      <c r="C366" s="5">
        <v>16230.5</v>
      </c>
    </row>
    <row r="367" spans="1:3" x14ac:dyDescent="0.2">
      <c r="A367" s="2">
        <f ca="1">IFERROR(__xludf.DUMMYFUNCTION("""COMPUTED_VALUE"""),45659.9986111111)</f>
        <v>45659.998611111099</v>
      </c>
      <c r="B367" s="2"/>
      <c r="C367" s="5">
        <v>16201.1</v>
      </c>
    </row>
    <row r="368" spans="1:3" x14ac:dyDescent="0.2">
      <c r="A368" s="2">
        <f ca="1">IFERROR(__xludf.DUMMYFUNCTION("""COMPUTED_VALUE"""),45660.9986111111)</f>
        <v>45660.998611111099</v>
      </c>
      <c r="B368" s="2"/>
      <c r="C368" s="5">
        <v>16178.8</v>
      </c>
    </row>
    <row r="369" spans="1:3" x14ac:dyDescent="0.2">
      <c r="A369" s="2">
        <f ca="1">IFERROR(__xludf.DUMMYFUNCTION("""COMPUTED_VALUE"""),45661.9986111111)</f>
        <v>45661.998611111099</v>
      </c>
      <c r="B369" s="2"/>
      <c r="C369" s="5">
        <v>16178.8</v>
      </c>
    </row>
    <row r="370" spans="1:3" x14ac:dyDescent="0.2">
      <c r="A370" s="2">
        <f ca="1">IFERROR(__xludf.DUMMYFUNCTION("""COMPUTED_VALUE"""),45662.9986111111)</f>
        <v>45662.998611111099</v>
      </c>
      <c r="B370" s="2"/>
      <c r="C370" s="5">
        <v>16178.8</v>
      </c>
    </row>
    <row r="371" spans="1:3" x14ac:dyDescent="0.2">
      <c r="A371" s="2">
        <f ca="1">IFERROR(__xludf.DUMMYFUNCTION("""COMPUTED_VALUE"""),45663.9986111111)</f>
        <v>45663.998611111099</v>
      </c>
      <c r="B371" s="2"/>
      <c r="C371" s="5">
        <v>16179.1</v>
      </c>
    </row>
    <row r="372" spans="1:3" x14ac:dyDescent="0.2">
      <c r="A372" s="2">
        <f ca="1">IFERROR(__xludf.DUMMYFUNCTION("""COMPUTED_VALUE"""),45664.9986111111)</f>
        <v>45664.998611111099</v>
      </c>
      <c r="B372" s="2"/>
      <c r="C372" s="5">
        <v>16157.7</v>
      </c>
    </row>
    <row r="373" spans="1:3" x14ac:dyDescent="0.2">
      <c r="A373" s="2">
        <f ca="1">IFERROR(__xludf.DUMMYFUNCTION("""COMPUTED_VALUE"""),45665.9986111111)</f>
        <v>45665.998611111099</v>
      </c>
      <c r="B373" s="2"/>
      <c r="C373" s="5">
        <v>16187.6</v>
      </c>
    </row>
    <row r="374" spans="1:3" x14ac:dyDescent="0.2">
      <c r="A374" s="2">
        <f ca="1">IFERROR(__xludf.DUMMYFUNCTION("""COMPUTED_VALUE"""),45666.9986111111)</f>
        <v>45666.998611111099</v>
      </c>
      <c r="B374" s="2"/>
      <c r="C374" s="5">
        <v>16237</v>
      </c>
    </row>
    <row r="375" spans="1:3" x14ac:dyDescent="0.2">
      <c r="A375" s="2">
        <f ca="1">IFERROR(__xludf.DUMMYFUNCTION("""COMPUTED_VALUE"""),45667.9986111111)</f>
        <v>45667.998611111099</v>
      </c>
      <c r="B375" s="2"/>
      <c r="C375" s="5">
        <v>16268</v>
      </c>
    </row>
    <row r="376" spans="1:3" x14ac:dyDescent="0.2">
      <c r="A376" s="2">
        <f ca="1">IFERROR(__xludf.DUMMYFUNCTION("""COMPUTED_VALUE"""),45668.9986111111)</f>
        <v>45668.998611111099</v>
      </c>
      <c r="B376" s="2"/>
      <c r="C376" s="5">
        <v>16268</v>
      </c>
    </row>
    <row r="377" spans="1:3" x14ac:dyDescent="0.2">
      <c r="A377" s="2">
        <f ca="1">IFERROR(__xludf.DUMMYFUNCTION("""COMPUTED_VALUE"""),45669.9986111111)</f>
        <v>45669.998611111099</v>
      </c>
      <c r="B377" s="2"/>
      <c r="C377" s="5">
        <v>16268</v>
      </c>
    </row>
    <row r="378" spans="1:3" x14ac:dyDescent="0.2">
      <c r="A378" s="2">
        <f ca="1">IFERROR(__xludf.DUMMYFUNCTION("""COMPUTED_VALUE"""),45670.9986111111)</f>
        <v>45670.998611111099</v>
      </c>
      <c r="B378" s="2"/>
      <c r="C378" s="5">
        <v>16295.2</v>
      </c>
    </row>
    <row r="379" spans="1:3" x14ac:dyDescent="0.2">
      <c r="A379" s="2">
        <f ca="1">IFERROR(__xludf.DUMMYFUNCTION("""COMPUTED_VALUE"""),45671.9986111111)</f>
        <v>45671.998611111099</v>
      </c>
      <c r="B379" s="2"/>
      <c r="C379" s="5">
        <v>16320</v>
      </c>
    </row>
    <row r="380" spans="1:3" x14ac:dyDescent="0.2">
      <c r="A380" s="2">
        <f ca="1">IFERROR(__xludf.DUMMYFUNCTION("""COMPUTED_VALUE"""),45672.9986111111)</f>
        <v>45672.998611111099</v>
      </c>
      <c r="B380" s="2"/>
      <c r="C380" s="5">
        <v>16360.8</v>
      </c>
    </row>
    <row r="381" spans="1:3" x14ac:dyDescent="0.2">
      <c r="A381" s="2">
        <f ca="1">IFERROR(__xludf.DUMMYFUNCTION("""COMPUTED_VALUE"""),45673.9986111111)</f>
        <v>45673.998611111099</v>
      </c>
      <c r="B381" s="2"/>
      <c r="C381" s="5">
        <v>16368.8</v>
      </c>
    </row>
    <row r="382" spans="1:3" x14ac:dyDescent="0.2">
      <c r="A382" s="2">
        <f ca="1">IFERROR(__xludf.DUMMYFUNCTION("""COMPUTED_VALUE"""),45674.9986111111)</f>
        <v>45674.998611111099</v>
      </c>
      <c r="B382" s="2"/>
      <c r="C382" s="5">
        <v>16367.1</v>
      </c>
    </row>
    <row r="383" spans="1:3" x14ac:dyDescent="0.2">
      <c r="A383" s="2">
        <f ca="1">IFERROR(__xludf.DUMMYFUNCTION("""COMPUTED_VALUE"""),45675.9986111111)</f>
        <v>45675.998611111099</v>
      </c>
      <c r="B383" s="2"/>
      <c r="C383" s="5">
        <v>16367.1</v>
      </c>
    </row>
    <row r="384" spans="1:3" x14ac:dyDescent="0.2">
      <c r="A384" s="2">
        <f ca="1">IFERROR(__xludf.DUMMYFUNCTION("""COMPUTED_VALUE"""),45677.9986111111)</f>
        <v>45677.998611111099</v>
      </c>
      <c r="B384" s="2"/>
      <c r="C384" s="5">
        <v>16245</v>
      </c>
    </row>
    <row r="385" spans="1:3" x14ac:dyDescent="0.2">
      <c r="A385" s="2">
        <f ca="1">IFERROR(__xludf.DUMMYFUNCTION("""COMPUTED_VALUE"""),45678.9986111111)</f>
        <v>45678.998611111099</v>
      </c>
      <c r="B385" s="2"/>
      <c r="C385" s="5">
        <v>16330.8</v>
      </c>
    </row>
    <row r="386" spans="1:3" x14ac:dyDescent="0.2">
      <c r="A386" s="2">
        <f ca="1">IFERROR(__xludf.DUMMYFUNCTION("""COMPUTED_VALUE"""),45679.9986111111)</f>
        <v>45679.998611111099</v>
      </c>
      <c r="B386" s="2"/>
      <c r="C386" s="5">
        <v>16232.8</v>
      </c>
    </row>
    <row r="387" spans="1:3" x14ac:dyDescent="0.2">
      <c r="A387" s="2">
        <f ca="1">IFERROR(__xludf.DUMMYFUNCTION("""COMPUTED_VALUE"""),45680.9986111111)</f>
        <v>45680.998611111099</v>
      </c>
      <c r="B387" s="2"/>
      <c r="C387" s="5">
        <v>16230.9</v>
      </c>
    </row>
    <row r="388" spans="1:3" x14ac:dyDescent="0.2">
      <c r="A388" s="2">
        <f ca="1">IFERROR(__xludf.DUMMYFUNCTION("""COMPUTED_VALUE"""),45681.9986111111)</f>
        <v>45681.998611111099</v>
      </c>
      <c r="B388" s="2"/>
      <c r="C388" s="5">
        <v>16164.9</v>
      </c>
    </row>
    <row r="389" spans="1:3" x14ac:dyDescent="0.2">
      <c r="A389" s="2">
        <f ca="1">IFERROR(__xludf.DUMMYFUNCTION("""COMPUTED_VALUE"""),45682.9986111111)</f>
        <v>45682.998611111099</v>
      </c>
      <c r="B389" s="2"/>
      <c r="C389" s="5">
        <v>16164.9</v>
      </c>
    </row>
    <row r="390" spans="1:3" x14ac:dyDescent="0.2">
      <c r="A390" s="2">
        <f ca="1">IFERROR(__xludf.DUMMYFUNCTION("""COMPUTED_VALUE"""),45683.9986111111)</f>
        <v>45683.998611111099</v>
      </c>
      <c r="B390" s="2"/>
      <c r="C390" s="5">
        <v>16164.9</v>
      </c>
    </row>
    <row r="391" spans="1:3" x14ac:dyDescent="0.2">
      <c r="A391" s="2">
        <f ca="1">IFERROR(__xludf.DUMMYFUNCTION("""COMPUTED_VALUE"""),45684.9986111111)</f>
        <v>45684.998611111099</v>
      </c>
      <c r="B391" s="2"/>
      <c r="C391" s="5">
        <v>16155.6</v>
      </c>
    </row>
    <row r="392" spans="1:3" x14ac:dyDescent="0.2">
      <c r="A392" s="2">
        <f ca="1">IFERROR(__xludf.DUMMYFUNCTION("""COMPUTED_VALUE"""),45685.9986111111)</f>
        <v>45685.998611111099</v>
      </c>
      <c r="B392" s="2"/>
      <c r="C392" s="5">
        <v>15881.2</v>
      </c>
    </row>
    <row r="393" spans="1:3" x14ac:dyDescent="0.2">
      <c r="A393" s="2">
        <f ca="1">IFERROR(__xludf.DUMMYFUNCTION("""COMPUTED_VALUE"""),45686.9986111111)</f>
        <v>45686.998611111099</v>
      </c>
      <c r="B393" s="2"/>
      <c r="C393" s="5">
        <v>16238</v>
      </c>
    </row>
    <row r="394" spans="1:3" x14ac:dyDescent="0.2">
      <c r="A394" s="2">
        <f ca="1">IFERROR(__xludf.DUMMYFUNCTION("""COMPUTED_VALUE"""),45687.9986111111)</f>
        <v>45687.998611111099</v>
      </c>
      <c r="B394" s="2"/>
      <c r="C394" s="5">
        <v>16274.5</v>
      </c>
    </row>
    <row r="395" spans="1:3" x14ac:dyDescent="0.2">
      <c r="A395" s="2">
        <f ca="1">IFERROR(__xludf.DUMMYFUNCTION("""COMPUTED_VALUE"""),45688.9986111111)</f>
        <v>45688.998611111099</v>
      </c>
      <c r="B395" s="2"/>
      <c r="C395" s="5">
        <v>16341.3</v>
      </c>
    </row>
    <row r="396" spans="1:3" x14ac:dyDescent="0.2">
      <c r="A396" s="2">
        <f ca="1">IFERROR(__xludf.DUMMYFUNCTION("""COMPUTED_VALUE"""),45689.9986111111)</f>
        <v>45689.998611111099</v>
      </c>
      <c r="B396" s="2"/>
      <c r="C396" s="5">
        <v>16341.3</v>
      </c>
    </row>
    <row r="397" spans="1:3" x14ac:dyDescent="0.2">
      <c r="A397" s="2">
        <f ca="1">IFERROR(__xludf.DUMMYFUNCTION("""COMPUTED_VALUE"""),45690.9986111111)</f>
        <v>45690.998611111099</v>
      </c>
      <c r="B397" s="2"/>
      <c r="C397" s="5">
        <v>16341.3</v>
      </c>
    </row>
    <row r="398" spans="1:3" x14ac:dyDescent="0.2">
      <c r="A398" s="2">
        <f ca="1">IFERROR(__xludf.DUMMYFUNCTION("""COMPUTED_VALUE"""),45691.9986111111)</f>
        <v>45691.998611111099</v>
      </c>
      <c r="B398" s="2"/>
      <c r="C398" s="5">
        <v>16320.5</v>
      </c>
    </row>
    <row r="399" spans="1:3" x14ac:dyDescent="0.2">
      <c r="A399" s="2">
        <f ca="1">IFERROR(__xludf.DUMMYFUNCTION("""COMPUTED_VALUE"""),45692.9986111111)</f>
        <v>45692.998611111099</v>
      </c>
      <c r="B399" s="2"/>
      <c r="C399" s="5">
        <v>16299.1</v>
      </c>
    </row>
    <row r="400" spans="1:3" x14ac:dyDescent="0.2">
      <c r="A400" s="2">
        <f ca="1">IFERROR(__xludf.DUMMYFUNCTION("""COMPUTED_VALUE"""),45693.9986111111)</f>
        <v>45693.998611111099</v>
      </c>
      <c r="B400" s="2"/>
      <c r="C400" s="5">
        <v>16298.1</v>
      </c>
    </row>
    <row r="401" spans="1:3" x14ac:dyDescent="0.2">
      <c r="A401" s="2">
        <f ca="1">IFERROR(__xludf.DUMMYFUNCTION("""COMPUTED_VALUE"""),45694.9986111111)</f>
        <v>45694.998611111099</v>
      </c>
      <c r="B401" s="2"/>
      <c r="C401" s="5">
        <v>16327</v>
      </c>
    </row>
    <row r="402" spans="1:3" x14ac:dyDescent="0.2">
      <c r="A402" s="2">
        <f ca="1">IFERROR(__xludf.DUMMYFUNCTION("""COMPUTED_VALUE"""),45695.9986111111)</f>
        <v>45695.998611111099</v>
      </c>
      <c r="B402" s="2"/>
      <c r="C402" s="5">
        <v>16314.7</v>
      </c>
    </row>
    <row r="403" spans="1:3" x14ac:dyDescent="0.2">
      <c r="A403" s="2">
        <f ca="1">IFERROR(__xludf.DUMMYFUNCTION("""COMPUTED_VALUE"""),45696.9986111111)</f>
        <v>45696.998611111099</v>
      </c>
      <c r="B403" s="2"/>
      <c r="C403" s="5">
        <v>16314.7</v>
      </c>
    </row>
    <row r="404" spans="1:3" x14ac:dyDescent="0.2">
      <c r="A404" s="2">
        <f ca="1">IFERROR(__xludf.DUMMYFUNCTION("""COMPUTED_VALUE"""),45697.9986111111)</f>
        <v>45697.998611111099</v>
      </c>
      <c r="B404" s="2"/>
      <c r="C404" s="5">
        <v>16314.7</v>
      </c>
    </row>
    <row r="405" spans="1:3" x14ac:dyDescent="0.2">
      <c r="A405" s="2">
        <f ca="1">IFERROR(__xludf.DUMMYFUNCTION("""COMPUTED_VALUE"""),45698.9986111111)</f>
        <v>45698.998611111099</v>
      </c>
      <c r="B405" s="2"/>
      <c r="C405" s="5">
        <v>16330.1</v>
      </c>
    </row>
    <row r="406" spans="1:3" x14ac:dyDescent="0.2">
      <c r="A406" s="2">
        <f ca="1">IFERROR(__xludf.DUMMYFUNCTION("""COMPUTED_VALUE"""),45699.9986111111)</f>
        <v>45699.998611111099</v>
      </c>
      <c r="B406" s="2"/>
      <c r="C406" s="5">
        <v>16343.3</v>
      </c>
    </row>
    <row r="407" spans="1:3" x14ac:dyDescent="0.2">
      <c r="A407" s="2">
        <f ca="1">IFERROR(__xludf.DUMMYFUNCTION("""COMPUTED_VALUE"""),45700.9986111111)</f>
        <v>45700.998611111099</v>
      </c>
      <c r="B407" s="2"/>
      <c r="C407" s="5">
        <v>16375</v>
      </c>
    </row>
    <row r="408" spans="1:3" x14ac:dyDescent="0.2">
      <c r="A408" s="2">
        <f ca="1">IFERROR(__xludf.DUMMYFUNCTION("""COMPUTED_VALUE"""),45701.9986111111)</f>
        <v>45701.998611111099</v>
      </c>
      <c r="B408" s="2"/>
      <c r="C408" s="5">
        <v>16219</v>
      </c>
    </row>
    <row r="409" spans="1:3" x14ac:dyDescent="0.2">
      <c r="A409" s="2">
        <f ca="1">IFERROR(__xludf.DUMMYFUNCTION("""COMPUTED_VALUE"""),45702.9986111111)</f>
        <v>45702.998611111099</v>
      </c>
      <c r="B409" s="2"/>
      <c r="C409" s="5">
        <v>16173</v>
      </c>
    </row>
    <row r="410" spans="1:3" x14ac:dyDescent="0.2">
      <c r="A410" s="2">
        <f ca="1">IFERROR(__xludf.DUMMYFUNCTION("""COMPUTED_VALUE"""),45703.9986111111)</f>
        <v>45703.998611111099</v>
      </c>
      <c r="B410" s="2"/>
      <c r="C410" s="5">
        <v>16173</v>
      </c>
    </row>
    <row r="411" spans="1:3" x14ac:dyDescent="0.2">
      <c r="A411" s="2">
        <f ca="1">IFERROR(__xludf.DUMMYFUNCTION("""COMPUTED_VALUE"""),45704.9986111111)</f>
        <v>45704.998611111099</v>
      </c>
      <c r="B411" s="2"/>
      <c r="C411" s="5">
        <v>16173</v>
      </c>
    </row>
    <row r="412" spans="1:3" x14ac:dyDescent="0.2">
      <c r="A412" s="2">
        <f ca="1">IFERROR(__xludf.DUMMYFUNCTION("""COMPUTED_VALUE"""),45705.9986111111)</f>
        <v>45705.998611111099</v>
      </c>
      <c r="B412" s="2"/>
      <c r="C412" s="5">
        <v>16220</v>
      </c>
    </row>
    <row r="413" spans="1:3" x14ac:dyDescent="0.2">
      <c r="A413" s="2">
        <f ca="1">IFERROR(__xludf.DUMMYFUNCTION("""COMPUTED_VALUE"""),45706.9986111111)</f>
        <v>45706.998611111099</v>
      </c>
      <c r="B413" s="2"/>
      <c r="C413" s="5">
        <v>16317</v>
      </c>
    </row>
    <row r="414" spans="1:3" x14ac:dyDescent="0.2">
      <c r="A414" s="2">
        <f ca="1">IFERROR(__xludf.DUMMYFUNCTION("""COMPUTED_VALUE"""),45707.9986111111)</f>
        <v>45707.998611111099</v>
      </c>
      <c r="B414" s="2"/>
      <c r="C414" s="5">
        <v>16346.4</v>
      </c>
    </row>
    <row r="415" spans="1:3" x14ac:dyDescent="0.2">
      <c r="A415" s="2">
        <f ca="1">IFERROR(__xludf.DUMMYFUNCTION("""COMPUTED_VALUE"""),45708.9986111111)</f>
        <v>45708.998611111099</v>
      </c>
      <c r="B415" s="2"/>
      <c r="C415" s="5">
        <v>16245.1</v>
      </c>
    </row>
    <row r="416" spans="1:3" x14ac:dyDescent="0.2">
      <c r="A416" s="2">
        <f ca="1">IFERROR(__xludf.DUMMYFUNCTION("""COMPUTED_VALUE"""),45709.9986111111)</f>
        <v>45709.998611111099</v>
      </c>
      <c r="B416" s="2"/>
      <c r="C416" s="5">
        <v>16278</v>
      </c>
    </row>
    <row r="417" spans="1:3" x14ac:dyDescent="0.2">
      <c r="A417" s="2">
        <f ca="1">IFERROR(__xludf.DUMMYFUNCTION("""COMPUTED_VALUE"""),45710.9986111111)</f>
        <v>45710.998611111099</v>
      </c>
      <c r="B417" s="2"/>
      <c r="C417" s="5">
        <v>16278</v>
      </c>
    </row>
    <row r="418" spans="1:3" x14ac:dyDescent="0.2">
      <c r="A418" s="2">
        <f ca="1">IFERROR(__xludf.DUMMYFUNCTION("""COMPUTED_VALUE"""),45711.9986111111)</f>
        <v>45711.998611111099</v>
      </c>
      <c r="B418" s="2"/>
      <c r="C418" s="5">
        <v>16278</v>
      </c>
    </row>
    <row r="419" spans="1:3" x14ac:dyDescent="0.2">
      <c r="A419" s="2">
        <f ca="1">IFERROR(__xludf.DUMMYFUNCTION("""COMPUTED_VALUE"""),45712.9986111111)</f>
        <v>45712.998611111099</v>
      </c>
      <c r="B419" s="2"/>
      <c r="C419" s="5">
        <v>16279.3</v>
      </c>
    </row>
    <row r="420" spans="1:3" x14ac:dyDescent="0.2">
      <c r="A420" s="2">
        <f ca="1">IFERROR(__xludf.DUMMYFUNCTION("""COMPUTED_VALUE"""),45713.9986111111)</f>
        <v>45713.998611111099</v>
      </c>
      <c r="B420" s="2"/>
      <c r="C420" s="5">
        <v>16314</v>
      </c>
    </row>
    <row r="421" spans="1:3" x14ac:dyDescent="0.2">
      <c r="A421" s="2">
        <f ca="1">IFERROR(__xludf.DUMMYFUNCTION("""COMPUTED_VALUE"""),45714.9986111111)</f>
        <v>45714.998611111099</v>
      </c>
      <c r="B421" s="2"/>
      <c r="C421" s="5">
        <v>16367.4</v>
      </c>
    </row>
    <row r="422" spans="1:3" x14ac:dyDescent="0.2">
      <c r="A422" s="2">
        <f ca="1">IFERROR(__xludf.DUMMYFUNCTION("""COMPUTED_VALUE"""),45715.9986111111)</f>
        <v>45715.998611111099</v>
      </c>
      <c r="B422" s="2"/>
      <c r="C422" s="5">
        <v>16553.7</v>
      </c>
    </row>
    <row r="423" spans="1:3" x14ac:dyDescent="0.2">
      <c r="A423" s="2">
        <f ca="1">IFERROR(__xludf.DUMMYFUNCTION("""COMPUTED_VALUE"""),45716.9986111111)</f>
        <v>45716.998611111099</v>
      </c>
      <c r="B423" s="2"/>
      <c r="C423" s="5">
        <v>16522</v>
      </c>
    </row>
    <row r="424" spans="1:3" x14ac:dyDescent="0.2">
      <c r="A424" s="2">
        <f ca="1">IFERROR(__xludf.DUMMYFUNCTION("""COMPUTED_VALUE"""),45717.9986111111)</f>
        <v>45717.998611111099</v>
      </c>
      <c r="B424" s="2"/>
      <c r="C424" s="5">
        <v>16522</v>
      </c>
    </row>
    <row r="425" spans="1:3" x14ac:dyDescent="0.2">
      <c r="A425" s="2">
        <f ca="1">IFERROR(__xludf.DUMMYFUNCTION("""COMPUTED_VALUE"""),45718.9986111111)</f>
        <v>45718.998611111099</v>
      </c>
      <c r="B425" s="2"/>
      <c r="C425" s="5">
        <v>16522</v>
      </c>
    </row>
    <row r="426" spans="1:3" x14ac:dyDescent="0.2">
      <c r="A426" s="2">
        <f ca="1">IFERROR(__xludf.DUMMYFUNCTION("""COMPUTED_VALUE"""),45719.9986111111)</f>
        <v>45719.998611111099</v>
      </c>
      <c r="B426" s="2"/>
      <c r="C426" s="5">
        <v>16451.2</v>
      </c>
    </row>
    <row r="427" spans="1:3" x14ac:dyDescent="0.2">
      <c r="A427" s="2">
        <f ca="1">IFERROR(__xludf.DUMMYFUNCTION("""COMPUTED_VALUE"""),45720.9986111111)</f>
        <v>45720.998611111099</v>
      </c>
      <c r="B427" s="2"/>
      <c r="C427" s="5">
        <v>16379</v>
      </c>
    </row>
    <row r="428" spans="1:3" x14ac:dyDescent="0.2">
      <c r="A428" s="2">
        <f ca="1">IFERROR(__xludf.DUMMYFUNCTION("""COMPUTED_VALUE"""),45721.9986111111)</f>
        <v>45721.998611111099</v>
      </c>
      <c r="B428" s="2"/>
      <c r="C428" s="5">
        <v>16268.9</v>
      </c>
    </row>
    <row r="429" spans="1:3" x14ac:dyDescent="0.2">
      <c r="A429" s="2">
        <f ca="1">IFERROR(__xludf.DUMMYFUNCTION("""COMPUTED_VALUE"""),45722.9986111111)</f>
        <v>45722.998611111099</v>
      </c>
      <c r="B429" s="2"/>
      <c r="C429" s="5">
        <v>16322.1</v>
      </c>
    </row>
    <row r="430" spans="1:3" x14ac:dyDescent="0.2">
      <c r="A430" s="2">
        <f ca="1">IFERROR(__xludf.DUMMYFUNCTION("""COMPUTED_VALUE"""),45723.9986111111)</f>
        <v>45723.998611111099</v>
      </c>
      <c r="B430" s="2"/>
      <c r="C430" s="5">
        <v>16292.6</v>
      </c>
    </row>
    <row r="431" spans="1:3" x14ac:dyDescent="0.2">
      <c r="A431" s="2">
        <f ca="1">IFERROR(__xludf.DUMMYFUNCTION("""COMPUTED_VALUE"""),45724.9986111111)</f>
        <v>45724.998611111099</v>
      </c>
      <c r="B431" s="2"/>
      <c r="C431" s="5">
        <v>16292.6</v>
      </c>
    </row>
    <row r="432" spans="1:3" x14ac:dyDescent="0.2">
      <c r="A432" s="2">
        <f ca="1">IFERROR(__xludf.DUMMYFUNCTION("""COMPUTED_VALUE"""),45725.9986111111)</f>
        <v>45725.998611111099</v>
      </c>
      <c r="B432" s="2"/>
      <c r="C432" s="5">
        <v>16292.6</v>
      </c>
    </row>
    <row r="433" spans="1:3" x14ac:dyDescent="0.2">
      <c r="A433" s="2">
        <f ca="1">IFERROR(__xludf.DUMMYFUNCTION("""COMPUTED_VALUE"""),45726.9986111111)</f>
        <v>45726.998611111099</v>
      </c>
      <c r="B433" s="2"/>
      <c r="C433" s="5">
        <v>16323</v>
      </c>
    </row>
    <row r="434" spans="1:3" x14ac:dyDescent="0.2">
      <c r="A434" s="2">
        <f ca="1">IFERROR(__xludf.DUMMYFUNCTION("""COMPUTED_VALUE"""),45727.9986111111)</f>
        <v>45727.998611111099</v>
      </c>
      <c r="B434" s="2"/>
      <c r="C434" s="5">
        <v>16433.900000000001</v>
      </c>
    </row>
    <row r="435" spans="1:3" x14ac:dyDescent="0.2">
      <c r="A435" s="2">
        <f ca="1">IFERROR(__xludf.DUMMYFUNCTION("""COMPUTED_VALUE"""),45728.9986111111)</f>
        <v>45728.998611111099</v>
      </c>
      <c r="B435" s="2"/>
      <c r="C435" s="5">
        <v>16305.6</v>
      </c>
    </row>
    <row r="436" spans="1:3" x14ac:dyDescent="0.2">
      <c r="A436" s="2">
        <f ca="1">IFERROR(__xludf.DUMMYFUNCTION("""COMPUTED_VALUE"""),45729.9986111111)</f>
        <v>45729.998611111099</v>
      </c>
      <c r="B436" s="2"/>
      <c r="C436" s="5">
        <v>16259.3</v>
      </c>
    </row>
    <row r="437" spans="1:3" x14ac:dyDescent="0.2">
      <c r="A437" s="2">
        <f ca="1">IFERROR(__xludf.DUMMYFUNCTION("""COMPUTED_VALUE"""),45730.9986111111)</f>
        <v>45730.998611111099</v>
      </c>
      <c r="B437" s="2"/>
      <c r="C437" s="5">
        <v>16321</v>
      </c>
    </row>
    <row r="438" spans="1:3" x14ac:dyDescent="0.2">
      <c r="A438" s="2">
        <f ca="1">IFERROR(__xludf.DUMMYFUNCTION("""COMPUTED_VALUE"""),45731.9986111111)</f>
        <v>45731.998611111099</v>
      </c>
      <c r="B438" s="2"/>
      <c r="C438" s="5">
        <v>16321</v>
      </c>
    </row>
    <row r="439" spans="1:3" x14ac:dyDescent="0.2">
      <c r="A439" s="2">
        <f ca="1">IFERROR(__xludf.DUMMYFUNCTION("""COMPUTED_VALUE"""),45732.9986111111)</f>
        <v>45732.998611111099</v>
      </c>
      <c r="B439" s="2"/>
      <c r="C439" s="5">
        <v>16321</v>
      </c>
    </row>
    <row r="440" spans="1:3" x14ac:dyDescent="0.2">
      <c r="A440" s="2">
        <f ca="1">IFERROR(__xludf.DUMMYFUNCTION("""COMPUTED_VALUE"""),45733.9986111111)</f>
        <v>45733.998611111099</v>
      </c>
      <c r="B440" s="2"/>
      <c r="C440" s="5">
        <v>16370</v>
      </c>
    </row>
    <row r="441" spans="1:3" x14ac:dyDescent="0.2">
      <c r="A441" s="2">
        <f ca="1">IFERROR(__xludf.DUMMYFUNCTION("""COMPUTED_VALUE"""),45734.9986111111)</f>
        <v>45734.998611111099</v>
      </c>
      <c r="B441" s="2"/>
      <c r="C441" s="5">
        <v>16514.5</v>
      </c>
    </row>
    <row r="442" spans="1:3" x14ac:dyDescent="0.2">
      <c r="A442" s="2">
        <f ca="1">IFERROR(__xludf.DUMMYFUNCTION("""COMPUTED_VALUE"""),45735.9986111111)</f>
        <v>45735.998611111099</v>
      </c>
      <c r="B442" s="2"/>
      <c r="C442" s="5">
        <v>16330.3</v>
      </c>
    </row>
    <row r="443" spans="1:3" x14ac:dyDescent="0.2">
      <c r="A443" s="2">
        <f ca="1">IFERROR(__xludf.DUMMYFUNCTION("""COMPUTED_VALUE"""),45736.9986111111)</f>
        <v>45736.998611111099</v>
      </c>
      <c r="B443" s="2"/>
      <c r="C443" s="5">
        <v>16428.5</v>
      </c>
    </row>
    <row r="444" spans="1:3" x14ac:dyDescent="0.2">
      <c r="A444" s="2">
        <f ca="1">IFERROR(__xludf.DUMMYFUNCTION("""COMPUTED_VALUE"""),45737.9986111111)</f>
        <v>45737.998611111099</v>
      </c>
      <c r="B444" s="2"/>
      <c r="C444" s="5">
        <v>16519</v>
      </c>
    </row>
    <row r="445" spans="1:3" x14ac:dyDescent="0.2">
      <c r="A445" s="2">
        <f ca="1">IFERROR(__xludf.DUMMYFUNCTION("""COMPUTED_VALUE"""),45738.9986111111)</f>
        <v>45738.998611111099</v>
      </c>
      <c r="B445" s="2"/>
      <c r="C445" s="5">
        <v>16519</v>
      </c>
    </row>
    <row r="446" spans="1:3" x14ac:dyDescent="0.2">
      <c r="A446" s="2">
        <f ca="1">IFERROR(__xludf.DUMMYFUNCTION("""COMPUTED_VALUE"""),45739.9986111111)</f>
        <v>45739.998611111099</v>
      </c>
      <c r="B446" s="2"/>
      <c r="C446" s="5">
        <v>16519</v>
      </c>
    </row>
    <row r="447" spans="1:3" x14ac:dyDescent="0.2">
      <c r="A447" s="2">
        <f ca="1">IFERROR(__xludf.DUMMYFUNCTION("""COMPUTED_VALUE"""),45740.9986111111)</f>
        <v>45740.998611111099</v>
      </c>
      <c r="B447" s="2"/>
      <c r="C447" s="5">
        <v>16575.8</v>
      </c>
    </row>
    <row r="448" spans="1:3" x14ac:dyDescent="0.2">
      <c r="A448" s="2">
        <f ca="1">IFERROR(__xludf.DUMMYFUNCTION("""COMPUTED_VALUE"""),45741.9986111111)</f>
        <v>45741.998611111099</v>
      </c>
      <c r="B448" s="2"/>
      <c r="C448" s="5">
        <v>16621</v>
      </c>
    </row>
    <row r="449" spans="1:3" x14ac:dyDescent="0.2">
      <c r="A449" s="2">
        <f ca="1">IFERROR(__xludf.DUMMYFUNCTION("""COMPUTED_VALUE"""),45742.9986111111)</f>
        <v>45742.998611111099</v>
      </c>
      <c r="B449" s="2"/>
      <c r="C449" s="5">
        <v>16629</v>
      </c>
    </row>
    <row r="450" spans="1:3" x14ac:dyDescent="0.2">
      <c r="A450" s="2">
        <f ca="1">IFERROR(__xludf.DUMMYFUNCTION("""COMPUTED_VALUE"""),45743.9986111111)</f>
        <v>45743.998611111099</v>
      </c>
      <c r="B450" s="2"/>
      <c r="C450" s="5">
        <v>16560.900000000001</v>
      </c>
    </row>
    <row r="451" spans="1:3" x14ac:dyDescent="0.2">
      <c r="A451" s="2">
        <f ca="1">IFERROR(__xludf.DUMMYFUNCTION("""COMPUTED_VALUE"""),45744.9986111111)</f>
        <v>45744.998611111099</v>
      </c>
      <c r="B451" s="2"/>
      <c r="C451" s="5">
        <v>16597</v>
      </c>
    </row>
    <row r="452" spans="1:3" x14ac:dyDescent="0.2">
      <c r="A452" s="2">
        <f ca="1">IFERROR(__xludf.DUMMYFUNCTION("""COMPUTED_VALUE"""),45745.9986111111)</f>
        <v>45745.998611111099</v>
      </c>
      <c r="B452" s="2"/>
      <c r="C452" s="5">
        <v>16597</v>
      </c>
    </row>
    <row r="453" spans="1:3" x14ac:dyDescent="0.2">
      <c r="A453" s="2">
        <f ca="1">IFERROR(__xludf.DUMMYFUNCTION("""COMPUTED_VALUE"""),45746.9986111111)</f>
        <v>45746.998611111099</v>
      </c>
      <c r="B453" s="2"/>
      <c r="C453" s="5">
        <v>16575</v>
      </c>
    </row>
    <row r="454" spans="1:3" x14ac:dyDescent="0.2">
      <c r="A454" s="2">
        <f ca="1">IFERROR(__xludf.DUMMYFUNCTION("""COMPUTED_VALUE"""),45747.9986111111)</f>
        <v>45747.998611111099</v>
      </c>
      <c r="B454" s="2"/>
      <c r="C454" s="5">
        <v>16652</v>
      </c>
    </row>
    <row r="455" spans="1:3" x14ac:dyDescent="0.2">
      <c r="A455" s="2">
        <f ca="1">IFERROR(__xludf.DUMMYFUNCTION("""COMPUTED_VALUE"""),45748.9986111111)</f>
        <v>45748.998611111099</v>
      </c>
      <c r="B455" s="2"/>
      <c r="C455" s="5">
        <v>16731.400000000001</v>
      </c>
    </row>
    <row r="456" spans="1:3" x14ac:dyDescent="0.2">
      <c r="A456" s="2">
        <f ca="1">IFERROR(__xludf.DUMMYFUNCTION("""COMPUTED_VALUE"""),45749.9986111111)</f>
        <v>45749.998611111099</v>
      </c>
      <c r="B456" s="2"/>
      <c r="C456" s="5">
        <v>16739</v>
      </c>
    </row>
    <row r="457" spans="1:3" x14ac:dyDescent="0.2">
      <c r="A457" s="2">
        <f ca="1">IFERROR(__xludf.DUMMYFUNCTION("""COMPUTED_VALUE"""),45750.9986111111)</f>
        <v>45750.998611111099</v>
      </c>
      <c r="B457" s="2"/>
      <c r="C457" s="5">
        <v>16739.8</v>
      </c>
    </row>
    <row r="458" spans="1:3" x14ac:dyDescent="0.2">
      <c r="A458" s="2">
        <f ca="1">IFERROR(__xludf.DUMMYFUNCTION("""COMPUTED_VALUE"""),45751.9986111111)</f>
        <v>45751.998611111099</v>
      </c>
      <c r="B458" s="2"/>
      <c r="C458" s="5">
        <v>16738</v>
      </c>
    </row>
    <row r="459" spans="1:3" x14ac:dyDescent="0.2">
      <c r="A459" s="2">
        <f ca="1">IFERROR(__xludf.DUMMYFUNCTION("""COMPUTED_VALUE"""),45752.9986111111)</f>
        <v>45752.998611111099</v>
      </c>
      <c r="B459" s="2"/>
      <c r="C459" s="5">
        <v>16738</v>
      </c>
    </row>
    <row r="460" spans="1:3" x14ac:dyDescent="0.2">
      <c r="A460" s="2">
        <f ca="1">IFERROR(__xludf.DUMMYFUNCTION("""COMPUTED_VALUE"""),45753.9986111111)</f>
        <v>45753.998611111099</v>
      </c>
      <c r="B460" s="2"/>
      <c r="C460" s="5">
        <v>16738</v>
      </c>
    </row>
    <row r="461" spans="1:3" x14ac:dyDescent="0.2">
      <c r="A461" s="2">
        <f ca="1">IFERROR(__xludf.DUMMYFUNCTION("""COMPUTED_VALUE"""),45754.9986111111)</f>
        <v>45754.998611111099</v>
      </c>
      <c r="B461" s="2"/>
      <c r="C461" s="5">
        <v>16855.7</v>
      </c>
    </row>
    <row r="462" spans="1:3" x14ac:dyDescent="0.2">
      <c r="A462" s="2">
        <f ca="1">IFERROR(__xludf.DUMMYFUNCTION("""COMPUTED_VALUE"""),45755.9986111111)</f>
        <v>45755.998611111099</v>
      </c>
      <c r="B462" s="2"/>
      <c r="C462" s="5">
        <v>17051.900000000001</v>
      </c>
    </row>
    <row r="463" spans="1:3" x14ac:dyDescent="0.2">
      <c r="A463" s="2">
        <f ca="1">IFERROR(__xludf.DUMMYFUNCTION("""COMPUTED_VALUE"""),45756.9986111111)</f>
        <v>45756.998611111099</v>
      </c>
      <c r="B463" s="2"/>
      <c r="C463" s="5">
        <v>16805.5</v>
      </c>
    </row>
    <row r="464" spans="1:3" x14ac:dyDescent="0.2">
      <c r="A464" s="2">
        <f ca="1">IFERROR(__xludf.DUMMYFUNCTION("""COMPUTED_VALUE"""),45757.9986111111)</f>
        <v>45757.998611111099</v>
      </c>
      <c r="B464" s="2"/>
      <c r="C464" s="5">
        <v>16833.8</v>
      </c>
    </row>
    <row r="465" spans="1:3" x14ac:dyDescent="0.2">
      <c r="A465" s="2">
        <f ca="1">IFERROR(__xludf.DUMMYFUNCTION("""COMPUTED_VALUE"""),45758.9986111111)</f>
        <v>45758.998611111099</v>
      </c>
      <c r="B465" s="2"/>
      <c r="C465" s="5">
        <v>16779.8</v>
      </c>
    </row>
    <row r="466" spans="1:3" x14ac:dyDescent="0.2">
      <c r="A466" s="2">
        <f ca="1">IFERROR(__xludf.DUMMYFUNCTION("""COMPUTED_VALUE"""),45759.9986111111)</f>
        <v>45759.998611111099</v>
      </c>
      <c r="B466" s="2"/>
      <c r="C466" s="5">
        <v>16779.8</v>
      </c>
    </row>
    <row r="467" spans="1:3" x14ac:dyDescent="0.2">
      <c r="A467" s="2">
        <f ca="1">IFERROR(__xludf.DUMMYFUNCTION("""COMPUTED_VALUE"""),45760.9986111111)</f>
        <v>45760.998611111099</v>
      </c>
      <c r="B467" s="2"/>
      <c r="C467" s="5">
        <v>16788</v>
      </c>
    </row>
    <row r="468" spans="1:3" x14ac:dyDescent="0.2">
      <c r="A468" s="2">
        <f ca="1">IFERROR(__xludf.DUMMYFUNCTION("""COMPUTED_VALUE"""),45761.9986111111)</f>
        <v>45761.998611111099</v>
      </c>
      <c r="B468" s="2"/>
      <c r="C468" s="5">
        <v>16780</v>
      </c>
    </row>
    <row r="469" spans="1:3" x14ac:dyDescent="0.2">
      <c r="A469" s="2">
        <f ca="1">IFERROR(__xludf.DUMMYFUNCTION("""COMPUTED_VALUE"""),45762.9986111111)</f>
        <v>45762.998611111099</v>
      </c>
      <c r="B469" s="2"/>
      <c r="C469" s="5">
        <v>16813.5</v>
      </c>
    </row>
    <row r="470" spans="1:3" x14ac:dyDescent="0.2">
      <c r="A470" s="2">
        <f ca="1">IFERROR(__xludf.DUMMYFUNCTION("""COMPUTED_VALUE"""),45763.9986111111)</f>
        <v>45763.998611111099</v>
      </c>
      <c r="B470" s="2"/>
      <c r="C470" s="5">
        <v>16794.599999999999</v>
      </c>
    </row>
    <row r="471" spans="1:3" x14ac:dyDescent="0.2">
      <c r="A471" s="2">
        <f ca="1">IFERROR(__xludf.DUMMYFUNCTION("""COMPUTED_VALUE"""),45764.9986111111)</f>
        <v>45764.998611111099</v>
      </c>
      <c r="B471" s="2"/>
      <c r="C471" s="5">
        <v>16856.8</v>
      </c>
    </row>
    <row r="472" spans="1:3" x14ac:dyDescent="0.2">
      <c r="A472" s="2">
        <f ca="1">IFERROR(__xludf.DUMMYFUNCTION("""COMPUTED_VALUE"""),45768.9986111111)</f>
        <v>45768.998611111099</v>
      </c>
      <c r="B472" s="2"/>
      <c r="C472" s="5">
        <v>16814.900000000001</v>
      </c>
    </row>
    <row r="473" spans="1:3" x14ac:dyDescent="0.2">
      <c r="A473" s="2">
        <f ca="1">IFERROR(__xludf.DUMMYFUNCTION("""COMPUTED_VALUE"""),45769.9986111111)</f>
        <v>45769.998611111099</v>
      </c>
      <c r="B473" s="2"/>
      <c r="C473" s="5">
        <v>16858.099999999999</v>
      </c>
    </row>
    <row r="474" spans="1:3" x14ac:dyDescent="0.2">
      <c r="A474" s="2">
        <f ca="1">IFERROR(__xludf.DUMMYFUNCTION("""COMPUTED_VALUE"""),45770.9986111111)</f>
        <v>45770.998611111099</v>
      </c>
      <c r="B474" s="2"/>
      <c r="C474" s="5">
        <v>16846</v>
      </c>
    </row>
    <row r="475" spans="1:3" x14ac:dyDescent="0.2">
      <c r="A475" s="2">
        <f ca="1">IFERROR(__xludf.DUMMYFUNCTION("""COMPUTED_VALUE"""),45771.9986111111)</f>
        <v>45771.998611111099</v>
      </c>
      <c r="B475" s="2"/>
      <c r="C475" s="5">
        <v>16778.5</v>
      </c>
    </row>
    <row r="476" spans="1:3" x14ac:dyDescent="0.2">
      <c r="A476" s="2">
        <f ca="1">IFERROR(__xludf.DUMMYFUNCTION("""COMPUTED_VALUE"""),45772.9986111111)</f>
        <v>45772.998611111099</v>
      </c>
      <c r="B476" s="2"/>
      <c r="C476" s="5">
        <v>16789.7</v>
      </c>
    </row>
    <row r="477" spans="1:3" x14ac:dyDescent="0.2">
      <c r="A477" s="2">
        <f ca="1">IFERROR(__xludf.DUMMYFUNCTION("""COMPUTED_VALUE"""),45773.9986111111)</f>
        <v>45773.998611111099</v>
      </c>
      <c r="B477" s="2"/>
      <c r="C477" s="5">
        <v>16796.599999999999</v>
      </c>
    </row>
    <row r="478" spans="1:3" x14ac:dyDescent="0.2">
      <c r="A478" s="2">
        <f ca="1">IFERROR(__xludf.DUMMYFUNCTION("""COMPUTED_VALUE"""),45774.9986111111)</f>
        <v>45774.998611111099</v>
      </c>
      <c r="B478" s="2"/>
      <c r="C478" s="5">
        <v>16823</v>
      </c>
    </row>
    <row r="479" spans="1:3" x14ac:dyDescent="0.2">
      <c r="A479" s="2">
        <f ca="1">IFERROR(__xludf.DUMMYFUNCTION("""COMPUTED_VALUE"""),45775.9986111111)</f>
        <v>45775.998611111099</v>
      </c>
      <c r="B479" s="2"/>
      <c r="C479" s="5">
        <v>16795</v>
      </c>
    </row>
    <row r="480" spans="1:3" x14ac:dyDescent="0.2">
      <c r="A480" s="2">
        <f ca="1">IFERROR(__xludf.DUMMYFUNCTION("""COMPUTED_VALUE"""),45776.9986111111)</f>
        <v>45776.998611111099</v>
      </c>
      <c r="B480" s="2"/>
      <c r="C480" s="5">
        <v>16711.900000000001</v>
      </c>
    </row>
    <row r="481" spans="1:3" x14ac:dyDescent="0.2">
      <c r="A481" s="2">
        <f ca="1">IFERROR(__xludf.DUMMYFUNCTION("""COMPUTED_VALUE"""),45777.9986111111)</f>
        <v>45777.998611111099</v>
      </c>
      <c r="B481" s="2"/>
      <c r="C481" s="5">
        <v>16545.900000000001</v>
      </c>
    </row>
    <row r="482" spans="1:3" x14ac:dyDescent="0.2">
      <c r="A482" s="2">
        <f ca="1">IFERROR(__xludf.DUMMYFUNCTION("""COMPUTED_VALUE"""),45778.9986111111)</f>
        <v>45778.998611111099</v>
      </c>
      <c r="B482" s="2"/>
      <c r="C482" s="5">
        <v>16606</v>
      </c>
    </row>
    <row r="483" spans="1:3" x14ac:dyDescent="0.2">
      <c r="A483" s="2">
        <f ca="1">IFERROR(__xludf.DUMMYFUNCTION("""COMPUTED_VALUE"""),45779.9986111111)</f>
        <v>45779.998611111099</v>
      </c>
      <c r="B483" s="2"/>
      <c r="C483" s="5">
        <v>16453.2</v>
      </c>
    </row>
    <row r="484" spans="1:3" x14ac:dyDescent="0.2">
      <c r="A484" s="2">
        <f ca="1">IFERROR(__xludf.DUMMYFUNCTION("""COMPUTED_VALUE"""),45780.9986111111)</f>
        <v>45780.998611111099</v>
      </c>
      <c r="B484" s="2"/>
      <c r="C484" s="5">
        <v>16453.2</v>
      </c>
    </row>
    <row r="485" spans="1:3" x14ac:dyDescent="0.2">
      <c r="A485" s="2">
        <f ca="1">IFERROR(__xludf.DUMMYFUNCTION("""COMPUTED_VALUE"""),45781.9986111111)</f>
        <v>45781.998611111099</v>
      </c>
      <c r="B485" s="2"/>
      <c r="C485" s="5">
        <v>16460</v>
      </c>
    </row>
    <row r="486" spans="1:3" x14ac:dyDescent="0.2">
      <c r="A486" s="2">
        <f ca="1">IFERROR(__xludf.DUMMYFUNCTION("""COMPUTED_VALUE"""),45782.9986111111)</f>
        <v>45782.998611111099</v>
      </c>
      <c r="B486" s="2"/>
      <c r="C486" s="5">
        <v>16421.5</v>
      </c>
    </row>
    <row r="487" spans="1:3" x14ac:dyDescent="0.2">
      <c r="A487" s="2">
        <f ca="1">IFERROR(__xludf.DUMMYFUNCTION("""COMPUTED_VALUE"""),45783.9986111111)</f>
        <v>45783.998611111099</v>
      </c>
      <c r="B487" s="2"/>
      <c r="C487" s="5">
        <v>16432</v>
      </c>
    </row>
    <row r="488" spans="1:3" x14ac:dyDescent="0.2">
      <c r="A488" s="2">
        <f ca="1">IFERROR(__xludf.DUMMYFUNCTION("""COMPUTED_VALUE"""),45784.9986111111)</f>
        <v>45784.998611111099</v>
      </c>
      <c r="B488" s="2"/>
      <c r="C488" s="5">
        <v>16492.599999999999</v>
      </c>
    </row>
    <row r="489" spans="1:3" x14ac:dyDescent="0.2">
      <c r="A489" s="2">
        <f ca="1">IFERROR(__xludf.DUMMYFUNCTION("""COMPUTED_VALUE"""),45785.9986111111)</f>
        <v>45785.998611111099</v>
      </c>
      <c r="B489" s="2"/>
      <c r="C489" s="5">
        <v>16538.3</v>
      </c>
    </row>
    <row r="490" spans="1:3" x14ac:dyDescent="0.2">
      <c r="A490" s="2">
        <f ca="1">IFERROR(__xludf.DUMMYFUNCTION("""COMPUTED_VALUE"""),45786.9986111111)</f>
        <v>45786.998611111099</v>
      </c>
      <c r="B490" s="2"/>
      <c r="C490" s="5">
        <v>16536.8</v>
      </c>
    </row>
    <row r="491" spans="1:3" x14ac:dyDescent="0.2">
      <c r="A491" s="2">
        <f ca="1">IFERROR(__xludf.DUMMYFUNCTION("""COMPUTED_VALUE"""),45787.9986111111)</f>
        <v>45787.998611111099</v>
      </c>
      <c r="B491" s="2"/>
      <c r="C491" s="5">
        <v>16536.8</v>
      </c>
    </row>
    <row r="492" spans="1:3" x14ac:dyDescent="0.2">
      <c r="A492" s="2">
        <f ca="1">IFERROR(__xludf.DUMMYFUNCTION("""COMPUTED_VALUE"""),45788.9986111111)</f>
        <v>45788.998611111099</v>
      </c>
      <c r="B492" s="2"/>
      <c r="C492" s="5">
        <v>16543</v>
      </c>
    </row>
    <row r="493" spans="1:3" x14ac:dyDescent="0.2">
      <c r="A493" s="2">
        <f ca="1">IFERROR(__xludf.DUMMYFUNCTION("""COMPUTED_VALUE"""),45789.9986111111)</f>
        <v>45789.998611111099</v>
      </c>
      <c r="B493" s="2"/>
      <c r="C493" s="5">
        <v>16688.8</v>
      </c>
    </row>
    <row r="494" spans="1:3" x14ac:dyDescent="0.2">
      <c r="A494" s="2">
        <f ca="1">IFERROR(__xludf.DUMMYFUNCTION("""COMPUTED_VALUE"""),45790.9986111111)</f>
        <v>45790.998611111099</v>
      </c>
      <c r="B494" s="2"/>
      <c r="C494" s="5">
        <v>16599.400000000001</v>
      </c>
    </row>
    <row r="495" spans="1:3" x14ac:dyDescent="0.2">
      <c r="A495" s="2">
        <f ca="1">IFERROR(__xludf.DUMMYFUNCTION("""COMPUTED_VALUE"""),45791.9986111111)</f>
        <v>45791.998611111099</v>
      </c>
      <c r="B495" s="2"/>
      <c r="C495" s="5">
        <v>16558.2</v>
      </c>
    </row>
    <row r="496" spans="1:3" x14ac:dyDescent="0.2">
      <c r="A496" s="2">
        <f ca="1">IFERROR(__xludf.DUMMYFUNCTION("""COMPUTED_VALUE"""),45792.9986111111)</f>
        <v>45792.998611111099</v>
      </c>
      <c r="B496" s="2"/>
      <c r="C496" s="5">
        <v>16511.8</v>
      </c>
    </row>
    <row r="497" spans="1:3" x14ac:dyDescent="0.2">
      <c r="A497" s="2">
        <f ca="1">IFERROR(__xludf.DUMMYFUNCTION("""COMPUTED_VALUE"""),45793.9986111111)</f>
        <v>45793.998611111099</v>
      </c>
      <c r="B497" s="2"/>
      <c r="C497" s="5">
        <v>16485</v>
      </c>
    </row>
    <row r="498" spans="1:3" x14ac:dyDescent="0.2">
      <c r="A498" s="2">
        <f ca="1">IFERROR(__xludf.DUMMYFUNCTION("""COMPUTED_VALUE"""),45794.9986111111)</f>
        <v>45794.998611111099</v>
      </c>
      <c r="B498" s="2"/>
      <c r="C498" s="5">
        <v>16485</v>
      </c>
    </row>
    <row r="499" spans="1:3" x14ac:dyDescent="0.2">
      <c r="A499" s="2">
        <f ca="1">IFERROR(__xludf.DUMMYFUNCTION("""COMPUTED_VALUE"""),45795.9986111111)</f>
        <v>45795.998611111099</v>
      </c>
      <c r="B499" s="2"/>
      <c r="C499" s="5">
        <v>16487</v>
      </c>
    </row>
    <row r="500" spans="1:3" x14ac:dyDescent="0.2">
      <c r="A500" s="2">
        <f ca="1">IFERROR(__xludf.DUMMYFUNCTION("""COMPUTED_VALUE"""),45796.9986111111)</f>
        <v>45796.998611111099</v>
      </c>
      <c r="B500" s="2"/>
      <c r="C500" s="5">
        <v>16428</v>
      </c>
    </row>
    <row r="501" spans="1:3" x14ac:dyDescent="0.2">
      <c r="A501" s="2">
        <f ca="1">IFERROR(__xludf.DUMMYFUNCTION("""COMPUTED_VALUE"""),45797.9986111111)</f>
        <v>45797.998611111099</v>
      </c>
      <c r="B501" s="2"/>
      <c r="C501" s="5">
        <v>16403</v>
      </c>
    </row>
    <row r="502" spans="1:3" x14ac:dyDescent="0.2">
      <c r="A502" s="2">
        <f ca="1">IFERROR(__xludf.DUMMYFUNCTION("""COMPUTED_VALUE"""),45798.9986111111)</f>
        <v>45798.998611111099</v>
      </c>
      <c r="B502" s="2"/>
      <c r="C502" s="5">
        <v>16347.6</v>
      </c>
    </row>
    <row r="503" spans="1:3" x14ac:dyDescent="0.2">
      <c r="A503" s="2">
        <f ca="1">IFERROR(__xludf.DUMMYFUNCTION("""COMPUTED_VALUE"""),45799.9986111111)</f>
        <v>45799.998611111099</v>
      </c>
      <c r="B503" s="2"/>
      <c r="C503" s="5">
        <v>16356.9</v>
      </c>
    </row>
    <row r="504" spans="1:3" x14ac:dyDescent="0.2">
      <c r="A504" s="2">
        <f ca="1">IFERROR(__xludf.DUMMYFUNCTION("""COMPUTED_VALUE"""),45800.9986111111)</f>
        <v>45800.998611111099</v>
      </c>
      <c r="B504" s="2"/>
      <c r="C504" s="5">
        <v>16232.6</v>
      </c>
    </row>
    <row r="505" spans="1:3" x14ac:dyDescent="0.2">
      <c r="A505" s="2">
        <f ca="1">IFERROR(__xludf.DUMMYFUNCTION("""COMPUTED_VALUE"""),45801.9986111111)</f>
        <v>45801.998611111099</v>
      </c>
      <c r="B505" s="2"/>
      <c r="C505" s="5">
        <v>16232.6</v>
      </c>
    </row>
    <row r="506" spans="1:3" x14ac:dyDescent="0.2">
      <c r="A506" s="2">
        <f ca="1">IFERROR(__xludf.DUMMYFUNCTION("""COMPUTED_VALUE"""),45802.9986111111)</f>
        <v>45802.998611111099</v>
      </c>
      <c r="B506" s="2"/>
      <c r="C506" s="5">
        <v>16211</v>
      </c>
    </row>
    <row r="507" spans="1:3" x14ac:dyDescent="0.2">
      <c r="A507" s="2">
        <f ca="1">IFERROR(__xludf.DUMMYFUNCTION("""COMPUTED_VALUE"""),45803.9986111111)</f>
        <v>45803.998611111099</v>
      </c>
      <c r="B507" s="2"/>
      <c r="C507" s="5">
        <v>16243.5</v>
      </c>
    </row>
    <row r="508" spans="1:3" x14ac:dyDescent="0.2">
      <c r="A508" s="2">
        <f ca="1">IFERROR(__xludf.DUMMYFUNCTION("""COMPUTED_VALUE"""),45804.9986111111)</f>
        <v>45804.998611111099</v>
      </c>
      <c r="B508" s="2"/>
      <c r="C508" s="5">
        <v>16279</v>
      </c>
    </row>
    <row r="509" spans="1:3" x14ac:dyDescent="0.2">
      <c r="A509" s="2">
        <f ca="1">IFERROR(__xludf.DUMMYFUNCTION("""COMPUTED_VALUE"""),45805.9986111111)</f>
        <v>45805.998611111099</v>
      </c>
      <c r="B509" s="2"/>
      <c r="C509" s="5">
        <v>16286</v>
      </c>
    </row>
    <row r="510" spans="1:3" x14ac:dyDescent="0.2">
      <c r="A510" s="2">
        <f ca="1">IFERROR(__xludf.DUMMYFUNCTION("""COMPUTED_VALUE"""),45806.9986111111)</f>
        <v>45806.998611111099</v>
      </c>
      <c r="B510" s="2"/>
      <c r="C510" s="5">
        <v>16293</v>
      </c>
    </row>
    <row r="511" spans="1:3" x14ac:dyDescent="0.2">
      <c r="A511" s="2">
        <f ca="1">IFERROR(__xludf.DUMMYFUNCTION("""COMPUTED_VALUE"""),45807.9986111111)</f>
        <v>45807.998611111099</v>
      </c>
      <c r="B511" s="2"/>
      <c r="C511" s="5">
        <v>16359.7</v>
      </c>
    </row>
    <row r="512" spans="1:3" x14ac:dyDescent="0.2">
      <c r="A512" s="2">
        <f ca="1">IFERROR(__xludf.DUMMYFUNCTION("""COMPUTED_VALUE"""),45808.9986111111)</f>
        <v>45808.998611111099</v>
      </c>
      <c r="B512" s="2"/>
      <c r="C512" s="5">
        <v>16359.7</v>
      </c>
    </row>
    <row r="513" spans="1:3" x14ac:dyDescent="0.2">
      <c r="A513" s="2">
        <f ca="1">IFERROR(__xludf.DUMMYFUNCTION("""COMPUTED_VALUE"""),45809.9986111111)</f>
        <v>45809.998611111099</v>
      </c>
      <c r="B513" s="2"/>
      <c r="C513" s="5">
        <v>16322</v>
      </c>
    </row>
    <row r="514" spans="1:3" x14ac:dyDescent="0.2">
      <c r="A514" s="2">
        <f ca="1">IFERROR(__xludf.DUMMYFUNCTION("""COMPUTED_VALUE"""),45810.9986111111)</f>
        <v>45810.998611111099</v>
      </c>
      <c r="B514" s="2"/>
      <c r="C514" s="5">
        <v>16288.5</v>
      </c>
    </row>
    <row r="515" spans="1:3" x14ac:dyDescent="0.2">
      <c r="A515" s="2">
        <f ca="1">IFERROR(__xludf.DUMMYFUNCTION("""COMPUTED_VALUE"""),45811.9986111111)</f>
        <v>45811.998611111099</v>
      </c>
      <c r="B515" s="2"/>
      <c r="C515" s="5">
        <v>16332.4</v>
      </c>
    </row>
    <row r="516" spans="1:3" x14ac:dyDescent="0.2">
      <c r="A516" s="2">
        <f ca="1">IFERROR(__xludf.DUMMYFUNCTION("""COMPUTED_VALUE"""),45812.9986111111)</f>
        <v>45812.998611111099</v>
      </c>
      <c r="B516" s="2"/>
      <c r="C516" s="5">
        <v>16291.5</v>
      </c>
    </row>
    <row r="517" spans="1:3" x14ac:dyDescent="0.2">
      <c r="A517" s="2">
        <f ca="1">IFERROR(__xludf.DUMMYFUNCTION("""COMPUTED_VALUE"""),45813.9986111111)</f>
        <v>45813.998611111099</v>
      </c>
      <c r="B517" s="2"/>
      <c r="C517" s="5">
        <v>16246.4</v>
      </c>
    </row>
    <row r="518" spans="1:3" x14ac:dyDescent="0.2">
      <c r="A518" s="2">
        <f ca="1">IFERROR(__xludf.DUMMYFUNCTION("""COMPUTED_VALUE"""),45814.9986111111)</f>
        <v>45814.998611111099</v>
      </c>
      <c r="B518" s="2"/>
      <c r="C518" s="5">
        <v>16305.3</v>
      </c>
    </row>
    <row r="519" spans="1:3" x14ac:dyDescent="0.2">
      <c r="A519" s="2">
        <f ca="1">IFERROR(__xludf.DUMMYFUNCTION("""COMPUTED_VALUE"""),45816.9986111111)</f>
        <v>45816.998611111099</v>
      </c>
      <c r="B519" s="2"/>
      <c r="C519" s="5">
        <v>16309</v>
      </c>
    </row>
    <row r="520" spans="1:3" x14ac:dyDescent="0.2">
      <c r="A520" s="2">
        <f ca="1">IFERROR(__xludf.DUMMYFUNCTION("""COMPUTED_VALUE"""),45817.9986111111)</f>
        <v>45817.998611111099</v>
      </c>
      <c r="B520" s="2"/>
      <c r="C520" s="5">
        <v>15550.5</v>
      </c>
    </row>
    <row r="521" spans="1:3" x14ac:dyDescent="0.2">
      <c r="A521" s="2">
        <f ca="1">IFERROR(__xludf.DUMMYFUNCTION("""COMPUTED_VALUE"""),45818.9986111111)</f>
        <v>45818.998611111099</v>
      </c>
      <c r="B521" s="2"/>
      <c r="C521" s="5">
        <v>15714.3</v>
      </c>
    </row>
    <row r="522" spans="1:3" x14ac:dyDescent="0.2">
      <c r="A522" s="2">
        <f ca="1">IFERROR(__xludf.DUMMYFUNCTION("""COMPUTED_VALUE"""),45819.9986111111)</f>
        <v>45819.998611111099</v>
      </c>
      <c r="B522" s="2"/>
      <c r="C522" s="5">
        <v>16793.78</v>
      </c>
    </row>
    <row r="523" spans="1:3" x14ac:dyDescent="0.2">
      <c r="A523" s="2">
        <f ca="1">IFERROR(__xludf.DUMMYFUNCTION("""COMPUTED_VALUE"""),45820.9986111111)</f>
        <v>45820.998611111099</v>
      </c>
      <c r="B523" s="2"/>
      <c r="C523" s="5">
        <v>16164.5</v>
      </c>
    </row>
    <row r="524" spans="1:3" x14ac:dyDescent="0.2">
      <c r="A524" s="2">
        <f ca="1">IFERROR(__xludf.DUMMYFUNCTION("""COMPUTED_VALUE"""),45821.9986111111)</f>
        <v>45821.998611111099</v>
      </c>
      <c r="B524" s="2"/>
      <c r="C524" s="5">
        <v>16282.6</v>
      </c>
    </row>
    <row r="525" spans="1:3" x14ac:dyDescent="0.2">
      <c r="A525" s="2">
        <f ca="1">IFERROR(__xludf.DUMMYFUNCTION("""COMPUTED_VALUE"""),45822.9986111111)</f>
        <v>45822.998611111099</v>
      </c>
      <c r="B525" s="2"/>
      <c r="C525" s="5">
        <v>16282.6</v>
      </c>
    </row>
    <row r="526" spans="1:3" x14ac:dyDescent="0.2">
      <c r="A526" s="2">
        <f ca="1">IFERROR(__xludf.DUMMYFUNCTION("""COMPUTED_VALUE"""),45824.9986111111)</f>
        <v>45824.998611111099</v>
      </c>
      <c r="B526" s="2"/>
      <c r="C526" s="5">
        <v>15801</v>
      </c>
    </row>
    <row r="527" spans="1:3" x14ac:dyDescent="0.2">
      <c r="A527" s="2">
        <f ca="1">IFERROR(__xludf.DUMMYFUNCTION("""COMPUTED_VALUE"""),45825.9986111111)</f>
        <v>45825.998611111099</v>
      </c>
      <c r="B527" s="2"/>
      <c r="C527" s="5">
        <v>15604.9</v>
      </c>
    </row>
    <row r="528" spans="1:3" x14ac:dyDescent="0.2">
      <c r="A528" s="2">
        <f ca="1">IFERROR(__xludf.DUMMYFUNCTION("""COMPUTED_VALUE"""),45826.9986111111)</f>
        <v>45826.998611111099</v>
      </c>
      <c r="B528" s="2"/>
      <c r="C528" s="5">
        <v>15598.5</v>
      </c>
    </row>
    <row r="529" spans="1:3" x14ac:dyDescent="0.2">
      <c r="A529" s="2">
        <f ca="1">IFERROR(__xludf.DUMMYFUNCTION("""COMPUTED_VALUE"""),45827.9986111111)</f>
        <v>45827.998611111099</v>
      </c>
      <c r="B529" s="2"/>
      <c r="C529" s="5">
        <v>14871</v>
      </c>
    </row>
    <row r="530" spans="1:3" x14ac:dyDescent="0.2">
      <c r="A530" s="2">
        <f ca="1">IFERROR(__xludf.DUMMYFUNCTION("""COMPUTED_VALUE"""),45828.9986111111)</f>
        <v>45828.998611111099</v>
      </c>
      <c r="B530" s="2"/>
      <c r="C530" s="5">
        <v>16410</v>
      </c>
    </row>
    <row r="531" spans="1:3" x14ac:dyDescent="0.2">
      <c r="A531" s="2">
        <f ca="1">IFERROR(__xludf.DUMMYFUNCTION("""COMPUTED_VALUE"""),45829.9986111111)</f>
        <v>45829.998611111099</v>
      </c>
      <c r="B531" s="2"/>
      <c r="C531" s="5">
        <v>16410</v>
      </c>
    </row>
    <row r="532" spans="1:3" x14ac:dyDescent="0.2">
      <c r="A532" s="2">
        <f ca="1">IFERROR(__xludf.DUMMYFUNCTION("""COMPUTED_VALUE"""),45830.9986111111)</f>
        <v>45830.998611111099</v>
      </c>
      <c r="B532" s="2"/>
      <c r="C532" s="5">
        <v>16431</v>
      </c>
    </row>
    <row r="533" spans="1:3" x14ac:dyDescent="0.2">
      <c r="A533" s="2">
        <f ca="1">IFERROR(__xludf.DUMMYFUNCTION("""COMPUTED_VALUE"""),45831.9986111111)</f>
        <v>45831.998611111099</v>
      </c>
      <c r="B533" s="2"/>
      <c r="C533" s="5">
        <v>15943.3</v>
      </c>
    </row>
    <row r="534" spans="1:3" x14ac:dyDescent="0.2">
      <c r="A534" s="2">
        <f ca="1">IFERROR(__xludf.DUMMYFUNCTION("""COMPUTED_VALUE"""),45832.9986111111)</f>
        <v>45832.998611111099</v>
      </c>
      <c r="B534" s="2"/>
      <c r="C534" s="5">
        <v>14701</v>
      </c>
    </row>
    <row r="535" spans="1:3" x14ac:dyDescent="0.2">
      <c r="A535" s="2">
        <f ca="1">IFERROR(__xludf.DUMMYFUNCTION("""COMPUTED_VALUE"""),45833.9986111111)</f>
        <v>45833.998611111099</v>
      </c>
      <c r="B535" s="2"/>
      <c r="C535" s="5">
        <v>15560.7</v>
      </c>
    </row>
    <row r="536" spans="1:3" x14ac:dyDescent="0.2">
      <c r="A536" s="2">
        <f ca="1">IFERROR(__xludf.DUMMYFUNCTION("""COMPUTED_VALUE"""),45834.9986111111)</f>
        <v>45834.998611111099</v>
      </c>
      <c r="B536" s="2"/>
      <c r="C536" s="5">
        <v>15488.3</v>
      </c>
    </row>
    <row r="537" spans="1:3" x14ac:dyDescent="0.2">
      <c r="A537" s="2">
        <f ca="1">IFERROR(__xludf.DUMMYFUNCTION("""COMPUTED_VALUE"""),45835.9986111111)</f>
        <v>45835.998611111099</v>
      </c>
      <c r="B537" s="2"/>
      <c r="C537" s="5">
        <v>16226</v>
      </c>
    </row>
    <row r="538" spans="1:3" x14ac:dyDescent="0.2">
      <c r="A538" s="2">
        <f ca="1">IFERROR(__xludf.DUMMYFUNCTION("""COMPUTED_VALUE"""),45836.9986111111)</f>
        <v>45836.998611111099</v>
      </c>
      <c r="B538" s="2"/>
      <c r="C538" s="5">
        <v>16226</v>
      </c>
    </row>
    <row r="539" spans="1:3" x14ac:dyDescent="0.2">
      <c r="A539" s="2">
        <f ca="1">IFERROR(__xludf.DUMMYFUNCTION("""COMPUTED_VALUE"""),45837.9986111111)</f>
        <v>45837.998611111099</v>
      </c>
      <c r="B539" s="2"/>
      <c r="C539" s="5">
        <v>16229</v>
      </c>
    </row>
    <row r="540" spans="1:3" x14ac:dyDescent="0.2">
      <c r="A540" s="2">
        <f ca="1">IFERROR(__xludf.DUMMYFUNCTION("""COMPUTED_VALUE"""),45838.9986111111)</f>
        <v>45838.998611111099</v>
      </c>
      <c r="B540" s="2"/>
      <c r="C540" s="5">
        <v>16316.18</v>
      </c>
    </row>
    <row r="541" spans="1:3" x14ac:dyDescent="0.2">
      <c r="A541" s="2">
        <f ca="1">IFERROR(__xludf.DUMMYFUNCTION("""COMPUTED_VALUE"""),45839.9986111111)</f>
        <v>45839.998611111099</v>
      </c>
      <c r="B541" s="2"/>
      <c r="C541" s="5">
        <v>16185</v>
      </c>
    </row>
    <row r="542" spans="1:3" x14ac:dyDescent="0.2">
      <c r="A542" s="2">
        <f ca="1">IFERROR(__xludf.DUMMYFUNCTION("""COMPUTED_VALUE"""),45840.9986111111)</f>
        <v>45840.998611111099</v>
      </c>
      <c r="B542" s="2"/>
      <c r="C542" s="5">
        <v>16235</v>
      </c>
    </row>
    <row r="543" spans="1:3" x14ac:dyDescent="0.2">
      <c r="A543" s="2">
        <f ca="1">IFERROR(__xludf.DUMMYFUNCTION("""COMPUTED_VALUE"""),45841.9986111111)</f>
        <v>45841.998611111099</v>
      </c>
      <c r="B543" s="2"/>
      <c r="C543" s="5">
        <v>14728</v>
      </c>
    </row>
    <row r="544" spans="1:3" x14ac:dyDescent="0.2">
      <c r="A544" s="2">
        <f ca="1">IFERROR(__xludf.DUMMYFUNCTION("""COMPUTED_VALUE"""),45842.9986111111)</f>
        <v>45842.998611111099</v>
      </c>
      <c r="B544" s="2"/>
      <c r="C544" s="5">
        <v>16162.6</v>
      </c>
    </row>
    <row r="545" spans="1:3" x14ac:dyDescent="0.2">
      <c r="A545" s="2">
        <f ca="1">IFERROR(__xludf.DUMMYFUNCTION("""COMPUTED_VALUE"""),45843.9986111111)</f>
        <v>45843.998611111099</v>
      </c>
      <c r="B545" s="2"/>
      <c r="C545" s="5">
        <v>16162.6</v>
      </c>
    </row>
    <row r="546" spans="1:3" x14ac:dyDescent="0.2">
      <c r="A546" s="2">
        <f ca="1">IFERROR(__xludf.DUMMYFUNCTION("""COMPUTED_VALUE"""),45844.9986111111)</f>
        <v>45844.998611111099</v>
      </c>
      <c r="B546" s="2"/>
      <c r="C546" s="5">
        <v>16178</v>
      </c>
    </row>
    <row r="547" spans="1:3" x14ac:dyDescent="0.2">
      <c r="A547" s="2">
        <f ca="1">IFERROR(__xludf.DUMMYFUNCTION("""COMPUTED_VALUE"""),45845.9986111111)</f>
        <v>45845.998611111099</v>
      </c>
      <c r="B547" s="2"/>
      <c r="C547" s="5">
        <v>16318.9</v>
      </c>
    </row>
    <row r="548" spans="1:3" x14ac:dyDescent="0.2">
      <c r="A548" s="2">
        <f ca="1">IFERROR(__xludf.DUMMYFUNCTION("""COMPUTED_VALUE"""),45846.9986111111)</f>
        <v>45846.998611111099</v>
      </c>
      <c r="B548" s="2"/>
      <c r="C548" s="5">
        <v>16261</v>
      </c>
    </row>
    <row r="549" spans="1:3" x14ac:dyDescent="0.2">
      <c r="A549" s="2">
        <f ca="1">IFERROR(__xludf.DUMMYFUNCTION("""COMPUTED_VALUE"""),45847.9986111111)</f>
        <v>45847.998611111099</v>
      </c>
      <c r="B549" s="2"/>
      <c r="C549" s="5">
        <v>16235</v>
      </c>
    </row>
    <row r="550" spans="1:3" x14ac:dyDescent="0.2">
      <c r="A550" s="2">
        <f ca="1">IFERROR(__xludf.DUMMYFUNCTION("""COMPUTED_VALUE"""),45848.9986111111)</f>
        <v>45848.998611111099</v>
      </c>
      <c r="B550" s="2"/>
      <c r="C550" s="5">
        <v>16209.1</v>
      </c>
    </row>
    <row r="551" spans="1:3" x14ac:dyDescent="0.2">
      <c r="A551" s="2">
        <f ca="1">IFERROR(__xludf.DUMMYFUNCTION("""COMPUTED_VALUE"""),45849.9986111111)</f>
        <v>45849.998611111099</v>
      </c>
      <c r="B551" s="2"/>
      <c r="C551" s="5">
        <v>16209.9</v>
      </c>
    </row>
    <row r="552" spans="1:3" x14ac:dyDescent="0.2">
      <c r="A552" s="2">
        <f ca="1">IFERROR(__xludf.DUMMYFUNCTION("""COMPUTED_VALUE"""),45850.9986111111)</f>
        <v>45850.998611111099</v>
      </c>
      <c r="B552" s="2"/>
      <c r="C552" s="5">
        <v>16209.9</v>
      </c>
    </row>
    <row r="553" spans="1:3" x14ac:dyDescent="0.2">
      <c r="A553" s="2">
        <f ca="1">IFERROR(__xludf.DUMMYFUNCTION("""COMPUTED_VALUE"""),45851.9986111111)</f>
        <v>45851.998611111099</v>
      </c>
      <c r="B553" s="2"/>
      <c r="C553" s="5">
        <v>16222</v>
      </c>
    </row>
    <row r="554" spans="1:3" x14ac:dyDescent="0.2">
      <c r="A554" s="2">
        <f ca="1">IFERROR(__xludf.DUMMYFUNCTION("""COMPUTED_VALUE"""),45852.9986111111)</f>
        <v>45852.998611111099</v>
      </c>
      <c r="B554" s="2"/>
      <c r="C554" s="5">
        <v>16256.2</v>
      </c>
    </row>
    <row r="555" spans="1:3" x14ac:dyDescent="0.2">
      <c r="A555" s="2">
        <f ca="1">IFERROR(__xludf.DUMMYFUNCTION("""COMPUTED_VALUE"""),45853.9986111111)</f>
        <v>45853.998611111099</v>
      </c>
      <c r="B555" s="2"/>
      <c r="C555" s="5">
        <v>16252.1</v>
      </c>
    </row>
    <row r="556" spans="1:3" x14ac:dyDescent="0.2">
      <c r="A556" s="2">
        <f ca="1">IFERROR(__xludf.DUMMYFUNCTION("""COMPUTED_VALUE"""),45854.9986111111)</f>
        <v>45854.998611111099</v>
      </c>
      <c r="B556" s="2"/>
      <c r="C556" s="5">
        <v>16271.2</v>
      </c>
    </row>
    <row r="557" spans="1:3" x14ac:dyDescent="0.2">
      <c r="A557" s="2">
        <f ca="1">IFERROR(__xludf.DUMMYFUNCTION("""COMPUTED_VALUE"""),45855.9986111111)</f>
        <v>45855.998611111099</v>
      </c>
      <c r="B557" s="2"/>
      <c r="C557" s="5">
        <v>16329.7</v>
      </c>
    </row>
    <row r="558" spans="1:3" x14ac:dyDescent="0.2">
      <c r="A558" s="2">
        <f ca="1">IFERROR(__xludf.DUMMYFUNCTION("""COMPUTED_VALUE"""),45856.9986111111)</f>
        <v>45856.998611111099</v>
      </c>
      <c r="B558" s="2"/>
      <c r="C558" s="5">
        <v>16318.5</v>
      </c>
    </row>
    <row r="559" spans="1:3" x14ac:dyDescent="0.2">
      <c r="A559" s="2">
        <f ca="1">IFERROR(__xludf.DUMMYFUNCTION("""COMPUTED_VALUE"""),45857.9986111111)</f>
        <v>45857.998611111099</v>
      </c>
      <c r="B559" s="2"/>
      <c r="C559" s="5">
        <v>16318.5</v>
      </c>
    </row>
    <row r="560" spans="1:3" x14ac:dyDescent="0.2">
      <c r="A560" s="2">
        <f ca="1">IFERROR(__xludf.DUMMYFUNCTION("""COMPUTED_VALUE"""),45858.9986111111)</f>
        <v>45858.998611111099</v>
      </c>
      <c r="B560" s="2"/>
      <c r="C560" s="5">
        <v>16321</v>
      </c>
    </row>
    <row r="561" spans="1:3" x14ac:dyDescent="0.2">
      <c r="A561" s="2">
        <f ca="1">IFERROR(__xludf.DUMMYFUNCTION("""COMPUTED_VALUE"""),45859.9986111111)</f>
        <v>45859.998611111099</v>
      </c>
      <c r="B561" s="2"/>
      <c r="C561" s="5">
        <v>16329.5</v>
      </c>
    </row>
    <row r="562" spans="1:3" x14ac:dyDescent="0.2">
      <c r="A562" s="2">
        <f ca="1">IFERROR(__xludf.DUMMYFUNCTION("""COMPUTED_VALUE"""),45860.9986111111)</f>
        <v>45860.998611111099</v>
      </c>
      <c r="B562" s="2"/>
      <c r="C562" s="5">
        <v>16245.3</v>
      </c>
    </row>
    <row r="563" spans="1:3" x14ac:dyDescent="0.2">
      <c r="A563" s="2">
        <f ca="1">IFERROR(__xludf.DUMMYFUNCTION("""COMPUTED_VALUE"""),45861.9986111111)</f>
        <v>45861.998611111099</v>
      </c>
      <c r="B563" s="2"/>
      <c r="C563" s="5">
        <v>16266.1</v>
      </c>
    </row>
    <row r="564" spans="1:3" x14ac:dyDescent="0.2">
      <c r="A564" s="2">
        <f ca="1">IFERROR(__xludf.DUMMYFUNCTION("""COMPUTED_VALUE"""),45862.9986111111)</f>
        <v>45862.998611111099</v>
      </c>
      <c r="B564" s="2"/>
      <c r="C564" s="5">
        <v>16307</v>
      </c>
    </row>
    <row r="565" spans="1:3" x14ac:dyDescent="0.2">
      <c r="A565" s="2">
        <f ca="1">IFERROR(__xludf.DUMMYFUNCTION("""COMPUTED_VALUE"""),45863.9986111111)</f>
        <v>45863.998611111099</v>
      </c>
      <c r="B565" s="2"/>
      <c r="C565" s="5">
        <v>16340.1</v>
      </c>
    </row>
    <row r="566" spans="1:3" x14ac:dyDescent="0.2">
      <c r="A566" s="2">
        <f ca="1">IFERROR(__xludf.DUMMYFUNCTION("""COMPUTED_VALUE"""),45864.9986111111)</f>
        <v>45864.998611111099</v>
      </c>
      <c r="B566" s="2"/>
      <c r="C566" s="5">
        <v>16340.1</v>
      </c>
    </row>
    <row r="567" spans="1:3" x14ac:dyDescent="0.2">
      <c r="A567" s="2">
        <f ca="1">IFERROR(__xludf.DUMMYFUNCTION("""COMPUTED_VALUE"""),45865.9986111111)</f>
        <v>45865.998611111099</v>
      </c>
      <c r="B567" s="2"/>
      <c r="C567" s="5">
        <v>16353</v>
      </c>
    </row>
    <row r="568" spans="1:3" x14ac:dyDescent="0.2">
      <c r="A568" s="2">
        <f ca="1">IFERROR(__xludf.DUMMYFUNCTION("""COMPUTED_VALUE"""),45866.9986111111)</f>
        <v>45866.998611111099</v>
      </c>
      <c r="B568" s="2"/>
      <c r="C568" s="5">
        <v>16398.8</v>
      </c>
    </row>
    <row r="569" spans="1:3" x14ac:dyDescent="0.2">
      <c r="A569" s="2">
        <f ca="1">IFERROR(__xludf.DUMMYFUNCTION("""COMPUTED_VALUE"""),45867.9986111111)</f>
        <v>45867.998611111099</v>
      </c>
      <c r="B569" s="2"/>
      <c r="C569" s="5">
        <v>16367.9</v>
      </c>
    </row>
    <row r="570" spans="1:3" x14ac:dyDescent="0.2">
      <c r="A570" s="2">
        <f ca="1">IFERROR(__xludf.DUMMYFUNCTION("""COMPUTED_VALUE"""),45868.9986111111)</f>
        <v>45868.998611111099</v>
      </c>
      <c r="B570" s="2"/>
      <c r="C570" s="5">
        <v>16426.8</v>
      </c>
    </row>
    <row r="571" spans="1:3" x14ac:dyDescent="0.2">
      <c r="A571" s="2">
        <f ca="1">IFERROR(__xludf.DUMMYFUNCTION("""COMPUTED_VALUE"""),45869.9986111111)</f>
        <v>45869.998611111099</v>
      </c>
      <c r="B571" s="2"/>
      <c r="C571" s="5">
        <v>16483</v>
      </c>
    </row>
    <row r="572" spans="1:3" x14ac:dyDescent="0.2">
      <c r="A572" s="2">
        <f ca="1">IFERROR(__xludf.DUMMYFUNCTION("""COMPUTED_VALUE"""),45870.9986111111)</f>
        <v>45870.998611111099</v>
      </c>
      <c r="B572" s="2"/>
      <c r="C572" s="5">
        <v>16358.2</v>
      </c>
    </row>
    <row r="573" spans="1:3" x14ac:dyDescent="0.2">
      <c r="A573" s="2">
        <f ca="1">IFERROR(__xludf.DUMMYFUNCTION("""COMPUTED_VALUE"""),45871.9986111111)</f>
        <v>45871.998611111099</v>
      </c>
      <c r="B573" s="2"/>
      <c r="C573" s="5">
        <v>16358.2</v>
      </c>
    </row>
    <row r="574" spans="1:3" x14ac:dyDescent="0.2">
      <c r="A574" s="2">
        <f ca="1">IFERROR(__xludf.DUMMYFUNCTION("""COMPUTED_VALUE"""),45872.9986111111)</f>
        <v>45872.998611111099</v>
      </c>
      <c r="B574" s="2"/>
      <c r="C574" s="5">
        <v>16483</v>
      </c>
    </row>
    <row r="575" spans="1:3" x14ac:dyDescent="0.2">
      <c r="A575" s="2">
        <f ca="1">IFERROR(__xludf.DUMMYFUNCTION("""COMPUTED_VALUE"""),45873.9986111111)</f>
        <v>45873.998611111099</v>
      </c>
      <c r="B575" s="2"/>
      <c r="C575" s="5">
        <v>16362</v>
      </c>
    </row>
    <row r="576" spans="1:3" x14ac:dyDescent="0.2">
      <c r="A576" s="2">
        <f ca="1">IFERROR(__xludf.DUMMYFUNCTION("""COMPUTED_VALUE"""),45874.9986111111)</f>
        <v>45874.998611111099</v>
      </c>
      <c r="B576" s="2"/>
      <c r="C576" s="5">
        <v>16377.5</v>
      </c>
    </row>
    <row r="577" spans="1:3" x14ac:dyDescent="0.2">
      <c r="A577" s="2">
        <f ca="1">IFERROR(__xludf.DUMMYFUNCTION("""COMPUTED_VALUE"""),45875.9986111111)</f>
        <v>45875.998611111099</v>
      </c>
      <c r="B577" s="2"/>
      <c r="C577" s="5">
        <v>16334.7</v>
      </c>
    </row>
    <row r="578" spans="1:3" x14ac:dyDescent="0.2">
      <c r="A578" s="2">
        <f ca="1">IFERROR(__xludf.DUMMYFUNCTION("""COMPUTED_VALUE"""),45876.9986111111)</f>
        <v>45876.998611111099</v>
      </c>
      <c r="B578" s="2"/>
      <c r="C578" s="5">
        <v>16300</v>
      </c>
    </row>
    <row r="579" spans="1:3" x14ac:dyDescent="0.2">
      <c r="A579" s="2">
        <f ca="1">IFERROR(__xludf.DUMMYFUNCTION("""COMPUTED_VALUE"""),45877.9986111111)</f>
        <v>45877.998611111099</v>
      </c>
      <c r="B579" s="2"/>
      <c r="C579" s="5">
        <v>16236.6</v>
      </c>
    </row>
    <row r="580" spans="1:3" x14ac:dyDescent="0.2">
      <c r="A580" s="2">
        <f ca="1">IFERROR(__xludf.DUMMYFUNCTION("""COMPUTED_VALUE"""),45878.9986111111)</f>
        <v>45878.998611111099</v>
      </c>
      <c r="B580" s="2"/>
      <c r="C580" s="5">
        <v>16236.6</v>
      </c>
    </row>
    <row r="581" spans="1:3" x14ac:dyDescent="0.2">
      <c r="A581" s="2">
        <f ca="1">IFERROR(__xludf.DUMMYFUNCTION("""COMPUTED_VALUE"""),45879.9986111111)</f>
        <v>45879.998611111099</v>
      </c>
      <c r="B581" s="2"/>
      <c r="C581" s="5">
        <v>16249</v>
      </c>
    </row>
    <row r="582" spans="1:3" x14ac:dyDescent="0.2">
      <c r="A582" s="2">
        <f ca="1">IFERROR(__xludf.DUMMYFUNCTION("""COMPUTED_VALUE"""),45880.9986111111)</f>
        <v>45880.998611111099</v>
      </c>
      <c r="B582" s="2"/>
      <c r="C582" s="5">
        <v>16298</v>
      </c>
    </row>
    <row r="583" spans="1:3" x14ac:dyDescent="0.2">
      <c r="A583" s="2">
        <f ca="1">IFERROR(__xludf.DUMMYFUNCTION("""COMPUTED_VALUE"""),45881.9986111111)</f>
        <v>45881.998611111099</v>
      </c>
      <c r="B583" s="2"/>
      <c r="C583" s="5">
        <v>16248.2</v>
      </c>
    </row>
    <row r="584" spans="1:3" x14ac:dyDescent="0.2">
      <c r="A584" s="2">
        <f ca="1">IFERROR(__xludf.DUMMYFUNCTION("""COMPUTED_VALUE"""),45882.9986111111)</f>
        <v>45882.998611111099</v>
      </c>
      <c r="B584" s="2"/>
      <c r="C584" s="5">
        <v>16109</v>
      </c>
    </row>
    <row r="585" spans="1:3" x14ac:dyDescent="0.2">
      <c r="A585" s="2">
        <f ca="1">IFERROR(__xludf.DUMMYFUNCTION("""COMPUTED_VALUE"""),45883.9986111111)</f>
        <v>45883.998611111099</v>
      </c>
      <c r="B585" s="2"/>
      <c r="C585" s="5">
        <v>16169</v>
      </c>
    </row>
    <row r="586" spans="1:3" x14ac:dyDescent="0.2">
      <c r="A586" s="2">
        <f ca="1">IFERROR(__xludf.DUMMYFUNCTION("""COMPUTED_VALUE"""),45884.9986111111)</f>
        <v>45884.998611111099</v>
      </c>
      <c r="B586" s="2"/>
      <c r="C586" s="5">
        <v>16182.7</v>
      </c>
    </row>
    <row r="587" spans="1:3" x14ac:dyDescent="0.2">
      <c r="A587" s="2">
        <f ca="1">IFERROR(__xludf.DUMMYFUNCTION("""COMPUTED_VALUE"""),45885.9986111111)</f>
        <v>45885.998611111099</v>
      </c>
      <c r="B587" s="2"/>
      <c r="C587" s="5">
        <v>16182.7</v>
      </c>
    </row>
    <row r="588" spans="1:3" x14ac:dyDescent="0.2">
      <c r="A588" s="2">
        <f ca="1">IFERROR(__xludf.DUMMYFUNCTION("""COMPUTED_VALUE"""),45886.9986111111)</f>
        <v>45886.998611111099</v>
      </c>
      <c r="B588" s="2"/>
      <c r="C588" s="5">
        <v>16196</v>
      </c>
    </row>
    <row r="589" spans="1:3" x14ac:dyDescent="0.2">
      <c r="A589" s="2">
        <f ca="1">IFERROR(__xludf.DUMMYFUNCTION("""COMPUTED_VALUE"""),45887.9986111111)</f>
        <v>45887.998611111099</v>
      </c>
      <c r="B589" s="2"/>
      <c r="C589" s="5">
        <v>16205.4</v>
      </c>
    </row>
    <row r="590" spans="1:3" x14ac:dyDescent="0.2">
      <c r="A590" s="2">
        <f ca="1">IFERROR(__xludf.DUMMYFUNCTION("""COMPUTED_VALUE"""),45888.9986111111)</f>
        <v>45888.998611111099</v>
      </c>
      <c r="B590" s="2"/>
      <c r="C590" s="5">
        <v>16275.2</v>
      </c>
    </row>
    <row r="591" spans="1:3" x14ac:dyDescent="0.2">
      <c r="A591" s="2">
        <f ca="1">IFERROR(__xludf.DUMMYFUNCTION("""COMPUTED_VALUE"""),45889.9986111111)</f>
        <v>45889.998611111099</v>
      </c>
      <c r="B591" s="2"/>
      <c r="C591" s="5">
        <v>16263.6</v>
      </c>
    </row>
    <row r="592" spans="1:3" x14ac:dyDescent="0.2">
      <c r="A592" s="2">
        <f ca="1">IFERROR(__xludf.DUMMYFUNCTION("""COMPUTED_VALUE"""),45890.9986111111)</f>
        <v>45890.998611111099</v>
      </c>
      <c r="B592" s="2"/>
      <c r="C592" s="5">
        <v>16339.7</v>
      </c>
    </row>
    <row r="593" spans="1:3" x14ac:dyDescent="0.2">
      <c r="A593" s="2">
        <f ca="1">IFERROR(__xludf.DUMMYFUNCTION("""COMPUTED_VALUE"""),45891.9986111111)</f>
        <v>45891.998611111099</v>
      </c>
      <c r="B593" s="2"/>
      <c r="C593" s="5">
        <v>16214.5</v>
      </c>
    </row>
    <row r="594" spans="1:3" x14ac:dyDescent="0.2">
      <c r="A594" s="2">
        <f ca="1">IFERROR(__xludf.DUMMYFUNCTION("""COMPUTED_VALUE"""),45893.9986111111)</f>
        <v>45893.998611111099</v>
      </c>
      <c r="B594" s="2"/>
      <c r="C594" s="5">
        <v>16227</v>
      </c>
    </row>
    <row r="595" spans="1:3" x14ac:dyDescent="0.2">
      <c r="A595" s="2">
        <f ca="1">IFERROR(__xludf.DUMMYFUNCTION("""COMPUTED_VALUE"""),45894.9986111111)</f>
        <v>45894.998611111099</v>
      </c>
      <c r="B595" s="2"/>
      <c r="C595" s="5">
        <v>16267</v>
      </c>
    </row>
    <row r="596" spans="1:3" x14ac:dyDescent="0.2">
      <c r="A596" s="2">
        <f ca="1">IFERROR(__xludf.DUMMYFUNCTION("""COMPUTED_VALUE"""),45895.9986111111)</f>
        <v>45895.998611111099</v>
      </c>
      <c r="B596" s="2"/>
      <c r="C596" s="5">
        <v>16299.2</v>
      </c>
    </row>
    <row r="597" spans="1:3" x14ac:dyDescent="0.2">
      <c r="A597" s="2">
        <f ca="1">IFERROR(__xludf.DUMMYFUNCTION("""COMPUTED_VALUE"""),45896.9986111111)</f>
        <v>45896.998611111099</v>
      </c>
      <c r="B597" s="2"/>
      <c r="C597" s="5">
        <v>16314</v>
      </c>
    </row>
    <row r="598" spans="1:3" x14ac:dyDescent="0.2">
      <c r="A598" s="2">
        <f ca="1">IFERROR(__xludf.DUMMYFUNCTION("""COMPUTED_VALUE"""),45897.9986111111)</f>
        <v>45897.998611111099</v>
      </c>
      <c r="B598" s="2"/>
      <c r="C598" s="5">
        <v>16344.3</v>
      </c>
    </row>
    <row r="599" spans="1:3" x14ac:dyDescent="0.2">
      <c r="A599" s="2">
        <f ca="1">IFERROR(__xludf.DUMMYFUNCTION("""COMPUTED_VALUE"""),45898.9986111111)</f>
        <v>45898.998611111099</v>
      </c>
      <c r="B599" s="2"/>
      <c r="C599" s="5">
        <v>16409</v>
      </c>
    </row>
    <row r="600" spans="1:3" x14ac:dyDescent="0.2">
      <c r="A600" s="2">
        <f ca="1">IFERROR(__xludf.DUMMYFUNCTION("""COMPUTED_VALUE"""),45899.9986111111)</f>
        <v>45899.998611111099</v>
      </c>
      <c r="B600" s="2"/>
      <c r="C600" s="5">
        <v>16409</v>
      </c>
    </row>
    <row r="601" spans="1:3" x14ac:dyDescent="0.2">
      <c r="A601" s="2">
        <f ca="1">IFERROR(__xludf.DUMMYFUNCTION("""COMPUTED_VALUE"""),45900.9986111111)</f>
        <v>45900.998611111099</v>
      </c>
      <c r="B601" s="2"/>
      <c r="C601" s="5">
        <v>16409</v>
      </c>
    </row>
    <row r="602" spans="1:3" x14ac:dyDescent="0.2">
      <c r="A602" s="2">
        <f ca="1">IFERROR(__xludf.DUMMYFUNCTION("""COMPUTED_VALUE"""),45901.9986111111)</f>
        <v>45901.998611111099</v>
      </c>
      <c r="B602" s="2"/>
      <c r="C602" s="5">
        <v>16405.2</v>
      </c>
    </row>
    <row r="603" spans="1:3" x14ac:dyDescent="0.2">
      <c r="A603" s="2">
        <f ca="1">IFERROR(__xludf.DUMMYFUNCTION("""COMPUTED_VALUE"""),45902.9986111111)</f>
        <v>45902.998611111099</v>
      </c>
      <c r="B603" s="2"/>
      <c r="C603" s="5">
        <v>16443.900000000001</v>
      </c>
    </row>
    <row r="604" spans="1:3" x14ac:dyDescent="0.2">
      <c r="A604" s="2">
        <f ca="1">IFERROR(__xludf.DUMMYFUNCTION("""COMPUTED_VALUE"""),45903.9986111111)</f>
        <v>45903.998611111099</v>
      </c>
      <c r="B604" s="2"/>
      <c r="C604" s="5">
        <v>16463</v>
      </c>
    </row>
    <row r="605" spans="1:3" x14ac:dyDescent="0.2">
      <c r="A605" s="2">
        <f ca="1">IFERROR(__xludf.DUMMYFUNCTION("""COMPUTED_VALUE"""),45904.9986111111)</f>
        <v>45904.998611111099</v>
      </c>
      <c r="B605" s="2"/>
      <c r="C605" s="5">
        <v>16452.099999999999</v>
      </c>
    </row>
    <row r="606" spans="1:3" x14ac:dyDescent="0.2">
      <c r="A606" s="2">
        <f ca="1">IFERROR(__xludf.DUMMYFUNCTION("""COMPUTED_VALUE"""),45905.9986111111)</f>
        <v>45905.998611111099</v>
      </c>
      <c r="B606" s="2"/>
      <c r="C606" s="5">
        <v>16346.2</v>
      </c>
    </row>
    <row r="607" spans="1:3" x14ac:dyDescent="0.2">
      <c r="A607" s="2">
        <f ca="1">IFERROR(__xludf.DUMMYFUNCTION("""COMPUTED_VALUE"""),45906.9986111111)</f>
        <v>45906.998611111099</v>
      </c>
      <c r="B607" s="2"/>
      <c r="C607" s="5">
        <v>16346.2</v>
      </c>
    </row>
    <row r="608" spans="1:3" x14ac:dyDescent="0.2">
      <c r="A608" s="2">
        <f ca="1">IFERROR(__xludf.DUMMYFUNCTION("""COMPUTED_VALUE"""),45907.9986111111)</f>
        <v>45907.998611111099</v>
      </c>
      <c r="B608" s="2"/>
      <c r="C608" s="5">
        <v>16392</v>
      </c>
    </row>
    <row r="609" spans="1:3" x14ac:dyDescent="0.2">
      <c r="A609" s="2">
        <f ca="1">IFERROR(__xludf.DUMMYFUNCTION("""COMPUTED_VALUE"""),45908.9986111111)</f>
        <v>45908.998611111099</v>
      </c>
      <c r="B609" s="2"/>
      <c r="C609" s="5">
        <v>16446.099999999999</v>
      </c>
    </row>
    <row r="610" spans="1:3" x14ac:dyDescent="0.2">
      <c r="A610" s="2">
        <f ca="1">IFERROR(__xludf.DUMMYFUNCTION("""COMPUTED_VALUE"""),45909.9986111111)</f>
        <v>45909.998611111099</v>
      </c>
      <c r="B610" s="2"/>
      <c r="C610" s="5">
        <v>16449.900000000001</v>
      </c>
    </row>
    <row r="611" spans="1:3" x14ac:dyDescent="0.2">
      <c r="A611" s="2">
        <f ca="1">IFERROR(__xludf.DUMMYFUNCTION("""COMPUTED_VALUE"""),45910.9986111111)</f>
        <v>45910.998611111099</v>
      </c>
      <c r="B611" s="2"/>
      <c r="C611" s="5">
        <v>16439</v>
      </c>
    </row>
    <row r="612" spans="1:3" x14ac:dyDescent="0.2">
      <c r="A612" s="2">
        <f ca="1">IFERROR(__xludf.DUMMYFUNCTION("""COMPUTED_VALUE"""),45911.9986111111)</f>
        <v>45911.998611111099</v>
      </c>
      <c r="B612" s="2"/>
      <c r="C612" s="5">
        <v>16413.599999999999</v>
      </c>
    </row>
    <row r="613" spans="1:3" x14ac:dyDescent="0.2">
      <c r="A613" s="2">
        <f ca="1">IFERROR(__xludf.DUMMYFUNCTION("""COMPUTED_VALUE"""),45912.9986111111)</f>
        <v>45912.998611111099</v>
      </c>
      <c r="B613" s="2"/>
      <c r="C613" s="5">
        <v>16388.400000000001</v>
      </c>
    </row>
    <row r="614" spans="1:3" x14ac:dyDescent="0.2">
      <c r="A614" s="2">
        <f ca="1">IFERROR(__xludf.DUMMYFUNCTION("""COMPUTED_VALUE"""),45913.9986111111)</f>
        <v>45913.998611111099</v>
      </c>
      <c r="B614" s="2"/>
      <c r="C614" s="5">
        <v>16388.400000000001</v>
      </c>
    </row>
    <row r="615" spans="1:3" x14ac:dyDescent="0.2">
      <c r="A615" s="2">
        <f ca="1">IFERROR(__xludf.DUMMYFUNCTION("""COMPUTED_VALUE"""),45914.9986111111)</f>
        <v>45914.998611111099</v>
      </c>
      <c r="B615" s="2"/>
      <c r="C615" s="5">
        <v>16401</v>
      </c>
    </row>
    <row r="616" spans="1:3" x14ac:dyDescent="0.2">
      <c r="A616" s="2">
        <f ca="1">IFERROR(__xludf.DUMMYFUNCTION("""COMPUTED_VALUE"""),45915.9986111111)</f>
        <v>45915.998611111099</v>
      </c>
      <c r="B616" s="2"/>
      <c r="C616" s="5">
        <v>16364.6</v>
      </c>
    </row>
    <row r="617" spans="1:3" x14ac:dyDescent="0.2">
      <c r="A617" s="2">
        <f ca="1">IFERROR(__xludf.DUMMYFUNCTION("""COMPUTED_VALUE"""),45916.9986111111)</f>
        <v>45916.998611111099</v>
      </c>
      <c r="B617" s="2"/>
      <c r="C617" s="5">
        <v>16398.099999999999</v>
      </c>
    </row>
    <row r="618" spans="1:3" x14ac:dyDescent="0.2">
      <c r="A618" s="2">
        <f ca="1">IFERROR(__xludf.DUMMYFUNCTION("""COMPUTED_VALUE"""),45917.9986111111)</f>
        <v>45917.998611111099</v>
      </c>
      <c r="B618" s="2"/>
      <c r="C618" s="5">
        <v>16418.599999999999</v>
      </c>
    </row>
    <row r="619" spans="1:3" x14ac:dyDescent="0.2">
      <c r="A619" s="2">
        <f ca="1">IFERROR(__xludf.DUMMYFUNCTION("""COMPUTED_VALUE"""),45918.9986111111)</f>
        <v>45918.998611111099</v>
      </c>
      <c r="B619" s="2"/>
      <c r="C619" s="5">
        <v>16569.099999999999</v>
      </c>
    </row>
    <row r="620" spans="1:3" x14ac:dyDescent="0.2">
      <c r="A620" s="2">
        <f ca="1">IFERROR(__xludf.DUMMYFUNCTION("""COMPUTED_VALUE"""),45919.9986111111)</f>
        <v>45919.998611111099</v>
      </c>
      <c r="B620" s="2"/>
      <c r="C620" s="5">
        <v>16634</v>
      </c>
    </row>
    <row r="621" spans="1:3" x14ac:dyDescent="0.2">
      <c r="A621" s="2">
        <f ca="1">IFERROR(__xludf.DUMMYFUNCTION("""COMPUTED_VALUE"""),45920.9986111111)</f>
        <v>45920.998611111099</v>
      </c>
      <c r="B621" s="2"/>
      <c r="C621" s="5">
        <v>16634</v>
      </c>
    </row>
    <row r="622" spans="1:3" x14ac:dyDescent="0.2">
      <c r="A622" s="2">
        <f ca="1">IFERROR(__xludf.DUMMYFUNCTION("""COMPUTED_VALUE"""),45921.9986111111)</f>
        <v>45921.998611111099</v>
      </c>
      <c r="B622" s="2"/>
      <c r="C622" s="5">
        <v>16637</v>
      </c>
    </row>
    <row r="623" spans="1:3" x14ac:dyDescent="0.2">
      <c r="A623" s="2">
        <f ca="1">IFERROR(__xludf.DUMMYFUNCTION("""COMPUTED_VALUE"""),45922.9986111111)</f>
        <v>45922.998611111099</v>
      </c>
      <c r="B623" s="2"/>
      <c r="C623" s="5">
        <v>16582</v>
      </c>
    </row>
    <row r="624" spans="1:3" x14ac:dyDescent="0.2">
      <c r="A624" s="2">
        <f ca="1">IFERROR(__xludf.DUMMYFUNCTION("""COMPUTED_VALUE"""),45923.9986111111)</f>
        <v>45923.998611111099</v>
      </c>
      <c r="B624" s="2"/>
      <c r="C624" s="5">
        <v>16633</v>
      </c>
    </row>
    <row r="625" spans="1:3" x14ac:dyDescent="0.2">
      <c r="A625" s="2">
        <f ca="1">IFERROR(__xludf.DUMMYFUNCTION("""COMPUTED_VALUE"""),45924.9986111111)</f>
        <v>45924.998611111099</v>
      </c>
      <c r="B625" s="2"/>
      <c r="C625" s="5">
        <v>16695.099999999999</v>
      </c>
    </row>
    <row r="626" spans="1:3" x14ac:dyDescent="0.2">
      <c r="A626" s="2">
        <f ca="1">IFERROR(__xludf.DUMMYFUNCTION("""COMPUTED_VALUE"""),45926.9986111111)</f>
        <v>45926.998611111099</v>
      </c>
      <c r="B626" s="2"/>
      <c r="C626" s="5">
        <v>16671</v>
      </c>
    </row>
    <row r="627" spans="1:3" x14ac:dyDescent="0.2">
      <c r="A627" s="2">
        <f ca="1">IFERROR(__xludf.DUMMYFUNCTION("""COMPUTED_VALUE"""),45927.9986111111)</f>
        <v>45927.998611111099</v>
      </c>
      <c r="B627" s="2"/>
      <c r="C627" s="5">
        <v>16671</v>
      </c>
    </row>
    <row r="628" spans="1:3" x14ac:dyDescent="0.2">
      <c r="A628" s="2">
        <f ca="1">IFERROR(__xludf.DUMMYFUNCTION("""COMPUTED_VALUE"""),45928.9986111111)</f>
        <v>45928.998611111099</v>
      </c>
      <c r="B628" s="2"/>
      <c r="C628" s="5">
        <v>16723</v>
      </c>
    </row>
    <row r="629" spans="1:3" x14ac:dyDescent="0.2">
      <c r="A629" s="2">
        <f ca="1">IFERROR(__xludf.DUMMYFUNCTION("""COMPUTED_VALUE"""),45929.9986111111)</f>
        <v>45929.998611111099</v>
      </c>
      <c r="B629" s="2"/>
      <c r="C629" s="5">
        <v>16628</v>
      </c>
    </row>
    <row r="630" spans="1:3" x14ac:dyDescent="0.2">
      <c r="A630" s="2">
        <f ca="1">IFERROR(__xludf.DUMMYFUNCTION("""COMPUTED_VALUE"""),45930.9986111111)</f>
        <v>45930.998611111099</v>
      </c>
      <c r="B630" s="2"/>
      <c r="C630" s="5">
        <v>16683</v>
      </c>
    </row>
    <row r="631" spans="1:3" x14ac:dyDescent="0.2">
      <c r="A631" s="2">
        <f ca="1">IFERROR(__xludf.DUMMYFUNCTION("""COMPUTED_VALUE"""),45931.9986111111)</f>
        <v>45931.998611111099</v>
      </c>
      <c r="B631" s="2"/>
      <c r="C631" s="5">
        <v>16644.099999999999</v>
      </c>
    </row>
    <row r="632" spans="1:3" x14ac:dyDescent="0.2">
      <c r="A632" s="2">
        <f ca="1">IFERROR(__xludf.DUMMYFUNCTION("""COMPUTED_VALUE"""),45932.9986111111)</f>
        <v>45932.998611111099</v>
      </c>
      <c r="B632" s="2"/>
      <c r="C632" s="5">
        <v>16601.5</v>
      </c>
    </row>
    <row r="633" spans="1:3" x14ac:dyDescent="0.2">
      <c r="A633" s="2">
        <f ca="1">IFERROR(__xludf.DUMMYFUNCTION("""COMPUTED_VALUE"""),45933.9986111111)</f>
        <v>45933.998611111099</v>
      </c>
      <c r="B633" s="2"/>
      <c r="C633" s="5">
        <v>16552.3</v>
      </c>
    </row>
    <row r="634" spans="1:3" x14ac:dyDescent="0.2">
      <c r="A634" s="2">
        <f ca="1">IFERROR(__xludf.DUMMYFUNCTION("""COMPUTED_VALUE"""),45934.9986111111)</f>
        <v>45934.998611111099</v>
      </c>
      <c r="B634" s="2"/>
      <c r="C634" s="5">
        <v>16552.3</v>
      </c>
    </row>
    <row r="635" spans="1:3" x14ac:dyDescent="0.2">
      <c r="A635" s="2">
        <f ca="1">IFERROR(__xludf.DUMMYFUNCTION("""COMPUTED_VALUE"""),45935.9986111111)</f>
        <v>45935.998611111099</v>
      </c>
      <c r="B635" s="2"/>
      <c r="C635" s="5">
        <v>16558</v>
      </c>
    </row>
    <row r="636" spans="1:3" x14ac:dyDescent="0.2">
      <c r="A636" s="2">
        <f ca="1">IFERROR(__xludf.DUMMYFUNCTION("""COMPUTED_VALUE"""),45936.9986111111)</f>
        <v>45936.998611111099</v>
      </c>
      <c r="B636" s="2"/>
      <c r="C636" s="5">
        <v>16596.5</v>
      </c>
    </row>
    <row r="637" spans="1:3" x14ac:dyDescent="0.2">
      <c r="A637" s="2">
        <f ca="1">IFERROR(__xludf.DUMMYFUNCTION("""COMPUTED_VALUE"""),45937.9986111111)</f>
        <v>45937.998611111099</v>
      </c>
      <c r="B637" s="2"/>
      <c r="C637" s="5">
        <v>16587</v>
      </c>
    </row>
    <row r="638" spans="1:3" x14ac:dyDescent="0.2">
      <c r="A638" s="2">
        <f ca="1">IFERROR(__xludf.DUMMYFUNCTION("""COMPUTED_VALUE"""),45938.9986111111)</f>
        <v>45938.998611111099</v>
      </c>
      <c r="B638" s="2"/>
      <c r="C638" s="5">
        <v>16556</v>
      </c>
    </row>
    <row r="639" spans="1:3" x14ac:dyDescent="0.2">
      <c r="A639" s="2">
        <f ca="1">IFERROR(__xludf.DUMMYFUNCTION("""COMPUTED_VALUE"""),45939.9986111111)</f>
        <v>45939.998611111099</v>
      </c>
      <c r="B639" s="2"/>
      <c r="C639" s="5">
        <v>16577.7</v>
      </c>
    </row>
    <row r="640" spans="1:3" x14ac:dyDescent="0.2">
      <c r="A640" s="2">
        <f ca="1">IFERROR(__xludf.DUMMYFUNCTION("""COMPUTED_VALUE"""),45940.9986111111)</f>
        <v>45940.998611111099</v>
      </c>
      <c r="B640" s="2"/>
      <c r="C640" s="5">
        <v>16598.099999999999</v>
      </c>
    </row>
    <row r="641" spans="1:3" x14ac:dyDescent="0.2">
      <c r="A641" s="2">
        <f ca="1">IFERROR(__xludf.DUMMYFUNCTION("""COMPUTED_VALUE"""),45941.9986111111)</f>
        <v>45941.998611111099</v>
      </c>
      <c r="B641" s="2"/>
      <c r="C641" s="5">
        <v>16598.099999999999</v>
      </c>
    </row>
    <row r="642" spans="1:3" x14ac:dyDescent="0.2">
      <c r="A642" s="2">
        <f ca="1">IFERROR(__xludf.DUMMYFUNCTION("""COMPUTED_VALUE"""),45942.9986111111)</f>
        <v>45942.998611111099</v>
      </c>
      <c r="B642" s="2"/>
      <c r="C642" s="5">
        <v>16598</v>
      </c>
    </row>
    <row r="643" spans="1:3" x14ac:dyDescent="0.2">
      <c r="A643" s="2">
        <f ca="1">IFERROR(__xludf.DUMMYFUNCTION("""COMPUTED_VALUE"""),45943.9986111111)</f>
        <v>45943.998611111099</v>
      </c>
      <c r="B643" s="2"/>
      <c r="C643" s="5">
        <v>16548</v>
      </c>
    </row>
    <row r="644" spans="1:3" x14ac:dyDescent="0.2">
      <c r="A644" s="2">
        <f ca="1">IFERROR(__xludf.DUMMYFUNCTION("""COMPUTED_VALUE"""),45944.9986111111)</f>
        <v>45944.998611111099</v>
      </c>
      <c r="B644" s="2"/>
      <c r="C644" s="5">
        <v>16585.900000000001</v>
      </c>
    </row>
    <row r="645" spans="1:3" x14ac:dyDescent="0.2">
      <c r="A645" s="2">
        <f ca="1">IFERROR(__xludf.DUMMYFUNCTION("""COMPUTED_VALUE"""),45945.9986111111)</f>
        <v>45945.998611111099</v>
      </c>
      <c r="B645" s="2"/>
      <c r="C645" s="5">
        <v>16575</v>
      </c>
    </row>
    <row r="646" spans="1:3" x14ac:dyDescent="0.2">
      <c r="A646" s="2">
        <f ca="1">IFERROR(__xludf.DUMMYFUNCTION("""COMPUTED_VALUE"""),45946.9986111111)</f>
        <v>45946.998611111099</v>
      </c>
      <c r="B646" s="2"/>
      <c r="C646" s="5">
        <v>16561.900000000001</v>
      </c>
    </row>
    <row r="647" spans="1:3" x14ac:dyDescent="0.2">
      <c r="A647" s="2">
        <f ca="1">IFERROR(__xludf.DUMMYFUNCTION("""COMPUTED_VALUE"""),45947.9986111111)</f>
        <v>45947.998611111099</v>
      </c>
      <c r="B647" s="2"/>
      <c r="C647" s="5">
        <v>16565.400000000001</v>
      </c>
    </row>
    <row r="648" spans="1:3" x14ac:dyDescent="0.2">
      <c r="A648" s="2">
        <f ca="1">IFERROR(__xludf.DUMMYFUNCTION("""COMPUTED_VALUE"""),45948.9986111111)</f>
        <v>45948.998611111099</v>
      </c>
      <c r="B648" s="2"/>
      <c r="C648" s="5">
        <v>16565.400000000001</v>
      </c>
    </row>
    <row r="649" spans="1:3" x14ac:dyDescent="0.2">
      <c r="A649" s="2">
        <f ca="1">IFERROR(__xludf.DUMMYFUNCTION("""COMPUTED_VALUE"""),45949.9986111111)</f>
        <v>45949.998611111099</v>
      </c>
      <c r="B649" s="2"/>
      <c r="C649" s="5">
        <v>16566</v>
      </c>
    </row>
    <row r="650" spans="1:3" x14ac:dyDescent="0.2">
      <c r="A650" s="2">
        <f ca="1">IFERROR(__xludf.DUMMYFUNCTION("""COMPUTED_VALUE"""),45950.9986111111)</f>
        <v>45950.998611111099</v>
      </c>
      <c r="B650" s="2"/>
      <c r="C650" s="5">
        <v>16542</v>
      </c>
    </row>
    <row r="651" spans="1:3" x14ac:dyDescent="0.2">
      <c r="A651" s="2">
        <f ca="1">IFERROR(__xludf.DUMMYFUNCTION("""COMPUTED_VALUE"""),45951.9986111111)</f>
        <v>45951.998611111099</v>
      </c>
      <c r="B651" s="2"/>
      <c r="C651" s="5">
        <v>16598.900000000001</v>
      </c>
    </row>
    <row r="652" spans="1:3" x14ac:dyDescent="0.2">
      <c r="A652" s="2">
        <f ca="1">IFERROR(__xludf.DUMMYFUNCTION("""COMPUTED_VALUE"""),45952.9986111111)</f>
        <v>45952.998611111099</v>
      </c>
      <c r="B652" s="2"/>
      <c r="C652" s="5">
        <v>16596.599999999999</v>
      </c>
    </row>
    <row r="653" spans="1:3" x14ac:dyDescent="0.2">
      <c r="A653" s="2">
        <f ca="1">IFERROR(__xludf.DUMMYFUNCTION("""COMPUTED_VALUE"""),45953.9986111111)</f>
        <v>45953.998611111099</v>
      </c>
      <c r="B653" s="2"/>
      <c r="C653" s="5">
        <v>16593.8</v>
      </c>
    </row>
    <row r="654" spans="1:3" x14ac:dyDescent="0.2">
      <c r="A654" s="2">
        <f ca="1">IFERROR(__xludf.DUMMYFUNCTION("""COMPUTED_VALUE"""),45954.9986111111)</f>
        <v>45954.998611111099</v>
      </c>
      <c r="B654" s="2"/>
      <c r="C654" s="5">
        <v>16597.8</v>
      </c>
    </row>
    <row r="655" spans="1:3" x14ac:dyDescent="0.2">
      <c r="A655" s="2">
        <f ca="1">IFERROR(__xludf.DUMMYFUNCTION("""COMPUTED_VALUE"""),45955.9986111111)</f>
        <v>45955.998611111099</v>
      </c>
      <c r="B655" s="2"/>
      <c r="C655" s="5">
        <v>16597.8</v>
      </c>
    </row>
    <row r="656" spans="1:3" x14ac:dyDescent="0.2">
      <c r="A656" s="2">
        <f ca="1">IFERROR(__xludf.DUMMYFUNCTION("""COMPUTED_VALUE"""),45956.9986111111)</f>
        <v>45956.998611111099</v>
      </c>
      <c r="B656" s="2"/>
      <c r="C656" s="5">
        <v>16597.8</v>
      </c>
    </row>
    <row r="657" spans="1:3" x14ac:dyDescent="0.2">
      <c r="A657" s="2">
        <f ca="1">IFERROR(__xludf.DUMMYFUNCTION("""COMPUTED_VALUE"""),45957.9986111111)</f>
        <v>45957.998611111099</v>
      </c>
      <c r="B657" s="2"/>
      <c r="C657" s="5">
        <v>16158.2</v>
      </c>
    </row>
    <row r="658" spans="1:3" x14ac:dyDescent="0.2">
      <c r="A658" s="2">
        <f ca="1">IFERROR(__xludf.DUMMYFUNCTION("""COMPUTED_VALUE"""),45958.9986111111)</f>
        <v>45958.998611111099</v>
      </c>
      <c r="B658" s="2"/>
      <c r="C658" s="5">
        <v>15833.9</v>
      </c>
    </row>
    <row r="659" spans="1:3" x14ac:dyDescent="0.2">
      <c r="A659" s="2">
        <f ca="1">IFERROR(__xludf.DUMMYFUNCTION("""COMPUTED_VALUE"""),45959.9986111111)</f>
        <v>45959.998611111099</v>
      </c>
      <c r="B659" s="2"/>
      <c r="C659" s="5">
        <v>16562</v>
      </c>
    </row>
    <row r="660" spans="1:3" x14ac:dyDescent="0.2">
      <c r="A660" s="2">
        <f ca="1">IFERROR(__xludf.DUMMYFUNCTION("""COMPUTED_VALUE"""),45960.9986111111)</f>
        <v>45960.998611111099</v>
      </c>
      <c r="B660" s="2"/>
      <c r="C660" s="5">
        <v>15935</v>
      </c>
    </row>
    <row r="661" spans="1:3" x14ac:dyDescent="0.2">
      <c r="A661" s="2">
        <f ca="1">IFERROR(__xludf.DUMMYFUNCTION("""COMPUTED_VALUE"""),45961.9986111111)</f>
        <v>45961.998611111099</v>
      </c>
      <c r="B661" s="2"/>
      <c r="C661" s="5">
        <v>16630</v>
      </c>
    </row>
    <row r="662" spans="1:3" x14ac:dyDescent="0.2">
      <c r="A662" s="2">
        <f ca="1">IFERROR(__xludf.DUMMYFUNCTION("""COMPUTED_VALUE"""),45962.9986111111)</f>
        <v>45962.998611111099</v>
      </c>
      <c r="B662" s="2"/>
      <c r="C662" s="5">
        <v>16630</v>
      </c>
    </row>
    <row r="663" spans="1:3" x14ac:dyDescent="0.2">
      <c r="A663" s="2">
        <f ca="1">IFERROR(__xludf.DUMMYFUNCTION("""COMPUTED_VALUE"""),45963.9986111111)</f>
        <v>45963.998611111099</v>
      </c>
      <c r="B663" s="2"/>
      <c r="C663" s="5">
        <v>16630</v>
      </c>
    </row>
    <row r="664" spans="1:3" x14ac:dyDescent="0.2">
      <c r="A664" s="2">
        <f ca="1">IFERROR(__xludf.DUMMYFUNCTION("""COMPUTED_VALUE"""),45964.9986111111)</f>
        <v>45964.998611111099</v>
      </c>
      <c r="B664" s="2"/>
      <c r="C664" s="5">
        <v>16640.900000000001</v>
      </c>
    </row>
    <row r="665" spans="1:3" x14ac:dyDescent="0.2">
      <c r="A665" s="2">
        <f ca="1">IFERROR(__xludf.DUMMYFUNCTION("""COMPUTED_VALUE"""),45965.9986111111)</f>
        <v>45965.998611111099</v>
      </c>
      <c r="B665" s="2"/>
      <c r="C665" s="5">
        <v>16707</v>
      </c>
    </row>
    <row r="666" spans="1:3" x14ac:dyDescent="0.2">
      <c r="A666" s="2">
        <f ca="1">IFERROR(__xludf.DUMMYFUNCTION("""COMPUTED_VALUE"""),45966.9986111111)</f>
        <v>45966.998611111099</v>
      </c>
      <c r="B666" s="2"/>
      <c r="C666" s="5">
        <v>16669</v>
      </c>
    </row>
    <row r="667" spans="1:3" x14ac:dyDescent="0.2">
      <c r="A667" s="2">
        <f ca="1">IFERROR(__xludf.DUMMYFUNCTION("""COMPUTED_VALUE"""),45967.9986111111)</f>
        <v>45967.998611111099</v>
      </c>
      <c r="B667" s="2"/>
      <c r="C667" s="5">
        <v>16694.099999999999</v>
      </c>
    </row>
    <row r="668" spans="1:3" x14ac:dyDescent="0.2">
      <c r="A668" s="2">
        <f ca="1">IFERROR(__xludf.DUMMYFUNCTION("""COMPUTED_VALUE"""),45968.9986111111)</f>
        <v>45968.998611111099</v>
      </c>
      <c r="B668" s="2"/>
      <c r="C668" s="5">
        <v>16653</v>
      </c>
    </row>
    <row r="669" spans="1:3" x14ac:dyDescent="0.2">
      <c r="A669" s="2">
        <f ca="1">IFERROR(__xludf.DUMMYFUNCTION("""COMPUTED_VALUE"""),45969.9986111111)</f>
        <v>45969.998611111099</v>
      </c>
      <c r="B669" s="2"/>
      <c r="C669" s="5">
        <v>16653</v>
      </c>
    </row>
    <row r="670" spans="1:3" x14ac:dyDescent="0.2">
      <c r="A670" s="2">
        <f ca="1">IFERROR(__xludf.DUMMYFUNCTION("""COMPUTED_VALUE"""),45970.9986111111)</f>
        <v>45970.998611111099</v>
      </c>
      <c r="B670" s="2"/>
      <c r="C670" s="5">
        <v>16653</v>
      </c>
    </row>
    <row r="671" spans="1:3" x14ac:dyDescent="0.2">
      <c r="A671" s="2">
        <f ca="1">IFERROR(__xludf.DUMMYFUNCTION("""COMPUTED_VALUE"""),45971.9986111111)</f>
        <v>45971.998611111099</v>
      </c>
      <c r="B671" s="2"/>
      <c r="C671" s="5">
        <v>16690</v>
      </c>
    </row>
    <row r="672" spans="1:3" x14ac:dyDescent="0.2">
      <c r="A672" s="2">
        <f ca="1">IFERROR(__xludf.DUMMYFUNCTION("""COMPUTED_VALUE"""),45972.9986111111)</f>
        <v>45972.998611111099</v>
      </c>
      <c r="B672" s="2"/>
      <c r="C672" s="5">
        <v>16694.900000000001</v>
      </c>
    </row>
    <row r="673" spans="1:3" x14ac:dyDescent="0.2">
      <c r="A673" s="2">
        <f ca="1">IFERROR(__xludf.DUMMYFUNCTION("""COMPUTED_VALUE"""),45973.9986111111)</f>
        <v>45973.998611111099</v>
      </c>
      <c r="B673" s="2"/>
      <c r="C673" s="5">
        <v>16729</v>
      </c>
    </row>
    <row r="674" spans="1:3" x14ac:dyDescent="0.2">
      <c r="A674" s="2">
        <f ca="1">IFERROR(__xludf.DUMMYFUNCTION("""COMPUTED_VALUE"""),45974.9986111111)</f>
        <v>45974.998611111099</v>
      </c>
      <c r="B674" s="2"/>
      <c r="C674" s="5">
        <v>16719</v>
      </c>
    </row>
    <row r="675" spans="1:3" x14ac:dyDescent="0.2">
      <c r="A675" s="2">
        <f ca="1">IFERROR(__xludf.DUMMYFUNCTION("""COMPUTED_VALUE"""),45975.9986111111)</f>
        <v>45975.998611111099</v>
      </c>
      <c r="B675" s="2"/>
      <c r="C675" s="5">
        <v>16679.5</v>
      </c>
    </row>
    <row r="676" spans="1:3" x14ac:dyDescent="0.2">
      <c r="A676" s="2">
        <f ca="1">IFERROR(__xludf.DUMMYFUNCTION("""COMPUTED_VALUE"""),45976.9986111111)</f>
        <v>45976.998611111099</v>
      </c>
      <c r="B676" s="2"/>
      <c r="C676" s="5">
        <v>16679.5</v>
      </c>
    </row>
    <row r="677" spans="1:3" x14ac:dyDescent="0.2">
      <c r="A677" s="2">
        <f ca="1">IFERROR(__xludf.DUMMYFUNCTION("""COMPUTED_VALUE"""),45978.9986111111)</f>
        <v>45978.998611111099</v>
      </c>
      <c r="B677" s="2"/>
      <c r="C677" s="5">
        <v>16738.900000000001</v>
      </c>
    </row>
    <row r="678" spans="1:3" x14ac:dyDescent="0.2">
      <c r="A678" s="2">
        <f ca="1">IFERROR(__xludf.DUMMYFUNCTION("""COMPUTED_VALUE"""),45979.9986111111)</f>
        <v>45979.998611111099</v>
      </c>
      <c r="B678" s="2"/>
      <c r="C678" s="5">
        <v>16727.7</v>
      </c>
    </row>
    <row r="679" spans="1:3" x14ac:dyDescent="0.2">
      <c r="A679" s="2">
        <f ca="1">IFERROR(__xludf.DUMMYFUNCTION("""COMPUTED_VALUE"""),45980.9986111111)</f>
        <v>45980.998611111099</v>
      </c>
      <c r="B679" s="2"/>
      <c r="C679" s="5">
        <v>16686.7</v>
      </c>
    </row>
    <row r="680" spans="1:3" x14ac:dyDescent="0.2">
      <c r="A680" s="2">
        <f ca="1">IFERROR(__xludf.DUMMYFUNCTION("""COMPUTED_VALUE"""),45981.9986111111)</f>
        <v>45981.998611111099</v>
      </c>
      <c r="B680" s="2"/>
      <c r="C680" s="5">
        <v>16731</v>
      </c>
    </row>
    <row r="681" spans="1:3" x14ac:dyDescent="0.2">
      <c r="A681" s="2">
        <f ca="1">IFERROR(__xludf.DUMMYFUNCTION("""COMPUTED_VALUE"""),45982.9986111111)</f>
        <v>45982.998611111099</v>
      </c>
      <c r="B681" s="2"/>
      <c r="C681" s="5">
        <v>16639</v>
      </c>
    </row>
    <row r="682" spans="1:3" x14ac:dyDescent="0.2">
      <c r="A682" s="2">
        <f ca="1">IFERROR(__xludf.DUMMYFUNCTION("""COMPUTED_VALUE"""),45983.9986111111)</f>
        <v>45983.998611111099</v>
      </c>
      <c r="B682" s="2"/>
      <c r="C682" s="5">
        <v>16639</v>
      </c>
    </row>
    <row r="683" spans="1:3" x14ac:dyDescent="0.2">
      <c r="A683" s="2">
        <f ca="1">IFERROR(__xludf.DUMMYFUNCTION("""COMPUTED_VALUE"""),45984.9986111111)</f>
        <v>45984.998611111099</v>
      </c>
      <c r="B683" s="2"/>
      <c r="C683" s="5">
        <v>16639</v>
      </c>
    </row>
    <row r="684" spans="1:3" x14ac:dyDescent="0.2">
      <c r="A684" s="2">
        <f ca="1">IFERROR(__xludf.DUMMYFUNCTION("""COMPUTED_VALUE"""),45985.9986111111)</f>
        <v>45985.998611111099</v>
      </c>
      <c r="B684" s="2"/>
      <c r="C684" s="5">
        <v>16645</v>
      </c>
    </row>
    <row r="685" spans="1:3" x14ac:dyDescent="0.2">
      <c r="A685" s="2">
        <f ca="1">IFERROR(__xludf.DUMMYFUNCTION("""COMPUTED_VALUE"""),45986.9986111111)</f>
        <v>45986.998611111099</v>
      </c>
      <c r="B685" s="2"/>
      <c r="C685" s="5">
        <v>16633.5</v>
      </c>
    </row>
    <row r="686" spans="1:3" x14ac:dyDescent="0.2">
      <c r="A686" s="2">
        <f ca="1">IFERROR(__xludf.DUMMYFUNCTION("""COMPUTED_VALUE"""),45987.9986111111)</f>
        <v>45987.998611111099</v>
      </c>
      <c r="B686" s="2"/>
      <c r="C686" s="5">
        <v>16614.7</v>
      </c>
    </row>
    <row r="687" spans="1:3" x14ac:dyDescent="0.2">
      <c r="A687" s="2">
        <f ca="1">IFERROR(__xludf.DUMMYFUNCTION("""COMPUTED_VALUE"""),45988.9986111111)</f>
        <v>45988.998611111099</v>
      </c>
      <c r="B687" s="2"/>
      <c r="C687" s="5">
        <v>16603.900000000001</v>
      </c>
    </row>
    <row r="688" spans="1:3" x14ac:dyDescent="0.2">
      <c r="A688" s="2">
        <f ca="1">IFERROR(__xludf.DUMMYFUNCTION("""COMPUTED_VALUE"""),45989.9986111111)</f>
        <v>45989.998611111099</v>
      </c>
      <c r="B688" s="2"/>
      <c r="C688" s="5">
        <v>16635</v>
      </c>
    </row>
    <row r="689" spans="1:3" x14ac:dyDescent="0.2">
      <c r="A689" s="2">
        <f ca="1">IFERROR(__xludf.DUMMYFUNCTION("""COMPUTED_VALUE"""),45990.9986111111)</f>
        <v>45990.998611111099</v>
      </c>
      <c r="B689" s="2"/>
      <c r="C689" s="5">
        <v>16635</v>
      </c>
    </row>
    <row r="690" spans="1:3" x14ac:dyDescent="0.2">
      <c r="A690" s="2">
        <f ca="1">IFERROR(__xludf.DUMMYFUNCTION("""COMPUTED_VALUE"""),45991.9986111111)</f>
        <v>45991.998611111099</v>
      </c>
      <c r="B690" s="2"/>
      <c r="C690" s="5">
        <v>16635</v>
      </c>
    </row>
    <row r="691" spans="1:3" x14ac:dyDescent="0.2">
      <c r="A691" s="2">
        <f ca="1">IFERROR(__xludf.DUMMYFUNCTION("""COMPUTED_VALUE"""),45992.9986111111)</f>
        <v>45992.998611111099</v>
      </c>
      <c r="B691" s="2"/>
      <c r="C691" s="5">
        <v>16609</v>
      </c>
    </row>
    <row r="692" spans="1:3" x14ac:dyDescent="0.2">
      <c r="A692" s="2">
        <f ca="1">IFERROR(__xludf.DUMMYFUNCTION("""COMPUTED_VALUE"""),45993.9986111111)</f>
        <v>45993.998611111099</v>
      </c>
      <c r="B692" s="2"/>
      <c r="C692" s="5">
        <v>16609.900000000001</v>
      </c>
    </row>
    <row r="693" spans="1:3" x14ac:dyDescent="0.2">
      <c r="A693" s="2">
        <f ca="1">IFERROR(__xludf.DUMMYFUNCTION("""COMPUTED_VALUE"""),45994.9986111111)</f>
        <v>45994.998611111099</v>
      </c>
      <c r="B693" s="2"/>
      <c r="C693" s="5">
        <v>16594</v>
      </c>
    </row>
    <row r="694" spans="1:3" x14ac:dyDescent="0.2">
      <c r="A694" s="2">
        <f ca="1">IFERROR(__xludf.DUMMYFUNCTION("""COMPUTED_VALUE"""),45995.9986111111)</f>
        <v>45995.998611111099</v>
      </c>
      <c r="B694" s="2"/>
      <c r="C694" s="5">
        <v>16654.400000000001</v>
      </c>
    </row>
    <row r="695" spans="1:3" x14ac:dyDescent="0.2">
      <c r="A695" s="2">
        <f ca="1">IFERROR(__xludf.DUMMYFUNCTION("""COMPUTED_VALUE"""),45996.9986111111)</f>
        <v>45996.998611111099</v>
      </c>
      <c r="B695" s="2"/>
      <c r="C695" s="5">
        <v>16683</v>
      </c>
    </row>
    <row r="696" spans="1:3" x14ac:dyDescent="0.2">
      <c r="A696" s="2">
        <f ca="1">IFERROR(__xludf.DUMMYFUNCTION("""COMPUTED_VALUE"""),45997.9986111111)</f>
        <v>45997.998611111099</v>
      </c>
      <c r="B696" s="2"/>
      <c r="C696" s="5">
        <v>16683</v>
      </c>
    </row>
    <row r="697" spans="1:3" x14ac:dyDescent="0.2">
      <c r="A697" s="2">
        <f ca="1">IFERROR(__xludf.DUMMYFUNCTION("""COMPUTED_VALUE"""),45998.9986111111)</f>
        <v>45998.998611111099</v>
      </c>
      <c r="B697" s="2"/>
      <c r="C697" s="5">
        <v>16683</v>
      </c>
    </row>
    <row r="698" spans="1:3" x14ac:dyDescent="0.2">
      <c r="A698" s="2">
        <f ca="1">IFERROR(__xludf.DUMMYFUNCTION("""COMPUTED_VALUE"""),45999.9986111111)</f>
        <v>45999.998611111099</v>
      </c>
      <c r="B698" s="2"/>
      <c r="C698" s="5">
        <v>16686</v>
      </c>
    </row>
    <row r="699" spans="1:3" x14ac:dyDescent="0.2">
      <c r="A699" s="2">
        <f ca="1">IFERROR(__xludf.DUMMYFUNCTION("""COMPUTED_VALUE"""),46000.9986111111)</f>
        <v>46000.998611111099</v>
      </c>
      <c r="B699" s="2"/>
      <c r="C699" s="5">
        <v>16662</v>
      </c>
    </row>
    <row r="700" spans="1:3" x14ac:dyDescent="0.2">
      <c r="A700" s="2">
        <f ca="1">IFERROR(__xludf.DUMMYFUNCTION("""COMPUTED_VALUE"""),46001.9986111111)</f>
        <v>46001.998611111099</v>
      </c>
      <c r="B700" s="2"/>
      <c r="C700" s="5">
        <v>16639</v>
      </c>
    </row>
    <row r="701" spans="1:3" x14ac:dyDescent="0.2">
      <c r="A701" s="2">
        <f ca="1">IFERROR(__xludf.DUMMYFUNCTION("""COMPUTED_VALUE"""),46002.9986111111)</f>
        <v>46002.998611111099</v>
      </c>
      <c r="B701" s="2"/>
      <c r="C701" s="5">
        <v>16649</v>
      </c>
    </row>
    <row r="702" spans="1:3" x14ac:dyDescent="0.2">
      <c r="A702" s="2">
        <f ca="1">IFERROR(__xludf.DUMMYFUNCTION("""COMPUTED_VALUE"""),46003.9986111111)</f>
        <v>46003.998611111099</v>
      </c>
      <c r="B702" s="2"/>
      <c r="C702" s="5">
        <v>16623.099999999999</v>
      </c>
    </row>
    <row r="703" spans="1:3" x14ac:dyDescent="0.2">
      <c r="A703" s="2">
        <f ca="1">IFERROR(__xludf.DUMMYFUNCTION("""COMPUTED_VALUE"""),46004.9986111111)</f>
        <v>46004.998611111099</v>
      </c>
      <c r="B703" s="2"/>
      <c r="C703" s="5">
        <v>16623.099999999999</v>
      </c>
    </row>
    <row r="704" spans="1:3" x14ac:dyDescent="0.2">
      <c r="A704" s="2">
        <f ca="1">IFERROR(__xludf.DUMMYFUNCTION("""COMPUTED_VALUE"""),46005.9986111111)</f>
        <v>46005.998611111099</v>
      </c>
      <c r="B704" s="2"/>
      <c r="C704" s="5">
        <v>16623.099999999999</v>
      </c>
    </row>
    <row r="705" spans="1:3" x14ac:dyDescent="0.2">
      <c r="A705" s="2">
        <f ca="1">IFERROR(__xludf.DUMMYFUNCTION("""COMPUTED_VALUE"""),46006.9986111111)</f>
        <v>46006.998611111099</v>
      </c>
      <c r="B705" s="2"/>
      <c r="C705" s="5">
        <v>16645.8</v>
      </c>
    </row>
    <row r="706" spans="1:3" x14ac:dyDescent="0.2">
      <c r="A706" s="2">
        <f ca="1">IFERROR(__xludf.DUMMYFUNCTION("""COMPUTED_VALUE"""),46007.9986111111)</f>
        <v>46007.998611111099</v>
      </c>
      <c r="B706" s="2"/>
      <c r="C706" s="5">
        <v>16644.599999999999</v>
      </c>
    </row>
    <row r="707" spans="1:3" x14ac:dyDescent="0.2">
      <c r="A707" s="2">
        <f ca="1">IFERROR(__xludf.DUMMYFUNCTION("""COMPUTED_VALUE"""),46008.9986111111)</f>
        <v>46008.998611111099</v>
      </c>
      <c r="B707" s="2"/>
      <c r="C707" s="5">
        <v>16657</v>
      </c>
    </row>
    <row r="708" spans="1:3" x14ac:dyDescent="0.2">
      <c r="A708" s="2">
        <f ca="1">IFERROR(__xludf.DUMMYFUNCTION("""COMPUTED_VALUE"""),46009.9986111111)</f>
        <v>46009.998611111099</v>
      </c>
      <c r="B708" s="2"/>
      <c r="C708" s="5">
        <v>16685.2</v>
      </c>
    </row>
    <row r="709" spans="1:3" x14ac:dyDescent="0.2">
      <c r="A709" s="2">
        <f ca="1">IFERROR(__xludf.DUMMYFUNCTION("""COMPUTED_VALUE"""),46010.9986111111)</f>
        <v>46010.998611111099</v>
      </c>
      <c r="B709" s="2"/>
      <c r="C709" s="5">
        <v>16678.5</v>
      </c>
    </row>
    <row r="710" spans="1:3" x14ac:dyDescent="0.2">
      <c r="A710" s="2">
        <f ca="1">IFERROR(__xludf.DUMMYFUNCTION("""COMPUTED_VALUE"""),46011.9986111111)</f>
        <v>46011.998611111099</v>
      </c>
      <c r="B710" s="2"/>
      <c r="C710" s="5">
        <v>16678.5</v>
      </c>
    </row>
    <row r="711" spans="1:3" x14ac:dyDescent="0.2">
      <c r="A711" s="2">
        <f ca="1">IFERROR(__xludf.DUMMYFUNCTION("""COMPUTED_VALUE"""),46012.9986111111)</f>
        <v>46012.998611111099</v>
      </c>
      <c r="B711" s="2"/>
      <c r="C711" s="5">
        <v>16678.5</v>
      </c>
    </row>
    <row r="712" spans="1:3" x14ac:dyDescent="0.2">
      <c r="A712" s="2">
        <f ca="1">IFERROR(__xludf.DUMMYFUNCTION("""COMPUTED_VALUE"""),46013.9986111111)</f>
        <v>46013.998611111099</v>
      </c>
      <c r="B712" s="2"/>
      <c r="C712" s="5">
        <v>16756.400000000001</v>
      </c>
    </row>
    <row r="713" spans="1:3" x14ac:dyDescent="0.2">
      <c r="A713" s="2">
        <f ca="1">IFERROR(__xludf.DUMMYFUNCTION("""COMPUTED_VALUE"""),46014.9986111111)</f>
        <v>46014.998611111099</v>
      </c>
      <c r="B713" s="2"/>
      <c r="C713" s="5">
        <v>16735</v>
      </c>
    </row>
    <row r="714" spans="1:3" x14ac:dyDescent="0.2">
      <c r="A714" s="2">
        <f ca="1">IFERROR(__xludf.DUMMYFUNCTION("""COMPUTED_VALUE"""),46015.9986111111)</f>
        <v>46015.998611111099</v>
      </c>
      <c r="B714" s="2"/>
      <c r="C714" s="5">
        <v>16697.3</v>
      </c>
    </row>
    <row r="715" spans="1:3" x14ac:dyDescent="0.2">
      <c r="A715" s="2">
        <f ca="1">IFERROR(__xludf.DUMMYFUNCTION("""COMPUTED_VALUE"""),46016.9986111111)</f>
        <v>46016.998611111099</v>
      </c>
      <c r="B715" s="2"/>
      <c r="C715" s="5">
        <v>16753.099999999999</v>
      </c>
    </row>
    <row r="716" spans="1:3" x14ac:dyDescent="0.2">
      <c r="A716" s="2">
        <f ca="1">IFERROR(__xludf.DUMMYFUNCTION("""COMPUTED_VALUE"""),46017.9986111111)</f>
        <v>46017.998611111099</v>
      </c>
      <c r="B716" s="2"/>
      <c r="C716" s="5">
        <v>16741.099999999999</v>
      </c>
    </row>
    <row r="717" spans="1:3" x14ac:dyDescent="0.2">
      <c r="A717" s="2">
        <f ca="1">IFERROR(__xludf.DUMMYFUNCTION("""COMPUTED_VALUE"""),46018.9986111111)</f>
        <v>46018.998611111099</v>
      </c>
      <c r="B717" s="2"/>
      <c r="C717" s="5">
        <v>16741.099999999999</v>
      </c>
    </row>
    <row r="718" spans="1:3" x14ac:dyDescent="0.2">
      <c r="A718" s="2">
        <f ca="1">IFERROR(__xludf.DUMMYFUNCTION("""COMPUTED_VALUE"""),46019.9986111111)</f>
        <v>46019.998611111099</v>
      </c>
      <c r="B718" s="2"/>
      <c r="C718" s="5">
        <v>16741.099999999999</v>
      </c>
    </row>
    <row r="719" spans="1:3" x14ac:dyDescent="0.2">
      <c r="A719" s="2">
        <f ca="1">IFERROR(__xludf.DUMMYFUNCTION("""COMPUTED_VALUE"""),46020.9986111111)</f>
        <v>46020.998611111099</v>
      </c>
      <c r="B719" s="2"/>
      <c r="C719" s="5">
        <v>16770</v>
      </c>
    </row>
    <row r="720" spans="1:3" x14ac:dyDescent="0.2">
      <c r="A720" s="2">
        <f ca="1">IFERROR(__xludf.DUMMYFUNCTION("""COMPUTED_VALUE"""),46021.9986111111)</f>
        <v>46021.998611111099</v>
      </c>
      <c r="B720" s="2"/>
      <c r="C720" s="5">
        <v>16709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472"/>
  <sheetViews>
    <sheetView workbookViewId="0">
      <selection activeCell="E6" sqref="E6"/>
    </sheetView>
  </sheetViews>
  <sheetFormatPr defaultColWidth="12.5703125" defaultRowHeight="15.75" customHeight="1" x14ac:dyDescent="0.2"/>
  <sheetData>
    <row r="1" spans="1:2" x14ac:dyDescent="0.2">
      <c r="A1" s="1" t="s">
        <v>44</v>
      </c>
      <c r="B1" s="1" t="s">
        <v>48</v>
      </c>
    </row>
    <row r="2" spans="1:2" x14ac:dyDescent="0.2">
      <c r="A2" s="2">
        <f ca="1">IFERROR(__xludf.DUMMYFUNCTION("""COMPUTED_VALUE"""),45293.6666666666)</f>
        <v>45293.666666666599</v>
      </c>
      <c r="B2" s="5">
        <v>7323.59</v>
      </c>
    </row>
    <row r="3" spans="1:2" x14ac:dyDescent="0.2">
      <c r="A3" s="2">
        <f ca="1">IFERROR(__xludf.DUMMYFUNCTION("""COMPUTED_VALUE"""),45294.6666666666)</f>
        <v>45294.666666666599</v>
      </c>
      <c r="B3" s="5">
        <v>7279.09</v>
      </c>
    </row>
    <row r="4" spans="1:2" x14ac:dyDescent="0.2">
      <c r="A4" s="2">
        <f ca="1">IFERROR(__xludf.DUMMYFUNCTION("""COMPUTED_VALUE"""),45295.6666666666)</f>
        <v>45295.666666666599</v>
      </c>
      <c r="B4" s="5">
        <v>7359.76</v>
      </c>
    </row>
    <row r="5" spans="1:2" x14ac:dyDescent="0.2">
      <c r="A5" s="2">
        <f ca="1">IFERROR(__xludf.DUMMYFUNCTION("""COMPUTED_VALUE"""),45296.6666666666)</f>
        <v>45296.666666666599</v>
      </c>
      <c r="B5" s="5">
        <v>7350.62</v>
      </c>
    </row>
    <row r="6" spans="1:2" x14ac:dyDescent="0.2">
      <c r="A6" s="2">
        <f ca="1">IFERROR(__xludf.DUMMYFUNCTION("""COMPUTED_VALUE"""),45299.6666666666)</f>
        <v>45299.666666666599</v>
      </c>
      <c r="B6" s="5">
        <v>7283.58</v>
      </c>
    </row>
    <row r="7" spans="1:2" x14ac:dyDescent="0.2">
      <c r="A7" s="2">
        <f ca="1">IFERROR(__xludf.DUMMYFUNCTION("""COMPUTED_VALUE"""),45300.6666666666)</f>
        <v>45300.666666666599</v>
      </c>
      <c r="B7" s="5">
        <v>7200.2</v>
      </c>
    </row>
    <row r="8" spans="1:2" x14ac:dyDescent="0.2">
      <c r="A8" s="2">
        <f ca="1">IFERROR(__xludf.DUMMYFUNCTION("""COMPUTED_VALUE"""),45301.6666666666)</f>
        <v>45301.666666666599</v>
      </c>
      <c r="B8" s="5">
        <v>7227.3</v>
      </c>
    </row>
    <row r="9" spans="1:2" x14ac:dyDescent="0.2">
      <c r="A9" s="2">
        <f ca="1">IFERROR(__xludf.DUMMYFUNCTION("""COMPUTED_VALUE"""),45302.6666666666)</f>
        <v>45302.666666666599</v>
      </c>
      <c r="B9" s="5">
        <v>7219.96</v>
      </c>
    </row>
    <row r="10" spans="1:2" x14ac:dyDescent="0.2">
      <c r="A10" s="2">
        <f ca="1">IFERROR(__xludf.DUMMYFUNCTION("""COMPUTED_VALUE"""),45303.6666666666)</f>
        <v>45303.666666666599</v>
      </c>
      <c r="B10" s="5">
        <v>7241.14</v>
      </c>
    </row>
    <row r="11" spans="1:2" x14ac:dyDescent="0.2">
      <c r="A11" s="2">
        <f ca="1">IFERROR(__xludf.DUMMYFUNCTION("""COMPUTED_VALUE"""),45306.6666666666)</f>
        <v>45306.666666666599</v>
      </c>
      <c r="B11" s="5">
        <v>7224</v>
      </c>
    </row>
    <row r="12" spans="1:2" x14ac:dyDescent="0.2">
      <c r="A12" s="2">
        <f ca="1">IFERROR(__xludf.DUMMYFUNCTION("""COMPUTED_VALUE"""),45307.6666666666)</f>
        <v>45307.666666666599</v>
      </c>
      <c r="B12" s="5">
        <v>7242.79</v>
      </c>
    </row>
    <row r="13" spans="1:2" x14ac:dyDescent="0.2">
      <c r="A13" s="2">
        <f ca="1">IFERROR(__xludf.DUMMYFUNCTION("""COMPUTED_VALUE"""),45308.6666666666)</f>
        <v>45308.666666666599</v>
      </c>
      <c r="B13" s="5">
        <v>7200.64</v>
      </c>
    </row>
    <row r="14" spans="1:2" x14ac:dyDescent="0.2">
      <c r="A14" s="2">
        <f ca="1">IFERROR(__xludf.DUMMYFUNCTION("""COMPUTED_VALUE"""),45309.6666666666)</f>
        <v>45309.666666666599</v>
      </c>
      <c r="B14" s="5">
        <v>7252.97</v>
      </c>
    </row>
    <row r="15" spans="1:2" x14ac:dyDescent="0.2">
      <c r="A15" s="2">
        <f ca="1">IFERROR(__xludf.DUMMYFUNCTION("""COMPUTED_VALUE"""),45310.6666666666)</f>
        <v>45310.666666666599</v>
      </c>
      <c r="B15" s="5">
        <v>7227.4</v>
      </c>
    </row>
    <row r="16" spans="1:2" x14ac:dyDescent="0.2">
      <c r="A16" s="2">
        <f ca="1">IFERROR(__xludf.DUMMYFUNCTION("""COMPUTED_VALUE"""),45313.6666666666)</f>
        <v>45313.666666666599</v>
      </c>
      <c r="B16" s="5">
        <v>7247.93</v>
      </c>
    </row>
    <row r="17" spans="1:2" x14ac:dyDescent="0.2">
      <c r="A17" s="2">
        <f ca="1">IFERROR(__xludf.DUMMYFUNCTION("""COMPUTED_VALUE"""),45314.6666666666)</f>
        <v>45314.666666666599</v>
      </c>
      <c r="B17" s="5">
        <v>7256.23</v>
      </c>
    </row>
    <row r="18" spans="1:2" x14ac:dyDescent="0.2">
      <c r="A18" s="2">
        <f ca="1">IFERROR(__xludf.DUMMYFUNCTION("""COMPUTED_VALUE"""),45315.6666666666)</f>
        <v>45315.666666666599</v>
      </c>
      <c r="B18" s="5">
        <v>7227.82</v>
      </c>
    </row>
    <row r="19" spans="1:2" x14ac:dyDescent="0.2">
      <c r="A19" s="2">
        <f ca="1">IFERROR(__xludf.DUMMYFUNCTION("""COMPUTED_VALUE"""),45316.6666666666)</f>
        <v>45316.666666666599</v>
      </c>
      <c r="B19" s="5">
        <v>7178.04</v>
      </c>
    </row>
    <row r="20" spans="1:2" x14ac:dyDescent="0.2">
      <c r="A20" s="2">
        <f ca="1">IFERROR(__xludf.DUMMYFUNCTION("""COMPUTED_VALUE"""),45317.6666666666)</f>
        <v>45317.666666666599</v>
      </c>
      <c r="B20" s="5">
        <v>7137.09</v>
      </c>
    </row>
    <row r="21" spans="1:2" x14ac:dyDescent="0.2">
      <c r="A21" s="2">
        <f ca="1">IFERROR(__xludf.DUMMYFUNCTION("""COMPUTED_VALUE"""),45320.6666666666)</f>
        <v>45320.666666666599</v>
      </c>
      <c r="B21" s="5">
        <v>7157.18</v>
      </c>
    </row>
    <row r="22" spans="1:2" x14ac:dyDescent="0.2">
      <c r="A22" s="2">
        <f ca="1">IFERROR(__xludf.DUMMYFUNCTION("""COMPUTED_VALUE"""),45321.6666666666)</f>
        <v>45321.666666666599</v>
      </c>
      <c r="B22" s="5">
        <v>7192.22</v>
      </c>
    </row>
    <row r="23" spans="1:2" x14ac:dyDescent="0.2">
      <c r="A23" s="2">
        <f ca="1">IFERROR(__xludf.DUMMYFUNCTION("""COMPUTED_VALUE"""),45322.6666666666)</f>
        <v>45322.666666666599</v>
      </c>
      <c r="B23" s="5">
        <v>7207.94</v>
      </c>
    </row>
    <row r="24" spans="1:2" x14ac:dyDescent="0.2">
      <c r="A24" s="2">
        <f ca="1">IFERROR(__xludf.DUMMYFUNCTION("""COMPUTED_VALUE"""),45323.6666666666)</f>
        <v>45323.666666666599</v>
      </c>
      <c r="B24" s="5">
        <v>7201.7</v>
      </c>
    </row>
    <row r="25" spans="1:2" x14ac:dyDescent="0.2">
      <c r="A25" s="2">
        <f ca="1">IFERROR(__xludf.DUMMYFUNCTION("""COMPUTED_VALUE"""),45324.6666666666)</f>
        <v>45324.666666666599</v>
      </c>
      <c r="B25" s="5">
        <v>7238.79</v>
      </c>
    </row>
    <row r="26" spans="1:2" x14ac:dyDescent="0.2">
      <c r="A26" s="2">
        <f ca="1">IFERROR(__xludf.DUMMYFUNCTION("""COMPUTED_VALUE"""),45327.6666666666)</f>
        <v>45327.666666666599</v>
      </c>
      <c r="B26" s="5">
        <v>7198.62</v>
      </c>
    </row>
    <row r="27" spans="1:2" x14ac:dyDescent="0.2">
      <c r="A27" s="2">
        <f ca="1">IFERROR(__xludf.DUMMYFUNCTION("""COMPUTED_VALUE"""),45328.6666666666)</f>
        <v>45328.666666666599</v>
      </c>
      <c r="B27" s="5">
        <v>7247.41</v>
      </c>
    </row>
    <row r="28" spans="1:2" x14ac:dyDescent="0.2">
      <c r="A28" s="2">
        <f ca="1">IFERROR(__xludf.DUMMYFUNCTION("""COMPUTED_VALUE"""),45329.6666666666)</f>
        <v>45329.666666666599</v>
      </c>
      <c r="B28" s="5">
        <v>7235.15</v>
      </c>
    </row>
    <row r="29" spans="1:2" x14ac:dyDescent="0.2">
      <c r="A29" s="2">
        <f ca="1">IFERROR(__xludf.DUMMYFUNCTION("""COMPUTED_VALUE"""),45334.6666666666)</f>
        <v>45334.666666666599</v>
      </c>
      <c r="B29" s="5">
        <v>7297.67</v>
      </c>
    </row>
    <row r="30" spans="1:2" x14ac:dyDescent="0.2">
      <c r="A30" s="2">
        <f ca="1">IFERROR(__xludf.DUMMYFUNCTION("""COMPUTED_VALUE"""),45335.6666666666)</f>
        <v>45335.666666666599</v>
      </c>
      <c r="B30" s="5">
        <v>7209.74</v>
      </c>
    </row>
    <row r="31" spans="1:2" x14ac:dyDescent="0.2">
      <c r="A31" s="2">
        <f ca="1">IFERROR(__xludf.DUMMYFUNCTION("""COMPUTED_VALUE"""),45337.6666666666)</f>
        <v>45337.666666666599</v>
      </c>
      <c r="B31" s="5">
        <v>7303.28</v>
      </c>
    </row>
    <row r="32" spans="1:2" x14ac:dyDescent="0.2">
      <c r="A32" s="2">
        <f ca="1">IFERROR(__xludf.DUMMYFUNCTION("""COMPUTED_VALUE"""),45338.6666666666)</f>
        <v>45338.666666666599</v>
      </c>
      <c r="B32" s="5">
        <v>7335.55</v>
      </c>
    </row>
    <row r="33" spans="1:2" x14ac:dyDescent="0.2">
      <c r="A33" s="2">
        <f ca="1">IFERROR(__xludf.DUMMYFUNCTION("""COMPUTED_VALUE"""),45341.6666666666)</f>
        <v>45341.666666666599</v>
      </c>
      <c r="B33" s="5">
        <v>7296.7</v>
      </c>
    </row>
    <row r="34" spans="1:2" x14ac:dyDescent="0.2">
      <c r="A34" s="2">
        <f ca="1">IFERROR(__xludf.DUMMYFUNCTION("""COMPUTED_VALUE"""),45342.6666666666)</f>
        <v>45342.666666666599</v>
      </c>
      <c r="B34" s="5">
        <v>7352.6</v>
      </c>
    </row>
    <row r="35" spans="1:2" x14ac:dyDescent="0.2">
      <c r="A35" s="2">
        <f ca="1">IFERROR(__xludf.DUMMYFUNCTION("""COMPUTED_VALUE"""),45343.6666666666)</f>
        <v>45343.666666666599</v>
      </c>
      <c r="B35" s="5">
        <v>7349.02</v>
      </c>
    </row>
    <row r="36" spans="1:2" x14ac:dyDescent="0.2">
      <c r="A36" s="2">
        <f ca="1">IFERROR(__xludf.DUMMYFUNCTION("""COMPUTED_VALUE"""),45344.6666666666)</f>
        <v>45344.666666666599</v>
      </c>
      <c r="B36" s="5">
        <v>7339.64</v>
      </c>
    </row>
    <row r="37" spans="1:2" x14ac:dyDescent="0.2">
      <c r="A37" s="2">
        <f ca="1">IFERROR(__xludf.DUMMYFUNCTION("""COMPUTED_VALUE"""),45345.6666666666)</f>
        <v>45345.666666666599</v>
      </c>
      <c r="B37" s="5">
        <v>7295.1</v>
      </c>
    </row>
    <row r="38" spans="1:2" x14ac:dyDescent="0.2">
      <c r="A38" s="2">
        <f ca="1">IFERROR(__xludf.DUMMYFUNCTION("""COMPUTED_VALUE"""),45348.6666666666)</f>
        <v>45348.666666666599</v>
      </c>
      <c r="B38" s="5">
        <v>7283.82</v>
      </c>
    </row>
    <row r="39" spans="1:2" x14ac:dyDescent="0.2">
      <c r="A39" s="2">
        <f ca="1">IFERROR(__xludf.DUMMYFUNCTION("""COMPUTED_VALUE"""),45349.6666666666)</f>
        <v>45349.666666666599</v>
      </c>
      <c r="B39" s="5">
        <v>7285.32</v>
      </c>
    </row>
    <row r="40" spans="1:2" x14ac:dyDescent="0.2">
      <c r="A40" s="2">
        <f ca="1">IFERROR(__xludf.DUMMYFUNCTION("""COMPUTED_VALUE"""),45350.6666666666)</f>
        <v>45350.666666666599</v>
      </c>
      <c r="B40" s="5">
        <v>7328.64</v>
      </c>
    </row>
    <row r="41" spans="1:2" x14ac:dyDescent="0.2">
      <c r="A41" s="2">
        <f ca="1">IFERROR(__xludf.DUMMYFUNCTION("""COMPUTED_VALUE"""),45351.6666666666)</f>
        <v>45351.666666666599</v>
      </c>
      <c r="B41" s="5">
        <v>7316.11</v>
      </c>
    </row>
    <row r="42" spans="1:2" x14ac:dyDescent="0.2">
      <c r="A42" s="2">
        <f ca="1">IFERROR(__xludf.DUMMYFUNCTION("""COMPUTED_VALUE"""),45352.6666666666)</f>
        <v>45352.666666666599</v>
      </c>
      <c r="B42" s="5">
        <v>7311.91</v>
      </c>
    </row>
    <row r="43" spans="1:2" x14ac:dyDescent="0.2">
      <c r="A43" s="2">
        <f ca="1">IFERROR(__xludf.DUMMYFUNCTION("""COMPUTED_VALUE"""),45355.6666666666)</f>
        <v>45355.666666666599</v>
      </c>
      <c r="B43" s="5">
        <v>7276.75</v>
      </c>
    </row>
    <row r="44" spans="1:2" x14ac:dyDescent="0.2">
      <c r="A44" s="2">
        <f ca="1">IFERROR(__xludf.DUMMYFUNCTION("""COMPUTED_VALUE"""),45356.6666666666)</f>
        <v>45356.666666666599</v>
      </c>
      <c r="B44" s="5">
        <v>7247.46</v>
      </c>
    </row>
    <row r="45" spans="1:2" x14ac:dyDescent="0.2">
      <c r="A45" s="2">
        <f ca="1">IFERROR(__xludf.DUMMYFUNCTION("""COMPUTED_VALUE"""),45357.6666666666)</f>
        <v>45357.666666666599</v>
      </c>
      <c r="B45" s="5">
        <v>7329.8</v>
      </c>
    </row>
    <row r="46" spans="1:2" x14ac:dyDescent="0.2">
      <c r="A46" s="2">
        <f ca="1">IFERROR(__xludf.DUMMYFUNCTION("""COMPUTED_VALUE"""),45358.6666666666)</f>
        <v>45358.666666666599</v>
      </c>
      <c r="B46" s="5">
        <v>7373.96</v>
      </c>
    </row>
    <row r="47" spans="1:2" x14ac:dyDescent="0.2">
      <c r="A47" s="2">
        <f ca="1">IFERROR(__xludf.DUMMYFUNCTION("""COMPUTED_VALUE"""),45359.6666666666)</f>
        <v>45359.666666666599</v>
      </c>
      <c r="B47" s="5">
        <v>7381.91</v>
      </c>
    </row>
    <row r="48" spans="1:2" x14ac:dyDescent="0.2">
      <c r="A48" s="2">
        <f ca="1">IFERROR(__xludf.DUMMYFUNCTION("""COMPUTED_VALUE"""),45364.6666666666)</f>
        <v>45364.666666666599</v>
      </c>
      <c r="B48" s="5">
        <v>7421.21</v>
      </c>
    </row>
    <row r="49" spans="1:2" x14ac:dyDescent="0.2">
      <c r="A49" s="2">
        <f ca="1">IFERROR(__xludf.DUMMYFUNCTION("""COMPUTED_VALUE"""),45365.6666666666)</f>
        <v>45365.666666666599</v>
      </c>
      <c r="B49" s="5">
        <v>7433.32</v>
      </c>
    </row>
    <row r="50" spans="1:2" x14ac:dyDescent="0.2">
      <c r="A50" s="2">
        <f ca="1">IFERROR(__xludf.DUMMYFUNCTION("""COMPUTED_VALUE"""),45366.6666666666)</f>
        <v>45366.666666666599</v>
      </c>
      <c r="B50" s="5">
        <v>7328.05</v>
      </c>
    </row>
    <row r="51" spans="1:2" x14ac:dyDescent="0.2">
      <c r="A51" s="2">
        <f ca="1">IFERROR(__xludf.DUMMYFUNCTION("""COMPUTED_VALUE"""),45369.6666666666)</f>
        <v>45369.666666666599</v>
      </c>
      <c r="B51" s="5">
        <v>7302.45</v>
      </c>
    </row>
    <row r="52" spans="1:2" x14ac:dyDescent="0.2">
      <c r="A52" s="2">
        <f ca="1">IFERROR(__xludf.DUMMYFUNCTION("""COMPUTED_VALUE"""),45370.6666666666)</f>
        <v>45370.666666666599</v>
      </c>
      <c r="B52" s="5">
        <v>7336.75</v>
      </c>
    </row>
    <row r="53" spans="1:2" x14ac:dyDescent="0.2">
      <c r="A53" s="2">
        <f ca="1">IFERROR(__xludf.DUMMYFUNCTION("""COMPUTED_VALUE"""),45371.6666666666)</f>
        <v>45371.666666666599</v>
      </c>
      <c r="B53" s="5">
        <v>7331.13</v>
      </c>
    </row>
    <row r="54" spans="1:2" x14ac:dyDescent="0.2">
      <c r="A54" s="2">
        <f ca="1">IFERROR(__xludf.DUMMYFUNCTION("""COMPUTED_VALUE"""),45372.6666666666)</f>
        <v>45372.666666666599</v>
      </c>
      <c r="B54" s="5">
        <v>7338.35</v>
      </c>
    </row>
    <row r="55" spans="1:2" x14ac:dyDescent="0.2">
      <c r="A55" s="2">
        <f ca="1">IFERROR(__xludf.DUMMYFUNCTION("""COMPUTED_VALUE"""),45373.6666666666)</f>
        <v>45373.666666666599</v>
      </c>
      <c r="B55" s="5">
        <v>7350.15</v>
      </c>
    </row>
    <row r="56" spans="1:2" x14ac:dyDescent="0.2">
      <c r="A56" s="2">
        <f ca="1">IFERROR(__xludf.DUMMYFUNCTION("""COMPUTED_VALUE"""),45378.6666666666)</f>
        <v>45378.666666666599</v>
      </c>
      <c r="B56" s="5">
        <v>7310.09</v>
      </c>
    </row>
    <row r="57" spans="1:2" x14ac:dyDescent="0.2">
      <c r="A57" s="2">
        <f ca="1">IFERROR(__xludf.DUMMYFUNCTION("""COMPUTED_VALUE"""),45379.6666666666)</f>
        <v>45379.666666666599</v>
      </c>
      <c r="B57" s="5">
        <v>7288.81</v>
      </c>
    </row>
    <row r="58" spans="1:2" x14ac:dyDescent="0.2">
      <c r="A58" s="2">
        <f ca="1">IFERROR(__xludf.DUMMYFUNCTION("""COMPUTED_VALUE"""),45383.6666666666)</f>
        <v>45383.666666666599</v>
      </c>
      <c r="B58" s="5">
        <v>7205.06</v>
      </c>
    </row>
    <row r="59" spans="1:2" x14ac:dyDescent="0.2">
      <c r="A59" s="2">
        <f ca="1">IFERROR(__xludf.DUMMYFUNCTION("""COMPUTED_VALUE"""),45384.6666666666)</f>
        <v>45384.666666666599</v>
      </c>
      <c r="B59" s="5">
        <v>7236.98</v>
      </c>
    </row>
    <row r="60" spans="1:2" x14ac:dyDescent="0.2">
      <c r="A60" s="2">
        <f ca="1">IFERROR(__xludf.DUMMYFUNCTION("""COMPUTED_VALUE"""),45385.6666666666)</f>
        <v>45385.666666666599</v>
      </c>
      <c r="B60" s="5">
        <v>7166.84</v>
      </c>
    </row>
    <row r="61" spans="1:2" x14ac:dyDescent="0.2">
      <c r="A61" s="2">
        <f ca="1">IFERROR(__xludf.DUMMYFUNCTION("""COMPUTED_VALUE"""),45386.6666666666)</f>
        <v>45386.666666666599</v>
      </c>
      <c r="B61" s="5">
        <v>7254.4</v>
      </c>
    </row>
    <row r="62" spans="1:2" x14ac:dyDescent="0.2">
      <c r="A62" s="2">
        <f ca="1">IFERROR(__xludf.DUMMYFUNCTION("""COMPUTED_VALUE"""),45387.6666666666)</f>
        <v>45387.666666666599</v>
      </c>
      <c r="B62" s="5">
        <v>7286.88</v>
      </c>
    </row>
    <row r="63" spans="1:2" x14ac:dyDescent="0.2">
      <c r="A63" s="2">
        <f ca="1">IFERROR(__xludf.DUMMYFUNCTION("""COMPUTED_VALUE"""),45398.6666666666)</f>
        <v>45398.666666666599</v>
      </c>
      <c r="B63" s="5">
        <v>7164.81</v>
      </c>
    </row>
    <row r="64" spans="1:2" x14ac:dyDescent="0.2">
      <c r="A64" s="2">
        <f ca="1">IFERROR(__xludf.DUMMYFUNCTION("""COMPUTED_VALUE"""),45399.6666666666)</f>
        <v>45399.666666666599</v>
      </c>
      <c r="B64" s="5">
        <v>7130.84</v>
      </c>
    </row>
    <row r="65" spans="1:2" x14ac:dyDescent="0.2">
      <c r="A65" s="2">
        <f ca="1">IFERROR(__xludf.DUMMYFUNCTION("""COMPUTED_VALUE"""),45400.6666666666)</f>
        <v>45400.666666666599</v>
      </c>
      <c r="B65" s="5">
        <v>7166.81</v>
      </c>
    </row>
    <row r="66" spans="1:2" x14ac:dyDescent="0.2">
      <c r="A66" s="2">
        <f ca="1">IFERROR(__xludf.DUMMYFUNCTION("""COMPUTED_VALUE"""),45401.6666666666)</f>
        <v>45401.666666666599</v>
      </c>
      <c r="B66" s="5">
        <v>7087.32</v>
      </c>
    </row>
    <row r="67" spans="1:2" x14ac:dyDescent="0.2">
      <c r="A67" s="2">
        <f ca="1">IFERROR(__xludf.DUMMYFUNCTION("""COMPUTED_VALUE"""),45404.6666666666)</f>
        <v>45404.666666666599</v>
      </c>
      <c r="B67" s="5">
        <v>7073.82</v>
      </c>
    </row>
    <row r="68" spans="1:2" x14ac:dyDescent="0.2">
      <c r="A68" s="2">
        <f ca="1">IFERROR(__xludf.DUMMYFUNCTION("""COMPUTED_VALUE"""),45405.6666666666)</f>
        <v>45405.666666666599</v>
      </c>
      <c r="B68" s="5">
        <v>7110.81</v>
      </c>
    </row>
    <row r="69" spans="1:2" x14ac:dyDescent="0.2">
      <c r="A69" s="2">
        <f ca="1">IFERROR(__xludf.DUMMYFUNCTION("""COMPUTED_VALUE"""),45406.6666666666)</f>
        <v>45406.666666666599</v>
      </c>
      <c r="B69" s="5">
        <v>7174.53</v>
      </c>
    </row>
    <row r="70" spans="1:2" x14ac:dyDescent="0.2">
      <c r="A70" s="2">
        <f ca="1">IFERROR(__xludf.DUMMYFUNCTION("""COMPUTED_VALUE"""),45407.6666666666)</f>
        <v>45407.666666666599</v>
      </c>
      <c r="B70" s="5">
        <v>7155.29</v>
      </c>
    </row>
    <row r="71" spans="1:2" x14ac:dyDescent="0.2">
      <c r="A71" s="2">
        <f ca="1">IFERROR(__xludf.DUMMYFUNCTION("""COMPUTED_VALUE"""),45408.6666666666)</f>
        <v>45408.666666666599</v>
      </c>
      <c r="B71" s="5">
        <v>7036.08</v>
      </c>
    </row>
    <row r="72" spans="1:2" x14ac:dyDescent="0.2">
      <c r="A72" s="2">
        <f ca="1">IFERROR(__xludf.DUMMYFUNCTION("""COMPUTED_VALUE"""),45411.6666666666)</f>
        <v>45411.666666666599</v>
      </c>
      <c r="B72" s="5">
        <v>7155.78</v>
      </c>
    </row>
    <row r="73" spans="1:2" x14ac:dyDescent="0.2">
      <c r="A73" s="2">
        <f ca="1">IFERROR(__xludf.DUMMYFUNCTION("""COMPUTED_VALUE"""),45412.6666666666)</f>
        <v>45412.666666666599</v>
      </c>
      <c r="B73" s="5">
        <v>7234.2</v>
      </c>
    </row>
    <row r="74" spans="1:2" x14ac:dyDescent="0.2">
      <c r="A74" s="2">
        <f ca="1">IFERROR(__xludf.DUMMYFUNCTION("""COMPUTED_VALUE"""),45414.6666666666)</f>
        <v>45414.666666666599</v>
      </c>
      <c r="B74" s="5">
        <v>7117.43</v>
      </c>
    </row>
    <row r="75" spans="1:2" x14ac:dyDescent="0.2">
      <c r="A75" s="2">
        <f ca="1">IFERROR(__xludf.DUMMYFUNCTION("""COMPUTED_VALUE"""),45415.6666666666)</f>
        <v>45415.666666666599</v>
      </c>
      <c r="B75" s="5">
        <v>7134.72</v>
      </c>
    </row>
    <row r="76" spans="1:2" x14ac:dyDescent="0.2">
      <c r="A76" s="2">
        <f ca="1">IFERROR(__xludf.DUMMYFUNCTION("""COMPUTED_VALUE"""),45418.6666666666)</f>
        <v>45418.666666666599</v>
      </c>
      <c r="B76" s="5">
        <v>7135.89</v>
      </c>
    </row>
    <row r="77" spans="1:2" x14ac:dyDescent="0.2">
      <c r="A77" s="2">
        <f ca="1">IFERROR(__xludf.DUMMYFUNCTION("""COMPUTED_VALUE"""),45419.6666666666)</f>
        <v>45419.666666666599</v>
      </c>
      <c r="B77" s="5">
        <v>7123.61</v>
      </c>
    </row>
    <row r="78" spans="1:2" x14ac:dyDescent="0.2">
      <c r="A78" s="2">
        <f ca="1">IFERROR(__xludf.DUMMYFUNCTION("""COMPUTED_VALUE"""),45420.6666666666)</f>
        <v>45420.666666666599</v>
      </c>
      <c r="B78" s="5">
        <v>7088.8</v>
      </c>
    </row>
    <row r="79" spans="1:2" x14ac:dyDescent="0.2">
      <c r="A79" s="2">
        <f ca="1">IFERROR(__xludf.DUMMYFUNCTION("""COMPUTED_VALUE"""),45425.6666666666)</f>
        <v>45425.666666666599</v>
      </c>
      <c r="B79" s="5">
        <v>7099.26</v>
      </c>
    </row>
    <row r="80" spans="1:2" x14ac:dyDescent="0.2">
      <c r="A80" s="2">
        <f ca="1">IFERROR(__xludf.DUMMYFUNCTION("""COMPUTED_VALUE"""),45426.6666666666)</f>
        <v>45426.666666666599</v>
      </c>
      <c r="B80" s="5">
        <v>7083.76</v>
      </c>
    </row>
    <row r="81" spans="1:2" x14ac:dyDescent="0.2">
      <c r="A81" s="2">
        <f ca="1">IFERROR(__xludf.DUMMYFUNCTION("""COMPUTED_VALUE"""),45427.6666666666)</f>
        <v>45427.666666666599</v>
      </c>
      <c r="B81" s="5">
        <v>7179.83</v>
      </c>
    </row>
    <row r="82" spans="1:2" x14ac:dyDescent="0.2">
      <c r="A82" s="2">
        <f ca="1">IFERROR(__xludf.DUMMYFUNCTION("""COMPUTED_VALUE"""),45428.6666666666)</f>
        <v>45428.666666666599</v>
      </c>
      <c r="B82" s="5">
        <v>7246.7</v>
      </c>
    </row>
    <row r="83" spans="1:2" x14ac:dyDescent="0.2">
      <c r="A83" s="2">
        <f ca="1">IFERROR(__xludf.DUMMYFUNCTION("""COMPUTED_VALUE"""),45429.6666666666)</f>
        <v>45429.666666666599</v>
      </c>
      <c r="B83" s="5">
        <v>7317.24</v>
      </c>
    </row>
    <row r="84" spans="1:2" x14ac:dyDescent="0.2">
      <c r="A84" s="2">
        <f ca="1">IFERROR(__xludf.DUMMYFUNCTION("""COMPUTED_VALUE"""),45432.6666666666)</f>
        <v>45432.666666666599</v>
      </c>
      <c r="B84" s="5">
        <v>7266.69</v>
      </c>
    </row>
    <row r="85" spans="1:2" x14ac:dyDescent="0.2">
      <c r="A85" s="2">
        <f ca="1">IFERROR(__xludf.DUMMYFUNCTION("""COMPUTED_VALUE"""),45433.6666666666)</f>
        <v>45433.666666666599</v>
      </c>
      <c r="B85" s="5">
        <v>7186.04</v>
      </c>
    </row>
    <row r="86" spans="1:2" x14ac:dyDescent="0.2">
      <c r="A86" s="2">
        <f ca="1">IFERROR(__xludf.DUMMYFUNCTION("""COMPUTED_VALUE"""),45434.6666666666)</f>
        <v>45434.666666666599</v>
      </c>
      <c r="B86" s="5">
        <v>7222.38</v>
      </c>
    </row>
    <row r="87" spans="1:2" x14ac:dyDescent="0.2">
      <c r="A87" s="2">
        <f ca="1">IFERROR(__xludf.DUMMYFUNCTION("""COMPUTED_VALUE"""),45439.6666666666)</f>
        <v>45439.666666666599</v>
      </c>
      <c r="B87" s="5">
        <v>7176.42</v>
      </c>
    </row>
    <row r="88" spans="1:2" x14ac:dyDescent="0.2">
      <c r="A88" s="2">
        <f ca="1">IFERROR(__xludf.DUMMYFUNCTION("""COMPUTED_VALUE"""),45440.6666666666)</f>
        <v>45440.666666666599</v>
      </c>
      <c r="B88" s="5">
        <v>7253.63</v>
      </c>
    </row>
    <row r="89" spans="1:2" x14ac:dyDescent="0.2">
      <c r="A89" s="2">
        <f ca="1">IFERROR(__xludf.DUMMYFUNCTION("""COMPUTED_VALUE"""),45441.6666666666)</f>
        <v>45441.666666666599</v>
      </c>
      <c r="B89" s="5">
        <v>7140.23</v>
      </c>
    </row>
    <row r="90" spans="1:2" x14ac:dyDescent="0.2">
      <c r="A90" s="2">
        <f ca="1">IFERROR(__xludf.DUMMYFUNCTION("""COMPUTED_VALUE"""),45442.6666666666)</f>
        <v>45442.666666666599</v>
      </c>
      <c r="B90" s="5">
        <v>7034.14</v>
      </c>
    </row>
    <row r="91" spans="1:2" x14ac:dyDescent="0.2">
      <c r="A91" s="2">
        <f ca="1">IFERROR(__xludf.DUMMYFUNCTION("""COMPUTED_VALUE"""),45443.6666666666)</f>
        <v>45443.666666666599</v>
      </c>
      <c r="B91" s="5">
        <v>6970.74</v>
      </c>
    </row>
    <row r="92" spans="1:2" x14ac:dyDescent="0.2">
      <c r="A92" s="2">
        <f ca="1">IFERROR(__xludf.DUMMYFUNCTION("""COMPUTED_VALUE"""),45446.6666666666)</f>
        <v>45446.666666666599</v>
      </c>
      <c r="B92" s="5">
        <v>7036.19</v>
      </c>
    </row>
    <row r="93" spans="1:2" x14ac:dyDescent="0.2">
      <c r="A93" s="2">
        <f ca="1">IFERROR(__xludf.DUMMYFUNCTION("""COMPUTED_VALUE"""),45447.6666666666)</f>
        <v>45447.666666666599</v>
      </c>
      <c r="B93" s="5">
        <v>7099.31</v>
      </c>
    </row>
    <row r="94" spans="1:2" x14ac:dyDescent="0.2">
      <c r="A94" s="2">
        <f ca="1">IFERROR(__xludf.DUMMYFUNCTION("""COMPUTED_VALUE"""),45448.6666666666)</f>
        <v>45448.666666666599</v>
      </c>
      <c r="B94" s="5">
        <v>6947.67</v>
      </c>
    </row>
    <row r="95" spans="1:2" x14ac:dyDescent="0.2">
      <c r="A95" s="2">
        <f ca="1">IFERROR(__xludf.DUMMYFUNCTION("""COMPUTED_VALUE"""),45449.6666666666)</f>
        <v>45449.666666666599</v>
      </c>
      <c r="B95" s="5">
        <v>6974.9</v>
      </c>
    </row>
    <row r="96" spans="1:2" x14ac:dyDescent="0.2">
      <c r="A96" s="2">
        <f ca="1">IFERROR(__xludf.DUMMYFUNCTION("""COMPUTED_VALUE"""),45450.6666666666)</f>
        <v>45450.666666666599</v>
      </c>
      <c r="B96" s="5">
        <v>6897.95</v>
      </c>
    </row>
    <row r="97" spans="1:2" x14ac:dyDescent="0.2">
      <c r="A97" s="2">
        <f ca="1">IFERROR(__xludf.DUMMYFUNCTION("""COMPUTED_VALUE"""),45453.6666666666)</f>
        <v>45453.666666666599</v>
      </c>
      <c r="B97" s="5">
        <v>6921.55</v>
      </c>
    </row>
    <row r="98" spans="1:2" x14ac:dyDescent="0.2">
      <c r="A98" s="2">
        <f ca="1">IFERROR(__xludf.DUMMYFUNCTION("""COMPUTED_VALUE"""),45454.6666666666)</f>
        <v>45454.666666666599</v>
      </c>
      <c r="B98" s="5">
        <v>6855.69</v>
      </c>
    </row>
    <row r="99" spans="1:2" x14ac:dyDescent="0.2">
      <c r="A99" s="2">
        <f ca="1">IFERROR(__xludf.DUMMYFUNCTION("""COMPUTED_VALUE"""),45455.6666666666)</f>
        <v>45455.666666666599</v>
      </c>
      <c r="B99" s="5">
        <v>6850.1</v>
      </c>
    </row>
    <row r="100" spans="1:2" x14ac:dyDescent="0.2">
      <c r="A100" s="2">
        <f ca="1">IFERROR(__xludf.DUMMYFUNCTION("""COMPUTED_VALUE"""),45456.6666666666)</f>
        <v>45456.666666666599</v>
      </c>
      <c r="B100" s="5">
        <v>6831.56</v>
      </c>
    </row>
    <row r="101" spans="1:2" x14ac:dyDescent="0.2">
      <c r="A101" s="2">
        <f ca="1">IFERROR(__xludf.DUMMYFUNCTION("""COMPUTED_VALUE"""),45457.6666666666)</f>
        <v>45457.666666666599</v>
      </c>
      <c r="B101" s="5">
        <v>6734.83</v>
      </c>
    </row>
    <row r="102" spans="1:2" x14ac:dyDescent="0.2">
      <c r="A102" s="2">
        <f ca="1">IFERROR(__xludf.DUMMYFUNCTION("""COMPUTED_VALUE"""),45462.6666666666)</f>
        <v>45462.666666666599</v>
      </c>
      <c r="B102" s="5">
        <v>6726.92</v>
      </c>
    </row>
    <row r="103" spans="1:2" x14ac:dyDescent="0.2">
      <c r="A103" s="2">
        <f ca="1">IFERROR(__xludf.DUMMYFUNCTION("""COMPUTED_VALUE"""),45463.6666666666)</f>
        <v>45463.666666666599</v>
      </c>
      <c r="B103" s="5">
        <v>6819.32</v>
      </c>
    </row>
    <row r="104" spans="1:2" x14ac:dyDescent="0.2">
      <c r="A104" s="2">
        <f ca="1">IFERROR(__xludf.DUMMYFUNCTION("""COMPUTED_VALUE"""),45464.6666666666)</f>
        <v>45464.666666666599</v>
      </c>
      <c r="B104" s="5">
        <v>6879.98</v>
      </c>
    </row>
    <row r="105" spans="1:2" x14ac:dyDescent="0.2">
      <c r="A105" s="2">
        <f ca="1">IFERROR(__xludf.DUMMYFUNCTION("""COMPUTED_VALUE"""),45467.6666666666)</f>
        <v>45467.666666666599</v>
      </c>
      <c r="B105" s="5">
        <v>6889.17</v>
      </c>
    </row>
    <row r="106" spans="1:2" x14ac:dyDescent="0.2">
      <c r="A106" s="2">
        <f ca="1">IFERROR(__xludf.DUMMYFUNCTION("""COMPUTED_VALUE"""),45468.6666666666)</f>
        <v>45468.666666666599</v>
      </c>
      <c r="B106" s="5">
        <v>6882.7</v>
      </c>
    </row>
    <row r="107" spans="1:2" x14ac:dyDescent="0.2">
      <c r="A107" s="2">
        <f ca="1">IFERROR(__xludf.DUMMYFUNCTION("""COMPUTED_VALUE"""),45469.6666666666)</f>
        <v>45469.666666666599</v>
      </c>
      <c r="B107" s="5">
        <v>6905.64</v>
      </c>
    </row>
    <row r="108" spans="1:2" x14ac:dyDescent="0.2">
      <c r="A108" s="2">
        <f ca="1">IFERROR(__xludf.DUMMYFUNCTION("""COMPUTED_VALUE"""),45470.6666666666)</f>
        <v>45470.666666666599</v>
      </c>
      <c r="B108" s="5">
        <v>6967.95</v>
      </c>
    </row>
    <row r="109" spans="1:2" x14ac:dyDescent="0.2">
      <c r="A109" s="2">
        <f ca="1">IFERROR(__xludf.DUMMYFUNCTION("""COMPUTED_VALUE"""),45471.6666666666)</f>
        <v>45471.666666666599</v>
      </c>
      <c r="B109" s="5">
        <v>7063.58</v>
      </c>
    </row>
    <row r="110" spans="1:2" x14ac:dyDescent="0.2">
      <c r="A110" s="2">
        <f ca="1">IFERROR(__xludf.DUMMYFUNCTION("""COMPUTED_VALUE"""),45474.6666666666)</f>
        <v>45474.666666666599</v>
      </c>
      <c r="B110" s="5">
        <v>7139.63</v>
      </c>
    </row>
    <row r="111" spans="1:2" x14ac:dyDescent="0.2">
      <c r="A111" s="2">
        <f ca="1">IFERROR(__xludf.DUMMYFUNCTION("""COMPUTED_VALUE"""),45475.6666666666)</f>
        <v>45475.666666666599</v>
      </c>
      <c r="B111" s="5">
        <v>7125.14</v>
      </c>
    </row>
    <row r="112" spans="1:2" x14ac:dyDescent="0.2">
      <c r="A112" s="2">
        <f ca="1">IFERROR(__xludf.DUMMYFUNCTION("""COMPUTED_VALUE"""),45476.6666666666)</f>
        <v>45476.666666666599</v>
      </c>
      <c r="B112" s="5">
        <v>7196.76</v>
      </c>
    </row>
    <row r="113" spans="1:2" x14ac:dyDescent="0.2">
      <c r="A113" s="2">
        <f ca="1">IFERROR(__xludf.DUMMYFUNCTION("""COMPUTED_VALUE"""),45477.6666666666)</f>
        <v>45477.666666666599</v>
      </c>
      <c r="B113" s="5">
        <v>7220.89</v>
      </c>
    </row>
    <row r="114" spans="1:2" x14ac:dyDescent="0.2">
      <c r="A114" s="2">
        <f ca="1">IFERROR(__xludf.DUMMYFUNCTION("""COMPUTED_VALUE"""),45478.6666666666)</f>
        <v>45478.666666666599</v>
      </c>
      <c r="B114" s="5">
        <v>7253.37</v>
      </c>
    </row>
    <row r="115" spans="1:2" x14ac:dyDescent="0.2">
      <c r="A115" s="2">
        <f ca="1">IFERROR(__xludf.DUMMYFUNCTION("""COMPUTED_VALUE"""),45481.6666666666)</f>
        <v>45481.666666666599</v>
      </c>
      <c r="B115" s="5">
        <v>7250.98</v>
      </c>
    </row>
    <row r="116" spans="1:2" x14ac:dyDescent="0.2">
      <c r="A116" s="2">
        <f ca="1">IFERROR(__xludf.DUMMYFUNCTION("""COMPUTED_VALUE"""),45482.6666666666)</f>
        <v>45482.666666666599</v>
      </c>
      <c r="B116" s="5">
        <v>7269.8</v>
      </c>
    </row>
    <row r="117" spans="1:2" x14ac:dyDescent="0.2">
      <c r="A117" s="2">
        <f ca="1">IFERROR(__xludf.DUMMYFUNCTION("""COMPUTED_VALUE"""),45483.6666666666)</f>
        <v>45483.666666666599</v>
      </c>
      <c r="B117" s="5">
        <v>7287.04</v>
      </c>
    </row>
    <row r="118" spans="1:2" x14ac:dyDescent="0.2">
      <c r="A118" s="2">
        <f ca="1">IFERROR(__xludf.DUMMYFUNCTION("""COMPUTED_VALUE"""),45484.6666666666)</f>
        <v>45484.666666666599</v>
      </c>
      <c r="B118" s="5">
        <v>7300.41</v>
      </c>
    </row>
    <row r="119" spans="1:2" x14ac:dyDescent="0.2">
      <c r="A119" s="2">
        <f ca="1">IFERROR(__xludf.DUMMYFUNCTION("""COMPUTED_VALUE"""),45485.6666666666)</f>
        <v>45485.666666666599</v>
      </c>
      <c r="B119" s="5">
        <v>7327.58</v>
      </c>
    </row>
    <row r="120" spans="1:2" x14ac:dyDescent="0.2">
      <c r="A120" s="2">
        <f ca="1">IFERROR(__xludf.DUMMYFUNCTION("""COMPUTED_VALUE"""),45488.6666666666)</f>
        <v>45488.666666666599</v>
      </c>
      <c r="B120" s="5">
        <v>7278.86</v>
      </c>
    </row>
    <row r="121" spans="1:2" x14ac:dyDescent="0.2">
      <c r="A121" s="2">
        <f ca="1">IFERROR(__xludf.DUMMYFUNCTION("""COMPUTED_VALUE"""),45489.6666666666)</f>
        <v>45489.666666666599</v>
      </c>
      <c r="B121" s="5">
        <v>7224.29</v>
      </c>
    </row>
    <row r="122" spans="1:2" x14ac:dyDescent="0.2">
      <c r="A122" s="2">
        <f ca="1">IFERROR(__xludf.DUMMYFUNCTION("""COMPUTED_VALUE"""),45490.6666666666)</f>
        <v>45490.666666666599</v>
      </c>
      <c r="B122" s="5">
        <v>7224.22</v>
      </c>
    </row>
    <row r="123" spans="1:2" x14ac:dyDescent="0.2">
      <c r="A123" s="2">
        <f ca="1">IFERROR(__xludf.DUMMYFUNCTION("""COMPUTED_VALUE"""),45491.6666666666)</f>
        <v>45491.666666666599</v>
      </c>
      <c r="B123" s="5">
        <v>7321.07</v>
      </c>
    </row>
    <row r="124" spans="1:2" x14ac:dyDescent="0.2">
      <c r="A124" s="2">
        <f ca="1">IFERROR(__xludf.DUMMYFUNCTION("""COMPUTED_VALUE"""),45492.6666666666)</f>
        <v>45492.666666666599</v>
      </c>
      <c r="B124" s="5">
        <v>7294.5</v>
      </c>
    </row>
    <row r="125" spans="1:2" x14ac:dyDescent="0.2">
      <c r="A125" s="2">
        <f ca="1">IFERROR(__xludf.DUMMYFUNCTION("""COMPUTED_VALUE"""),45495.6666666666)</f>
        <v>45495.666666666599</v>
      </c>
      <c r="B125" s="5">
        <v>7321.98</v>
      </c>
    </row>
    <row r="126" spans="1:2" x14ac:dyDescent="0.2">
      <c r="A126" s="2">
        <f ca="1">IFERROR(__xludf.DUMMYFUNCTION("""COMPUTED_VALUE"""),45496.6666666666)</f>
        <v>45496.666666666599</v>
      </c>
      <c r="B126" s="5">
        <v>7313.86</v>
      </c>
    </row>
    <row r="127" spans="1:2" x14ac:dyDescent="0.2">
      <c r="A127" s="2">
        <f ca="1">IFERROR(__xludf.DUMMYFUNCTION("""COMPUTED_VALUE"""),45497.6666666666)</f>
        <v>45497.666666666599</v>
      </c>
      <c r="B127" s="5">
        <v>7262.76</v>
      </c>
    </row>
    <row r="128" spans="1:2" x14ac:dyDescent="0.2">
      <c r="A128" s="2">
        <f ca="1">IFERROR(__xludf.DUMMYFUNCTION("""COMPUTED_VALUE"""),45498.6666666666)</f>
        <v>45498.666666666599</v>
      </c>
      <c r="B128" s="5">
        <v>7240.28</v>
      </c>
    </row>
    <row r="129" spans="1:2" x14ac:dyDescent="0.2">
      <c r="A129" s="2">
        <f ca="1">IFERROR(__xludf.DUMMYFUNCTION("""COMPUTED_VALUE"""),45499.6666666666)</f>
        <v>45499.666666666599</v>
      </c>
      <c r="B129" s="5">
        <v>7288.17</v>
      </c>
    </row>
    <row r="130" spans="1:2" x14ac:dyDescent="0.2">
      <c r="A130" s="2">
        <f ca="1">IFERROR(__xludf.DUMMYFUNCTION("""COMPUTED_VALUE"""),45502.6666666666)</f>
        <v>45502.666666666599</v>
      </c>
      <c r="B130" s="5">
        <v>7288.9</v>
      </c>
    </row>
    <row r="131" spans="1:2" x14ac:dyDescent="0.2">
      <c r="A131" s="2">
        <f ca="1">IFERROR(__xludf.DUMMYFUNCTION("""COMPUTED_VALUE"""),45503.6666666666)</f>
        <v>45503.666666666599</v>
      </c>
      <c r="B131" s="5">
        <v>7241.86</v>
      </c>
    </row>
    <row r="132" spans="1:2" x14ac:dyDescent="0.2">
      <c r="A132" s="2">
        <f ca="1">IFERROR(__xludf.DUMMYFUNCTION("""COMPUTED_VALUE"""),45504.6666666666)</f>
        <v>45504.666666666599</v>
      </c>
      <c r="B132" s="5">
        <v>7255.76</v>
      </c>
    </row>
    <row r="133" spans="1:2" x14ac:dyDescent="0.2">
      <c r="A133" s="2">
        <f ca="1">IFERROR(__xludf.DUMMYFUNCTION("""COMPUTED_VALUE"""),45505.6666666666)</f>
        <v>45505.666666666599</v>
      </c>
      <c r="B133" s="5">
        <v>7325.99</v>
      </c>
    </row>
    <row r="134" spans="1:2" x14ac:dyDescent="0.2">
      <c r="A134" s="2">
        <f ca="1">IFERROR(__xludf.DUMMYFUNCTION("""COMPUTED_VALUE"""),45506.6666666666)</f>
        <v>45506.666666666599</v>
      </c>
      <c r="B134" s="5">
        <v>7308.12</v>
      </c>
    </row>
    <row r="135" spans="1:2" x14ac:dyDescent="0.2">
      <c r="A135" s="2">
        <f ca="1">IFERROR(__xludf.DUMMYFUNCTION("""COMPUTED_VALUE"""),45509.6666666666)</f>
        <v>45509.666666666599</v>
      </c>
      <c r="B135" s="5">
        <v>7059.65</v>
      </c>
    </row>
    <row r="136" spans="1:2" x14ac:dyDescent="0.2">
      <c r="A136" s="2">
        <f ca="1">IFERROR(__xludf.DUMMYFUNCTION("""COMPUTED_VALUE"""),45510.6666666666)</f>
        <v>45510.666666666599</v>
      </c>
      <c r="B136" s="5">
        <v>7129.22</v>
      </c>
    </row>
    <row r="137" spans="1:2" x14ac:dyDescent="0.2">
      <c r="A137" s="2">
        <f ca="1">IFERROR(__xludf.DUMMYFUNCTION("""COMPUTED_VALUE"""),45511.6666666666)</f>
        <v>45511.666666666599</v>
      </c>
      <c r="B137" s="5">
        <v>7212.13</v>
      </c>
    </row>
    <row r="138" spans="1:2" x14ac:dyDescent="0.2">
      <c r="A138" s="2">
        <f ca="1">IFERROR(__xludf.DUMMYFUNCTION("""COMPUTED_VALUE"""),45512.6666666666)</f>
        <v>45512.666666666599</v>
      </c>
      <c r="B138" s="5">
        <v>7195.12</v>
      </c>
    </row>
    <row r="139" spans="1:2" x14ac:dyDescent="0.2">
      <c r="A139" s="2">
        <f ca="1">IFERROR(__xludf.DUMMYFUNCTION("""COMPUTED_VALUE"""),45513.6666666666)</f>
        <v>45513.666666666599</v>
      </c>
      <c r="B139" s="5">
        <v>7257</v>
      </c>
    </row>
    <row r="140" spans="1:2" x14ac:dyDescent="0.2">
      <c r="A140" s="2">
        <f ca="1">IFERROR(__xludf.DUMMYFUNCTION("""COMPUTED_VALUE"""),45516.6666666666)</f>
        <v>45516.666666666599</v>
      </c>
      <c r="B140" s="5">
        <v>7297.63</v>
      </c>
    </row>
    <row r="141" spans="1:2" x14ac:dyDescent="0.2">
      <c r="A141" s="2">
        <f ca="1">IFERROR(__xludf.DUMMYFUNCTION("""COMPUTED_VALUE"""),45517.6666666666)</f>
        <v>45517.666666666599</v>
      </c>
      <c r="B141" s="5">
        <v>7356.64</v>
      </c>
    </row>
    <row r="142" spans="1:2" x14ac:dyDescent="0.2">
      <c r="A142" s="2">
        <f ca="1">IFERROR(__xludf.DUMMYFUNCTION("""COMPUTED_VALUE"""),45518.6666666666)</f>
        <v>45518.666666666599</v>
      </c>
      <c r="B142" s="5">
        <v>7436.04</v>
      </c>
    </row>
    <row r="143" spans="1:2" x14ac:dyDescent="0.2">
      <c r="A143" s="2">
        <f ca="1">IFERROR(__xludf.DUMMYFUNCTION("""COMPUTED_VALUE"""),45519.6666666666)</f>
        <v>45519.666666666599</v>
      </c>
      <c r="B143" s="5">
        <v>7409.5</v>
      </c>
    </row>
    <row r="144" spans="1:2" x14ac:dyDescent="0.2">
      <c r="A144" s="2">
        <f ca="1">IFERROR(__xludf.DUMMYFUNCTION("""COMPUTED_VALUE"""),45520.6666666666)</f>
        <v>45520.666666666599</v>
      </c>
      <c r="B144" s="5">
        <v>7432.09</v>
      </c>
    </row>
    <row r="145" spans="1:2" x14ac:dyDescent="0.2">
      <c r="A145" s="2">
        <f ca="1">IFERROR(__xludf.DUMMYFUNCTION("""COMPUTED_VALUE"""),45523.6666666666)</f>
        <v>45523.666666666599</v>
      </c>
      <c r="B145" s="5">
        <v>7466.83</v>
      </c>
    </row>
    <row r="146" spans="1:2" x14ac:dyDescent="0.2">
      <c r="A146" s="2">
        <f ca="1">IFERROR(__xludf.DUMMYFUNCTION("""COMPUTED_VALUE"""),45524.6666666666)</f>
        <v>45524.666666666599</v>
      </c>
      <c r="B146" s="5">
        <v>7533.99</v>
      </c>
    </row>
    <row r="147" spans="1:2" x14ac:dyDescent="0.2">
      <c r="A147" s="2">
        <f ca="1">IFERROR(__xludf.DUMMYFUNCTION("""COMPUTED_VALUE"""),45525.6666666666)</f>
        <v>45525.666666666599</v>
      </c>
      <c r="B147" s="5">
        <v>7554.59</v>
      </c>
    </row>
    <row r="148" spans="1:2" x14ac:dyDescent="0.2">
      <c r="A148" s="2">
        <f ca="1">IFERROR(__xludf.DUMMYFUNCTION("""COMPUTED_VALUE"""),45526.6666666666)</f>
        <v>45526.666666666599</v>
      </c>
      <c r="B148" s="5">
        <v>7488.68</v>
      </c>
    </row>
    <row r="149" spans="1:2" x14ac:dyDescent="0.2">
      <c r="A149" s="2">
        <f ca="1">IFERROR(__xludf.DUMMYFUNCTION("""COMPUTED_VALUE"""),45527.6666666666)</f>
        <v>45527.666666666599</v>
      </c>
      <c r="B149" s="5">
        <v>7544.3</v>
      </c>
    </row>
    <row r="150" spans="1:2" x14ac:dyDescent="0.2">
      <c r="A150" s="2">
        <f ca="1">IFERROR(__xludf.DUMMYFUNCTION("""COMPUTED_VALUE"""),45530.6666666666)</f>
        <v>45530.666666666599</v>
      </c>
      <c r="B150" s="5">
        <v>7606.2</v>
      </c>
    </row>
    <row r="151" spans="1:2" x14ac:dyDescent="0.2">
      <c r="A151" s="2">
        <f ca="1">IFERROR(__xludf.DUMMYFUNCTION("""COMPUTED_VALUE"""),45531.6666666666)</f>
        <v>45531.666666666599</v>
      </c>
      <c r="B151" s="5">
        <v>7597.88</v>
      </c>
    </row>
    <row r="152" spans="1:2" x14ac:dyDescent="0.2">
      <c r="A152" s="2">
        <f ca="1">IFERROR(__xludf.DUMMYFUNCTION("""COMPUTED_VALUE"""),45532.6666666666)</f>
        <v>45532.666666666599</v>
      </c>
      <c r="B152" s="5">
        <v>7658.88</v>
      </c>
    </row>
    <row r="153" spans="1:2" x14ac:dyDescent="0.2">
      <c r="A153" s="2">
        <f ca="1">IFERROR(__xludf.DUMMYFUNCTION("""COMPUTED_VALUE"""),45533.6666666666)</f>
        <v>45533.666666666599</v>
      </c>
      <c r="B153" s="5">
        <v>7627.6</v>
      </c>
    </row>
    <row r="154" spans="1:2" x14ac:dyDescent="0.2">
      <c r="A154" s="2">
        <f ca="1">IFERROR(__xludf.DUMMYFUNCTION("""COMPUTED_VALUE"""),45534.6666666666)</f>
        <v>45534.666666666599</v>
      </c>
      <c r="B154" s="5">
        <v>7670.73</v>
      </c>
    </row>
    <row r="155" spans="1:2" x14ac:dyDescent="0.2">
      <c r="A155" s="2">
        <f ca="1">IFERROR(__xludf.DUMMYFUNCTION("""COMPUTED_VALUE"""),45537.6666666666)</f>
        <v>45537.666666666599</v>
      </c>
      <c r="B155" s="5">
        <v>7694.53</v>
      </c>
    </row>
    <row r="156" spans="1:2" x14ac:dyDescent="0.2">
      <c r="A156" s="2">
        <f ca="1">IFERROR(__xludf.DUMMYFUNCTION("""COMPUTED_VALUE"""),45538.6666666666)</f>
        <v>45538.666666666599</v>
      </c>
      <c r="B156" s="5">
        <v>7616.52</v>
      </c>
    </row>
    <row r="157" spans="1:2" x14ac:dyDescent="0.2">
      <c r="A157" s="2">
        <f ca="1">IFERROR(__xludf.DUMMYFUNCTION("""COMPUTED_VALUE"""),45539.6666666666)</f>
        <v>45539.666666666599</v>
      </c>
      <c r="B157" s="5">
        <v>7672.9</v>
      </c>
    </row>
    <row r="158" spans="1:2" x14ac:dyDescent="0.2">
      <c r="A158" s="2">
        <f ca="1">IFERROR(__xludf.DUMMYFUNCTION("""COMPUTED_VALUE"""),45540.6666666666)</f>
        <v>45540.666666666599</v>
      </c>
      <c r="B158" s="5">
        <v>7681.04</v>
      </c>
    </row>
    <row r="159" spans="1:2" x14ac:dyDescent="0.2">
      <c r="A159" s="2">
        <f ca="1">IFERROR(__xludf.DUMMYFUNCTION("""COMPUTED_VALUE"""),45541.6666666666)</f>
        <v>45541.666666666599</v>
      </c>
      <c r="B159" s="5">
        <v>7721.85</v>
      </c>
    </row>
    <row r="160" spans="1:2" x14ac:dyDescent="0.2">
      <c r="A160" s="2">
        <f ca="1">IFERROR(__xludf.DUMMYFUNCTION("""COMPUTED_VALUE"""),45544.6666666666)</f>
        <v>45544.666666666599</v>
      </c>
      <c r="B160" s="5">
        <v>7702.74</v>
      </c>
    </row>
    <row r="161" spans="1:2" x14ac:dyDescent="0.2">
      <c r="A161" s="2">
        <f ca="1">IFERROR(__xludf.DUMMYFUNCTION("""COMPUTED_VALUE"""),45545.6666666666)</f>
        <v>45545.666666666599</v>
      </c>
      <c r="B161" s="5">
        <v>7761.39</v>
      </c>
    </row>
    <row r="162" spans="1:2" x14ac:dyDescent="0.2">
      <c r="A162" s="2">
        <f ca="1">IFERROR(__xludf.DUMMYFUNCTION("""COMPUTED_VALUE"""),45546.6666666666)</f>
        <v>45546.666666666599</v>
      </c>
      <c r="B162" s="5">
        <v>7760.96</v>
      </c>
    </row>
    <row r="163" spans="1:2" x14ac:dyDescent="0.2">
      <c r="A163" s="2">
        <f ca="1">IFERROR(__xludf.DUMMYFUNCTION("""COMPUTED_VALUE"""),45547.6666666666)</f>
        <v>45547.666666666599</v>
      </c>
      <c r="B163" s="5">
        <v>7798.15</v>
      </c>
    </row>
    <row r="164" spans="1:2" x14ac:dyDescent="0.2">
      <c r="A164" s="2">
        <f ca="1">IFERROR(__xludf.DUMMYFUNCTION("""COMPUTED_VALUE"""),45548.6666666666)</f>
        <v>45548.666666666599</v>
      </c>
      <c r="B164" s="5">
        <v>7812.13</v>
      </c>
    </row>
    <row r="165" spans="1:2" x14ac:dyDescent="0.2">
      <c r="A165" s="2">
        <f ca="1">IFERROR(__xludf.DUMMYFUNCTION("""COMPUTED_VALUE"""),45552.6666666666)</f>
        <v>45552.666666666599</v>
      </c>
      <c r="B165" s="5">
        <v>7831.78</v>
      </c>
    </row>
    <row r="166" spans="1:2" x14ac:dyDescent="0.2">
      <c r="A166" s="2">
        <f ca="1">IFERROR(__xludf.DUMMYFUNCTION("""COMPUTED_VALUE"""),45553.6666666666)</f>
        <v>45553.666666666599</v>
      </c>
      <c r="B166" s="5">
        <v>7829.14</v>
      </c>
    </row>
    <row r="167" spans="1:2" x14ac:dyDescent="0.2">
      <c r="A167" s="2">
        <f ca="1">IFERROR(__xludf.DUMMYFUNCTION("""COMPUTED_VALUE"""),45554.6666666666)</f>
        <v>45554.666666666599</v>
      </c>
      <c r="B167" s="5">
        <v>7905.39</v>
      </c>
    </row>
    <row r="168" spans="1:2" x14ac:dyDescent="0.2">
      <c r="A168" s="2">
        <f ca="1">IFERROR(__xludf.DUMMYFUNCTION("""COMPUTED_VALUE"""),45555.6666666666)</f>
        <v>45555.666666666599</v>
      </c>
      <c r="B168" s="5">
        <v>7743</v>
      </c>
    </row>
    <row r="169" spans="1:2" x14ac:dyDescent="0.2">
      <c r="A169" s="2">
        <f ca="1">IFERROR(__xludf.DUMMYFUNCTION("""COMPUTED_VALUE"""),45558.6666666666)</f>
        <v>45558.666666666599</v>
      </c>
      <c r="B169" s="5">
        <v>7775.73</v>
      </c>
    </row>
    <row r="170" spans="1:2" x14ac:dyDescent="0.2">
      <c r="A170" s="2">
        <f ca="1">IFERROR(__xludf.DUMMYFUNCTION("""COMPUTED_VALUE"""),45559.6666666666)</f>
        <v>45559.666666666599</v>
      </c>
      <c r="B170" s="5">
        <v>7778.49</v>
      </c>
    </row>
    <row r="171" spans="1:2" x14ac:dyDescent="0.2">
      <c r="A171" s="2">
        <f ca="1">IFERROR(__xludf.DUMMYFUNCTION("""COMPUTED_VALUE"""),45560.6666666666)</f>
        <v>45560.666666666599</v>
      </c>
      <c r="B171" s="5">
        <v>7740.9</v>
      </c>
    </row>
    <row r="172" spans="1:2" x14ac:dyDescent="0.2">
      <c r="A172" s="2">
        <f ca="1">IFERROR(__xludf.DUMMYFUNCTION("""COMPUTED_VALUE"""),45561.6666666666)</f>
        <v>45561.666666666599</v>
      </c>
      <c r="B172" s="5">
        <v>7744.52</v>
      </c>
    </row>
    <row r="173" spans="1:2" x14ac:dyDescent="0.2">
      <c r="A173" s="2">
        <f ca="1">IFERROR(__xludf.DUMMYFUNCTION("""COMPUTED_VALUE"""),45562.6666666666)</f>
        <v>45562.666666666599</v>
      </c>
      <c r="B173" s="5">
        <v>7696.92</v>
      </c>
    </row>
    <row r="174" spans="1:2" x14ac:dyDescent="0.2">
      <c r="A174" s="2">
        <f ca="1">IFERROR(__xludf.DUMMYFUNCTION("""COMPUTED_VALUE"""),45565.6666666666)</f>
        <v>45565.666666666599</v>
      </c>
      <c r="B174" s="5">
        <v>7527.93</v>
      </c>
    </row>
    <row r="175" spans="1:2" x14ac:dyDescent="0.2">
      <c r="A175" s="2">
        <f ca="1">IFERROR(__xludf.DUMMYFUNCTION("""COMPUTED_VALUE"""),45566.6666666666)</f>
        <v>45566.666666666599</v>
      </c>
      <c r="B175" s="5">
        <v>7642.13</v>
      </c>
    </row>
    <row r="176" spans="1:2" x14ac:dyDescent="0.2">
      <c r="A176" s="2">
        <f ca="1">IFERROR(__xludf.DUMMYFUNCTION("""COMPUTED_VALUE"""),45567.6666666666)</f>
        <v>45567.666666666599</v>
      </c>
      <c r="B176" s="5">
        <v>7563.26</v>
      </c>
    </row>
    <row r="177" spans="1:2" x14ac:dyDescent="0.2">
      <c r="A177" s="2">
        <f ca="1">IFERROR(__xludf.DUMMYFUNCTION("""COMPUTED_VALUE"""),45568.6666666666)</f>
        <v>45568.666666666599</v>
      </c>
      <c r="B177" s="5">
        <v>7543.83</v>
      </c>
    </row>
    <row r="178" spans="1:2" x14ac:dyDescent="0.2">
      <c r="A178" s="2">
        <f ca="1">IFERROR(__xludf.DUMMYFUNCTION("""COMPUTED_VALUE"""),45569.6666666666)</f>
        <v>45569.666666666599</v>
      </c>
      <c r="B178" s="5">
        <v>7496.09</v>
      </c>
    </row>
    <row r="179" spans="1:2" x14ac:dyDescent="0.2">
      <c r="A179" s="2">
        <f ca="1">IFERROR(__xludf.DUMMYFUNCTION("""COMPUTED_VALUE"""),45572.6666666666)</f>
        <v>45572.666666666599</v>
      </c>
      <c r="B179" s="5">
        <v>7504.14</v>
      </c>
    </row>
    <row r="180" spans="1:2" x14ac:dyDescent="0.2">
      <c r="A180" s="2">
        <f ca="1">IFERROR(__xludf.DUMMYFUNCTION("""COMPUTED_VALUE"""),45573.6666666666)</f>
        <v>45573.666666666599</v>
      </c>
      <c r="B180" s="5">
        <v>7557.14</v>
      </c>
    </row>
    <row r="181" spans="1:2" x14ac:dyDescent="0.2">
      <c r="A181" s="2">
        <f ca="1">IFERROR(__xludf.DUMMYFUNCTION("""COMPUTED_VALUE"""),45574.6666666666)</f>
        <v>45574.666666666599</v>
      </c>
      <c r="B181" s="5">
        <v>7501.29</v>
      </c>
    </row>
    <row r="182" spans="1:2" x14ac:dyDescent="0.2">
      <c r="A182" s="2">
        <f ca="1">IFERROR(__xludf.DUMMYFUNCTION("""COMPUTED_VALUE"""),45575.6666666666)</f>
        <v>45575.666666666599</v>
      </c>
      <c r="B182" s="5">
        <v>7480.08</v>
      </c>
    </row>
    <row r="183" spans="1:2" x14ac:dyDescent="0.2">
      <c r="A183" s="2">
        <f ca="1">IFERROR(__xludf.DUMMYFUNCTION("""COMPUTED_VALUE"""),45576.6666666666)</f>
        <v>45576.666666666599</v>
      </c>
      <c r="B183" s="5">
        <v>7520.6</v>
      </c>
    </row>
    <row r="184" spans="1:2" x14ac:dyDescent="0.2">
      <c r="A184" s="2">
        <f ca="1">IFERROR(__xludf.DUMMYFUNCTION("""COMPUTED_VALUE"""),45579.6666666666)</f>
        <v>45579.666666666599</v>
      </c>
      <c r="B184" s="5">
        <v>7559.66</v>
      </c>
    </row>
    <row r="185" spans="1:2" x14ac:dyDescent="0.2">
      <c r="A185" s="2">
        <f ca="1">IFERROR(__xludf.DUMMYFUNCTION("""COMPUTED_VALUE"""),45580.6666666666)</f>
        <v>45580.666666666599</v>
      </c>
      <c r="B185" s="5">
        <v>7626.95</v>
      </c>
    </row>
    <row r="186" spans="1:2" x14ac:dyDescent="0.2">
      <c r="A186" s="2">
        <f ca="1">IFERROR(__xludf.DUMMYFUNCTION("""COMPUTED_VALUE"""),45581.6666666666)</f>
        <v>45581.666666666599</v>
      </c>
      <c r="B186" s="5">
        <v>7648.94</v>
      </c>
    </row>
    <row r="187" spans="1:2" x14ac:dyDescent="0.2">
      <c r="A187" s="2">
        <f ca="1">IFERROR(__xludf.DUMMYFUNCTION("""COMPUTED_VALUE"""),45582.6666666666)</f>
        <v>45582.666666666599</v>
      </c>
      <c r="B187" s="5">
        <v>7735.04</v>
      </c>
    </row>
    <row r="188" spans="1:2" x14ac:dyDescent="0.2">
      <c r="A188" s="2">
        <f ca="1">IFERROR(__xludf.DUMMYFUNCTION("""COMPUTED_VALUE"""),45583.6666666666)</f>
        <v>45583.666666666599</v>
      </c>
      <c r="B188" s="5">
        <v>7760.06</v>
      </c>
    </row>
    <row r="189" spans="1:2" x14ac:dyDescent="0.2">
      <c r="A189" s="2">
        <f ca="1">IFERROR(__xludf.DUMMYFUNCTION("""COMPUTED_VALUE"""),45586.6666666666)</f>
        <v>45586.666666666599</v>
      </c>
      <c r="B189" s="5">
        <v>7772.6</v>
      </c>
    </row>
    <row r="190" spans="1:2" x14ac:dyDescent="0.2">
      <c r="A190" s="2">
        <f ca="1">IFERROR(__xludf.DUMMYFUNCTION("""COMPUTED_VALUE"""),45587.6666666666)</f>
        <v>45587.666666666599</v>
      </c>
      <c r="B190" s="5">
        <v>7788.98</v>
      </c>
    </row>
    <row r="191" spans="1:2" x14ac:dyDescent="0.2">
      <c r="A191" s="2">
        <f ca="1">IFERROR(__xludf.DUMMYFUNCTION("""COMPUTED_VALUE"""),45588.6666666666)</f>
        <v>45588.666666666599</v>
      </c>
      <c r="B191" s="5">
        <v>7787.57</v>
      </c>
    </row>
    <row r="192" spans="1:2" x14ac:dyDescent="0.2">
      <c r="A192" s="2">
        <f ca="1">IFERROR(__xludf.DUMMYFUNCTION("""COMPUTED_VALUE"""),45589.6666666666)</f>
        <v>45589.666666666599</v>
      </c>
      <c r="B192" s="5">
        <v>7716.55</v>
      </c>
    </row>
    <row r="193" spans="1:2" x14ac:dyDescent="0.2">
      <c r="A193" s="2">
        <f ca="1">IFERROR(__xludf.DUMMYFUNCTION("""COMPUTED_VALUE"""),45590.6666666666)</f>
        <v>45590.666666666599</v>
      </c>
      <c r="B193" s="5">
        <v>7694.66</v>
      </c>
    </row>
    <row r="194" spans="1:2" x14ac:dyDescent="0.2">
      <c r="A194" s="2">
        <f ca="1">IFERROR(__xludf.DUMMYFUNCTION("""COMPUTED_VALUE"""),45593.6666666666)</f>
        <v>45593.666666666599</v>
      </c>
      <c r="B194" s="5">
        <v>7634.63</v>
      </c>
    </row>
    <row r="195" spans="1:2" x14ac:dyDescent="0.2">
      <c r="A195" s="2">
        <f ca="1">IFERROR(__xludf.DUMMYFUNCTION("""COMPUTED_VALUE"""),45594.6666666666)</f>
        <v>45594.666666666599</v>
      </c>
      <c r="B195" s="5">
        <v>7606.6</v>
      </c>
    </row>
    <row r="196" spans="1:2" x14ac:dyDescent="0.2">
      <c r="A196" s="2">
        <f ca="1">IFERROR(__xludf.DUMMYFUNCTION("""COMPUTED_VALUE"""),45595.6666666666)</f>
        <v>45595.666666666599</v>
      </c>
      <c r="B196" s="5">
        <v>7569.85</v>
      </c>
    </row>
    <row r="197" spans="1:2" x14ac:dyDescent="0.2">
      <c r="A197" s="2">
        <f ca="1">IFERROR(__xludf.DUMMYFUNCTION("""COMPUTED_VALUE"""),45596.6666666666)</f>
        <v>45596.666666666599</v>
      </c>
      <c r="B197" s="5">
        <v>7574.02</v>
      </c>
    </row>
    <row r="198" spans="1:2" x14ac:dyDescent="0.2">
      <c r="A198" s="2">
        <f ca="1">IFERROR(__xludf.DUMMYFUNCTION("""COMPUTED_VALUE"""),45597.6666666666)</f>
        <v>45597.666666666599</v>
      </c>
      <c r="B198" s="5">
        <v>7505.26</v>
      </c>
    </row>
    <row r="199" spans="1:2" x14ac:dyDescent="0.2">
      <c r="A199" s="2">
        <f ca="1">IFERROR(__xludf.DUMMYFUNCTION("""COMPUTED_VALUE"""),45600.6666666666)</f>
        <v>45600.666666666599</v>
      </c>
      <c r="B199" s="5">
        <v>7479.5</v>
      </c>
    </row>
    <row r="200" spans="1:2" x14ac:dyDescent="0.2">
      <c r="A200" s="2">
        <f ca="1">IFERROR(__xludf.DUMMYFUNCTION("""COMPUTED_VALUE"""),45601.6666666666)</f>
        <v>45601.666666666599</v>
      </c>
      <c r="B200" s="5">
        <v>7491.93</v>
      </c>
    </row>
    <row r="201" spans="1:2" x14ac:dyDescent="0.2">
      <c r="A201" s="2">
        <f ca="1">IFERROR(__xludf.DUMMYFUNCTION("""COMPUTED_VALUE"""),45602.6666666666)</f>
        <v>45602.666666666599</v>
      </c>
      <c r="B201" s="5">
        <v>7383.87</v>
      </c>
    </row>
    <row r="202" spans="1:2" x14ac:dyDescent="0.2">
      <c r="A202" s="2">
        <f ca="1">IFERROR(__xludf.DUMMYFUNCTION("""COMPUTED_VALUE"""),45603.6666666666)</f>
        <v>45603.666666666599</v>
      </c>
      <c r="B202" s="5">
        <v>7243.86</v>
      </c>
    </row>
    <row r="203" spans="1:2" x14ac:dyDescent="0.2">
      <c r="A203" s="2">
        <f ca="1">IFERROR(__xludf.DUMMYFUNCTION("""COMPUTED_VALUE"""),45604.6666666666)</f>
        <v>45604.666666666599</v>
      </c>
      <c r="B203" s="5">
        <v>7287.19</v>
      </c>
    </row>
    <row r="204" spans="1:2" x14ac:dyDescent="0.2">
      <c r="A204" s="2">
        <f ca="1">IFERROR(__xludf.DUMMYFUNCTION("""COMPUTED_VALUE"""),45607.6666666666)</f>
        <v>45607.666666666599</v>
      </c>
      <c r="B204" s="5">
        <v>7266.46</v>
      </c>
    </row>
    <row r="205" spans="1:2" x14ac:dyDescent="0.2">
      <c r="A205" s="2">
        <f ca="1">IFERROR(__xludf.DUMMYFUNCTION("""COMPUTED_VALUE"""),45608.6666666666)</f>
        <v>45608.666666666599</v>
      </c>
      <c r="B205" s="5">
        <v>7321.99</v>
      </c>
    </row>
    <row r="206" spans="1:2" x14ac:dyDescent="0.2">
      <c r="A206" s="2">
        <f ca="1">IFERROR(__xludf.DUMMYFUNCTION("""COMPUTED_VALUE"""),45609.6666666666)</f>
        <v>45609.666666666599</v>
      </c>
      <c r="B206" s="5">
        <v>7308.67</v>
      </c>
    </row>
    <row r="207" spans="1:2" x14ac:dyDescent="0.2">
      <c r="A207" s="2">
        <f ca="1">IFERROR(__xludf.DUMMYFUNCTION("""COMPUTED_VALUE"""),45610.6666666666)</f>
        <v>45610.666666666599</v>
      </c>
      <c r="B207" s="5">
        <v>7214.56</v>
      </c>
    </row>
    <row r="208" spans="1:2" x14ac:dyDescent="0.2">
      <c r="A208" s="2">
        <f ca="1">IFERROR(__xludf.DUMMYFUNCTION("""COMPUTED_VALUE"""),45611.6666666666)</f>
        <v>45611.666666666599</v>
      </c>
      <c r="B208" s="5">
        <v>7161.26</v>
      </c>
    </row>
    <row r="209" spans="1:2" x14ac:dyDescent="0.2">
      <c r="A209" s="2">
        <f ca="1">IFERROR(__xludf.DUMMYFUNCTION("""COMPUTED_VALUE"""),45614.6666666666)</f>
        <v>45614.666666666599</v>
      </c>
      <c r="B209" s="5">
        <v>7134.28</v>
      </c>
    </row>
    <row r="210" spans="1:2" x14ac:dyDescent="0.2">
      <c r="A210" s="2">
        <f ca="1">IFERROR(__xludf.DUMMYFUNCTION("""COMPUTED_VALUE"""),45615.6666666666)</f>
        <v>45615.666666666599</v>
      </c>
      <c r="B210" s="5">
        <v>7195.72</v>
      </c>
    </row>
    <row r="211" spans="1:2" x14ac:dyDescent="0.2">
      <c r="A211" s="2">
        <f ca="1">IFERROR(__xludf.DUMMYFUNCTION("""COMPUTED_VALUE"""),45616.6666666666)</f>
        <v>45616.666666666599</v>
      </c>
      <c r="B211" s="5">
        <v>7180.34</v>
      </c>
    </row>
    <row r="212" spans="1:2" x14ac:dyDescent="0.2">
      <c r="A212" s="2">
        <f ca="1">IFERROR(__xludf.DUMMYFUNCTION("""COMPUTED_VALUE"""),45617.6666666666)</f>
        <v>45617.666666666599</v>
      </c>
      <c r="B212" s="5">
        <v>7140.91</v>
      </c>
    </row>
    <row r="213" spans="1:2" x14ac:dyDescent="0.2">
      <c r="A213" s="2">
        <f ca="1">IFERROR(__xludf.DUMMYFUNCTION("""COMPUTED_VALUE"""),45618.6666666666)</f>
        <v>45618.666666666599</v>
      </c>
      <c r="B213" s="5">
        <v>7195.57</v>
      </c>
    </row>
    <row r="214" spans="1:2" x14ac:dyDescent="0.2">
      <c r="A214" s="2">
        <f ca="1">IFERROR(__xludf.DUMMYFUNCTION("""COMPUTED_VALUE"""),45621.6666666666)</f>
        <v>45621.666666666599</v>
      </c>
      <c r="B214" s="5">
        <v>7314.11</v>
      </c>
    </row>
    <row r="215" spans="1:2" x14ac:dyDescent="0.2">
      <c r="A215" s="2">
        <f ca="1">IFERROR(__xludf.DUMMYFUNCTION("""COMPUTED_VALUE"""),45622.6666666666)</f>
        <v>45622.666666666599</v>
      </c>
      <c r="B215" s="5">
        <v>7245.89</v>
      </c>
    </row>
    <row r="216" spans="1:2" x14ac:dyDescent="0.2">
      <c r="A216" s="2">
        <f ca="1">IFERROR(__xludf.DUMMYFUNCTION("""COMPUTED_VALUE"""),45624.6666666666)</f>
        <v>45624.666666666599</v>
      </c>
      <c r="B216" s="5">
        <v>7200.16</v>
      </c>
    </row>
    <row r="217" spans="1:2" x14ac:dyDescent="0.2">
      <c r="A217" s="2">
        <f ca="1">IFERROR(__xludf.DUMMYFUNCTION("""COMPUTED_VALUE"""),45625.6666666666)</f>
        <v>45625.666666666599</v>
      </c>
      <c r="B217" s="5">
        <v>7114.27</v>
      </c>
    </row>
    <row r="218" spans="1:2" x14ac:dyDescent="0.2">
      <c r="A218" s="2">
        <f ca="1">IFERROR(__xludf.DUMMYFUNCTION("""COMPUTED_VALUE"""),45628.6666666666)</f>
        <v>45628.666666666599</v>
      </c>
      <c r="B218" s="5">
        <v>7046.99</v>
      </c>
    </row>
    <row r="219" spans="1:2" x14ac:dyDescent="0.2">
      <c r="A219" s="2">
        <f ca="1">IFERROR(__xludf.DUMMYFUNCTION("""COMPUTED_VALUE"""),45629.6666666666)</f>
        <v>45629.666666666599</v>
      </c>
      <c r="B219" s="5">
        <v>7196.02</v>
      </c>
    </row>
    <row r="220" spans="1:2" x14ac:dyDescent="0.2">
      <c r="A220" s="2">
        <f ca="1">IFERROR(__xludf.DUMMYFUNCTION("""COMPUTED_VALUE"""),45630.6666666666)</f>
        <v>45630.666666666599</v>
      </c>
      <c r="B220" s="5">
        <v>7326.76</v>
      </c>
    </row>
    <row r="221" spans="1:2" x14ac:dyDescent="0.2">
      <c r="A221" s="2">
        <f ca="1">IFERROR(__xludf.DUMMYFUNCTION("""COMPUTED_VALUE"""),45631.6666666666)</f>
        <v>45631.666666666599</v>
      </c>
      <c r="B221" s="5">
        <v>7313.31</v>
      </c>
    </row>
    <row r="222" spans="1:2" x14ac:dyDescent="0.2">
      <c r="A222" s="2">
        <f ca="1">IFERROR(__xludf.DUMMYFUNCTION("""COMPUTED_VALUE"""),45632.6666666666)</f>
        <v>45632.666666666599</v>
      </c>
      <c r="B222" s="5">
        <v>7382.79</v>
      </c>
    </row>
    <row r="223" spans="1:2" x14ac:dyDescent="0.2">
      <c r="A223" s="2">
        <f ca="1">IFERROR(__xludf.DUMMYFUNCTION("""COMPUTED_VALUE"""),45635.6666666666)</f>
        <v>45635.666666666599</v>
      </c>
      <c r="B223" s="5">
        <v>7437.73</v>
      </c>
    </row>
    <row r="224" spans="1:2" x14ac:dyDescent="0.2">
      <c r="A224" s="2">
        <f ca="1">IFERROR(__xludf.DUMMYFUNCTION("""COMPUTED_VALUE"""),45636.6666666666)</f>
        <v>45636.666666666599</v>
      </c>
      <c r="B224" s="5">
        <v>7453.29</v>
      </c>
    </row>
    <row r="225" spans="1:2" x14ac:dyDescent="0.2">
      <c r="A225" s="2">
        <f ca="1">IFERROR(__xludf.DUMMYFUNCTION("""COMPUTED_VALUE"""),45637.6666666666)</f>
        <v>45637.666666666599</v>
      </c>
      <c r="B225" s="5">
        <v>7464.75</v>
      </c>
    </row>
    <row r="226" spans="1:2" x14ac:dyDescent="0.2">
      <c r="A226" s="2">
        <f ca="1">IFERROR(__xludf.DUMMYFUNCTION("""COMPUTED_VALUE"""),45638.6666666666)</f>
        <v>45638.666666666599</v>
      </c>
      <c r="B226" s="5">
        <v>7394.24</v>
      </c>
    </row>
    <row r="227" spans="1:2" x14ac:dyDescent="0.2">
      <c r="A227" s="2">
        <f ca="1">IFERROR(__xludf.DUMMYFUNCTION("""COMPUTED_VALUE"""),45639.6666666666)</f>
        <v>45639.666666666599</v>
      </c>
      <c r="B227" s="5">
        <v>7324.79</v>
      </c>
    </row>
    <row r="228" spans="1:2" x14ac:dyDescent="0.2">
      <c r="A228" s="2">
        <f ca="1">IFERROR(__xludf.DUMMYFUNCTION("""COMPUTED_VALUE"""),45642.6666666666)</f>
        <v>45642.666666666599</v>
      </c>
      <c r="B228" s="5">
        <v>7258.63</v>
      </c>
    </row>
    <row r="229" spans="1:2" x14ac:dyDescent="0.2">
      <c r="A229" s="2">
        <f ca="1">IFERROR(__xludf.DUMMYFUNCTION("""COMPUTED_VALUE"""),45643.6666666666)</f>
        <v>45643.666666666599</v>
      </c>
      <c r="B229" s="5">
        <v>7157.73</v>
      </c>
    </row>
    <row r="230" spans="1:2" x14ac:dyDescent="0.2">
      <c r="A230" s="2">
        <f ca="1">IFERROR(__xludf.DUMMYFUNCTION("""COMPUTED_VALUE"""),45644.6666666666)</f>
        <v>45644.666666666599</v>
      </c>
      <c r="B230" s="5">
        <v>7107.88</v>
      </c>
    </row>
    <row r="231" spans="1:2" x14ac:dyDescent="0.2">
      <c r="A231" s="2">
        <f ca="1">IFERROR(__xludf.DUMMYFUNCTION("""COMPUTED_VALUE"""),45645.6666666666)</f>
        <v>45645.666666666599</v>
      </c>
      <c r="B231" s="5">
        <v>6977.24</v>
      </c>
    </row>
    <row r="232" spans="1:2" x14ac:dyDescent="0.2">
      <c r="A232" s="2">
        <f ca="1">IFERROR(__xludf.DUMMYFUNCTION("""COMPUTED_VALUE"""),45646.6666666666)</f>
        <v>45646.666666666599</v>
      </c>
      <c r="B232" s="5">
        <v>6983.87</v>
      </c>
    </row>
    <row r="233" spans="1:2" x14ac:dyDescent="0.2">
      <c r="A233" s="2">
        <f ca="1">IFERROR(__xludf.DUMMYFUNCTION("""COMPUTED_VALUE"""),45649.6666666666)</f>
        <v>45649.666666666599</v>
      </c>
      <c r="B233" s="5">
        <v>7096.45</v>
      </c>
    </row>
    <row r="234" spans="1:2" x14ac:dyDescent="0.2">
      <c r="A234" s="2">
        <f ca="1">IFERROR(__xludf.DUMMYFUNCTION("""COMPUTED_VALUE"""),45650.6666666666)</f>
        <v>45650.666666666599</v>
      </c>
      <c r="B234" s="5">
        <v>7065.75</v>
      </c>
    </row>
    <row r="235" spans="1:2" x14ac:dyDescent="0.2">
      <c r="A235" s="2">
        <f ca="1">IFERROR(__xludf.DUMMYFUNCTION("""COMPUTED_VALUE"""),45653.6666666666)</f>
        <v>45653.666666666599</v>
      </c>
      <c r="B235" s="5">
        <v>7036.57</v>
      </c>
    </row>
    <row r="236" spans="1:2" x14ac:dyDescent="0.2">
      <c r="A236" s="2">
        <f ca="1">IFERROR(__xludf.DUMMYFUNCTION("""COMPUTED_VALUE"""),45656.6666666666)</f>
        <v>45656.666666666599</v>
      </c>
      <c r="B236" s="5">
        <v>7079.91</v>
      </c>
    </row>
    <row r="237" spans="1:2" x14ac:dyDescent="0.2">
      <c r="A237" s="2">
        <f ca="1">IFERROR(__xludf.DUMMYFUNCTION("""COMPUTED_VALUE"""),45659.6666666666)</f>
        <v>45659.666666666599</v>
      </c>
      <c r="B237" s="5">
        <v>7163.21</v>
      </c>
    </row>
    <row r="238" spans="1:2" x14ac:dyDescent="0.2">
      <c r="A238" s="2">
        <f ca="1">IFERROR(__xludf.DUMMYFUNCTION("""COMPUTED_VALUE"""),45660.6666666666)</f>
        <v>45660.666666666599</v>
      </c>
      <c r="B238" s="5">
        <v>7164.43</v>
      </c>
    </row>
    <row r="239" spans="1:2" x14ac:dyDescent="0.2">
      <c r="A239" s="2">
        <f ca="1">IFERROR(__xludf.DUMMYFUNCTION("""COMPUTED_VALUE"""),45663.6666666666)</f>
        <v>45663.666666666599</v>
      </c>
      <c r="B239" s="5">
        <v>7080.47</v>
      </c>
    </row>
    <row r="240" spans="1:2" x14ac:dyDescent="0.2">
      <c r="A240" s="2">
        <f ca="1">IFERROR(__xludf.DUMMYFUNCTION("""COMPUTED_VALUE"""),45664.6666666666)</f>
        <v>45664.666666666599</v>
      </c>
      <c r="B240" s="5">
        <v>7083.28</v>
      </c>
    </row>
    <row r="241" spans="1:2" x14ac:dyDescent="0.2">
      <c r="A241" s="2">
        <f ca="1">IFERROR(__xludf.DUMMYFUNCTION("""COMPUTED_VALUE"""),45665.6666666666)</f>
        <v>45665.666666666599</v>
      </c>
      <c r="B241" s="5">
        <v>7080.35</v>
      </c>
    </row>
    <row r="242" spans="1:2" x14ac:dyDescent="0.2">
      <c r="A242" s="2">
        <f ca="1">IFERROR(__xludf.DUMMYFUNCTION("""COMPUTED_VALUE"""),45666.6666666666)</f>
        <v>45666.666666666599</v>
      </c>
      <c r="B242" s="5">
        <v>7064.59</v>
      </c>
    </row>
    <row r="243" spans="1:2" x14ac:dyDescent="0.2">
      <c r="A243" s="2">
        <f ca="1">IFERROR(__xludf.DUMMYFUNCTION("""COMPUTED_VALUE"""),45667.6666666666)</f>
        <v>45667.666666666599</v>
      </c>
      <c r="B243" s="5">
        <v>7088.87</v>
      </c>
    </row>
    <row r="244" spans="1:2" x14ac:dyDescent="0.2">
      <c r="A244" s="2">
        <f ca="1">IFERROR(__xludf.DUMMYFUNCTION("""COMPUTED_VALUE"""),45670.6666666666)</f>
        <v>45670.666666666599</v>
      </c>
      <c r="B244" s="5">
        <v>7016.88</v>
      </c>
    </row>
    <row r="245" spans="1:2" x14ac:dyDescent="0.2">
      <c r="A245" s="2">
        <f ca="1">IFERROR(__xludf.DUMMYFUNCTION("""COMPUTED_VALUE"""),45671.6666666666)</f>
        <v>45671.666666666599</v>
      </c>
      <c r="B245" s="5">
        <v>6956.67</v>
      </c>
    </row>
    <row r="246" spans="1:2" x14ac:dyDescent="0.2">
      <c r="A246" s="2">
        <f ca="1">IFERROR(__xludf.DUMMYFUNCTION("""COMPUTED_VALUE"""),45672.6666666666)</f>
        <v>45672.666666666599</v>
      </c>
      <c r="B246" s="5">
        <v>7079.56</v>
      </c>
    </row>
    <row r="247" spans="1:2" x14ac:dyDescent="0.2">
      <c r="A247" s="2">
        <f ca="1">IFERROR(__xludf.DUMMYFUNCTION("""COMPUTED_VALUE"""),45673.6666666666)</f>
        <v>45673.666666666599</v>
      </c>
      <c r="B247" s="5">
        <v>7107.52</v>
      </c>
    </row>
    <row r="248" spans="1:2" x14ac:dyDescent="0.2">
      <c r="A248" s="2">
        <f ca="1">IFERROR(__xludf.DUMMYFUNCTION("""COMPUTED_VALUE"""),45674.6666666666)</f>
        <v>45674.666666666599</v>
      </c>
      <c r="B248" s="5">
        <v>7154.66</v>
      </c>
    </row>
    <row r="249" spans="1:2" x14ac:dyDescent="0.2">
      <c r="A249" s="2">
        <f ca="1">IFERROR(__xludf.DUMMYFUNCTION("""COMPUTED_VALUE"""),45677.6666666666)</f>
        <v>45677.666666666599</v>
      </c>
      <c r="B249" s="5">
        <v>7170.74</v>
      </c>
    </row>
    <row r="250" spans="1:2" x14ac:dyDescent="0.2">
      <c r="A250" s="2">
        <f ca="1">IFERROR(__xludf.DUMMYFUNCTION("""COMPUTED_VALUE"""),45678.6666666666)</f>
        <v>45678.666666666599</v>
      </c>
      <c r="B250" s="5">
        <v>7181.82</v>
      </c>
    </row>
    <row r="251" spans="1:2" x14ac:dyDescent="0.2">
      <c r="A251" s="2">
        <f ca="1">IFERROR(__xludf.DUMMYFUNCTION("""COMPUTED_VALUE"""),45679.6666666666)</f>
        <v>45679.666666666599</v>
      </c>
      <c r="B251" s="5">
        <v>7257.13</v>
      </c>
    </row>
    <row r="252" spans="1:2" x14ac:dyDescent="0.2">
      <c r="A252" s="2">
        <f ca="1">IFERROR(__xludf.DUMMYFUNCTION("""COMPUTED_VALUE"""),45680.6666666666)</f>
        <v>45680.666666666599</v>
      </c>
      <c r="B252" s="5">
        <v>7232.64</v>
      </c>
    </row>
    <row r="253" spans="1:2" x14ac:dyDescent="0.2">
      <c r="A253" s="2">
        <f ca="1">IFERROR(__xludf.DUMMYFUNCTION("""COMPUTED_VALUE"""),45681.6666666666)</f>
        <v>45681.666666666599</v>
      </c>
      <c r="B253" s="5">
        <v>7166.06</v>
      </c>
    </row>
    <row r="254" spans="1:2" x14ac:dyDescent="0.2">
      <c r="A254" s="2">
        <f ca="1">IFERROR(__xludf.DUMMYFUNCTION("""COMPUTED_VALUE"""),45687.6666666666)</f>
        <v>45687.666666666599</v>
      </c>
      <c r="B254" s="5">
        <v>7073.48</v>
      </c>
    </row>
    <row r="255" spans="1:2" x14ac:dyDescent="0.2">
      <c r="A255" s="2">
        <f ca="1">IFERROR(__xludf.DUMMYFUNCTION("""COMPUTED_VALUE"""),45688.6666666666)</f>
        <v>45688.666666666599</v>
      </c>
      <c r="B255" s="5">
        <v>7109.2</v>
      </c>
    </row>
    <row r="256" spans="1:2" x14ac:dyDescent="0.2">
      <c r="A256" s="2">
        <f ca="1">IFERROR(__xludf.DUMMYFUNCTION("""COMPUTED_VALUE"""),45691.6666666666)</f>
        <v>45691.666666666599</v>
      </c>
      <c r="B256" s="5">
        <v>7030.06</v>
      </c>
    </row>
    <row r="257" spans="1:2" x14ac:dyDescent="0.2">
      <c r="A257" s="2">
        <f ca="1">IFERROR(__xludf.DUMMYFUNCTION("""COMPUTED_VALUE"""),45692.6666666666)</f>
        <v>45692.666666666599</v>
      </c>
      <c r="B257" s="5">
        <v>7073.46</v>
      </c>
    </row>
    <row r="258" spans="1:2" x14ac:dyDescent="0.2">
      <c r="A258" s="2">
        <f ca="1">IFERROR(__xludf.DUMMYFUNCTION("""COMPUTED_VALUE"""),45693.6666666666)</f>
        <v>45693.666666666599</v>
      </c>
      <c r="B258" s="5">
        <v>7024.23</v>
      </c>
    </row>
    <row r="259" spans="1:2" x14ac:dyDescent="0.2">
      <c r="A259" s="2">
        <f ca="1">IFERROR(__xludf.DUMMYFUNCTION("""COMPUTED_VALUE"""),45694.6666666666)</f>
        <v>45694.666666666599</v>
      </c>
      <c r="B259" s="5">
        <v>6875.54</v>
      </c>
    </row>
    <row r="260" spans="1:2" x14ac:dyDescent="0.2">
      <c r="A260" s="2">
        <f ca="1">IFERROR(__xludf.DUMMYFUNCTION("""COMPUTED_VALUE"""),45695.6666666666)</f>
        <v>45695.666666666599</v>
      </c>
      <c r="B260" s="5">
        <v>6742.58</v>
      </c>
    </row>
    <row r="261" spans="1:2" x14ac:dyDescent="0.2">
      <c r="A261" s="2">
        <f ca="1">IFERROR(__xludf.DUMMYFUNCTION("""COMPUTED_VALUE"""),45698.6666666666)</f>
        <v>45698.666666666599</v>
      </c>
      <c r="B261" s="5">
        <v>6648.14</v>
      </c>
    </row>
    <row r="262" spans="1:2" x14ac:dyDescent="0.2">
      <c r="A262" s="2">
        <f ca="1">IFERROR(__xludf.DUMMYFUNCTION("""COMPUTED_VALUE"""),45699.6666666666)</f>
        <v>45699.666666666599</v>
      </c>
      <c r="B262" s="5">
        <v>6531.99</v>
      </c>
    </row>
    <row r="263" spans="1:2" x14ac:dyDescent="0.2">
      <c r="A263" s="2">
        <f ca="1">IFERROR(__xludf.DUMMYFUNCTION("""COMPUTED_VALUE"""),45700.6666666666)</f>
        <v>45700.666666666599</v>
      </c>
      <c r="B263" s="5">
        <v>6645.78</v>
      </c>
    </row>
    <row r="264" spans="1:2" x14ac:dyDescent="0.2">
      <c r="A264" s="2">
        <f ca="1">IFERROR(__xludf.DUMMYFUNCTION("""COMPUTED_VALUE"""),45701.6666666666)</f>
        <v>45701.666666666599</v>
      </c>
      <c r="B264" s="5">
        <v>6613.57</v>
      </c>
    </row>
    <row r="265" spans="1:2" x14ac:dyDescent="0.2">
      <c r="A265" s="2">
        <f ca="1">IFERROR(__xludf.DUMMYFUNCTION("""COMPUTED_VALUE"""),45702.6666666666)</f>
        <v>45702.666666666599</v>
      </c>
      <c r="B265" s="5">
        <v>6638.46</v>
      </c>
    </row>
    <row r="266" spans="1:2" x14ac:dyDescent="0.2">
      <c r="A266" s="2">
        <f ca="1">IFERROR(__xludf.DUMMYFUNCTION("""COMPUTED_VALUE"""),45705.6666666666)</f>
        <v>45705.666666666599</v>
      </c>
      <c r="B266" s="5">
        <v>6830.88</v>
      </c>
    </row>
    <row r="267" spans="1:2" x14ac:dyDescent="0.2">
      <c r="A267" s="2">
        <f ca="1">IFERROR(__xludf.DUMMYFUNCTION("""COMPUTED_VALUE"""),45706.6666666666)</f>
        <v>45706.666666666599</v>
      </c>
      <c r="B267" s="5">
        <v>6873.55</v>
      </c>
    </row>
    <row r="268" spans="1:2" x14ac:dyDescent="0.2">
      <c r="A268" s="2">
        <f ca="1">IFERROR(__xludf.DUMMYFUNCTION("""COMPUTED_VALUE"""),45707.6666666666)</f>
        <v>45707.666666666599</v>
      </c>
      <c r="B268" s="5">
        <v>6794.87</v>
      </c>
    </row>
    <row r="269" spans="1:2" x14ac:dyDescent="0.2">
      <c r="A269" s="2">
        <f ca="1">IFERROR(__xludf.DUMMYFUNCTION("""COMPUTED_VALUE"""),45708.6666666666)</f>
        <v>45708.666666666599</v>
      </c>
      <c r="B269" s="5">
        <v>6788.04</v>
      </c>
    </row>
    <row r="270" spans="1:2" x14ac:dyDescent="0.2">
      <c r="A270" s="2">
        <f ca="1">IFERROR(__xludf.DUMMYFUNCTION("""COMPUTED_VALUE"""),45709.6666666666)</f>
        <v>45709.666666666599</v>
      </c>
      <c r="B270" s="5">
        <v>6803</v>
      </c>
    </row>
    <row r="271" spans="1:2" x14ac:dyDescent="0.2">
      <c r="A271" s="2">
        <f ca="1">IFERROR(__xludf.DUMMYFUNCTION("""COMPUTED_VALUE"""),45712.6666666666)</f>
        <v>45712.666666666599</v>
      </c>
      <c r="B271" s="5">
        <v>6749.6</v>
      </c>
    </row>
    <row r="272" spans="1:2" x14ac:dyDescent="0.2">
      <c r="A272" s="2">
        <f ca="1">IFERROR(__xludf.DUMMYFUNCTION("""COMPUTED_VALUE"""),45713.6666666666)</f>
        <v>45713.666666666599</v>
      </c>
      <c r="B272" s="5">
        <v>6587.09</v>
      </c>
    </row>
    <row r="273" spans="1:2" x14ac:dyDescent="0.2">
      <c r="A273" s="2">
        <f ca="1">IFERROR(__xludf.DUMMYFUNCTION("""COMPUTED_VALUE"""),45714.6666666666)</f>
        <v>45714.666666666599</v>
      </c>
      <c r="B273" s="5">
        <v>6606.18</v>
      </c>
    </row>
    <row r="274" spans="1:2" x14ac:dyDescent="0.2">
      <c r="A274" s="2">
        <f ca="1">IFERROR(__xludf.DUMMYFUNCTION("""COMPUTED_VALUE"""),45715.6666666666)</f>
        <v>45715.666666666599</v>
      </c>
      <c r="B274" s="5">
        <v>6485.45</v>
      </c>
    </row>
    <row r="275" spans="1:2" x14ac:dyDescent="0.2">
      <c r="A275" s="2">
        <f ca="1">IFERROR(__xludf.DUMMYFUNCTION("""COMPUTED_VALUE"""),45716.6666666666)</f>
        <v>45716.666666666599</v>
      </c>
      <c r="B275" s="5">
        <v>6270.6</v>
      </c>
    </row>
    <row r="276" spans="1:2" x14ac:dyDescent="0.2">
      <c r="A276" s="2">
        <f ca="1">IFERROR(__xludf.DUMMYFUNCTION("""COMPUTED_VALUE"""),45719.6666666666)</f>
        <v>45719.666666666599</v>
      </c>
      <c r="B276" s="5">
        <v>6519.66</v>
      </c>
    </row>
    <row r="277" spans="1:2" x14ac:dyDescent="0.2">
      <c r="A277" s="2">
        <f ca="1">IFERROR(__xludf.DUMMYFUNCTION("""COMPUTED_VALUE"""),45720.6666666666)</f>
        <v>45720.666666666599</v>
      </c>
      <c r="B277" s="5">
        <v>6380.4</v>
      </c>
    </row>
    <row r="278" spans="1:2" x14ac:dyDescent="0.2">
      <c r="A278" s="2">
        <f ca="1">IFERROR(__xludf.DUMMYFUNCTION("""COMPUTED_VALUE"""),45721.6666666666)</f>
        <v>45721.666666666599</v>
      </c>
      <c r="B278" s="5">
        <v>6531.4</v>
      </c>
    </row>
    <row r="279" spans="1:2" x14ac:dyDescent="0.2">
      <c r="A279" s="2">
        <f ca="1">IFERROR(__xludf.DUMMYFUNCTION("""COMPUTED_VALUE"""),45722.6666666666)</f>
        <v>45722.666666666599</v>
      </c>
      <c r="B279" s="5">
        <v>6617.85</v>
      </c>
    </row>
    <row r="280" spans="1:2" x14ac:dyDescent="0.2">
      <c r="A280" s="2">
        <f ca="1">IFERROR(__xludf.DUMMYFUNCTION("""COMPUTED_VALUE"""),45723.6666666666)</f>
        <v>45723.666666666599</v>
      </c>
      <c r="B280" s="5">
        <v>6636</v>
      </c>
    </row>
    <row r="281" spans="1:2" x14ac:dyDescent="0.2">
      <c r="A281" s="2">
        <f ca="1">IFERROR(__xludf.DUMMYFUNCTION("""COMPUTED_VALUE"""),45726.6666666666)</f>
        <v>45726.666666666599</v>
      </c>
      <c r="B281" s="5">
        <v>6598.21</v>
      </c>
    </row>
    <row r="282" spans="1:2" x14ac:dyDescent="0.2">
      <c r="A282" s="2">
        <f ca="1">IFERROR(__xludf.DUMMYFUNCTION("""COMPUTED_VALUE"""),45727.6666666666)</f>
        <v>45727.666666666599</v>
      </c>
      <c r="B282" s="5">
        <v>6545.85</v>
      </c>
    </row>
    <row r="283" spans="1:2" x14ac:dyDescent="0.2">
      <c r="A283" s="2">
        <f ca="1">IFERROR(__xludf.DUMMYFUNCTION("""COMPUTED_VALUE"""),45728.6666666666)</f>
        <v>45728.666666666599</v>
      </c>
      <c r="B283" s="5">
        <v>6665.05</v>
      </c>
    </row>
    <row r="284" spans="1:2" x14ac:dyDescent="0.2">
      <c r="A284" s="2">
        <f ca="1">IFERROR(__xludf.DUMMYFUNCTION("""COMPUTED_VALUE"""),45729.6666666666)</f>
        <v>45729.666666666599</v>
      </c>
      <c r="B284" s="5">
        <v>6647.42</v>
      </c>
    </row>
    <row r="285" spans="1:2" x14ac:dyDescent="0.2">
      <c r="A285" s="2">
        <f ca="1">IFERROR(__xludf.DUMMYFUNCTION("""COMPUTED_VALUE"""),45730.6666666666)</f>
        <v>45730.666666666599</v>
      </c>
      <c r="B285" s="5">
        <v>6515.63</v>
      </c>
    </row>
    <row r="286" spans="1:2" x14ac:dyDescent="0.2">
      <c r="A286" s="2">
        <f ca="1">IFERROR(__xludf.DUMMYFUNCTION("""COMPUTED_VALUE"""),45733.6666666666)</f>
        <v>45733.666666666599</v>
      </c>
      <c r="B286" s="5">
        <v>6471.95</v>
      </c>
    </row>
    <row r="287" spans="1:2" x14ac:dyDescent="0.2">
      <c r="A287" s="2">
        <f ca="1">IFERROR(__xludf.DUMMYFUNCTION("""COMPUTED_VALUE"""),45734.6666666666)</f>
        <v>45734.666666666599</v>
      </c>
      <c r="B287" s="5">
        <v>6223.39</v>
      </c>
    </row>
    <row r="288" spans="1:2" x14ac:dyDescent="0.2">
      <c r="A288" s="2">
        <f ca="1">IFERROR(__xludf.DUMMYFUNCTION("""COMPUTED_VALUE"""),45735.6666666666)</f>
        <v>45735.666666666599</v>
      </c>
      <c r="B288" s="5">
        <v>6311.66</v>
      </c>
    </row>
    <row r="289" spans="1:2" x14ac:dyDescent="0.2">
      <c r="A289" s="2">
        <f ca="1">IFERROR(__xludf.DUMMYFUNCTION("""COMPUTED_VALUE"""),45736.6666666666)</f>
        <v>45736.666666666599</v>
      </c>
      <c r="B289" s="5">
        <v>6381.67</v>
      </c>
    </row>
    <row r="290" spans="1:2" x14ac:dyDescent="0.2">
      <c r="A290" s="2">
        <f ca="1">IFERROR(__xludf.DUMMYFUNCTION("""COMPUTED_VALUE"""),45737.6666666666)</f>
        <v>45737.666666666599</v>
      </c>
      <c r="B290" s="5">
        <v>6258.18</v>
      </c>
    </row>
    <row r="291" spans="1:2" x14ac:dyDescent="0.2">
      <c r="A291" s="2">
        <f ca="1">IFERROR(__xludf.DUMMYFUNCTION("""COMPUTED_VALUE"""),45740.6666666666)</f>
        <v>45740.666666666599</v>
      </c>
      <c r="B291" s="5">
        <v>6161.22</v>
      </c>
    </row>
    <row r="292" spans="1:2" x14ac:dyDescent="0.2">
      <c r="A292" s="2">
        <f ca="1">IFERROR(__xludf.DUMMYFUNCTION("""COMPUTED_VALUE"""),45741.6666666666)</f>
        <v>45741.666666666599</v>
      </c>
      <c r="B292" s="5">
        <v>6235.62</v>
      </c>
    </row>
    <row r="293" spans="1:2" x14ac:dyDescent="0.2">
      <c r="A293" s="2">
        <f ca="1">IFERROR(__xludf.DUMMYFUNCTION("""COMPUTED_VALUE"""),45742.6666666666)</f>
        <v>45742.666666666599</v>
      </c>
      <c r="B293" s="5">
        <v>6472.36</v>
      </c>
    </row>
    <row r="294" spans="1:2" x14ac:dyDescent="0.2">
      <c r="A294" s="2">
        <f ca="1">IFERROR(__xludf.DUMMYFUNCTION("""COMPUTED_VALUE"""),45743.6666666666)</f>
        <v>45743.666666666599</v>
      </c>
      <c r="B294" s="5">
        <v>6510.62</v>
      </c>
    </row>
    <row r="295" spans="1:2" x14ac:dyDescent="0.2">
      <c r="A295" s="2">
        <f ca="1">IFERROR(__xludf.DUMMYFUNCTION("""COMPUTED_VALUE"""),45755.6666666666)</f>
        <v>45755.666666666599</v>
      </c>
      <c r="B295" s="5">
        <v>5996.14</v>
      </c>
    </row>
    <row r="296" spans="1:2" x14ac:dyDescent="0.2">
      <c r="A296" s="2">
        <f ca="1">IFERROR(__xludf.DUMMYFUNCTION("""COMPUTED_VALUE"""),45756.6666666666)</f>
        <v>45756.666666666599</v>
      </c>
      <c r="B296" s="5">
        <v>5967.99</v>
      </c>
    </row>
    <row r="297" spans="1:2" x14ac:dyDescent="0.2">
      <c r="A297" s="2">
        <f ca="1">IFERROR(__xludf.DUMMYFUNCTION("""COMPUTED_VALUE"""),45757.6666666666)</f>
        <v>45757.666666666599</v>
      </c>
      <c r="B297" s="5">
        <v>6254.02</v>
      </c>
    </row>
    <row r="298" spans="1:2" x14ac:dyDescent="0.2">
      <c r="A298" s="2">
        <f ca="1">IFERROR(__xludf.DUMMYFUNCTION("""COMPUTED_VALUE"""),45758.6666666666)</f>
        <v>45758.666666666599</v>
      </c>
      <c r="B298" s="5">
        <v>6262.23</v>
      </c>
    </row>
    <row r="299" spans="1:2" x14ac:dyDescent="0.2">
      <c r="A299" s="2">
        <f ca="1">IFERROR(__xludf.DUMMYFUNCTION("""COMPUTED_VALUE"""),45761.6666666666)</f>
        <v>45761.666666666599</v>
      </c>
      <c r="B299" s="5">
        <v>6368.52</v>
      </c>
    </row>
    <row r="300" spans="1:2" x14ac:dyDescent="0.2">
      <c r="A300" s="2">
        <f ca="1">IFERROR(__xludf.DUMMYFUNCTION("""COMPUTED_VALUE"""),45762.6666666666)</f>
        <v>45762.666666666599</v>
      </c>
      <c r="B300" s="5">
        <v>6441.68</v>
      </c>
    </row>
    <row r="301" spans="1:2" x14ac:dyDescent="0.2">
      <c r="A301" s="2">
        <f ca="1">IFERROR(__xludf.DUMMYFUNCTION("""COMPUTED_VALUE"""),45763.6666666666)</f>
        <v>45763.666666666599</v>
      </c>
      <c r="B301" s="5">
        <v>6400.05</v>
      </c>
    </row>
    <row r="302" spans="1:2" x14ac:dyDescent="0.2">
      <c r="A302" s="2">
        <f ca="1">IFERROR(__xludf.DUMMYFUNCTION("""COMPUTED_VALUE"""),45764.6666666666)</f>
        <v>45764.666666666599</v>
      </c>
      <c r="B302" s="5">
        <v>6438.27</v>
      </c>
    </row>
    <row r="303" spans="1:2" x14ac:dyDescent="0.2">
      <c r="A303" s="2">
        <f ca="1">IFERROR(__xludf.DUMMYFUNCTION("""COMPUTED_VALUE"""),45768.6666666666)</f>
        <v>45768.666666666599</v>
      </c>
      <c r="B303" s="5">
        <v>6445.97</v>
      </c>
    </row>
    <row r="304" spans="1:2" x14ac:dyDescent="0.2">
      <c r="A304" s="2">
        <f ca="1">IFERROR(__xludf.DUMMYFUNCTION("""COMPUTED_VALUE"""),45769.6666666666)</f>
        <v>45769.666666666599</v>
      </c>
      <c r="B304" s="5">
        <v>6538.27</v>
      </c>
    </row>
    <row r="305" spans="1:2" x14ac:dyDescent="0.2">
      <c r="A305" s="2">
        <f ca="1">IFERROR(__xludf.DUMMYFUNCTION("""COMPUTED_VALUE"""),45770.6666666666)</f>
        <v>45770.666666666599</v>
      </c>
      <c r="B305" s="5">
        <v>6634.38</v>
      </c>
    </row>
    <row r="306" spans="1:2" x14ac:dyDescent="0.2">
      <c r="A306" s="2">
        <f ca="1">IFERROR(__xludf.DUMMYFUNCTION("""COMPUTED_VALUE"""),45771.6666666666)</f>
        <v>45771.666666666599</v>
      </c>
      <c r="B306" s="5">
        <v>6613.48</v>
      </c>
    </row>
    <row r="307" spans="1:2" x14ac:dyDescent="0.2">
      <c r="A307" s="2">
        <f ca="1">IFERROR(__xludf.DUMMYFUNCTION("""COMPUTED_VALUE"""),45772.6666666666)</f>
        <v>45772.666666666599</v>
      </c>
      <c r="B307" s="5">
        <v>6678.92</v>
      </c>
    </row>
    <row r="308" spans="1:2" x14ac:dyDescent="0.2">
      <c r="A308" s="2">
        <f ca="1">IFERROR(__xludf.DUMMYFUNCTION("""COMPUTED_VALUE"""),45775.6666666666)</f>
        <v>45775.666666666599</v>
      </c>
      <c r="B308" s="5">
        <v>6722.97</v>
      </c>
    </row>
    <row r="309" spans="1:2" x14ac:dyDescent="0.2">
      <c r="A309" s="2">
        <f ca="1">IFERROR(__xludf.DUMMYFUNCTION("""COMPUTED_VALUE"""),45776.6666666666)</f>
        <v>45776.666666666599</v>
      </c>
      <c r="B309" s="5">
        <v>6749.08</v>
      </c>
    </row>
    <row r="310" spans="1:2" x14ac:dyDescent="0.2">
      <c r="A310" s="2">
        <f ca="1">IFERROR(__xludf.DUMMYFUNCTION("""COMPUTED_VALUE"""),45777.6666666666)</f>
        <v>45777.666666666599</v>
      </c>
      <c r="B310" s="5">
        <v>6766.8</v>
      </c>
    </row>
    <row r="311" spans="1:2" x14ac:dyDescent="0.2">
      <c r="A311" s="2">
        <f ca="1">IFERROR(__xludf.DUMMYFUNCTION("""COMPUTED_VALUE"""),45779.6666666666)</f>
        <v>45779.666666666599</v>
      </c>
      <c r="B311" s="5">
        <v>6815.73</v>
      </c>
    </row>
    <row r="312" spans="1:2" x14ac:dyDescent="0.2">
      <c r="A312" s="2">
        <f ca="1">IFERROR(__xludf.DUMMYFUNCTION("""COMPUTED_VALUE"""),45782.6666666666)</f>
        <v>45782.666666666599</v>
      </c>
      <c r="B312" s="5">
        <v>6831.95</v>
      </c>
    </row>
    <row r="313" spans="1:2" x14ac:dyDescent="0.2">
      <c r="A313" s="2">
        <f ca="1">IFERROR(__xludf.DUMMYFUNCTION("""COMPUTED_VALUE"""),45783.6666666666)</f>
        <v>45783.666666666599</v>
      </c>
      <c r="B313" s="5">
        <v>6898.2</v>
      </c>
    </row>
    <row r="314" spans="1:2" x14ac:dyDescent="0.2">
      <c r="A314" s="2">
        <f ca="1">IFERROR(__xludf.DUMMYFUNCTION("""COMPUTED_VALUE"""),45784.6666666666)</f>
        <v>45784.666666666599</v>
      </c>
      <c r="B314" s="5">
        <v>6926.23</v>
      </c>
    </row>
    <row r="315" spans="1:2" x14ac:dyDescent="0.2">
      <c r="A315" s="2">
        <f ca="1">IFERROR(__xludf.DUMMYFUNCTION("""COMPUTED_VALUE"""),45785.6666666666)</f>
        <v>45785.666666666599</v>
      </c>
      <c r="B315" s="5">
        <v>6827.75</v>
      </c>
    </row>
    <row r="316" spans="1:2" x14ac:dyDescent="0.2">
      <c r="A316" s="2">
        <f ca="1">IFERROR(__xludf.DUMMYFUNCTION("""COMPUTED_VALUE"""),45786.6666666666)</f>
        <v>45786.666666666599</v>
      </c>
      <c r="B316" s="5">
        <v>6832.8</v>
      </c>
    </row>
    <row r="317" spans="1:2" x14ac:dyDescent="0.2">
      <c r="A317" s="2">
        <f ca="1">IFERROR(__xludf.DUMMYFUNCTION("""COMPUTED_VALUE"""),45791.6666666666)</f>
        <v>45791.666666666599</v>
      </c>
      <c r="B317" s="5">
        <v>6979.88</v>
      </c>
    </row>
    <row r="318" spans="1:2" x14ac:dyDescent="0.2">
      <c r="A318" s="2">
        <f ca="1">IFERROR(__xludf.DUMMYFUNCTION("""COMPUTED_VALUE"""),45792.6666666666)</f>
        <v>45792.666666666599</v>
      </c>
      <c r="B318" s="5">
        <v>7040.16</v>
      </c>
    </row>
    <row r="319" spans="1:2" x14ac:dyDescent="0.2">
      <c r="A319" s="2">
        <f ca="1">IFERROR(__xludf.DUMMYFUNCTION("""COMPUTED_VALUE"""),45793.6666666666)</f>
        <v>45793.666666666599</v>
      </c>
      <c r="B319" s="5">
        <v>7106.53</v>
      </c>
    </row>
    <row r="320" spans="1:2" x14ac:dyDescent="0.2">
      <c r="A320" s="2">
        <f ca="1">IFERROR(__xludf.DUMMYFUNCTION("""COMPUTED_VALUE"""),45796.6666666666)</f>
        <v>45796.666666666599</v>
      </c>
      <c r="B320" s="5">
        <v>7141.09</v>
      </c>
    </row>
    <row r="321" spans="1:2" x14ac:dyDescent="0.2">
      <c r="A321" s="2">
        <f ca="1">IFERROR(__xludf.DUMMYFUNCTION("""COMPUTED_VALUE"""),45797.6666666666)</f>
        <v>45797.666666666599</v>
      </c>
      <c r="B321" s="5">
        <v>7094.6</v>
      </c>
    </row>
    <row r="322" spans="1:2" x14ac:dyDescent="0.2">
      <c r="A322" s="2">
        <f ca="1">IFERROR(__xludf.DUMMYFUNCTION("""COMPUTED_VALUE"""),45798.6666666666)</f>
        <v>45798.666666666599</v>
      </c>
      <c r="B322" s="5">
        <v>7142.46</v>
      </c>
    </row>
    <row r="323" spans="1:2" x14ac:dyDescent="0.2">
      <c r="A323" s="2">
        <f ca="1">IFERROR(__xludf.DUMMYFUNCTION("""COMPUTED_VALUE"""),45799.6666666666)</f>
        <v>45799.666666666599</v>
      </c>
      <c r="B323" s="5">
        <v>7166.98</v>
      </c>
    </row>
    <row r="324" spans="1:2" x14ac:dyDescent="0.2">
      <c r="A324" s="2">
        <f ca="1">IFERROR(__xludf.DUMMYFUNCTION("""COMPUTED_VALUE"""),45800.6666666666)</f>
        <v>45800.666666666599</v>
      </c>
      <c r="B324" s="5">
        <v>7214.16</v>
      </c>
    </row>
    <row r="325" spans="1:2" x14ac:dyDescent="0.2">
      <c r="A325" s="2">
        <f ca="1">IFERROR(__xludf.DUMMYFUNCTION("""COMPUTED_VALUE"""),45803.6666666666)</f>
        <v>45803.666666666599</v>
      </c>
      <c r="B325" s="5">
        <v>7188.35</v>
      </c>
    </row>
    <row r="326" spans="1:2" x14ac:dyDescent="0.2">
      <c r="A326" s="2">
        <f ca="1">IFERROR(__xludf.DUMMYFUNCTION("""COMPUTED_VALUE"""),45804.6666666666)</f>
        <v>45804.666666666599</v>
      </c>
      <c r="B326" s="5">
        <v>7198.97</v>
      </c>
    </row>
    <row r="327" spans="1:2" x14ac:dyDescent="0.2">
      <c r="A327" s="2">
        <f ca="1">IFERROR(__xludf.DUMMYFUNCTION("""COMPUTED_VALUE"""),45805.6666666666)</f>
        <v>45805.666666666599</v>
      </c>
      <c r="B327" s="5">
        <v>7175.82</v>
      </c>
    </row>
    <row r="328" spans="1:2" x14ac:dyDescent="0.2">
      <c r="A328" s="2">
        <f ca="1">IFERROR(__xludf.DUMMYFUNCTION("""COMPUTED_VALUE"""),45810.6666666666)</f>
        <v>45810.666666666599</v>
      </c>
      <c r="B328" s="5">
        <v>7065.07</v>
      </c>
    </row>
    <row r="329" spans="1:2" x14ac:dyDescent="0.2">
      <c r="A329" s="2">
        <f ca="1">IFERROR(__xludf.DUMMYFUNCTION("""COMPUTED_VALUE"""),45811.6666666666)</f>
        <v>45811.666666666599</v>
      </c>
      <c r="B329" s="5">
        <v>7044.82</v>
      </c>
    </row>
    <row r="330" spans="1:2" x14ac:dyDescent="0.2">
      <c r="A330" s="2">
        <f ca="1">IFERROR(__xludf.DUMMYFUNCTION("""COMPUTED_VALUE"""),45812.6666666666)</f>
        <v>45812.666666666599</v>
      </c>
      <c r="B330" s="5">
        <v>7069.04</v>
      </c>
    </row>
    <row r="331" spans="1:2" x14ac:dyDescent="0.2">
      <c r="A331" s="2">
        <f ca="1">IFERROR(__xludf.DUMMYFUNCTION("""COMPUTED_VALUE"""),45813.6666666666)</f>
        <v>45813.666666666599</v>
      </c>
      <c r="B331" s="5">
        <v>7113.43</v>
      </c>
    </row>
    <row r="332" spans="1:2" x14ac:dyDescent="0.2">
      <c r="A332" s="2">
        <f ca="1">IFERROR(__xludf.DUMMYFUNCTION("""COMPUTED_VALUE"""),45818.6666666666)</f>
        <v>45818.666666666599</v>
      </c>
      <c r="B332" s="5">
        <v>7230.75</v>
      </c>
    </row>
    <row r="333" spans="1:2" x14ac:dyDescent="0.2">
      <c r="A333" s="2">
        <f ca="1">IFERROR(__xludf.DUMMYFUNCTION("""COMPUTED_VALUE"""),45819.6666666666)</f>
        <v>45819.666666666599</v>
      </c>
      <c r="B333" s="5">
        <v>7222.46</v>
      </c>
    </row>
    <row r="334" spans="1:2" x14ac:dyDescent="0.2">
      <c r="A334" s="2">
        <f ca="1">IFERROR(__xludf.DUMMYFUNCTION("""COMPUTED_VALUE"""),45820.6666666666)</f>
        <v>45820.666666666599</v>
      </c>
      <c r="B334" s="5">
        <v>7204.37</v>
      </c>
    </row>
    <row r="335" spans="1:2" x14ac:dyDescent="0.2">
      <c r="A335" s="2">
        <f ca="1">IFERROR(__xludf.DUMMYFUNCTION("""COMPUTED_VALUE"""),45821.6666666666)</f>
        <v>45821.666666666599</v>
      </c>
      <c r="B335" s="5">
        <v>7166.07</v>
      </c>
    </row>
    <row r="336" spans="1:2" x14ac:dyDescent="0.2">
      <c r="A336" s="2">
        <f ca="1">IFERROR(__xludf.DUMMYFUNCTION("""COMPUTED_VALUE"""),45824.6666666666)</f>
        <v>45824.666666666599</v>
      </c>
      <c r="B336" s="5">
        <v>7117.59</v>
      </c>
    </row>
    <row r="337" spans="1:2" x14ac:dyDescent="0.2">
      <c r="A337" s="2">
        <f ca="1">IFERROR(__xludf.DUMMYFUNCTION("""COMPUTED_VALUE"""),45825.6666666666)</f>
        <v>45825.666666666599</v>
      </c>
      <c r="B337" s="5">
        <v>7155.85</v>
      </c>
    </row>
    <row r="338" spans="1:2" x14ac:dyDescent="0.2">
      <c r="A338" s="2">
        <f ca="1">IFERROR(__xludf.DUMMYFUNCTION("""COMPUTED_VALUE"""),45826.6666666666)</f>
        <v>45826.666666666599</v>
      </c>
      <c r="B338" s="5">
        <v>7107.79</v>
      </c>
    </row>
    <row r="339" spans="1:2" x14ac:dyDescent="0.2">
      <c r="A339" s="2">
        <f ca="1">IFERROR(__xludf.DUMMYFUNCTION("""COMPUTED_VALUE"""),45827.6666666666)</f>
        <v>45827.666666666599</v>
      </c>
      <c r="B339" s="5">
        <v>6968.64</v>
      </c>
    </row>
    <row r="340" spans="1:2" x14ac:dyDescent="0.2">
      <c r="A340" s="2">
        <f ca="1">IFERROR(__xludf.DUMMYFUNCTION("""COMPUTED_VALUE"""),45828.6666666666)</f>
        <v>45828.666666666599</v>
      </c>
      <c r="B340" s="5">
        <v>6907.14</v>
      </c>
    </row>
    <row r="341" spans="1:2" x14ac:dyDescent="0.2">
      <c r="A341" s="2">
        <f ca="1">IFERROR(__xludf.DUMMYFUNCTION("""COMPUTED_VALUE"""),45831.6666666666)</f>
        <v>45831.666666666599</v>
      </c>
      <c r="B341" s="5">
        <v>6787.14</v>
      </c>
    </row>
    <row r="342" spans="1:2" x14ac:dyDescent="0.2">
      <c r="A342" s="2">
        <f ca="1">IFERROR(__xludf.DUMMYFUNCTION("""COMPUTED_VALUE"""),45832.6666666666)</f>
        <v>45832.666666666599</v>
      </c>
      <c r="B342" s="5">
        <v>6869.17</v>
      </c>
    </row>
    <row r="343" spans="1:2" x14ac:dyDescent="0.2">
      <c r="A343" s="2">
        <f ca="1">IFERROR(__xludf.DUMMYFUNCTION("""COMPUTED_VALUE"""),45833.6666666666)</f>
        <v>45833.666666666599</v>
      </c>
      <c r="B343" s="5">
        <v>6832.14</v>
      </c>
    </row>
    <row r="344" spans="1:2" x14ac:dyDescent="0.2">
      <c r="A344" s="2">
        <f ca="1">IFERROR(__xludf.DUMMYFUNCTION("""COMPUTED_VALUE"""),45834.6666666666)</f>
        <v>45834.666666666599</v>
      </c>
      <c r="B344" s="5">
        <v>6897.4</v>
      </c>
    </row>
    <row r="345" spans="1:2" x14ac:dyDescent="0.2">
      <c r="A345" s="2">
        <f ca="1">IFERROR(__xludf.DUMMYFUNCTION("""COMPUTED_VALUE"""),45838.6666666666)</f>
        <v>45838.666666666599</v>
      </c>
      <c r="B345" s="5">
        <v>6927.68</v>
      </c>
    </row>
    <row r="346" spans="1:2" x14ac:dyDescent="0.2">
      <c r="A346" s="2">
        <f ca="1">IFERROR(__xludf.DUMMYFUNCTION("""COMPUTED_VALUE"""),45839.6666666666)</f>
        <v>45839.666666666599</v>
      </c>
      <c r="B346" s="5">
        <v>6915.36</v>
      </c>
    </row>
    <row r="347" spans="1:2" x14ac:dyDescent="0.2">
      <c r="A347" s="2">
        <f ca="1">IFERROR(__xludf.DUMMYFUNCTION("""COMPUTED_VALUE"""),45840.6666666666)</f>
        <v>45840.666666666599</v>
      </c>
      <c r="B347" s="5">
        <v>6881.25</v>
      </c>
    </row>
    <row r="348" spans="1:2" x14ac:dyDescent="0.2">
      <c r="A348" s="2">
        <f ca="1">IFERROR(__xludf.DUMMYFUNCTION("""COMPUTED_VALUE"""),45841.6666666666)</f>
        <v>45841.666666666599</v>
      </c>
      <c r="B348" s="5">
        <v>6878.05</v>
      </c>
    </row>
    <row r="349" spans="1:2" x14ac:dyDescent="0.2">
      <c r="A349" s="2">
        <f ca="1">IFERROR(__xludf.DUMMYFUNCTION("""COMPUTED_VALUE"""),45842.6666666666)</f>
        <v>45842.666666666599</v>
      </c>
      <c r="B349" s="5">
        <v>6865.19</v>
      </c>
    </row>
    <row r="350" spans="1:2" x14ac:dyDescent="0.2">
      <c r="A350" s="2">
        <f ca="1">IFERROR(__xludf.DUMMYFUNCTION("""COMPUTED_VALUE"""),45845.6666666666)</f>
        <v>45845.666666666599</v>
      </c>
      <c r="B350" s="5">
        <v>6900.93</v>
      </c>
    </row>
    <row r="351" spans="1:2" x14ac:dyDescent="0.2">
      <c r="A351" s="2">
        <f ca="1">IFERROR(__xludf.DUMMYFUNCTION("""COMPUTED_VALUE"""),45846.6666666666)</f>
        <v>45846.666666666599</v>
      </c>
      <c r="B351" s="5">
        <v>6904.39</v>
      </c>
    </row>
    <row r="352" spans="1:2" x14ac:dyDescent="0.2">
      <c r="A352" s="2">
        <f ca="1">IFERROR(__xludf.DUMMYFUNCTION("""COMPUTED_VALUE"""),45847.6666666666)</f>
        <v>45847.666666666599</v>
      </c>
      <c r="B352" s="5">
        <v>6943.92</v>
      </c>
    </row>
    <row r="353" spans="1:2" x14ac:dyDescent="0.2">
      <c r="A353" s="2">
        <f ca="1">IFERROR(__xludf.DUMMYFUNCTION("""COMPUTED_VALUE"""),45848.6666666666)</f>
        <v>45848.666666666599</v>
      </c>
      <c r="B353" s="5">
        <v>7005.37</v>
      </c>
    </row>
    <row r="354" spans="1:2" x14ac:dyDescent="0.2">
      <c r="A354" s="2">
        <f ca="1">IFERROR(__xludf.DUMMYFUNCTION("""COMPUTED_VALUE"""),45849.6666666666)</f>
        <v>45849.666666666599</v>
      </c>
      <c r="B354" s="5">
        <v>7047.44</v>
      </c>
    </row>
    <row r="355" spans="1:2" x14ac:dyDescent="0.2">
      <c r="A355" s="2">
        <f ca="1">IFERROR(__xludf.DUMMYFUNCTION("""COMPUTED_VALUE"""),45852.6666666666)</f>
        <v>45852.666666666599</v>
      </c>
      <c r="B355" s="5">
        <v>7097.15</v>
      </c>
    </row>
    <row r="356" spans="1:2" x14ac:dyDescent="0.2">
      <c r="A356" s="2">
        <f ca="1">IFERROR(__xludf.DUMMYFUNCTION("""COMPUTED_VALUE"""),45853.6666666666)</f>
        <v>45853.666666666599</v>
      </c>
      <c r="B356" s="5">
        <v>7140.47</v>
      </c>
    </row>
    <row r="357" spans="1:2" x14ac:dyDescent="0.2">
      <c r="A357" s="2">
        <f ca="1">IFERROR(__xludf.DUMMYFUNCTION("""COMPUTED_VALUE"""),45854.6666666666)</f>
        <v>45854.666666666599</v>
      </c>
      <c r="B357" s="5">
        <v>7192.02</v>
      </c>
    </row>
    <row r="358" spans="1:2" x14ac:dyDescent="0.2">
      <c r="A358" s="2">
        <f ca="1">IFERROR(__xludf.DUMMYFUNCTION("""COMPUTED_VALUE"""),45855.6666666666)</f>
        <v>45855.666666666599</v>
      </c>
      <c r="B358" s="5">
        <v>7287.02</v>
      </c>
    </row>
    <row r="359" spans="1:2" x14ac:dyDescent="0.2">
      <c r="A359" s="2">
        <f ca="1">IFERROR(__xludf.DUMMYFUNCTION("""COMPUTED_VALUE"""),45856.6666666666)</f>
        <v>45856.666666666599</v>
      </c>
      <c r="B359" s="5">
        <v>7311.92</v>
      </c>
    </row>
    <row r="360" spans="1:2" x14ac:dyDescent="0.2">
      <c r="A360" s="2">
        <f ca="1">IFERROR(__xludf.DUMMYFUNCTION("""COMPUTED_VALUE"""),45859.6666666666)</f>
        <v>45859.666666666599</v>
      </c>
      <c r="B360" s="5">
        <v>7398.19</v>
      </c>
    </row>
    <row r="361" spans="1:2" x14ac:dyDescent="0.2">
      <c r="A361" s="2">
        <f ca="1">IFERROR(__xludf.DUMMYFUNCTION("""COMPUTED_VALUE"""),45860.6666666666)</f>
        <v>45860.666666666599</v>
      </c>
      <c r="B361" s="5">
        <v>7344.74</v>
      </c>
    </row>
    <row r="362" spans="1:2" x14ac:dyDescent="0.2">
      <c r="A362" s="2">
        <f ca="1">IFERROR(__xludf.DUMMYFUNCTION("""COMPUTED_VALUE"""),45861.6666666666)</f>
        <v>45861.666666666599</v>
      </c>
      <c r="B362" s="5">
        <v>7469.23</v>
      </c>
    </row>
    <row r="363" spans="1:2" x14ac:dyDescent="0.2">
      <c r="A363" s="2">
        <f ca="1">IFERROR(__xludf.DUMMYFUNCTION("""COMPUTED_VALUE"""),45862.6666666666)</f>
        <v>45862.666666666599</v>
      </c>
      <c r="B363" s="5">
        <v>7530.9</v>
      </c>
    </row>
    <row r="364" spans="1:2" x14ac:dyDescent="0.2">
      <c r="A364" s="2">
        <f ca="1">IFERROR(__xludf.DUMMYFUNCTION("""COMPUTED_VALUE"""),45863.6666666666)</f>
        <v>45863.666666666599</v>
      </c>
      <c r="B364" s="5">
        <v>7543.5</v>
      </c>
    </row>
    <row r="365" spans="1:2" x14ac:dyDescent="0.2">
      <c r="A365" s="2">
        <f ca="1">IFERROR(__xludf.DUMMYFUNCTION("""COMPUTED_VALUE"""),45866.6666666666)</f>
        <v>45866.666666666599</v>
      </c>
      <c r="B365" s="5">
        <v>7614.77</v>
      </c>
    </row>
    <row r="366" spans="1:2" x14ac:dyDescent="0.2">
      <c r="A366" s="2">
        <f ca="1">IFERROR(__xludf.DUMMYFUNCTION("""COMPUTED_VALUE"""),45867.6666666666)</f>
        <v>45867.666666666599</v>
      </c>
      <c r="B366" s="5">
        <v>7617.91</v>
      </c>
    </row>
    <row r="367" spans="1:2" x14ac:dyDescent="0.2">
      <c r="A367" s="2">
        <f ca="1">IFERROR(__xludf.DUMMYFUNCTION("""COMPUTED_VALUE"""),45868.6666666666)</f>
        <v>45868.666666666599</v>
      </c>
      <c r="B367" s="5">
        <v>7549.89</v>
      </c>
    </row>
    <row r="368" spans="1:2" x14ac:dyDescent="0.2">
      <c r="A368" s="2">
        <f ca="1">IFERROR(__xludf.DUMMYFUNCTION("""COMPUTED_VALUE"""),45869.6666666666)</f>
        <v>45869.666666666599</v>
      </c>
      <c r="B368" s="5">
        <v>7484.34</v>
      </c>
    </row>
    <row r="369" spans="1:2" x14ac:dyDescent="0.2">
      <c r="A369" s="2">
        <f ca="1">IFERROR(__xludf.DUMMYFUNCTION("""COMPUTED_VALUE"""),45870.6666666666)</f>
        <v>45870.666666666599</v>
      </c>
      <c r="B369" s="5">
        <v>7537.77</v>
      </c>
    </row>
    <row r="370" spans="1:2" x14ac:dyDescent="0.2">
      <c r="A370" s="2">
        <f ca="1">IFERROR(__xludf.DUMMYFUNCTION("""COMPUTED_VALUE"""),45873.6666666666)</f>
        <v>45873.666666666599</v>
      </c>
      <c r="B370" s="5">
        <v>7464.65</v>
      </c>
    </row>
    <row r="371" spans="1:2" x14ac:dyDescent="0.2">
      <c r="A371" s="2">
        <f ca="1">IFERROR(__xludf.DUMMYFUNCTION("""COMPUTED_VALUE"""),45874.6666666666)</f>
        <v>45874.666666666599</v>
      </c>
      <c r="B371" s="5">
        <v>7515.19</v>
      </c>
    </row>
    <row r="372" spans="1:2" x14ac:dyDescent="0.2">
      <c r="A372" s="2">
        <f ca="1">IFERROR(__xludf.DUMMYFUNCTION("""COMPUTED_VALUE"""),45875.6666666666)</f>
        <v>45875.666666666599</v>
      </c>
      <c r="B372" s="5">
        <v>7503.75</v>
      </c>
    </row>
    <row r="373" spans="1:2" x14ac:dyDescent="0.2">
      <c r="A373" s="2">
        <f ca="1">IFERROR(__xludf.DUMMYFUNCTION("""COMPUTED_VALUE"""),45876.6666666666)</f>
        <v>45876.666666666599</v>
      </c>
      <c r="B373" s="5">
        <v>7490.18</v>
      </c>
    </row>
    <row r="374" spans="1:2" x14ac:dyDescent="0.2">
      <c r="A374" s="2">
        <f ca="1">IFERROR(__xludf.DUMMYFUNCTION("""COMPUTED_VALUE"""),45877.6666666666)</f>
        <v>45877.666666666599</v>
      </c>
      <c r="B374" s="5">
        <v>7533.39</v>
      </c>
    </row>
    <row r="375" spans="1:2" x14ac:dyDescent="0.2">
      <c r="A375" s="2">
        <f ca="1">IFERROR(__xludf.DUMMYFUNCTION("""COMPUTED_VALUE"""),45880.6666666666)</f>
        <v>45880.666666666599</v>
      </c>
      <c r="B375" s="5">
        <v>7605.93</v>
      </c>
    </row>
    <row r="376" spans="1:2" x14ac:dyDescent="0.2">
      <c r="A376" s="2">
        <f ca="1">IFERROR(__xludf.DUMMYFUNCTION("""COMPUTED_VALUE"""),45881.6666666666)</f>
        <v>45881.666666666599</v>
      </c>
      <c r="B376" s="5">
        <v>7791.7</v>
      </c>
    </row>
    <row r="377" spans="1:2" x14ac:dyDescent="0.2">
      <c r="A377" s="2">
        <f ca="1">IFERROR(__xludf.DUMMYFUNCTION("""COMPUTED_VALUE"""),45882.6666666666)</f>
        <v>45882.666666666599</v>
      </c>
      <c r="B377" s="5">
        <v>7892.91</v>
      </c>
    </row>
    <row r="378" spans="1:2" x14ac:dyDescent="0.2">
      <c r="A378" s="2">
        <f ca="1">IFERROR(__xludf.DUMMYFUNCTION("""COMPUTED_VALUE"""),45883.6666666666)</f>
        <v>45883.666666666599</v>
      </c>
      <c r="B378" s="5">
        <v>7931.25</v>
      </c>
    </row>
    <row r="379" spans="1:2" x14ac:dyDescent="0.2">
      <c r="A379" s="2">
        <f ca="1">IFERROR(__xludf.DUMMYFUNCTION("""COMPUTED_VALUE"""),45884.6666666666)</f>
        <v>45884.666666666599</v>
      </c>
      <c r="B379" s="5">
        <v>7898.38</v>
      </c>
    </row>
    <row r="380" spans="1:2" x14ac:dyDescent="0.2">
      <c r="A380" s="2">
        <f ca="1">IFERROR(__xludf.DUMMYFUNCTION("""COMPUTED_VALUE"""),45888.6666666666)</f>
        <v>45888.666666666599</v>
      </c>
      <c r="B380" s="5">
        <v>7862.95</v>
      </c>
    </row>
    <row r="381" spans="1:2" x14ac:dyDescent="0.2">
      <c r="A381" s="2">
        <f ca="1">IFERROR(__xludf.DUMMYFUNCTION("""COMPUTED_VALUE"""),45889.6666666666)</f>
        <v>45889.666666666599</v>
      </c>
      <c r="B381" s="5">
        <v>7943.83</v>
      </c>
    </row>
    <row r="382" spans="1:2" x14ac:dyDescent="0.2">
      <c r="A382" s="2">
        <f ca="1">IFERROR(__xludf.DUMMYFUNCTION("""COMPUTED_VALUE"""),45890.6666666666)</f>
        <v>45890.666666666599</v>
      </c>
      <c r="B382" s="5">
        <v>7890.72</v>
      </c>
    </row>
    <row r="383" spans="1:2" x14ac:dyDescent="0.2">
      <c r="A383" s="2">
        <f ca="1">IFERROR(__xludf.DUMMYFUNCTION("""COMPUTED_VALUE"""),45891.6666666666)</f>
        <v>45891.666666666599</v>
      </c>
      <c r="B383" s="5">
        <v>7858.85</v>
      </c>
    </row>
    <row r="384" spans="1:2" x14ac:dyDescent="0.2">
      <c r="A384" s="2">
        <f ca="1">IFERROR(__xludf.DUMMYFUNCTION("""COMPUTED_VALUE"""),45894.6666666666)</f>
        <v>45894.666666666599</v>
      </c>
      <c r="B384" s="5">
        <v>7926.91</v>
      </c>
    </row>
    <row r="385" spans="1:2" x14ac:dyDescent="0.2">
      <c r="A385" s="2">
        <f ca="1">IFERROR(__xludf.DUMMYFUNCTION("""COMPUTED_VALUE"""),45895.6666666666)</f>
        <v>45895.666666666599</v>
      </c>
      <c r="B385" s="5">
        <v>7905.76</v>
      </c>
    </row>
    <row r="386" spans="1:2" x14ac:dyDescent="0.2">
      <c r="A386" s="2">
        <f ca="1">IFERROR(__xludf.DUMMYFUNCTION("""COMPUTED_VALUE"""),45896.6666666666)</f>
        <v>45896.666666666599</v>
      </c>
      <c r="B386" s="5">
        <v>7936.18</v>
      </c>
    </row>
    <row r="387" spans="1:2" x14ac:dyDescent="0.2">
      <c r="A387" s="2">
        <f ca="1">IFERROR(__xludf.DUMMYFUNCTION("""COMPUTED_VALUE"""),45897.6666666666)</f>
        <v>45897.666666666599</v>
      </c>
      <c r="B387" s="5">
        <v>7952.09</v>
      </c>
    </row>
    <row r="388" spans="1:2" x14ac:dyDescent="0.2">
      <c r="A388" s="2">
        <f ca="1">IFERROR(__xludf.DUMMYFUNCTION("""COMPUTED_VALUE"""),45898.6666666666)</f>
        <v>45898.666666666599</v>
      </c>
      <c r="B388" s="5">
        <v>7830.49</v>
      </c>
    </row>
    <row r="389" spans="1:2" x14ac:dyDescent="0.2">
      <c r="A389" s="2">
        <f ca="1">IFERROR(__xludf.DUMMYFUNCTION("""COMPUTED_VALUE"""),45901.6666666666)</f>
        <v>45901.666666666599</v>
      </c>
      <c r="B389" s="5">
        <v>7736.07</v>
      </c>
    </row>
    <row r="390" spans="1:2" x14ac:dyDescent="0.2">
      <c r="A390" s="2">
        <f ca="1">IFERROR(__xludf.DUMMYFUNCTION("""COMPUTED_VALUE"""),45902.6666666666)</f>
        <v>45902.666666666599</v>
      </c>
      <c r="B390" s="5">
        <v>7801.59</v>
      </c>
    </row>
    <row r="391" spans="1:2" x14ac:dyDescent="0.2">
      <c r="A391" s="2">
        <f ca="1">IFERROR(__xludf.DUMMYFUNCTION("""COMPUTED_VALUE"""),45903.6666666666)</f>
        <v>45903.666666666599</v>
      </c>
      <c r="B391" s="5">
        <v>7885.86</v>
      </c>
    </row>
    <row r="392" spans="1:2" x14ac:dyDescent="0.2">
      <c r="A392" s="2">
        <f ca="1">IFERROR(__xludf.DUMMYFUNCTION("""COMPUTED_VALUE"""),45904.6666666666)</f>
        <v>45904.666666666599</v>
      </c>
      <c r="B392" s="5">
        <v>7867.35</v>
      </c>
    </row>
    <row r="393" spans="1:2" x14ac:dyDescent="0.2">
      <c r="A393" s="2">
        <f ca="1">IFERROR(__xludf.DUMMYFUNCTION("""COMPUTED_VALUE"""),45908.6666666666)</f>
        <v>45908.666666666599</v>
      </c>
      <c r="B393" s="5">
        <v>7766.85</v>
      </c>
    </row>
    <row r="394" spans="1:2" x14ac:dyDescent="0.2">
      <c r="A394" s="2">
        <f ca="1">IFERROR(__xludf.DUMMYFUNCTION("""COMPUTED_VALUE"""),45909.6666666666)</f>
        <v>45909.666666666599</v>
      </c>
      <c r="B394" s="5">
        <v>7628.61</v>
      </c>
    </row>
    <row r="395" spans="1:2" x14ac:dyDescent="0.2">
      <c r="A395" s="2">
        <f ca="1">IFERROR(__xludf.DUMMYFUNCTION("""COMPUTED_VALUE"""),45910.6666666666)</f>
        <v>45910.666666666599</v>
      </c>
      <c r="B395" s="5">
        <v>7699.01</v>
      </c>
    </row>
    <row r="396" spans="1:2" x14ac:dyDescent="0.2">
      <c r="A396" s="2">
        <f ca="1">IFERROR(__xludf.DUMMYFUNCTION("""COMPUTED_VALUE"""),45911.6666666666)</f>
        <v>45911.666666666599</v>
      </c>
      <c r="B396" s="5">
        <v>7747.91</v>
      </c>
    </row>
    <row r="397" spans="1:2" x14ac:dyDescent="0.2">
      <c r="A397" s="2">
        <f ca="1">IFERROR(__xludf.DUMMYFUNCTION("""COMPUTED_VALUE"""),45912.6666666666)</f>
        <v>45912.666666666599</v>
      </c>
      <c r="B397" s="5">
        <v>7854.06</v>
      </c>
    </row>
    <row r="398" spans="1:2" x14ac:dyDescent="0.2">
      <c r="A398" s="2">
        <f ca="1">IFERROR(__xludf.DUMMYFUNCTION("""COMPUTED_VALUE"""),45915.6666666666)</f>
        <v>45915.666666666599</v>
      </c>
      <c r="B398" s="5">
        <v>7937.12</v>
      </c>
    </row>
    <row r="399" spans="1:2" x14ac:dyDescent="0.2">
      <c r="A399" s="2">
        <f ca="1">IFERROR(__xludf.DUMMYFUNCTION("""COMPUTED_VALUE"""),45916.6666666666)</f>
        <v>45916.666666666599</v>
      </c>
      <c r="B399" s="5">
        <v>7957.7</v>
      </c>
    </row>
    <row r="400" spans="1:2" x14ac:dyDescent="0.2">
      <c r="A400" s="2">
        <f ca="1">IFERROR(__xludf.DUMMYFUNCTION("""COMPUTED_VALUE"""),45917.6666666666)</f>
        <v>45917.666666666599</v>
      </c>
      <c r="B400" s="5">
        <v>8025.18</v>
      </c>
    </row>
    <row r="401" spans="1:2" x14ac:dyDescent="0.2">
      <c r="A401" s="2">
        <f ca="1">IFERROR(__xludf.DUMMYFUNCTION("""COMPUTED_VALUE"""),45918.6666666666)</f>
        <v>45918.666666666599</v>
      </c>
      <c r="B401" s="5">
        <v>8008.43</v>
      </c>
    </row>
    <row r="402" spans="1:2" x14ac:dyDescent="0.2">
      <c r="A402" s="2">
        <f ca="1">IFERROR(__xludf.DUMMYFUNCTION("""COMPUTED_VALUE"""),45919.6666666666)</f>
        <v>45919.666666666599</v>
      </c>
      <c r="B402" s="5">
        <v>8051.12</v>
      </c>
    </row>
    <row r="403" spans="1:2" x14ac:dyDescent="0.2">
      <c r="A403" s="2">
        <f ca="1">IFERROR(__xludf.DUMMYFUNCTION("""COMPUTED_VALUE"""),45922.6666666666)</f>
        <v>45922.666666666599</v>
      </c>
      <c r="B403" s="5">
        <v>8040.04</v>
      </c>
    </row>
    <row r="404" spans="1:2" x14ac:dyDescent="0.2">
      <c r="A404" s="2">
        <f ca="1">IFERROR(__xludf.DUMMYFUNCTION("""COMPUTED_VALUE"""),45923.6666666666)</f>
        <v>45923.666666666599</v>
      </c>
      <c r="B404" s="5">
        <v>8125.2</v>
      </c>
    </row>
    <row r="405" spans="1:2" x14ac:dyDescent="0.2">
      <c r="A405" s="2">
        <f ca="1">IFERROR(__xludf.DUMMYFUNCTION("""COMPUTED_VALUE"""),45924.6666666666)</f>
        <v>45924.666666666599</v>
      </c>
      <c r="B405" s="5">
        <v>8126.56</v>
      </c>
    </row>
    <row r="406" spans="1:2" x14ac:dyDescent="0.2">
      <c r="A406" s="2">
        <f ca="1">IFERROR(__xludf.DUMMYFUNCTION("""COMPUTED_VALUE"""),45925.6666666666)</f>
        <v>45925.666666666599</v>
      </c>
      <c r="B406" s="5">
        <v>8040.67</v>
      </c>
    </row>
    <row r="407" spans="1:2" x14ac:dyDescent="0.2">
      <c r="A407" s="2">
        <f ca="1">IFERROR(__xludf.DUMMYFUNCTION("""COMPUTED_VALUE"""),45926.6666666666)</f>
        <v>45926.666666666599</v>
      </c>
      <c r="B407" s="5">
        <v>8099.33</v>
      </c>
    </row>
    <row r="408" spans="1:2" x14ac:dyDescent="0.2">
      <c r="A408" s="2">
        <f ca="1">IFERROR(__xludf.DUMMYFUNCTION("""COMPUTED_VALUE"""),45929.6666666666)</f>
        <v>45929.666666666599</v>
      </c>
      <c r="B408" s="5">
        <v>8123.25</v>
      </c>
    </row>
    <row r="409" spans="1:2" x14ac:dyDescent="0.2">
      <c r="A409" s="2">
        <f ca="1">IFERROR(__xludf.DUMMYFUNCTION("""COMPUTED_VALUE"""),45930.6666666666)</f>
        <v>45930.666666666599</v>
      </c>
      <c r="B409" s="5">
        <v>8061.06</v>
      </c>
    </row>
    <row r="410" spans="1:2" x14ac:dyDescent="0.2">
      <c r="A410" s="2">
        <f ca="1">IFERROR(__xludf.DUMMYFUNCTION("""COMPUTED_VALUE"""),45931.6666666666)</f>
        <v>45931.666666666599</v>
      </c>
      <c r="B410" s="5">
        <v>8043.82</v>
      </c>
    </row>
    <row r="411" spans="1:2" x14ac:dyDescent="0.2">
      <c r="A411" s="2">
        <f ca="1">IFERROR(__xludf.DUMMYFUNCTION("""COMPUTED_VALUE"""),45932.6666666666)</f>
        <v>45932.666666666599</v>
      </c>
      <c r="B411" s="5">
        <v>8071.08</v>
      </c>
    </row>
    <row r="412" spans="1:2" x14ac:dyDescent="0.2">
      <c r="A412" s="2">
        <f ca="1">IFERROR(__xludf.DUMMYFUNCTION("""COMPUTED_VALUE"""),45933.6666666666)</f>
        <v>45933.666666666599</v>
      </c>
      <c r="B412" s="5">
        <v>8118.3</v>
      </c>
    </row>
    <row r="413" spans="1:2" x14ac:dyDescent="0.2">
      <c r="A413" s="2">
        <f ca="1">IFERROR(__xludf.DUMMYFUNCTION("""COMPUTED_VALUE"""),45936.6666666666)</f>
        <v>45936.666666666599</v>
      </c>
      <c r="B413" s="5">
        <v>8139.89</v>
      </c>
    </row>
    <row r="414" spans="1:2" x14ac:dyDescent="0.2">
      <c r="A414" s="2">
        <f ca="1">IFERROR(__xludf.DUMMYFUNCTION("""COMPUTED_VALUE"""),45937.6666666666)</f>
        <v>45937.666666666599</v>
      </c>
      <c r="B414" s="5">
        <v>8169.28</v>
      </c>
    </row>
    <row r="415" spans="1:2" x14ac:dyDescent="0.2">
      <c r="A415" s="2">
        <f ca="1">IFERROR(__xludf.DUMMYFUNCTION("""COMPUTED_VALUE"""),45938.6666666666)</f>
        <v>45938.666666666599</v>
      </c>
      <c r="B415" s="5">
        <v>8166.03</v>
      </c>
    </row>
    <row r="416" spans="1:2" x14ac:dyDescent="0.2">
      <c r="A416" s="2">
        <f ca="1">IFERROR(__xludf.DUMMYFUNCTION("""COMPUTED_VALUE"""),45939.6666666666)</f>
        <v>45939.666666666599</v>
      </c>
      <c r="B416" s="5">
        <v>8250.94</v>
      </c>
    </row>
    <row r="417" spans="1:2" x14ac:dyDescent="0.2">
      <c r="A417" s="2">
        <f ca="1">IFERROR(__xludf.DUMMYFUNCTION("""COMPUTED_VALUE"""),45940.6666666666)</f>
        <v>45940.666666666599</v>
      </c>
      <c r="B417" s="5">
        <v>8257.86</v>
      </c>
    </row>
    <row r="418" spans="1:2" x14ac:dyDescent="0.2">
      <c r="A418" s="2">
        <f ca="1">IFERROR(__xludf.DUMMYFUNCTION("""COMPUTED_VALUE"""),45943.6666666666)</f>
        <v>45943.666666666599</v>
      </c>
      <c r="B418" s="5">
        <v>8227.2000000000007</v>
      </c>
    </row>
    <row r="419" spans="1:2" x14ac:dyDescent="0.2">
      <c r="A419" s="2">
        <f ca="1">IFERROR(__xludf.DUMMYFUNCTION("""COMPUTED_VALUE"""),45944.6666666666)</f>
        <v>45944.666666666599</v>
      </c>
      <c r="B419" s="5">
        <v>8066.52</v>
      </c>
    </row>
    <row r="420" spans="1:2" x14ac:dyDescent="0.2">
      <c r="A420" s="2">
        <f ca="1">IFERROR(__xludf.DUMMYFUNCTION("""COMPUTED_VALUE"""),45945.6666666666)</f>
        <v>45945.666666666599</v>
      </c>
      <c r="B420" s="5">
        <v>8051.18</v>
      </c>
    </row>
    <row r="421" spans="1:2" x14ac:dyDescent="0.2">
      <c r="A421" s="2">
        <f ca="1">IFERROR(__xludf.DUMMYFUNCTION("""COMPUTED_VALUE"""),45946.6666666666)</f>
        <v>45946.666666666599</v>
      </c>
      <c r="B421" s="5">
        <v>8124.76</v>
      </c>
    </row>
    <row r="422" spans="1:2" x14ac:dyDescent="0.2">
      <c r="A422" s="2">
        <f ca="1">IFERROR(__xludf.DUMMYFUNCTION("""COMPUTED_VALUE"""),45947.6666666666)</f>
        <v>45947.666666666599</v>
      </c>
      <c r="B422" s="5">
        <v>7915.66</v>
      </c>
    </row>
    <row r="423" spans="1:2" x14ac:dyDescent="0.2">
      <c r="A423" s="2">
        <f ca="1">IFERROR(__xludf.DUMMYFUNCTION("""COMPUTED_VALUE"""),45950.6666666666)</f>
        <v>45950.666666666599</v>
      </c>
      <c r="B423" s="5">
        <v>8088.98</v>
      </c>
    </row>
    <row r="424" spans="1:2" x14ac:dyDescent="0.2">
      <c r="A424" s="2">
        <f ca="1">IFERROR(__xludf.DUMMYFUNCTION("""COMPUTED_VALUE"""),45951.6666666666)</f>
        <v>45951.666666666599</v>
      </c>
      <c r="B424" s="5">
        <v>8238.08</v>
      </c>
    </row>
    <row r="425" spans="1:2" x14ac:dyDescent="0.2">
      <c r="A425" s="2">
        <f ca="1">IFERROR(__xludf.DUMMYFUNCTION("""COMPUTED_VALUE"""),45952.6666666666)</f>
        <v>45952.666666666599</v>
      </c>
      <c r="B425" s="5">
        <v>8152.55</v>
      </c>
    </row>
    <row r="426" spans="1:2" x14ac:dyDescent="0.2">
      <c r="A426" s="2">
        <f ca="1">IFERROR(__xludf.DUMMYFUNCTION("""COMPUTED_VALUE"""),45953.6666666666)</f>
        <v>45953.666666666599</v>
      </c>
      <c r="B426" s="5">
        <v>8274.35</v>
      </c>
    </row>
    <row r="427" spans="1:2" x14ac:dyDescent="0.2">
      <c r="A427" s="2">
        <f ca="1">IFERROR(__xludf.DUMMYFUNCTION("""COMPUTED_VALUE"""),45954.6666666666)</f>
        <v>45954.666666666599</v>
      </c>
      <c r="B427" s="5">
        <v>8271.7199999999993</v>
      </c>
    </row>
    <row r="428" spans="1:2" x14ac:dyDescent="0.2">
      <c r="A428" s="2">
        <f ca="1">IFERROR(__xludf.DUMMYFUNCTION("""COMPUTED_VALUE"""),45957.6666666666)</f>
        <v>45957.666666666599</v>
      </c>
      <c r="B428" s="5">
        <v>8117.15</v>
      </c>
    </row>
    <row r="429" spans="1:2" x14ac:dyDescent="0.2">
      <c r="A429" s="2">
        <f ca="1">IFERROR(__xludf.DUMMYFUNCTION("""COMPUTED_VALUE"""),45958.6666666666)</f>
        <v>45958.666666666599</v>
      </c>
      <c r="B429" s="5">
        <v>8092.63</v>
      </c>
    </row>
    <row r="430" spans="1:2" x14ac:dyDescent="0.2">
      <c r="A430" s="2">
        <f ca="1">IFERROR(__xludf.DUMMYFUNCTION("""COMPUTED_VALUE"""),45959.6666666666)</f>
        <v>45959.666666666599</v>
      </c>
      <c r="B430" s="5">
        <v>8166.22</v>
      </c>
    </row>
    <row r="431" spans="1:2" x14ac:dyDescent="0.2">
      <c r="A431" s="2">
        <f ca="1">IFERROR(__xludf.DUMMYFUNCTION("""COMPUTED_VALUE"""),45960.6666666666)</f>
        <v>45960.666666666599</v>
      </c>
      <c r="B431" s="5">
        <v>8184.06</v>
      </c>
    </row>
    <row r="432" spans="1:2" x14ac:dyDescent="0.2">
      <c r="A432" s="2">
        <f ca="1">IFERROR(__xludf.DUMMYFUNCTION("""COMPUTED_VALUE"""),45961.6666666666)</f>
        <v>45961.666666666599</v>
      </c>
      <c r="B432" s="5">
        <v>8163.88</v>
      </c>
    </row>
    <row r="433" spans="1:2" x14ac:dyDescent="0.2">
      <c r="A433" s="2">
        <f ca="1">IFERROR(__xludf.DUMMYFUNCTION("""COMPUTED_VALUE"""),45964.6666666666)</f>
        <v>45964.666666666599</v>
      </c>
      <c r="B433" s="5">
        <v>8275.08</v>
      </c>
    </row>
    <row r="434" spans="1:2" x14ac:dyDescent="0.2">
      <c r="A434" s="2">
        <f ca="1">IFERROR(__xludf.DUMMYFUNCTION("""COMPUTED_VALUE"""),45965.6666666666)</f>
        <v>45965.666666666599</v>
      </c>
      <c r="B434" s="5">
        <v>8241.91</v>
      </c>
    </row>
    <row r="435" spans="1:2" x14ac:dyDescent="0.2">
      <c r="A435" s="2">
        <f ca="1">IFERROR(__xludf.DUMMYFUNCTION("""COMPUTED_VALUE"""),45966.6666666666)</f>
        <v>45966.666666666599</v>
      </c>
      <c r="B435" s="5">
        <v>8318.5300000000007</v>
      </c>
    </row>
    <row r="436" spans="1:2" x14ac:dyDescent="0.2">
      <c r="A436" s="2">
        <f ca="1">IFERROR(__xludf.DUMMYFUNCTION("""COMPUTED_VALUE"""),45967.6666666666)</f>
        <v>45967.666666666599</v>
      </c>
      <c r="B436" s="5">
        <v>8337.06</v>
      </c>
    </row>
    <row r="437" spans="1:2" x14ac:dyDescent="0.2">
      <c r="A437" s="2">
        <f ca="1">IFERROR(__xludf.DUMMYFUNCTION("""COMPUTED_VALUE"""),45968.6666666666)</f>
        <v>45968.666666666599</v>
      </c>
      <c r="B437" s="5">
        <v>8394.59</v>
      </c>
    </row>
    <row r="438" spans="1:2" x14ac:dyDescent="0.2">
      <c r="A438" s="2">
        <f ca="1">IFERROR(__xludf.DUMMYFUNCTION("""COMPUTED_VALUE"""),45971.6666666666)</f>
        <v>45971.666666666599</v>
      </c>
      <c r="B438" s="5">
        <v>8391.24</v>
      </c>
    </row>
    <row r="439" spans="1:2" x14ac:dyDescent="0.2">
      <c r="A439" s="2">
        <f ca="1">IFERROR(__xludf.DUMMYFUNCTION("""COMPUTED_VALUE"""),45972.6666666666)</f>
        <v>45972.666666666599</v>
      </c>
      <c r="B439" s="5">
        <v>8366.52</v>
      </c>
    </row>
    <row r="440" spans="1:2" x14ac:dyDescent="0.2">
      <c r="A440" s="2">
        <f ca="1">IFERROR(__xludf.DUMMYFUNCTION("""COMPUTED_VALUE"""),45973.6666666666)</f>
        <v>45973.666666666599</v>
      </c>
      <c r="B440" s="5">
        <v>8388.57</v>
      </c>
    </row>
    <row r="441" spans="1:2" x14ac:dyDescent="0.2">
      <c r="A441" s="2">
        <f ca="1">IFERROR(__xludf.DUMMYFUNCTION("""COMPUTED_VALUE"""),45974.6666666666)</f>
        <v>45974.666666666599</v>
      </c>
      <c r="B441" s="5">
        <v>8372</v>
      </c>
    </row>
    <row r="442" spans="1:2" x14ac:dyDescent="0.2">
      <c r="A442" s="2">
        <f ca="1">IFERROR(__xludf.DUMMYFUNCTION("""COMPUTED_VALUE"""),45975.6666666666)</f>
        <v>45975.666666666599</v>
      </c>
      <c r="B442" s="5">
        <v>8370.44</v>
      </c>
    </row>
    <row r="443" spans="1:2" x14ac:dyDescent="0.2">
      <c r="A443" s="2">
        <f ca="1">IFERROR(__xludf.DUMMYFUNCTION("""COMPUTED_VALUE"""),45978.6666666666)</f>
        <v>45978.666666666599</v>
      </c>
      <c r="B443" s="5">
        <v>8416.8799999999992</v>
      </c>
    </row>
    <row r="444" spans="1:2" x14ac:dyDescent="0.2">
      <c r="A444" s="2">
        <f ca="1">IFERROR(__xludf.DUMMYFUNCTION("""COMPUTED_VALUE"""),45979.6666666666)</f>
        <v>45979.666666666599</v>
      </c>
      <c r="B444" s="5">
        <v>8361.93</v>
      </c>
    </row>
    <row r="445" spans="1:2" x14ac:dyDescent="0.2">
      <c r="A445" s="2">
        <f ca="1">IFERROR(__xludf.DUMMYFUNCTION("""COMPUTED_VALUE"""),45980.6666666666)</f>
        <v>45980.666666666599</v>
      </c>
      <c r="B445" s="5">
        <v>8406.58</v>
      </c>
    </row>
    <row r="446" spans="1:2" x14ac:dyDescent="0.2">
      <c r="A446" s="2">
        <f ca="1">IFERROR(__xludf.DUMMYFUNCTION("""COMPUTED_VALUE"""),45981.6666666666)</f>
        <v>45981.666666666599</v>
      </c>
      <c r="B446" s="5">
        <v>8419.92</v>
      </c>
    </row>
    <row r="447" spans="1:2" x14ac:dyDescent="0.2">
      <c r="A447" s="2">
        <f ca="1">IFERROR(__xludf.DUMMYFUNCTION("""COMPUTED_VALUE"""),45982.6666666666)</f>
        <v>45982.666666666599</v>
      </c>
      <c r="B447" s="5">
        <v>8414.35</v>
      </c>
    </row>
    <row r="448" spans="1:2" x14ac:dyDescent="0.2">
      <c r="A448" s="2">
        <f ca="1">IFERROR(__xludf.DUMMYFUNCTION("""COMPUTED_VALUE"""),45985.6666666666)</f>
        <v>45985.666666666599</v>
      </c>
      <c r="B448" s="5">
        <v>8570.25</v>
      </c>
    </row>
    <row r="449" spans="1:2" x14ac:dyDescent="0.2">
      <c r="A449" s="2">
        <f ca="1">IFERROR(__xludf.DUMMYFUNCTION("""COMPUTED_VALUE"""),45986.6666666666)</f>
        <v>45986.666666666599</v>
      </c>
      <c r="B449" s="5">
        <v>8521.89</v>
      </c>
    </row>
    <row r="450" spans="1:2" x14ac:dyDescent="0.2">
      <c r="A450" s="2">
        <f ca="1">IFERROR(__xludf.DUMMYFUNCTION("""COMPUTED_VALUE"""),45987.6666666666)</f>
        <v>45987.666666666599</v>
      </c>
      <c r="B450" s="5">
        <v>8602.1299999999992</v>
      </c>
    </row>
    <row r="451" spans="1:2" x14ac:dyDescent="0.2">
      <c r="A451" s="2">
        <f ca="1">IFERROR(__xludf.DUMMYFUNCTION("""COMPUTED_VALUE"""),45988.6666666666)</f>
        <v>45988.666666666599</v>
      </c>
      <c r="B451" s="5">
        <v>8545.8700000000008</v>
      </c>
    </row>
    <row r="452" spans="1:2" x14ac:dyDescent="0.2">
      <c r="A452" s="2">
        <f ca="1">IFERROR(__xludf.DUMMYFUNCTION("""COMPUTED_VALUE"""),45989.6666666666)</f>
        <v>45989.666666666599</v>
      </c>
      <c r="B452" s="5">
        <v>8508.7099999999991</v>
      </c>
    </row>
    <row r="453" spans="1:2" x14ac:dyDescent="0.2">
      <c r="A453" s="2">
        <f ca="1">IFERROR(__xludf.DUMMYFUNCTION("""COMPUTED_VALUE"""),45992.6666666666)</f>
        <v>45992.666666666599</v>
      </c>
      <c r="B453" s="5">
        <v>8548.7900000000009</v>
      </c>
    </row>
    <row r="454" spans="1:2" x14ac:dyDescent="0.2">
      <c r="A454" s="2">
        <f ca="1">IFERROR(__xludf.DUMMYFUNCTION("""COMPUTED_VALUE"""),45993.6666666666)</f>
        <v>45993.666666666599</v>
      </c>
      <c r="B454" s="5">
        <v>8617.0400000000009</v>
      </c>
    </row>
    <row r="455" spans="1:2" x14ac:dyDescent="0.2">
      <c r="A455" s="2">
        <f ca="1">IFERROR(__xludf.DUMMYFUNCTION("""COMPUTED_VALUE"""),45994.6666666666)</f>
        <v>45994.666666666599</v>
      </c>
      <c r="B455" s="5">
        <v>8611.7900000000009</v>
      </c>
    </row>
    <row r="456" spans="1:2" x14ac:dyDescent="0.2">
      <c r="A456" s="2">
        <f ca="1">IFERROR(__xludf.DUMMYFUNCTION("""COMPUTED_VALUE"""),45995.6666666666)</f>
        <v>45995.666666666599</v>
      </c>
      <c r="B456" s="5">
        <v>8640.2000000000007</v>
      </c>
    </row>
    <row r="457" spans="1:2" x14ac:dyDescent="0.2">
      <c r="A457" s="2">
        <f ca="1">IFERROR(__xludf.DUMMYFUNCTION("""COMPUTED_VALUE"""),45996.6666666666)</f>
        <v>45996.666666666599</v>
      </c>
      <c r="B457" s="5">
        <v>8632.76</v>
      </c>
    </row>
    <row r="458" spans="1:2" x14ac:dyDescent="0.2">
      <c r="A458" s="2">
        <f ca="1">IFERROR(__xludf.DUMMYFUNCTION("""COMPUTED_VALUE"""),45999.6666666666)</f>
        <v>45999.666666666599</v>
      </c>
      <c r="B458" s="5">
        <v>8710.7000000000007</v>
      </c>
    </row>
    <row r="459" spans="1:2" x14ac:dyDescent="0.2">
      <c r="A459" s="2">
        <f ca="1">IFERROR(__xludf.DUMMYFUNCTION("""COMPUTED_VALUE"""),46000.6666666666)</f>
        <v>46000.666666666599</v>
      </c>
      <c r="B459" s="5">
        <v>8657.18</v>
      </c>
    </row>
    <row r="460" spans="1:2" x14ac:dyDescent="0.2">
      <c r="A460" s="2">
        <f ca="1">IFERROR(__xludf.DUMMYFUNCTION("""COMPUTED_VALUE"""),46001.6666666666)</f>
        <v>46001.666666666599</v>
      </c>
      <c r="B460" s="5">
        <v>8700.92</v>
      </c>
    </row>
    <row r="461" spans="1:2" x14ac:dyDescent="0.2">
      <c r="A461" s="2">
        <f ca="1">IFERROR(__xludf.DUMMYFUNCTION("""COMPUTED_VALUE"""),46002.6666666666)</f>
        <v>46002.666666666599</v>
      </c>
      <c r="B461" s="5">
        <v>8620.48</v>
      </c>
    </row>
    <row r="462" spans="1:2" x14ac:dyDescent="0.2">
      <c r="A462" s="2">
        <f ca="1">IFERROR(__xludf.DUMMYFUNCTION("""COMPUTED_VALUE"""),46003.6666666666)</f>
        <v>46003.666666666599</v>
      </c>
      <c r="B462" s="5">
        <v>8660.5</v>
      </c>
    </row>
    <row r="463" spans="1:2" x14ac:dyDescent="0.2">
      <c r="A463" s="2">
        <f ca="1">IFERROR(__xludf.DUMMYFUNCTION("""COMPUTED_VALUE"""),46006.6666666666)</f>
        <v>46006.666666666599</v>
      </c>
      <c r="B463" s="5">
        <v>8649.66</v>
      </c>
    </row>
    <row r="464" spans="1:2" x14ac:dyDescent="0.2">
      <c r="A464" s="2">
        <f ca="1">IFERROR(__xludf.DUMMYFUNCTION("""COMPUTED_VALUE"""),46007.6666666666)</f>
        <v>46007.666666666599</v>
      </c>
      <c r="B464" s="5">
        <v>8686.4699999999993</v>
      </c>
    </row>
    <row r="465" spans="1:2" x14ac:dyDescent="0.2">
      <c r="A465" s="2">
        <f ca="1">IFERROR(__xludf.DUMMYFUNCTION("""COMPUTED_VALUE"""),46008.6666666666)</f>
        <v>46008.666666666599</v>
      </c>
      <c r="B465" s="5">
        <v>8677.34</v>
      </c>
    </row>
    <row r="466" spans="1:2" x14ac:dyDescent="0.2">
      <c r="A466" s="2">
        <f ca="1">IFERROR(__xludf.DUMMYFUNCTION("""COMPUTED_VALUE"""),46009.6666666666)</f>
        <v>46009.666666666599</v>
      </c>
      <c r="B466" s="5">
        <v>8618.2000000000007</v>
      </c>
    </row>
    <row r="467" spans="1:2" x14ac:dyDescent="0.2">
      <c r="A467" s="2">
        <f ca="1">IFERROR(__xludf.DUMMYFUNCTION("""COMPUTED_VALUE"""),46010.6666666666)</f>
        <v>46010.666666666599</v>
      </c>
      <c r="B467" s="5">
        <v>8609.5499999999993</v>
      </c>
    </row>
    <row r="468" spans="1:2" x14ac:dyDescent="0.2">
      <c r="A468" s="2">
        <f ca="1">IFERROR(__xludf.DUMMYFUNCTION("""COMPUTED_VALUE"""),46013.6666666666)</f>
        <v>46013.666666666599</v>
      </c>
      <c r="B468" s="5">
        <v>8645.84</v>
      </c>
    </row>
    <row r="469" spans="1:2" x14ac:dyDescent="0.2">
      <c r="A469" s="2">
        <f ca="1">IFERROR(__xludf.DUMMYFUNCTION("""COMPUTED_VALUE"""),46014.6666666666)</f>
        <v>46014.666666666599</v>
      </c>
      <c r="B469" s="5">
        <v>8584.7800000000007</v>
      </c>
    </row>
    <row r="470" spans="1:2" x14ac:dyDescent="0.2">
      <c r="A470" s="2">
        <f ca="1">IFERROR(__xludf.DUMMYFUNCTION("""COMPUTED_VALUE"""),46015.6666666666)</f>
        <v>46015.666666666599</v>
      </c>
      <c r="B470" s="5">
        <v>8537.91</v>
      </c>
    </row>
    <row r="471" spans="1:2" x14ac:dyDescent="0.2">
      <c r="A471" s="2">
        <f ca="1">IFERROR(__xludf.DUMMYFUNCTION("""COMPUTED_VALUE"""),46020.6666666666)</f>
        <v>46020.666666666599</v>
      </c>
      <c r="B471" s="5">
        <v>8644.26</v>
      </c>
    </row>
    <row r="472" spans="1:2" x14ac:dyDescent="0.2">
      <c r="A472" s="2">
        <f ca="1">IFERROR(__xludf.DUMMYFUNCTION("""COMPUTED_VALUE"""),46021.6666666666)</f>
        <v>46021.666666666599</v>
      </c>
      <c r="B472" s="5">
        <v>8646.94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2"/>
  <sheetViews>
    <sheetView zoomScale="145" zoomScaleNormal="145" workbookViewId="0">
      <selection activeCell="H7" sqref="H7"/>
    </sheetView>
  </sheetViews>
  <sheetFormatPr defaultColWidth="12.5703125" defaultRowHeight="15.75" customHeight="1" x14ac:dyDescent="0.2"/>
  <sheetData>
    <row r="1" spans="1:7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x14ac:dyDescent="0.2">
      <c r="A2" s="3" t="s">
        <v>8</v>
      </c>
      <c r="B2" s="4">
        <v>2024</v>
      </c>
      <c r="C2" s="7" t="s">
        <v>56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">
      <c r="A3" s="3" t="s">
        <v>8</v>
      </c>
      <c r="B3" s="4">
        <v>2025</v>
      </c>
      <c r="C3" s="6" t="s">
        <v>50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7" x14ac:dyDescent="0.2">
      <c r="A4" s="3"/>
      <c r="B4" s="3"/>
      <c r="C4" s="3"/>
      <c r="D4" s="3"/>
      <c r="E4" s="3"/>
      <c r="F4" s="3"/>
      <c r="G4" s="3"/>
    </row>
    <row r="5" spans="1:7" x14ac:dyDescent="0.2">
      <c r="A5" s="3" t="s">
        <v>17</v>
      </c>
      <c r="B5" s="4">
        <v>2024</v>
      </c>
      <c r="C5" s="6" t="s">
        <v>51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x14ac:dyDescent="0.2">
      <c r="A6" s="3" t="s">
        <v>17</v>
      </c>
      <c r="B6" s="4">
        <v>2025</v>
      </c>
      <c r="C6" s="6" t="s">
        <v>52</v>
      </c>
      <c r="D6" s="3" t="s">
        <v>22</v>
      </c>
      <c r="E6" s="3" t="s">
        <v>23</v>
      </c>
      <c r="F6" s="3" t="s">
        <v>24</v>
      </c>
      <c r="G6" s="3" t="s">
        <v>25</v>
      </c>
    </row>
    <row r="7" spans="1:7" x14ac:dyDescent="0.2">
      <c r="A7" s="3"/>
      <c r="B7" s="3"/>
      <c r="C7" s="3"/>
      <c r="D7" s="3"/>
      <c r="E7" s="3"/>
      <c r="F7" s="3"/>
      <c r="G7" s="3"/>
    </row>
    <row r="8" spans="1:7" x14ac:dyDescent="0.2">
      <c r="A8" s="3" t="s">
        <v>26</v>
      </c>
      <c r="B8" s="4">
        <v>2024</v>
      </c>
      <c r="C8" s="6" t="s">
        <v>53</v>
      </c>
      <c r="D8" s="3" t="s">
        <v>27</v>
      </c>
      <c r="E8" s="3" t="s">
        <v>28</v>
      </c>
      <c r="F8" s="3" t="s">
        <v>29</v>
      </c>
      <c r="G8" s="3" t="s">
        <v>30</v>
      </c>
    </row>
    <row r="9" spans="1:7" x14ac:dyDescent="0.2">
      <c r="A9" s="3" t="s">
        <v>26</v>
      </c>
      <c r="B9" s="4">
        <v>2025</v>
      </c>
      <c r="C9" s="6" t="s">
        <v>53</v>
      </c>
      <c r="D9" s="3" t="s">
        <v>31</v>
      </c>
      <c r="E9" s="3" t="s">
        <v>32</v>
      </c>
      <c r="F9" s="3" t="s">
        <v>33</v>
      </c>
      <c r="G9" s="3" t="s">
        <v>34</v>
      </c>
    </row>
    <row r="10" spans="1:7" x14ac:dyDescent="0.2">
      <c r="A10" s="3"/>
      <c r="B10" s="3"/>
      <c r="C10" s="3"/>
      <c r="D10" s="3"/>
      <c r="E10" s="3"/>
      <c r="F10" s="3"/>
      <c r="G10" s="3"/>
    </row>
    <row r="11" spans="1:7" x14ac:dyDescent="0.2">
      <c r="A11" s="3" t="s">
        <v>35</v>
      </c>
      <c r="B11" s="4">
        <v>2024</v>
      </c>
      <c r="C11" s="6" t="s">
        <v>54</v>
      </c>
      <c r="D11" s="3" t="s">
        <v>36</v>
      </c>
      <c r="E11" s="3" t="s">
        <v>37</v>
      </c>
      <c r="F11" s="3" t="s">
        <v>38</v>
      </c>
      <c r="G11" s="3" t="s">
        <v>39</v>
      </c>
    </row>
    <row r="12" spans="1:7" x14ac:dyDescent="0.2">
      <c r="A12" s="3" t="s">
        <v>35</v>
      </c>
      <c r="B12" s="4">
        <v>2025</v>
      </c>
      <c r="C12" s="6" t="s">
        <v>55</v>
      </c>
      <c r="D12" s="3" t="s">
        <v>40</v>
      </c>
      <c r="E12" s="3" t="s">
        <v>41</v>
      </c>
      <c r="F12" s="3" t="s">
        <v>42</v>
      </c>
      <c r="G12" s="3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7C34-8002-45E0-B6E4-A05314397B30}">
  <dimension ref="A1:D5"/>
  <sheetViews>
    <sheetView tabSelected="1" workbookViewId="0">
      <selection activeCell="E4" sqref="E4"/>
    </sheetView>
  </sheetViews>
  <sheetFormatPr defaultRowHeight="12.75" x14ac:dyDescent="0.2"/>
  <cols>
    <col min="1" max="1" width="13.7109375" bestFit="1" customWidth="1"/>
    <col min="2" max="2" width="14.5703125" style="17" customWidth="1"/>
    <col min="4" max="4" width="13.85546875" bestFit="1" customWidth="1"/>
  </cols>
  <sheetData>
    <row r="1" spans="1:4" x14ac:dyDescent="0.2">
      <c r="A1" s="14" t="s">
        <v>64</v>
      </c>
      <c r="B1" s="15">
        <v>2024</v>
      </c>
      <c r="C1" s="15">
        <v>2025</v>
      </c>
      <c r="D1" s="9" t="s">
        <v>65</v>
      </c>
    </row>
    <row r="2" spans="1:4" x14ac:dyDescent="0.2">
      <c r="A2" s="14" t="s">
        <v>61</v>
      </c>
      <c r="B2" s="16">
        <f>_xlfn.STDEV.P(BBRI!$H$2:$H$238)</f>
        <v>1.8331384732312505E-2</v>
      </c>
      <c r="C2" s="16">
        <f>_xlfn.STDEV.P(BBRI!$H$238:$H$474)</f>
        <v>2.3397874947434661E-2</v>
      </c>
    </row>
    <row r="3" spans="1:4" x14ac:dyDescent="0.2">
      <c r="A3" s="14" t="s">
        <v>60</v>
      </c>
      <c r="B3" s="16">
        <f>_xlfn.STDEV.P(BBCA!$H$2:$H$238)</f>
        <v>1.3942418763238698E-2</v>
      </c>
      <c r="C3" s="16">
        <f>_xlfn.STDEV.P(BBCA!$H$238:$H$474)</f>
        <v>1.8476211207218003E-2</v>
      </c>
    </row>
    <row r="4" spans="1:4" x14ac:dyDescent="0.2">
      <c r="A4" s="14" t="s">
        <v>62</v>
      </c>
      <c r="B4" s="16">
        <f>_xlfn.STDEV.P(BMRI!$H$2:$H$238)</f>
        <v>1.9174730420163006E-2</v>
      </c>
      <c r="C4" s="16">
        <f>_xlfn.STDEV.P(BMRI!$H$238:$H$474)</f>
        <v>2.3559962424527403E-2</v>
      </c>
    </row>
    <row r="5" spans="1:4" x14ac:dyDescent="0.2">
      <c r="A5" s="14" t="s">
        <v>63</v>
      </c>
      <c r="B5" s="16">
        <f>_xlfn.STDEV.P(BBNI!$H$2:$H$238)</f>
        <v>1.9025426598610291E-2</v>
      </c>
      <c r="C5" s="16">
        <f>_xlfn.STDEV.P(BBNI!$H$238:$H$474)</f>
        <v>2.4222997139059066E-2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C830E8-D84B-4B18-B7DA-A73E952AE0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BBRI</vt:lpstr>
      <vt:lpstr>BBCA</vt:lpstr>
      <vt:lpstr>BMRI</vt:lpstr>
      <vt:lpstr>BBNI</vt:lpstr>
      <vt:lpstr>Kurs USD ke IDR</vt:lpstr>
      <vt:lpstr>IHSG</vt:lpstr>
      <vt:lpstr>FUNDAMENTAL</vt:lpstr>
      <vt:lpstr>Volatilitas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Fakultas Ekonomi</cp:lastModifiedBy>
  <dcterms:modified xsi:type="dcterms:W3CDTF">2026-06-08T04:36:04Z</dcterms:modified>
</cp:coreProperties>
</file>