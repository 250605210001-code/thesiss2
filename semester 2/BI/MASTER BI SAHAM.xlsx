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F:\DATA ARSIP\IJAZAH KOMPUTERKU\THESIS\thesiss2\semester 2\BI\"/>
    </mc:Choice>
  </mc:AlternateContent>
  <xr:revisionPtr revIDLastSave="0" documentId="13_ncr:1_{0B2ED62A-BAB6-4CAF-B98B-E7E739C31A17}" xr6:coauthVersionLast="47" xr6:coauthVersionMax="47" xr10:uidLastSave="{00000000-0000-0000-0000-000000000000}"/>
  <bookViews>
    <workbookView xWindow="-120" yWindow="-120" windowWidth="20730" windowHeight="11160" firstSheet="1" activeTab="8" xr2:uid="{00000000-000D-0000-FFFF-FFFF00000000}"/>
  </bookViews>
  <sheets>
    <sheet name="BBRI" sheetId="1" r:id="rId1"/>
    <sheet name="BBCA" sheetId="2" r:id="rId2"/>
    <sheet name="BMRI" sheetId="3" r:id="rId3"/>
    <sheet name="BBNI" sheetId="4" r:id="rId4"/>
    <sheet name="Kurs USD ke IDR" sheetId="5" r:id="rId5"/>
    <sheet name="IHSG" sheetId="6" r:id="rId6"/>
    <sheet name="FUNDAMENTAL" sheetId="7" r:id="rId7"/>
    <sheet name="Sheet1" sheetId="9" r:id="rId8"/>
    <sheet name="Sheet3" sheetId="11" r:id="rId9"/>
    <sheet name="Volatilitas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893" i="9" l="1"/>
  <c r="H1893" i="9"/>
  <c r="A1893" i="9"/>
  <c r="I1892" i="9"/>
  <c r="H1892" i="9"/>
  <c r="A1892" i="9"/>
  <c r="I1891" i="9"/>
  <c r="H1891" i="9"/>
  <c r="A1891" i="9"/>
  <c r="I1890" i="9"/>
  <c r="H1890" i="9"/>
  <c r="A1890" i="9"/>
  <c r="I1889" i="9"/>
  <c r="H1889" i="9"/>
  <c r="A1889" i="9"/>
  <c r="I1888" i="9"/>
  <c r="H1888" i="9"/>
  <c r="A1888" i="9"/>
  <c r="I1887" i="9"/>
  <c r="H1887" i="9"/>
  <c r="A1887" i="9"/>
  <c r="I1886" i="9"/>
  <c r="H1886" i="9"/>
  <c r="A1886" i="9"/>
  <c r="I1885" i="9"/>
  <c r="H1885" i="9"/>
  <c r="A1885" i="9"/>
  <c r="I1884" i="9"/>
  <c r="H1884" i="9"/>
  <c r="A1884" i="9"/>
  <c r="I1883" i="9"/>
  <c r="H1883" i="9"/>
  <c r="A1883" i="9"/>
  <c r="I1882" i="9"/>
  <c r="H1882" i="9"/>
  <c r="A1882" i="9"/>
  <c r="I1881" i="9"/>
  <c r="H1881" i="9"/>
  <c r="A1881" i="9"/>
  <c r="I1880" i="9"/>
  <c r="H1880" i="9"/>
  <c r="A1880" i="9"/>
  <c r="I1879" i="9"/>
  <c r="H1879" i="9"/>
  <c r="A1879" i="9"/>
  <c r="I1878" i="9"/>
  <c r="H1878" i="9"/>
  <c r="A1878" i="9"/>
  <c r="I1877" i="9"/>
  <c r="H1877" i="9"/>
  <c r="A1877" i="9"/>
  <c r="I1876" i="9"/>
  <c r="H1876" i="9"/>
  <c r="A1876" i="9"/>
  <c r="I1875" i="9"/>
  <c r="H1875" i="9"/>
  <c r="A1875" i="9"/>
  <c r="I1874" i="9"/>
  <c r="H1874" i="9"/>
  <c r="A1874" i="9"/>
  <c r="I1873" i="9"/>
  <c r="H1873" i="9"/>
  <c r="A1873" i="9"/>
  <c r="I1872" i="9"/>
  <c r="H1872" i="9"/>
  <c r="A1872" i="9"/>
  <c r="I1871" i="9"/>
  <c r="H1871" i="9"/>
  <c r="A1871" i="9"/>
  <c r="I1870" i="9"/>
  <c r="H1870" i="9"/>
  <c r="A1870" i="9"/>
  <c r="I1869" i="9"/>
  <c r="H1869" i="9"/>
  <c r="A1869" i="9"/>
  <c r="I1868" i="9"/>
  <c r="H1868" i="9"/>
  <c r="A1868" i="9"/>
  <c r="I1867" i="9"/>
  <c r="H1867" i="9"/>
  <c r="A1867" i="9"/>
  <c r="I1866" i="9"/>
  <c r="H1866" i="9"/>
  <c r="A1866" i="9"/>
  <c r="I1865" i="9"/>
  <c r="H1865" i="9"/>
  <c r="A1865" i="9"/>
  <c r="I1864" i="9"/>
  <c r="H1864" i="9"/>
  <c r="A1864" i="9"/>
  <c r="I1863" i="9"/>
  <c r="H1863" i="9"/>
  <c r="A1863" i="9"/>
  <c r="I1862" i="9"/>
  <c r="H1862" i="9"/>
  <c r="A1862" i="9"/>
  <c r="I1861" i="9"/>
  <c r="H1861" i="9"/>
  <c r="A1861" i="9"/>
  <c r="I1860" i="9"/>
  <c r="H1860" i="9"/>
  <c r="A1860" i="9"/>
  <c r="I1859" i="9"/>
  <c r="H1859" i="9"/>
  <c r="A1859" i="9"/>
  <c r="I1858" i="9"/>
  <c r="H1858" i="9"/>
  <c r="A1858" i="9"/>
  <c r="I1857" i="9"/>
  <c r="H1857" i="9"/>
  <c r="A1857" i="9"/>
  <c r="I1856" i="9"/>
  <c r="H1856" i="9"/>
  <c r="A1856" i="9"/>
  <c r="I1855" i="9"/>
  <c r="H1855" i="9"/>
  <c r="A1855" i="9"/>
  <c r="I1854" i="9"/>
  <c r="H1854" i="9"/>
  <c r="A1854" i="9"/>
  <c r="I1853" i="9"/>
  <c r="H1853" i="9"/>
  <c r="A1853" i="9"/>
  <c r="I1852" i="9"/>
  <c r="H1852" i="9"/>
  <c r="A1852" i="9"/>
  <c r="I1851" i="9"/>
  <c r="H1851" i="9"/>
  <c r="A1851" i="9"/>
  <c r="I1850" i="9"/>
  <c r="H1850" i="9"/>
  <c r="A1850" i="9"/>
  <c r="I1849" i="9"/>
  <c r="H1849" i="9"/>
  <c r="A1849" i="9"/>
  <c r="I1848" i="9"/>
  <c r="H1848" i="9"/>
  <c r="A1848" i="9"/>
  <c r="I1847" i="9"/>
  <c r="H1847" i="9"/>
  <c r="A1847" i="9"/>
  <c r="I1846" i="9"/>
  <c r="H1846" i="9"/>
  <c r="A1846" i="9"/>
  <c r="I1845" i="9"/>
  <c r="H1845" i="9"/>
  <c r="A1845" i="9"/>
  <c r="I1844" i="9"/>
  <c r="H1844" i="9"/>
  <c r="A1844" i="9"/>
  <c r="I1843" i="9"/>
  <c r="H1843" i="9"/>
  <c r="A1843" i="9"/>
  <c r="I1842" i="9"/>
  <c r="H1842" i="9"/>
  <c r="A1842" i="9"/>
  <c r="I1841" i="9"/>
  <c r="H1841" i="9"/>
  <c r="A1841" i="9"/>
  <c r="I1840" i="9"/>
  <c r="H1840" i="9"/>
  <c r="A1840" i="9"/>
  <c r="I1839" i="9"/>
  <c r="H1839" i="9"/>
  <c r="A1839" i="9"/>
  <c r="I1838" i="9"/>
  <c r="H1838" i="9"/>
  <c r="A1838" i="9"/>
  <c r="I1837" i="9"/>
  <c r="H1837" i="9"/>
  <c r="A1837" i="9"/>
  <c r="I1836" i="9"/>
  <c r="H1836" i="9"/>
  <c r="A1836" i="9"/>
  <c r="I1835" i="9"/>
  <c r="H1835" i="9"/>
  <c r="A1835" i="9"/>
  <c r="I1834" i="9"/>
  <c r="H1834" i="9"/>
  <c r="A1834" i="9"/>
  <c r="I1833" i="9"/>
  <c r="H1833" i="9"/>
  <c r="A1833" i="9"/>
  <c r="I1832" i="9"/>
  <c r="H1832" i="9"/>
  <c r="A1832" i="9"/>
  <c r="I1831" i="9"/>
  <c r="H1831" i="9"/>
  <c r="A1831" i="9"/>
  <c r="I1830" i="9"/>
  <c r="H1830" i="9"/>
  <c r="A1830" i="9"/>
  <c r="I1829" i="9"/>
  <c r="H1829" i="9"/>
  <c r="A1829" i="9"/>
  <c r="I1828" i="9"/>
  <c r="H1828" i="9"/>
  <c r="A1828" i="9"/>
  <c r="I1827" i="9"/>
  <c r="H1827" i="9"/>
  <c r="A1827" i="9"/>
  <c r="I1826" i="9"/>
  <c r="H1826" i="9"/>
  <c r="A1826" i="9"/>
  <c r="I1825" i="9"/>
  <c r="H1825" i="9"/>
  <c r="A1825" i="9"/>
  <c r="I1824" i="9"/>
  <c r="H1824" i="9"/>
  <c r="A1824" i="9"/>
  <c r="I1823" i="9"/>
  <c r="H1823" i="9"/>
  <c r="A1823" i="9"/>
  <c r="I1822" i="9"/>
  <c r="H1822" i="9"/>
  <c r="A1822" i="9"/>
  <c r="I1821" i="9"/>
  <c r="H1821" i="9"/>
  <c r="A1821" i="9"/>
  <c r="I1820" i="9"/>
  <c r="H1820" i="9"/>
  <c r="A1820" i="9"/>
  <c r="I1819" i="9"/>
  <c r="H1819" i="9"/>
  <c r="A1819" i="9"/>
  <c r="I1818" i="9"/>
  <c r="H1818" i="9"/>
  <c r="A1818" i="9"/>
  <c r="I1817" i="9"/>
  <c r="H1817" i="9"/>
  <c r="A1817" i="9"/>
  <c r="I1816" i="9"/>
  <c r="H1816" i="9"/>
  <c r="A1816" i="9"/>
  <c r="I1815" i="9"/>
  <c r="H1815" i="9"/>
  <c r="A1815" i="9"/>
  <c r="I1814" i="9"/>
  <c r="H1814" i="9"/>
  <c r="A1814" i="9"/>
  <c r="I1813" i="9"/>
  <c r="H1813" i="9"/>
  <c r="A1813" i="9"/>
  <c r="I1812" i="9"/>
  <c r="H1812" i="9"/>
  <c r="A1812" i="9"/>
  <c r="I1811" i="9"/>
  <c r="H1811" i="9"/>
  <c r="A1811" i="9"/>
  <c r="I1810" i="9"/>
  <c r="H1810" i="9"/>
  <c r="A1810" i="9"/>
  <c r="I1809" i="9"/>
  <c r="H1809" i="9"/>
  <c r="A1809" i="9"/>
  <c r="I1808" i="9"/>
  <c r="H1808" i="9"/>
  <c r="A1808" i="9"/>
  <c r="I1807" i="9"/>
  <c r="H1807" i="9"/>
  <c r="A1807" i="9"/>
  <c r="I1806" i="9"/>
  <c r="H1806" i="9"/>
  <c r="A1806" i="9"/>
  <c r="I1805" i="9"/>
  <c r="H1805" i="9"/>
  <c r="A1805" i="9"/>
  <c r="I1804" i="9"/>
  <c r="H1804" i="9"/>
  <c r="A1804" i="9"/>
  <c r="I1803" i="9"/>
  <c r="H1803" i="9"/>
  <c r="A1803" i="9"/>
  <c r="I1802" i="9"/>
  <c r="H1802" i="9"/>
  <c r="A1802" i="9"/>
  <c r="I1801" i="9"/>
  <c r="H1801" i="9"/>
  <c r="A1801" i="9"/>
  <c r="I1800" i="9"/>
  <c r="H1800" i="9"/>
  <c r="A1800" i="9"/>
  <c r="I1799" i="9"/>
  <c r="H1799" i="9"/>
  <c r="A1799" i="9"/>
  <c r="I1798" i="9"/>
  <c r="H1798" i="9"/>
  <c r="A1798" i="9"/>
  <c r="I1797" i="9"/>
  <c r="H1797" i="9"/>
  <c r="A1797" i="9"/>
  <c r="I1796" i="9"/>
  <c r="H1796" i="9"/>
  <c r="A1796" i="9"/>
  <c r="I1795" i="9"/>
  <c r="H1795" i="9"/>
  <c r="A1795" i="9"/>
  <c r="I1794" i="9"/>
  <c r="H1794" i="9"/>
  <c r="A1794" i="9"/>
  <c r="I1793" i="9"/>
  <c r="H1793" i="9"/>
  <c r="A1793" i="9"/>
  <c r="I1792" i="9"/>
  <c r="H1792" i="9"/>
  <c r="A1792" i="9"/>
  <c r="I1791" i="9"/>
  <c r="H1791" i="9"/>
  <c r="A1791" i="9"/>
  <c r="I1790" i="9"/>
  <c r="H1790" i="9"/>
  <c r="A1790" i="9"/>
  <c r="I1789" i="9"/>
  <c r="H1789" i="9"/>
  <c r="A1789" i="9"/>
  <c r="I1788" i="9"/>
  <c r="H1788" i="9"/>
  <c r="A1788" i="9"/>
  <c r="I1787" i="9"/>
  <c r="H1787" i="9"/>
  <c r="A1787" i="9"/>
  <c r="I1786" i="9"/>
  <c r="H1786" i="9"/>
  <c r="A1786" i="9"/>
  <c r="I1785" i="9"/>
  <c r="H1785" i="9"/>
  <c r="A1785" i="9"/>
  <c r="I1784" i="9"/>
  <c r="H1784" i="9"/>
  <c r="A1784" i="9"/>
  <c r="I1783" i="9"/>
  <c r="H1783" i="9"/>
  <c r="A1783" i="9"/>
  <c r="I1782" i="9"/>
  <c r="H1782" i="9"/>
  <c r="A1782" i="9"/>
  <c r="I1781" i="9"/>
  <c r="H1781" i="9"/>
  <c r="A1781" i="9"/>
  <c r="I1780" i="9"/>
  <c r="H1780" i="9"/>
  <c r="A1780" i="9"/>
  <c r="I1779" i="9"/>
  <c r="H1779" i="9"/>
  <c r="A1779" i="9"/>
  <c r="I1778" i="9"/>
  <c r="H1778" i="9"/>
  <c r="A1778" i="9"/>
  <c r="I1777" i="9"/>
  <c r="H1777" i="9"/>
  <c r="A1777" i="9"/>
  <c r="I1776" i="9"/>
  <c r="H1776" i="9"/>
  <c r="A1776" i="9"/>
  <c r="I1775" i="9"/>
  <c r="H1775" i="9"/>
  <c r="A1775" i="9"/>
  <c r="I1774" i="9"/>
  <c r="H1774" i="9"/>
  <c r="A1774" i="9"/>
  <c r="I1773" i="9"/>
  <c r="H1773" i="9"/>
  <c r="A1773" i="9"/>
  <c r="I1772" i="9"/>
  <c r="H1772" i="9"/>
  <c r="A1772" i="9"/>
  <c r="I1771" i="9"/>
  <c r="H1771" i="9"/>
  <c r="A1771" i="9"/>
  <c r="I1770" i="9"/>
  <c r="H1770" i="9"/>
  <c r="A1770" i="9"/>
  <c r="I1769" i="9"/>
  <c r="H1769" i="9"/>
  <c r="A1769" i="9"/>
  <c r="I1768" i="9"/>
  <c r="H1768" i="9"/>
  <c r="A1768" i="9"/>
  <c r="I1767" i="9"/>
  <c r="H1767" i="9"/>
  <c r="A1767" i="9"/>
  <c r="I1766" i="9"/>
  <c r="H1766" i="9"/>
  <c r="A1766" i="9"/>
  <c r="I1765" i="9"/>
  <c r="H1765" i="9"/>
  <c r="A1765" i="9"/>
  <c r="I1764" i="9"/>
  <c r="H1764" i="9"/>
  <c r="A1764" i="9"/>
  <c r="I1763" i="9"/>
  <c r="H1763" i="9"/>
  <c r="A1763" i="9"/>
  <c r="I1762" i="9"/>
  <c r="H1762" i="9"/>
  <c r="A1762" i="9"/>
  <c r="I1761" i="9"/>
  <c r="H1761" i="9"/>
  <c r="A1761" i="9"/>
  <c r="I1760" i="9"/>
  <c r="H1760" i="9"/>
  <c r="A1760" i="9"/>
  <c r="I1759" i="9"/>
  <c r="H1759" i="9"/>
  <c r="A1759" i="9"/>
  <c r="I1758" i="9"/>
  <c r="H1758" i="9"/>
  <c r="A1758" i="9"/>
  <c r="I1757" i="9"/>
  <c r="H1757" i="9"/>
  <c r="A1757" i="9"/>
  <c r="I1756" i="9"/>
  <c r="H1756" i="9"/>
  <c r="A1756" i="9"/>
  <c r="I1755" i="9"/>
  <c r="H1755" i="9"/>
  <c r="A1755" i="9"/>
  <c r="I1754" i="9"/>
  <c r="H1754" i="9"/>
  <c r="A1754" i="9"/>
  <c r="I1753" i="9"/>
  <c r="H1753" i="9"/>
  <c r="A1753" i="9"/>
  <c r="I1752" i="9"/>
  <c r="H1752" i="9"/>
  <c r="A1752" i="9"/>
  <c r="I1751" i="9"/>
  <c r="H1751" i="9"/>
  <c r="A1751" i="9"/>
  <c r="I1750" i="9"/>
  <c r="H1750" i="9"/>
  <c r="A1750" i="9"/>
  <c r="I1749" i="9"/>
  <c r="H1749" i="9"/>
  <c r="A1749" i="9"/>
  <c r="I1748" i="9"/>
  <c r="H1748" i="9"/>
  <c r="A1748" i="9"/>
  <c r="I1747" i="9"/>
  <c r="H1747" i="9"/>
  <c r="A1747" i="9"/>
  <c r="I1746" i="9"/>
  <c r="H1746" i="9"/>
  <c r="A1746" i="9"/>
  <c r="I1745" i="9"/>
  <c r="H1745" i="9"/>
  <c r="A1745" i="9"/>
  <c r="I1744" i="9"/>
  <c r="H1744" i="9"/>
  <c r="A1744" i="9"/>
  <c r="I1743" i="9"/>
  <c r="H1743" i="9"/>
  <c r="A1743" i="9"/>
  <c r="I1742" i="9"/>
  <c r="H1742" i="9"/>
  <c r="A1742" i="9"/>
  <c r="I1741" i="9"/>
  <c r="H1741" i="9"/>
  <c r="A1741" i="9"/>
  <c r="I1740" i="9"/>
  <c r="H1740" i="9"/>
  <c r="A1740" i="9"/>
  <c r="I1739" i="9"/>
  <c r="H1739" i="9"/>
  <c r="A1739" i="9"/>
  <c r="I1738" i="9"/>
  <c r="H1738" i="9"/>
  <c r="A1738" i="9"/>
  <c r="I1737" i="9"/>
  <c r="H1737" i="9"/>
  <c r="A1737" i="9"/>
  <c r="I1736" i="9"/>
  <c r="H1736" i="9"/>
  <c r="A1736" i="9"/>
  <c r="I1735" i="9"/>
  <c r="H1735" i="9"/>
  <c r="A1735" i="9"/>
  <c r="I1734" i="9"/>
  <c r="H1734" i="9"/>
  <c r="A1734" i="9"/>
  <c r="I1733" i="9"/>
  <c r="H1733" i="9"/>
  <c r="A1733" i="9"/>
  <c r="I1732" i="9"/>
  <c r="H1732" i="9"/>
  <c r="A1732" i="9"/>
  <c r="I1731" i="9"/>
  <c r="H1731" i="9"/>
  <c r="A1731" i="9"/>
  <c r="I1730" i="9"/>
  <c r="H1730" i="9"/>
  <c r="A1730" i="9"/>
  <c r="I1729" i="9"/>
  <c r="H1729" i="9"/>
  <c r="A1729" i="9"/>
  <c r="I1728" i="9"/>
  <c r="H1728" i="9"/>
  <c r="A1728" i="9"/>
  <c r="I1727" i="9"/>
  <c r="H1727" i="9"/>
  <c r="A1727" i="9"/>
  <c r="I1726" i="9"/>
  <c r="H1726" i="9"/>
  <c r="A1726" i="9"/>
  <c r="I1725" i="9"/>
  <c r="H1725" i="9"/>
  <c r="A1725" i="9"/>
  <c r="I1724" i="9"/>
  <c r="H1724" i="9"/>
  <c r="A1724" i="9"/>
  <c r="I1723" i="9"/>
  <c r="H1723" i="9"/>
  <c r="A1723" i="9"/>
  <c r="I1722" i="9"/>
  <c r="H1722" i="9"/>
  <c r="A1722" i="9"/>
  <c r="I1721" i="9"/>
  <c r="H1721" i="9"/>
  <c r="A1721" i="9"/>
  <c r="I1720" i="9"/>
  <c r="H1720" i="9"/>
  <c r="A1720" i="9"/>
  <c r="I1719" i="9"/>
  <c r="H1719" i="9"/>
  <c r="A1719" i="9"/>
  <c r="I1718" i="9"/>
  <c r="H1718" i="9"/>
  <c r="A1718" i="9"/>
  <c r="I1717" i="9"/>
  <c r="H1717" i="9"/>
  <c r="A1717" i="9"/>
  <c r="I1716" i="9"/>
  <c r="H1716" i="9"/>
  <c r="A1716" i="9"/>
  <c r="I1715" i="9"/>
  <c r="H1715" i="9"/>
  <c r="A1715" i="9"/>
  <c r="I1714" i="9"/>
  <c r="H1714" i="9"/>
  <c r="A1714" i="9"/>
  <c r="I1713" i="9"/>
  <c r="H1713" i="9"/>
  <c r="A1713" i="9"/>
  <c r="I1712" i="9"/>
  <c r="H1712" i="9"/>
  <c r="A1712" i="9"/>
  <c r="I1711" i="9"/>
  <c r="H1711" i="9"/>
  <c r="A1711" i="9"/>
  <c r="I1710" i="9"/>
  <c r="H1710" i="9"/>
  <c r="A1710" i="9"/>
  <c r="I1709" i="9"/>
  <c r="H1709" i="9"/>
  <c r="A1709" i="9"/>
  <c r="I1708" i="9"/>
  <c r="H1708" i="9"/>
  <c r="A1708" i="9"/>
  <c r="I1707" i="9"/>
  <c r="H1707" i="9"/>
  <c r="A1707" i="9"/>
  <c r="I1706" i="9"/>
  <c r="H1706" i="9"/>
  <c r="A1706" i="9"/>
  <c r="I1705" i="9"/>
  <c r="H1705" i="9"/>
  <c r="A1705" i="9"/>
  <c r="I1704" i="9"/>
  <c r="H1704" i="9"/>
  <c r="A1704" i="9"/>
  <c r="I1703" i="9"/>
  <c r="H1703" i="9"/>
  <c r="A1703" i="9"/>
  <c r="I1702" i="9"/>
  <c r="H1702" i="9"/>
  <c r="A1702" i="9"/>
  <c r="I1701" i="9"/>
  <c r="H1701" i="9"/>
  <c r="A1701" i="9"/>
  <c r="I1700" i="9"/>
  <c r="H1700" i="9"/>
  <c r="A1700" i="9"/>
  <c r="I1699" i="9"/>
  <c r="H1699" i="9"/>
  <c r="A1699" i="9"/>
  <c r="I1698" i="9"/>
  <c r="H1698" i="9"/>
  <c r="A1698" i="9"/>
  <c r="I1697" i="9"/>
  <c r="H1697" i="9"/>
  <c r="A1697" i="9"/>
  <c r="I1696" i="9"/>
  <c r="H1696" i="9"/>
  <c r="A1696" i="9"/>
  <c r="I1695" i="9"/>
  <c r="H1695" i="9"/>
  <c r="A1695" i="9"/>
  <c r="I1694" i="9"/>
  <c r="H1694" i="9"/>
  <c r="A1694" i="9"/>
  <c r="I1693" i="9"/>
  <c r="H1693" i="9"/>
  <c r="A1693" i="9"/>
  <c r="I1692" i="9"/>
  <c r="H1692" i="9"/>
  <c r="A1692" i="9"/>
  <c r="I1691" i="9"/>
  <c r="H1691" i="9"/>
  <c r="A1691" i="9"/>
  <c r="I1690" i="9"/>
  <c r="H1690" i="9"/>
  <c r="A1690" i="9"/>
  <c r="I1689" i="9"/>
  <c r="H1689" i="9"/>
  <c r="A1689" i="9"/>
  <c r="I1688" i="9"/>
  <c r="H1688" i="9"/>
  <c r="A1688" i="9"/>
  <c r="I1687" i="9"/>
  <c r="H1687" i="9"/>
  <c r="A1687" i="9"/>
  <c r="I1686" i="9"/>
  <c r="H1686" i="9"/>
  <c r="A1686" i="9"/>
  <c r="I1685" i="9"/>
  <c r="H1685" i="9"/>
  <c r="A1685" i="9"/>
  <c r="I1684" i="9"/>
  <c r="H1684" i="9"/>
  <c r="A1684" i="9"/>
  <c r="I1683" i="9"/>
  <c r="H1683" i="9"/>
  <c r="A1683" i="9"/>
  <c r="I1682" i="9"/>
  <c r="H1682" i="9"/>
  <c r="A1682" i="9"/>
  <c r="I1681" i="9"/>
  <c r="H1681" i="9"/>
  <c r="A1681" i="9"/>
  <c r="I1680" i="9"/>
  <c r="H1680" i="9"/>
  <c r="A1680" i="9"/>
  <c r="I1679" i="9"/>
  <c r="H1679" i="9"/>
  <c r="A1679" i="9"/>
  <c r="I1678" i="9"/>
  <c r="H1678" i="9"/>
  <c r="A1678" i="9"/>
  <c r="I1677" i="9"/>
  <c r="H1677" i="9"/>
  <c r="A1677" i="9"/>
  <c r="I1676" i="9"/>
  <c r="H1676" i="9"/>
  <c r="A1676" i="9"/>
  <c r="I1675" i="9"/>
  <c r="H1675" i="9"/>
  <c r="A1675" i="9"/>
  <c r="I1674" i="9"/>
  <c r="H1674" i="9"/>
  <c r="A1674" i="9"/>
  <c r="I1673" i="9"/>
  <c r="H1673" i="9"/>
  <c r="A1673" i="9"/>
  <c r="I1672" i="9"/>
  <c r="H1672" i="9"/>
  <c r="A1672" i="9"/>
  <c r="I1671" i="9"/>
  <c r="H1671" i="9"/>
  <c r="A1671" i="9"/>
  <c r="I1670" i="9"/>
  <c r="H1670" i="9"/>
  <c r="A1670" i="9"/>
  <c r="I1669" i="9"/>
  <c r="H1669" i="9"/>
  <c r="A1669" i="9"/>
  <c r="I1668" i="9"/>
  <c r="H1668" i="9"/>
  <c r="A1668" i="9"/>
  <c r="I1667" i="9"/>
  <c r="H1667" i="9"/>
  <c r="A1667" i="9"/>
  <c r="I1666" i="9"/>
  <c r="H1666" i="9"/>
  <c r="A1666" i="9"/>
  <c r="I1665" i="9"/>
  <c r="H1665" i="9"/>
  <c r="A1665" i="9"/>
  <c r="I1664" i="9"/>
  <c r="H1664" i="9"/>
  <c r="A1664" i="9"/>
  <c r="I1663" i="9"/>
  <c r="H1663" i="9"/>
  <c r="A1663" i="9"/>
  <c r="I1662" i="9"/>
  <c r="H1662" i="9"/>
  <c r="A1662" i="9"/>
  <c r="I1661" i="9"/>
  <c r="H1661" i="9"/>
  <c r="A1661" i="9"/>
  <c r="I1660" i="9"/>
  <c r="H1660" i="9"/>
  <c r="A1660" i="9"/>
  <c r="I1659" i="9"/>
  <c r="H1659" i="9"/>
  <c r="A1659" i="9"/>
  <c r="I1658" i="9"/>
  <c r="H1658" i="9"/>
  <c r="A1658" i="9"/>
  <c r="I1657" i="9"/>
  <c r="H1657" i="9"/>
  <c r="A1657" i="9"/>
  <c r="I1656" i="9"/>
  <c r="H1656" i="9"/>
  <c r="A1656" i="9"/>
  <c r="I1655" i="9"/>
  <c r="H1655" i="9"/>
  <c r="A1655" i="9"/>
  <c r="I1654" i="9"/>
  <c r="H1654" i="9"/>
  <c r="A1654" i="9"/>
  <c r="I1653" i="9"/>
  <c r="H1653" i="9"/>
  <c r="A1653" i="9"/>
  <c r="I1652" i="9"/>
  <c r="H1652" i="9"/>
  <c r="A1652" i="9"/>
  <c r="I1651" i="9"/>
  <c r="H1651" i="9"/>
  <c r="A1651" i="9"/>
  <c r="I1650" i="9"/>
  <c r="H1650" i="9"/>
  <c r="A1650" i="9"/>
  <c r="I1649" i="9"/>
  <c r="H1649" i="9"/>
  <c r="A1649" i="9"/>
  <c r="I1648" i="9"/>
  <c r="H1648" i="9"/>
  <c r="A1648" i="9"/>
  <c r="I1647" i="9"/>
  <c r="H1647" i="9"/>
  <c r="A1647" i="9"/>
  <c r="I1646" i="9"/>
  <c r="H1646" i="9"/>
  <c r="A1646" i="9"/>
  <c r="I1645" i="9"/>
  <c r="H1645" i="9"/>
  <c r="A1645" i="9"/>
  <c r="I1644" i="9"/>
  <c r="H1644" i="9"/>
  <c r="A1644" i="9"/>
  <c r="I1643" i="9"/>
  <c r="H1643" i="9"/>
  <c r="A1643" i="9"/>
  <c r="I1642" i="9"/>
  <c r="H1642" i="9"/>
  <c r="A1642" i="9"/>
  <c r="I1641" i="9"/>
  <c r="H1641" i="9"/>
  <c r="A1641" i="9"/>
  <c r="I1640" i="9"/>
  <c r="H1640" i="9"/>
  <c r="A1640" i="9"/>
  <c r="I1639" i="9"/>
  <c r="H1639" i="9"/>
  <c r="A1639" i="9"/>
  <c r="I1638" i="9"/>
  <c r="H1638" i="9"/>
  <c r="A1638" i="9"/>
  <c r="I1637" i="9"/>
  <c r="H1637" i="9"/>
  <c r="A1637" i="9"/>
  <c r="I1636" i="9"/>
  <c r="H1636" i="9"/>
  <c r="A1636" i="9"/>
  <c r="I1635" i="9"/>
  <c r="H1635" i="9"/>
  <c r="A1635" i="9"/>
  <c r="I1634" i="9"/>
  <c r="H1634" i="9"/>
  <c r="A1634" i="9"/>
  <c r="I1633" i="9"/>
  <c r="H1633" i="9"/>
  <c r="A1633" i="9"/>
  <c r="I1632" i="9"/>
  <c r="H1632" i="9"/>
  <c r="A1632" i="9"/>
  <c r="I1631" i="9"/>
  <c r="H1631" i="9"/>
  <c r="A1631" i="9"/>
  <c r="I1630" i="9"/>
  <c r="H1630" i="9"/>
  <c r="A1630" i="9"/>
  <c r="I1629" i="9"/>
  <c r="H1629" i="9"/>
  <c r="A1629" i="9"/>
  <c r="I1628" i="9"/>
  <c r="H1628" i="9"/>
  <c r="A1628" i="9"/>
  <c r="I1627" i="9"/>
  <c r="H1627" i="9"/>
  <c r="A1627" i="9"/>
  <c r="I1626" i="9"/>
  <c r="H1626" i="9"/>
  <c r="A1626" i="9"/>
  <c r="I1625" i="9"/>
  <c r="H1625" i="9"/>
  <c r="A1625" i="9"/>
  <c r="I1624" i="9"/>
  <c r="H1624" i="9"/>
  <c r="A1624" i="9"/>
  <c r="I1623" i="9"/>
  <c r="H1623" i="9"/>
  <c r="A1623" i="9"/>
  <c r="I1622" i="9"/>
  <c r="H1622" i="9"/>
  <c r="A1622" i="9"/>
  <c r="I1621" i="9"/>
  <c r="H1621" i="9"/>
  <c r="A1621" i="9"/>
  <c r="I1620" i="9"/>
  <c r="H1620" i="9"/>
  <c r="A1620" i="9"/>
  <c r="I1619" i="9"/>
  <c r="H1619" i="9"/>
  <c r="A1619" i="9"/>
  <c r="I1618" i="9"/>
  <c r="H1618" i="9"/>
  <c r="A1618" i="9"/>
  <c r="I1617" i="9"/>
  <c r="H1617" i="9"/>
  <c r="A1617" i="9"/>
  <c r="I1616" i="9"/>
  <c r="H1616" i="9"/>
  <c r="A1616" i="9"/>
  <c r="I1615" i="9"/>
  <c r="H1615" i="9"/>
  <c r="A1615" i="9"/>
  <c r="I1614" i="9"/>
  <c r="H1614" i="9"/>
  <c r="A1614" i="9"/>
  <c r="I1613" i="9"/>
  <c r="H1613" i="9"/>
  <c r="A1613" i="9"/>
  <c r="I1612" i="9"/>
  <c r="H1612" i="9"/>
  <c r="A1612" i="9"/>
  <c r="I1611" i="9"/>
  <c r="H1611" i="9"/>
  <c r="A1611" i="9"/>
  <c r="I1610" i="9"/>
  <c r="H1610" i="9"/>
  <c r="A1610" i="9"/>
  <c r="I1609" i="9"/>
  <c r="H1609" i="9"/>
  <c r="A1609" i="9"/>
  <c r="I1608" i="9"/>
  <c r="H1608" i="9"/>
  <c r="A1608" i="9"/>
  <c r="I1607" i="9"/>
  <c r="H1607" i="9"/>
  <c r="A1607" i="9"/>
  <c r="I1606" i="9"/>
  <c r="H1606" i="9"/>
  <c r="A1606" i="9"/>
  <c r="I1605" i="9"/>
  <c r="H1605" i="9"/>
  <c r="A1605" i="9"/>
  <c r="I1604" i="9"/>
  <c r="H1604" i="9"/>
  <c r="A1604" i="9"/>
  <c r="I1603" i="9"/>
  <c r="H1603" i="9"/>
  <c r="A1603" i="9"/>
  <c r="I1602" i="9"/>
  <c r="H1602" i="9"/>
  <c r="A1602" i="9"/>
  <c r="I1601" i="9"/>
  <c r="H1601" i="9"/>
  <c r="A1601" i="9"/>
  <c r="I1600" i="9"/>
  <c r="H1600" i="9"/>
  <c r="A1600" i="9"/>
  <c r="I1599" i="9"/>
  <c r="H1599" i="9"/>
  <c r="A1599" i="9"/>
  <c r="I1598" i="9"/>
  <c r="H1598" i="9"/>
  <c r="A1598" i="9"/>
  <c r="I1597" i="9"/>
  <c r="H1597" i="9"/>
  <c r="A1597" i="9"/>
  <c r="I1596" i="9"/>
  <c r="H1596" i="9"/>
  <c r="A1596" i="9"/>
  <c r="I1595" i="9"/>
  <c r="H1595" i="9"/>
  <c r="A1595" i="9"/>
  <c r="I1594" i="9"/>
  <c r="H1594" i="9"/>
  <c r="A1594" i="9"/>
  <c r="I1593" i="9"/>
  <c r="H1593" i="9"/>
  <c r="A1593" i="9"/>
  <c r="I1592" i="9"/>
  <c r="H1592" i="9"/>
  <c r="A1592" i="9"/>
  <c r="I1591" i="9"/>
  <c r="H1591" i="9"/>
  <c r="A1591" i="9"/>
  <c r="I1590" i="9"/>
  <c r="H1590" i="9"/>
  <c r="A1590" i="9"/>
  <c r="I1589" i="9"/>
  <c r="H1589" i="9"/>
  <c r="A1589" i="9"/>
  <c r="I1588" i="9"/>
  <c r="H1588" i="9"/>
  <c r="A1588" i="9"/>
  <c r="I1587" i="9"/>
  <c r="H1587" i="9"/>
  <c r="A1587" i="9"/>
  <c r="I1586" i="9"/>
  <c r="H1586" i="9"/>
  <c r="A1586" i="9"/>
  <c r="I1585" i="9"/>
  <c r="H1585" i="9"/>
  <c r="A1585" i="9"/>
  <c r="I1584" i="9"/>
  <c r="H1584" i="9"/>
  <c r="A1584" i="9"/>
  <c r="I1583" i="9"/>
  <c r="H1583" i="9"/>
  <c r="A1583" i="9"/>
  <c r="I1582" i="9"/>
  <c r="H1582" i="9"/>
  <c r="A1582" i="9"/>
  <c r="I1581" i="9"/>
  <c r="H1581" i="9"/>
  <c r="A1581" i="9"/>
  <c r="I1580" i="9"/>
  <c r="H1580" i="9"/>
  <c r="A1580" i="9"/>
  <c r="I1579" i="9"/>
  <c r="H1579" i="9"/>
  <c r="A1579" i="9"/>
  <c r="I1578" i="9"/>
  <c r="H1578" i="9"/>
  <c r="A1578" i="9"/>
  <c r="I1577" i="9"/>
  <c r="H1577" i="9"/>
  <c r="A1577" i="9"/>
  <c r="I1576" i="9"/>
  <c r="H1576" i="9"/>
  <c r="A1576" i="9"/>
  <c r="I1575" i="9"/>
  <c r="H1575" i="9"/>
  <c r="A1575" i="9"/>
  <c r="I1574" i="9"/>
  <c r="H1574" i="9"/>
  <c r="A1574" i="9"/>
  <c r="I1573" i="9"/>
  <c r="H1573" i="9"/>
  <c r="A1573" i="9"/>
  <c r="I1572" i="9"/>
  <c r="H1572" i="9"/>
  <c r="A1572" i="9"/>
  <c r="I1571" i="9"/>
  <c r="H1571" i="9"/>
  <c r="A1571" i="9"/>
  <c r="I1570" i="9"/>
  <c r="H1570" i="9"/>
  <c r="A1570" i="9"/>
  <c r="I1569" i="9"/>
  <c r="H1569" i="9"/>
  <c r="A1569" i="9"/>
  <c r="I1568" i="9"/>
  <c r="H1568" i="9"/>
  <c r="A1568" i="9"/>
  <c r="I1567" i="9"/>
  <c r="H1567" i="9"/>
  <c r="A1567" i="9"/>
  <c r="I1566" i="9"/>
  <c r="H1566" i="9"/>
  <c r="A1566" i="9"/>
  <c r="I1565" i="9"/>
  <c r="H1565" i="9"/>
  <c r="A1565" i="9"/>
  <c r="I1564" i="9"/>
  <c r="H1564" i="9"/>
  <c r="A1564" i="9"/>
  <c r="I1563" i="9"/>
  <c r="H1563" i="9"/>
  <c r="A1563" i="9"/>
  <c r="I1562" i="9"/>
  <c r="H1562" i="9"/>
  <c r="A1562" i="9"/>
  <c r="I1561" i="9"/>
  <c r="H1561" i="9"/>
  <c r="A1561" i="9"/>
  <c r="I1560" i="9"/>
  <c r="H1560" i="9"/>
  <c r="A1560" i="9"/>
  <c r="I1559" i="9"/>
  <c r="H1559" i="9"/>
  <c r="A1559" i="9"/>
  <c r="I1558" i="9"/>
  <c r="H1558" i="9"/>
  <c r="A1558" i="9"/>
  <c r="I1557" i="9"/>
  <c r="H1557" i="9"/>
  <c r="A1557" i="9"/>
  <c r="I1556" i="9"/>
  <c r="H1556" i="9"/>
  <c r="A1556" i="9"/>
  <c r="I1555" i="9"/>
  <c r="H1555" i="9"/>
  <c r="A1555" i="9"/>
  <c r="I1554" i="9"/>
  <c r="H1554" i="9"/>
  <c r="A1554" i="9"/>
  <c r="I1553" i="9"/>
  <c r="H1553" i="9"/>
  <c r="A1553" i="9"/>
  <c r="I1552" i="9"/>
  <c r="H1552" i="9"/>
  <c r="A1552" i="9"/>
  <c r="I1551" i="9"/>
  <c r="H1551" i="9"/>
  <c r="A1551" i="9"/>
  <c r="I1550" i="9"/>
  <c r="H1550" i="9"/>
  <c r="A1550" i="9"/>
  <c r="I1549" i="9"/>
  <c r="H1549" i="9"/>
  <c r="A1549" i="9"/>
  <c r="I1548" i="9"/>
  <c r="H1548" i="9"/>
  <c r="A1548" i="9"/>
  <c r="I1547" i="9"/>
  <c r="H1547" i="9"/>
  <c r="A1547" i="9"/>
  <c r="I1546" i="9"/>
  <c r="H1546" i="9"/>
  <c r="A1546" i="9"/>
  <c r="I1545" i="9"/>
  <c r="H1545" i="9"/>
  <c r="A1545" i="9"/>
  <c r="I1544" i="9"/>
  <c r="H1544" i="9"/>
  <c r="A1544" i="9"/>
  <c r="I1543" i="9"/>
  <c r="H1543" i="9"/>
  <c r="A1543" i="9"/>
  <c r="I1542" i="9"/>
  <c r="H1542" i="9"/>
  <c r="A1542" i="9"/>
  <c r="I1541" i="9"/>
  <c r="H1541" i="9"/>
  <c r="A1541" i="9"/>
  <c r="I1540" i="9"/>
  <c r="H1540" i="9"/>
  <c r="A1540" i="9"/>
  <c r="I1539" i="9"/>
  <c r="H1539" i="9"/>
  <c r="A1539" i="9"/>
  <c r="I1538" i="9"/>
  <c r="H1538" i="9"/>
  <c r="A1538" i="9"/>
  <c r="I1537" i="9"/>
  <c r="H1537" i="9"/>
  <c r="A1537" i="9"/>
  <c r="I1536" i="9"/>
  <c r="H1536" i="9"/>
  <c r="A1536" i="9"/>
  <c r="I1535" i="9"/>
  <c r="H1535" i="9"/>
  <c r="A1535" i="9"/>
  <c r="I1534" i="9"/>
  <c r="H1534" i="9"/>
  <c r="A1534" i="9"/>
  <c r="I1533" i="9"/>
  <c r="H1533" i="9"/>
  <c r="A1533" i="9"/>
  <c r="I1532" i="9"/>
  <c r="H1532" i="9"/>
  <c r="A1532" i="9"/>
  <c r="I1531" i="9"/>
  <c r="H1531" i="9"/>
  <c r="A1531" i="9"/>
  <c r="I1530" i="9"/>
  <c r="H1530" i="9"/>
  <c r="A1530" i="9"/>
  <c r="I1529" i="9"/>
  <c r="H1529" i="9"/>
  <c r="A1529" i="9"/>
  <c r="I1528" i="9"/>
  <c r="H1528" i="9"/>
  <c r="A1528" i="9"/>
  <c r="I1527" i="9"/>
  <c r="H1527" i="9"/>
  <c r="A1527" i="9"/>
  <c r="I1526" i="9"/>
  <c r="H1526" i="9"/>
  <c r="A1526" i="9"/>
  <c r="I1525" i="9"/>
  <c r="H1525" i="9"/>
  <c r="A1525" i="9"/>
  <c r="I1524" i="9"/>
  <c r="H1524" i="9"/>
  <c r="A1524" i="9"/>
  <c r="I1523" i="9"/>
  <c r="H1523" i="9"/>
  <c r="A1523" i="9"/>
  <c r="I1522" i="9"/>
  <c r="H1522" i="9"/>
  <c r="A1522" i="9"/>
  <c r="I1521" i="9"/>
  <c r="H1521" i="9"/>
  <c r="A1521" i="9"/>
  <c r="I1520" i="9"/>
  <c r="H1520" i="9"/>
  <c r="A1520" i="9"/>
  <c r="I1519" i="9"/>
  <c r="H1519" i="9"/>
  <c r="A1519" i="9"/>
  <c r="I1518" i="9"/>
  <c r="H1518" i="9"/>
  <c r="A1518" i="9"/>
  <c r="I1517" i="9"/>
  <c r="H1517" i="9"/>
  <c r="A1517" i="9"/>
  <c r="I1516" i="9"/>
  <c r="H1516" i="9"/>
  <c r="A1516" i="9"/>
  <c r="I1515" i="9"/>
  <c r="H1515" i="9"/>
  <c r="A1515" i="9"/>
  <c r="I1514" i="9"/>
  <c r="H1514" i="9"/>
  <c r="A1514" i="9"/>
  <c r="I1513" i="9"/>
  <c r="H1513" i="9"/>
  <c r="A1513" i="9"/>
  <c r="I1512" i="9"/>
  <c r="H1512" i="9"/>
  <c r="A1512" i="9"/>
  <c r="I1511" i="9"/>
  <c r="H1511" i="9"/>
  <c r="A1511" i="9"/>
  <c r="I1510" i="9"/>
  <c r="H1510" i="9"/>
  <c r="A1510" i="9"/>
  <c r="I1509" i="9"/>
  <c r="H1509" i="9"/>
  <c r="A1509" i="9"/>
  <c r="I1508" i="9"/>
  <c r="H1508" i="9"/>
  <c r="A1508" i="9"/>
  <c r="I1507" i="9"/>
  <c r="H1507" i="9"/>
  <c r="A1507" i="9"/>
  <c r="I1506" i="9"/>
  <c r="H1506" i="9"/>
  <c r="A1506" i="9"/>
  <c r="I1505" i="9"/>
  <c r="H1505" i="9"/>
  <c r="A1505" i="9"/>
  <c r="I1504" i="9"/>
  <c r="H1504" i="9"/>
  <c r="A1504" i="9"/>
  <c r="I1503" i="9"/>
  <c r="H1503" i="9"/>
  <c r="A1503" i="9"/>
  <c r="I1502" i="9"/>
  <c r="H1502" i="9"/>
  <c r="A1502" i="9"/>
  <c r="I1501" i="9"/>
  <c r="H1501" i="9"/>
  <c r="A1501" i="9"/>
  <c r="I1500" i="9"/>
  <c r="H1500" i="9"/>
  <c r="A1500" i="9"/>
  <c r="I1499" i="9"/>
  <c r="H1499" i="9"/>
  <c r="A1499" i="9"/>
  <c r="I1498" i="9"/>
  <c r="H1498" i="9"/>
  <c r="A1498" i="9"/>
  <c r="I1497" i="9"/>
  <c r="H1497" i="9"/>
  <c r="A1497" i="9"/>
  <c r="I1496" i="9"/>
  <c r="H1496" i="9"/>
  <c r="A1496" i="9"/>
  <c r="I1495" i="9"/>
  <c r="H1495" i="9"/>
  <c r="A1495" i="9"/>
  <c r="I1494" i="9"/>
  <c r="H1494" i="9"/>
  <c r="A1494" i="9"/>
  <c r="I1493" i="9"/>
  <c r="H1493" i="9"/>
  <c r="A1493" i="9"/>
  <c r="I1492" i="9"/>
  <c r="H1492" i="9"/>
  <c r="A1492" i="9"/>
  <c r="I1491" i="9"/>
  <c r="H1491" i="9"/>
  <c r="A1491" i="9"/>
  <c r="I1490" i="9"/>
  <c r="H1490" i="9"/>
  <c r="A1490" i="9"/>
  <c r="I1489" i="9"/>
  <c r="H1489" i="9"/>
  <c r="A1489" i="9"/>
  <c r="I1488" i="9"/>
  <c r="H1488" i="9"/>
  <c r="A1488" i="9"/>
  <c r="I1487" i="9"/>
  <c r="H1487" i="9"/>
  <c r="A1487" i="9"/>
  <c r="I1486" i="9"/>
  <c r="H1486" i="9"/>
  <c r="A1486" i="9"/>
  <c r="I1485" i="9"/>
  <c r="H1485" i="9"/>
  <c r="A1485" i="9"/>
  <c r="I1484" i="9"/>
  <c r="H1484" i="9"/>
  <c r="A1484" i="9"/>
  <c r="I1483" i="9"/>
  <c r="H1483" i="9"/>
  <c r="A1483" i="9"/>
  <c r="I1482" i="9"/>
  <c r="H1482" i="9"/>
  <c r="A1482" i="9"/>
  <c r="I1481" i="9"/>
  <c r="H1481" i="9"/>
  <c r="A1481" i="9"/>
  <c r="I1480" i="9"/>
  <c r="H1480" i="9"/>
  <c r="A1480" i="9"/>
  <c r="I1479" i="9"/>
  <c r="H1479" i="9"/>
  <c r="A1479" i="9"/>
  <c r="I1478" i="9"/>
  <c r="H1478" i="9"/>
  <c r="A1478" i="9"/>
  <c r="I1477" i="9"/>
  <c r="H1477" i="9"/>
  <c r="A1477" i="9"/>
  <c r="I1476" i="9"/>
  <c r="H1476" i="9"/>
  <c r="A1476" i="9"/>
  <c r="I1475" i="9"/>
  <c r="H1475" i="9"/>
  <c r="A1475" i="9"/>
  <c r="I1474" i="9"/>
  <c r="H1474" i="9"/>
  <c r="A1474" i="9"/>
  <c r="I1473" i="9"/>
  <c r="H1473" i="9"/>
  <c r="A1473" i="9"/>
  <c r="I1472" i="9"/>
  <c r="H1472" i="9"/>
  <c r="A1472" i="9"/>
  <c r="I1471" i="9"/>
  <c r="H1471" i="9"/>
  <c r="A1471" i="9"/>
  <c r="I1470" i="9"/>
  <c r="H1470" i="9"/>
  <c r="A1470" i="9"/>
  <c r="I1469" i="9"/>
  <c r="H1469" i="9"/>
  <c r="A1469" i="9"/>
  <c r="I1468" i="9"/>
  <c r="H1468" i="9"/>
  <c r="A1468" i="9"/>
  <c r="I1467" i="9"/>
  <c r="H1467" i="9"/>
  <c r="A1467" i="9"/>
  <c r="I1466" i="9"/>
  <c r="H1466" i="9"/>
  <c r="A1466" i="9"/>
  <c r="I1465" i="9"/>
  <c r="H1465" i="9"/>
  <c r="A1465" i="9"/>
  <c r="I1464" i="9"/>
  <c r="H1464" i="9"/>
  <c r="A1464" i="9"/>
  <c r="I1463" i="9"/>
  <c r="H1463" i="9"/>
  <c r="A1463" i="9"/>
  <c r="I1462" i="9"/>
  <c r="H1462" i="9"/>
  <c r="A1462" i="9"/>
  <c r="I1461" i="9"/>
  <c r="H1461" i="9"/>
  <c r="A1461" i="9"/>
  <c r="I1460" i="9"/>
  <c r="H1460" i="9"/>
  <c r="A1460" i="9"/>
  <c r="I1459" i="9"/>
  <c r="H1459" i="9"/>
  <c r="A1459" i="9"/>
  <c r="I1458" i="9"/>
  <c r="H1458" i="9"/>
  <c r="A1458" i="9"/>
  <c r="I1457" i="9"/>
  <c r="H1457" i="9"/>
  <c r="A1457" i="9"/>
  <c r="I1456" i="9"/>
  <c r="H1456" i="9"/>
  <c r="A1456" i="9"/>
  <c r="I1455" i="9"/>
  <c r="H1455" i="9"/>
  <c r="A1455" i="9"/>
  <c r="I1454" i="9"/>
  <c r="H1454" i="9"/>
  <c r="A1454" i="9"/>
  <c r="I1453" i="9"/>
  <c r="H1453" i="9"/>
  <c r="A1453" i="9"/>
  <c r="I1452" i="9"/>
  <c r="H1452" i="9"/>
  <c r="A1452" i="9"/>
  <c r="I1451" i="9"/>
  <c r="H1451" i="9"/>
  <c r="A1451" i="9"/>
  <c r="I1450" i="9"/>
  <c r="H1450" i="9"/>
  <c r="A1450" i="9"/>
  <c r="I1449" i="9"/>
  <c r="H1449" i="9"/>
  <c r="A1449" i="9"/>
  <c r="I1448" i="9"/>
  <c r="H1448" i="9"/>
  <c r="A1448" i="9"/>
  <c r="I1447" i="9"/>
  <c r="H1447" i="9"/>
  <c r="A1447" i="9"/>
  <c r="I1446" i="9"/>
  <c r="H1446" i="9"/>
  <c r="A1446" i="9"/>
  <c r="I1445" i="9"/>
  <c r="H1445" i="9"/>
  <c r="A1445" i="9"/>
  <c r="I1444" i="9"/>
  <c r="H1444" i="9"/>
  <c r="A1444" i="9"/>
  <c r="I1443" i="9"/>
  <c r="H1443" i="9"/>
  <c r="A1443" i="9"/>
  <c r="I1442" i="9"/>
  <c r="H1442" i="9"/>
  <c r="A1442" i="9"/>
  <c r="I1441" i="9"/>
  <c r="H1441" i="9"/>
  <c r="A1441" i="9"/>
  <c r="I1440" i="9"/>
  <c r="H1440" i="9"/>
  <c r="A1440" i="9"/>
  <c r="I1439" i="9"/>
  <c r="H1439" i="9"/>
  <c r="A1439" i="9"/>
  <c r="I1438" i="9"/>
  <c r="H1438" i="9"/>
  <c r="A1438" i="9"/>
  <c r="I1437" i="9"/>
  <c r="H1437" i="9"/>
  <c r="A1437" i="9"/>
  <c r="I1436" i="9"/>
  <c r="H1436" i="9"/>
  <c r="A1436" i="9"/>
  <c r="I1435" i="9"/>
  <c r="H1435" i="9"/>
  <c r="A1435" i="9"/>
  <c r="I1434" i="9"/>
  <c r="H1434" i="9"/>
  <c r="A1434" i="9"/>
  <c r="I1433" i="9"/>
  <c r="H1433" i="9"/>
  <c r="A1433" i="9"/>
  <c r="I1432" i="9"/>
  <c r="H1432" i="9"/>
  <c r="A1432" i="9"/>
  <c r="I1431" i="9"/>
  <c r="H1431" i="9"/>
  <c r="A1431" i="9"/>
  <c r="I1430" i="9"/>
  <c r="H1430" i="9"/>
  <c r="A1430" i="9"/>
  <c r="I1429" i="9"/>
  <c r="H1429" i="9"/>
  <c r="A1429" i="9"/>
  <c r="I1428" i="9"/>
  <c r="H1428" i="9"/>
  <c r="A1428" i="9"/>
  <c r="I1427" i="9"/>
  <c r="H1427" i="9"/>
  <c r="A1427" i="9"/>
  <c r="I1426" i="9"/>
  <c r="H1426" i="9"/>
  <c r="A1426" i="9"/>
  <c r="I1425" i="9"/>
  <c r="H1425" i="9"/>
  <c r="A1425" i="9"/>
  <c r="I1424" i="9"/>
  <c r="H1424" i="9"/>
  <c r="A1424" i="9"/>
  <c r="I1423" i="9"/>
  <c r="H1423" i="9"/>
  <c r="A1423" i="9"/>
  <c r="I1422" i="9"/>
  <c r="H1422" i="9"/>
  <c r="A1422" i="9"/>
  <c r="A1421" i="9"/>
  <c r="I1420" i="9"/>
  <c r="H1420" i="9"/>
  <c r="A1420" i="9"/>
  <c r="I1419" i="9"/>
  <c r="H1419" i="9"/>
  <c r="A1419" i="9"/>
  <c r="I1418" i="9"/>
  <c r="H1418" i="9"/>
  <c r="A1418" i="9"/>
  <c r="I1417" i="9"/>
  <c r="H1417" i="9"/>
  <c r="A1417" i="9"/>
  <c r="I1416" i="9"/>
  <c r="H1416" i="9"/>
  <c r="A1416" i="9"/>
  <c r="I1415" i="9"/>
  <c r="H1415" i="9"/>
  <c r="A1415" i="9"/>
  <c r="I1414" i="9"/>
  <c r="H1414" i="9"/>
  <c r="A1414" i="9"/>
  <c r="I1413" i="9"/>
  <c r="H1413" i="9"/>
  <c r="A1413" i="9"/>
  <c r="I1412" i="9"/>
  <c r="H1412" i="9"/>
  <c r="A1412" i="9"/>
  <c r="I1411" i="9"/>
  <c r="H1411" i="9"/>
  <c r="A1411" i="9"/>
  <c r="I1410" i="9"/>
  <c r="H1410" i="9"/>
  <c r="A1410" i="9"/>
  <c r="I1409" i="9"/>
  <c r="H1409" i="9"/>
  <c r="A1409" i="9"/>
  <c r="I1408" i="9"/>
  <c r="H1408" i="9"/>
  <c r="A1408" i="9"/>
  <c r="I1407" i="9"/>
  <c r="H1407" i="9"/>
  <c r="A1407" i="9"/>
  <c r="I1406" i="9"/>
  <c r="H1406" i="9"/>
  <c r="A1406" i="9"/>
  <c r="I1405" i="9"/>
  <c r="H1405" i="9"/>
  <c r="A1405" i="9"/>
  <c r="I1404" i="9"/>
  <c r="H1404" i="9"/>
  <c r="A1404" i="9"/>
  <c r="I1403" i="9"/>
  <c r="H1403" i="9"/>
  <c r="A1403" i="9"/>
  <c r="I1402" i="9"/>
  <c r="H1402" i="9"/>
  <c r="A1402" i="9"/>
  <c r="I1401" i="9"/>
  <c r="H1401" i="9"/>
  <c r="A1401" i="9"/>
  <c r="I1400" i="9"/>
  <c r="H1400" i="9"/>
  <c r="A1400" i="9"/>
  <c r="I1399" i="9"/>
  <c r="H1399" i="9"/>
  <c r="A1399" i="9"/>
  <c r="I1398" i="9"/>
  <c r="H1398" i="9"/>
  <c r="A1398" i="9"/>
  <c r="I1397" i="9"/>
  <c r="H1397" i="9"/>
  <c r="A1397" i="9"/>
  <c r="I1396" i="9"/>
  <c r="H1396" i="9"/>
  <c r="A1396" i="9"/>
  <c r="I1395" i="9"/>
  <c r="H1395" i="9"/>
  <c r="A1395" i="9"/>
  <c r="I1394" i="9"/>
  <c r="H1394" i="9"/>
  <c r="A1394" i="9"/>
  <c r="I1393" i="9"/>
  <c r="H1393" i="9"/>
  <c r="A1393" i="9"/>
  <c r="I1392" i="9"/>
  <c r="H1392" i="9"/>
  <c r="A1392" i="9"/>
  <c r="I1391" i="9"/>
  <c r="H1391" i="9"/>
  <c r="A1391" i="9"/>
  <c r="I1390" i="9"/>
  <c r="H1390" i="9"/>
  <c r="A1390" i="9"/>
  <c r="I1389" i="9"/>
  <c r="H1389" i="9"/>
  <c r="A1389" i="9"/>
  <c r="I1388" i="9"/>
  <c r="H1388" i="9"/>
  <c r="A1388" i="9"/>
  <c r="I1387" i="9"/>
  <c r="H1387" i="9"/>
  <c r="A1387" i="9"/>
  <c r="I1386" i="9"/>
  <c r="H1386" i="9"/>
  <c r="A1386" i="9"/>
  <c r="I1385" i="9"/>
  <c r="H1385" i="9"/>
  <c r="A1385" i="9"/>
  <c r="I1384" i="9"/>
  <c r="H1384" i="9"/>
  <c r="A1384" i="9"/>
  <c r="I1383" i="9"/>
  <c r="H1383" i="9"/>
  <c r="A1383" i="9"/>
  <c r="I1382" i="9"/>
  <c r="H1382" i="9"/>
  <c r="A1382" i="9"/>
  <c r="I1381" i="9"/>
  <c r="H1381" i="9"/>
  <c r="A1381" i="9"/>
  <c r="I1380" i="9"/>
  <c r="H1380" i="9"/>
  <c r="A1380" i="9"/>
  <c r="I1379" i="9"/>
  <c r="H1379" i="9"/>
  <c r="A1379" i="9"/>
  <c r="I1378" i="9"/>
  <c r="H1378" i="9"/>
  <c r="A1378" i="9"/>
  <c r="I1377" i="9"/>
  <c r="H1377" i="9"/>
  <c r="A1377" i="9"/>
  <c r="I1376" i="9"/>
  <c r="H1376" i="9"/>
  <c r="A1376" i="9"/>
  <c r="I1375" i="9"/>
  <c r="H1375" i="9"/>
  <c r="A1375" i="9"/>
  <c r="I1374" i="9"/>
  <c r="H1374" i="9"/>
  <c r="A1374" i="9"/>
  <c r="I1373" i="9"/>
  <c r="H1373" i="9"/>
  <c r="A1373" i="9"/>
  <c r="I1372" i="9"/>
  <c r="H1372" i="9"/>
  <c r="A1372" i="9"/>
  <c r="I1371" i="9"/>
  <c r="H1371" i="9"/>
  <c r="A1371" i="9"/>
  <c r="I1370" i="9"/>
  <c r="H1370" i="9"/>
  <c r="A1370" i="9"/>
  <c r="I1369" i="9"/>
  <c r="H1369" i="9"/>
  <c r="A1369" i="9"/>
  <c r="I1368" i="9"/>
  <c r="H1368" i="9"/>
  <c r="A1368" i="9"/>
  <c r="I1367" i="9"/>
  <c r="H1367" i="9"/>
  <c r="A1367" i="9"/>
  <c r="I1366" i="9"/>
  <c r="H1366" i="9"/>
  <c r="A1366" i="9"/>
  <c r="I1365" i="9"/>
  <c r="H1365" i="9"/>
  <c r="A1365" i="9"/>
  <c r="I1364" i="9"/>
  <c r="H1364" i="9"/>
  <c r="A1364" i="9"/>
  <c r="I1363" i="9"/>
  <c r="H1363" i="9"/>
  <c r="A1363" i="9"/>
  <c r="I1362" i="9"/>
  <c r="H1362" i="9"/>
  <c r="A1362" i="9"/>
  <c r="I1361" i="9"/>
  <c r="H1361" i="9"/>
  <c r="A1361" i="9"/>
  <c r="I1360" i="9"/>
  <c r="H1360" i="9"/>
  <c r="A1360" i="9"/>
  <c r="I1359" i="9"/>
  <c r="H1359" i="9"/>
  <c r="A1359" i="9"/>
  <c r="I1358" i="9"/>
  <c r="H1358" i="9"/>
  <c r="A1358" i="9"/>
  <c r="I1357" i="9"/>
  <c r="H1357" i="9"/>
  <c r="A1357" i="9"/>
  <c r="I1356" i="9"/>
  <c r="H1356" i="9"/>
  <c r="A1356" i="9"/>
  <c r="I1355" i="9"/>
  <c r="H1355" i="9"/>
  <c r="A1355" i="9"/>
  <c r="I1354" i="9"/>
  <c r="H1354" i="9"/>
  <c r="A1354" i="9"/>
  <c r="I1353" i="9"/>
  <c r="H1353" i="9"/>
  <c r="A1353" i="9"/>
  <c r="I1352" i="9"/>
  <c r="H1352" i="9"/>
  <c r="A1352" i="9"/>
  <c r="I1351" i="9"/>
  <c r="H1351" i="9"/>
  <c r="A1351" i="9"/>
  <c r="I1350" i="9"/>
  <c r="H1350" i="9"/>
  <c r="A1350" i="9"/>
  <c r="I1349" i="9"/>
  <c r="H1349" i="9"/>
  <c r="A1349" i="9"/>
  <c r="I1348" i="9"/>
  <c r="H1348" i="9"/>
  <c r="A1348" i="9"/>
  <c r="I1347" i="9"/>
  <c r="H1347" i="9"/>
  <c r="A1347" i="9"/>
  <c r="I1346" i="9"/>
  <c r="H1346" i="9"/>
  <c r="A1346" i="9"/>
  <c r="I1345" i="9"/>
  <c r="H1345" i="9"/>
  <c r="A1345" i="9"/>
  <c r="I1344" i="9"/>
  <c r="H1344" i="9"/>
  <c r="A1344" i="9"/>
  <c r="I1343" i="9"/>
  <c r="H1343" i="9"/>
  <c r="A1343" i="9"/>
  <c r="I1342" i="9"/>
  <c r="H1342" i="9"/>
  <c r="A1342" i="9"/>
  <c r="I1341" i="9"/>
  <c r="H1341" i="9"/>
  <c r="A1341" i="9"/>
  <c r="I1340" i="9"/>
  <c r="H1340" i="9"/>
  <c r="A1340" i="9"/>
  <c r="I1339" i="9"/>
  <c r="H1339" i="9"/>
  <c r="A1339" i="9"/>
  <c r="I1338" i="9"/>
  <c r="H1338" i="9"/>
  <c r="A1338" i="9"/>
  <c r="I1337" i="9"/>
  <c r="H1337" i="9"/>
  <c r="A1337" i="9"/>
  <c r="I1336" i="9"/>
  <c r="H1336" i="9"/>
  <c r="A1336" i="9"/>
  <c r="I1335" i="9"/>
  <c r="H1335" i="9"/>
  <c r="A1335" i="9"/>
  <c r="I1334" i="9"/>
  <c r="H1334" i="9"/>
  <c r="A1334" i="9"/>
  <c r="I1333" i="9"/>
  <c r="H1333" i="9"/>
  <c r="A1333" i="9"/>
  <c r="I1332" i="9"/>
  <c r="H1332" i="9"/>
  <c r="A1332" i="9"/>
  <c r="I1331" i="9"/>
  <c r="H1331" i="9"/>
  <c r="A1331" i="9"/>
  <c r="I1330" i="9"/>
  <c r="H1330" i="9"/>
  <c r="A1330" i="9"/>
  <c r="I1329" i="9"/>
  <c r="H1329" i="9"/>
  <c r="A1329" i="9"/>
  <c r="I1328" i="9"/>
  <c r="H1328" i="9"/>
  <c r="A1328" i="9"/>
  <c r="I1327" i="9"/>
  <c r="H1327" i="9"/>
  <c r="A1327" i="9"/>
  <c r="I1326" i="9"/>
  <c r="H1326" i="9"/>
  <c r="A1326" i="9"/>
  <c r="I1325" i="9"/>
  <c r="H1325" i="9"/>
  <c r="A1325" i="9"/>
  <c r="I1324" i="9"/>
  <c r="H1324" i="9"/>
  <c r="A1324" i="9"/>
  <c r="I1323" i="9"/>
  <c r="H1323" i="9"/>
  <c r="A1323" i="9"/>
  <c r="I1322" i="9"/>
  <c r="H1322" i="9"/>
  <c r="A1322" i="9"/>
  <c r="I1321" i="9"/>
  <c r="H1321" i="9"/>
  <c r="A1321" i="9"/>
  <c r="I1320" i="9"/>
  <c r="H1320" i="9"/>
  <c r="A1320" i="9"/>
  <c r="I1319" i="9"/>
  <c r="H1319" i="9"/>
  <c r="A1319" i="9"/>
  <c r="I1318" i="9"/>
  <c r="H1318" i="9"/>
  <c r="A1318" i="9"/>
  <c r="I1317" i="9"/>
  <c r="H1317" i="9"/>
  <c r="A1317" i="9"/>
  <c r="I1316" i="9"/>
  <c r="H1316" i="9"/>
  <c r="A1316" i="9"/>
  <c r="I1315" i="9"/>
  <c r="H1315" i="9"/>
  <c r="A1315" i="9"/>
  <c r="I1314" i="9"/>
  <c r="H1314" i="9"/>
  <c r="A1314" i="9"/>
  <c r="I1313" i="9"/>
  <c r="H1313" i="9"/>
  <c r="A1313" i="9"/>
  <c r="I1312" i="9"/>
  <c r="H1312" i="9"/>
  <c r="A1312" i="9"/>
  <c r="I1311" i="9"/>
  <c r="H1311" i="9"/>
  <c r="A1311" i="9"/>
  <c r="I1310" i="9"/>
  <c r="H1310" i="9"/>
  <c r="A1310" i="9"/>
  <c r="I1309" i="9"/>
  <c r="H1309" i="9"/>
  <c r="A1309" i="9"/>
  <c r="I1308" i="9"/>
  <c r="H1308" i="9"/>
  <c r="A1308" i="9"/>
  <c r="I1307" i="9"/>
  <c r="H1307" i="9"/>
  <c r="A1307" i="9"/>
  <c r="I1306" i="9"/>
  <c r="H1306" i="9"/>
  <c r="A1306" i="9"/>
  <c r="I1305" i="9"/>
  <c r="H1305" i="9"/>
  <c r="A1305" i="9"/>
  <c r="I1304" i="9"/>
  <c r="H1304" i="9"/>
  <c r="A1304" i="9"/>
  <c r="I1303" i="9"/>
  <c r="H1303" i="9"/>
  <c r="A1303" i="9"/>
  <c r="I1302" i="9"/>
  <c r="H1302" i="9"/>
  <c r="A1302" i="9"/>
  <c r="I1301" i="9"/>
  <c r="H1301" i="9"/>
  <c r="A1301" i="9"/>
  <c r="I1300" i="9"/>
  <c r="H1300" i="9"/>
  <c r="A1300" i="9"/>
  <c r="I1299" i="9"/>
  <c r="H1299" i="9"/>
  <c r="A1299" i="9"/>
  <c r="I1298" i="9"/>
  <c r="H1298" i="9"/>
  <c r="A1298" i="9"/>
  <c r="I1297" i="9"/>
  <c r="H1297" i="9"/>
  <c r="A1297" i="9"/>
  <c r="I1296" i="9"/>
  <c r="H1296" i="9"/>
  <c r="A1296" i="9"/>
  <c r="I1295" i="9"/>
  <c r="H1295" i="9"/>
  <c r="A1295" i="9"/>
  <c r="I1294" i="9"/>
  <c r="H1294" i="9"/>
  <c r="A1294" i="9"/>
  <c r="I1293" i="9"/>
  <c r="H1293" i="9"/>
  <c r="A1293" i="9"/>
  <c r="I1292" i="9"/>
  <c r="H1292" i="9"/>
  <c r="A1292" i="9"/>
  <c r="I1291" i="9"/>
  <c r="H1291" i="9"/>
  <c r="A1291" i="9"/>
  <c r="I1290" i="9"/>
  <c r="H1290" i="9"/>
  <c r="A1290" i="9"/>
  <c r="I1289" i="9"/>
  <c r="H1289" i="9"/>
  <c r="A1289" i="9"/>
  <c r="I1288" i="9"/>
  <c r="H1288" i="9"/>
  <c r="A1288" i="9"/>
  <c r="I1287" i="9"/>
  <c r="H1287" i="9"/>
  <c r="A1287" i="9"/>
  <c r="I1286" i="9"/>
  <c r="H1286" i="9"/>
  <c r="A1286" i="9"/>
  <c r="I1285" i="9"/>
  <c r="H1285" i="9"/>
  <c r="A1285" i="9"/>
  <c r="I1284" i="9"/>
  <c r="H1284" i="9"/>
  <c r="A1284" i="9"/>
  <c r="I1283" i="9"/>
  <c r="H1283" i="9"/>
  <c r="A1283" i="9"/>
  <c r="I1282" i="9"/>
  <c r="H1282" i="9"/>
  <c r="A1282" i="9"/>
  <c r="I1281" i="9"/>
  <c r="H1281" i="9"/>
  <c r="A1281" i="9"/>
  <c r="I1280" i="9"/>
  <c r="H1280" i="9"/>
  <c r="A1280" i="9"/>
  <c r="I1279" i="9"/>
  <c r="H1279" i="9"/>
  <c r="A1279" i="9"/>
  <c r="I1278" i="9"/>
  <c r="H1278" i="9"/>
  <c r="A1278" i="9"/>
  <c r="I1277" i="9"/>
  <c r="H1277" i="9"/>
  <c r="A1277" i="9"/>
  <c r="I1276" i="9"/>
  <c r="H1276" i="9"/>
  <c r="A1276" i="9"/>
  <c r="I1275" i="9"/>
  <c r="H1275" i="9"/>
  <c r="A1275" i="9"/>
  <c r="I1274" i="9"/>
  <c r="H1274" i="9"/>
  <c r="A1274" i="9"/>
  <c r="I1273" i="9"/>
  <c r="H1273" i="9"/>
  <c r="A1273" i="9"/>
  <c r="I1272" i="9"/>
  <c r="H1272" i="9"/>
  <c r="A1272" i="9"/>
  <c r="I1271" i="9"/>
  <c r="H1271" i="9"/>
  <c r="A1271" i="9"/>
  <c r="I1270" i="9"/>
  <c r="H1270" i="9"/>
  <c r="A1270" i="9"/>
  <c r="I1269" i="9"/>
  <c r="H1269" i="9"/>
  <c r="A1269" i="9"/>
  <c r="I1268" i="9"/>
  <c r="H1268" i="9"/>
  <c r="A1268" i="9"/>
  <c r="I1267" i="9"/>
  <c r="H1267" i="9"/>
  <c r="A1267" i="9"/>
  <c r="I1266" i="9"/>
  <c r="H1266" i="9"/>
  <c r="A1266" i="9"/>
  <c r="I1265" i="9"/>
  <c r="H1265" i="9"/>
  <c r="A1265" i="9"/>
  <c r="I1264" i="9"/>
  <c r="H1264" i="9"/>
  <c r="A1264" i="9"/>
  <c r="I1263" i="9"/>
  <c r="H1263" i="9"/>
  <c r="A1263" i="9"/>
  <c r="I1262" i="9"/>
  <c r="H1262" i="9"/>
  <c r="A1262" i="9"/>
  <c r="I1261" i="9"/>
  <c r="H1261" i="9"/>
  <c r="A1261" i="9"/>
  <c r="I1260" i="9"/>
  <c r="H1260" i="9"/>
  <c r="A1260" i="9"/>
  <c r="I1259" i="9"/>
  <c r="H1259" i="9"/>
  <c r="A1259" i="9"/>
  <c r="I1258" i="9"/>
  <c r="H1258" i="9"/>
  <c r="A1258" i="9"/>
  <c r="I1257" i="9"/>
  <c r="H1257" i="9"/>
  <c r="A1257" i="9"/>
  <c r="I1256" i="9"/>
  <c r="H1256" i="9"/>
  <c r="A1256" i="9"/>
  <c r="I1255" i="9"/>
  <c r="H1255" i="9"/>
  <c r="A1255" i="9"/>
  <c r="I1254" i="9"/>
  <c r="H1254" i="9"/>
  <c r="A1254" i="9"/>
  <c r="I1253" i="9"/>
  <c r="H1253" i="9"/>
  <c r="A1253" i="9"/>
  <c r="I1252" i="9"/>
  <c r="H1252" i="9"/>
  <c r="A1252" i="9"/>
  <c r="I1251" i="9"/>
  <c r="H1251" i="9"/>
  <c r="A1251" i="9"/>
  <c r="I1250" i="9"/>
  <c r="H1250" i="9"/>
  <c r="A1250" i="9"/>
  <c r="I1249" i="9"/>
  <c r="H1249" i="9"/>
  <c r="A1249" i="9"/>
  <c r="I1248" i="9"/>
  <c r="H1248" i="9"/>
  <c r="A1248" i="9"/>
  <c r="I1247" i="9"/>
  <c r="H1247" i="9"/>
  <c r="A1247" i="9"/>
  <c r="I1246" i="9"/>
  <c r="H1246" i="9"/>
  <c r="A1246" i="9"/>
  <c r="I1245" i="9"/>
  <c r="H1245" i="9"/>
  <c r="A1245" i="9"/>
  <c r="I1244" i="9"/>
  <c r="H1244" i="9"/>
  <c r="A1244" i="9"/>
  <c r="I1243" i="9"/>
  <c r="H1243" i="9"/>
  <c r="A1243" i="9"/>
  <c r="I1242" i="9"/>
  <c r="H1242" i="9"/>
  <c r="A1242" i="9"/>
  <c r="I1241" i="9"/>
  <c r="H1241" i="9"/>
  <c r="A1241" i="9"/>
  <c r="I1240" i="9"/>
  <c r="H1240" i="9"/>
  <c r="A1240" i="9"/>
  <c r="I1239" i="9"/>
  <c r="H1239" i="9"/>
  <c r="A1239" i="9"/>
  <c r="I1238" i="9"/>
  <c r="H1238" i="9"/>
  <c r="A1238" i="9"/>
  <c r="I1237" i="9"/>
  <c r="H1237" i="9"/>
  <c r="A1237" i="9"/>
  <c r="I1236" i="9"/>
  <c r="H1236" i="9"/>
  <c r="A1236" i="9"/>
  <c r="I1235" i="9"/>
  <c r="H1235" i="9"/>
  <c r="A1235" i="9"/>
  <c r="I1234" i="9"/>
  <c r="H1234" i="9"/>
  <c r="A1234" i="9"/>
  <c r="I1233" i="9"/>
  <c r="H1233" i="9"/>
  <c r="A1233" i="9"/>
  <c r="I1232" i="9"/>
  <c r="H1232" i="9"/>
  <c r="A1232" i="9"/>
  <c r="I1231" i="9"/>
  <c r="H1231" i="9"/>
  <c r="A1231" i="9"/>
  <c r="I1230" i="9"/>
  <c r="H1230" i="9"/>
  <c r="A1230" i="9"/>
  <c r="I1229" i="9"/>
  <c r="H1229" i="9"/>
  <c r="A1229" i="9"/>
  <c r="I1228" i="9"/>
  <c r="H1228" i="9"/>
  <c r="A1228" i="9"/>
  <c r="I1227" i="9"/>
  <c r="H1227" i="9"/>
  <c r="A1227" i="9"/>
  <c r="I1226" i="9"/>
  <c r="H1226" i="9"/>
  <c r="A1226" i="9"/>
  <c r="I1225" i="9"/>
  <c r="H1225" i="9"/>
  <c r="A1225" i="9"/>
  <c r="I1224" i="9"/>
  <c r="H1224" i="9"/>
  <c r="A1224" i="9"/>
  <c r="I1223" i="9"/>
  <c r="H1223" i="9"/>
  <c r="A1223" i="9"/>
  <c r="I1222" i="9"/>
  <c r="H1222" i="9"/>
  <c r="A1222" i="9"/>
  <c r="I1221" i="9"/>
  <c r="H1221" i="9"/>
  <c r="A1221" i="9"/>
  <c r="I1220" i="9"/>
  <c r="H1220" i="9"/>
  <c r="A1220" i="9"/>
  <c r="I1219" i="9"/>
  <c r="H1219" i="9"/>
  <c r="A1219" i="9"/>
  <c r="I1218" i="9"/>
  <c r="H1218" i="9"/>
  <c r="A1218" i="9"/>
  <c r="I1217" i="9"/>
  <c r="H1217" i="9"/>
  <c r="A1217" i="9"/>
  <c r="I1216" i="9"/>
  <c r="H1216" i="9"/>
  <c r="A1216" i="9"/>
  <c r="I1215" i="9"/>
  <c r="H1215" i="9"/>
  <c r="A1215" i="9"/>
  <c r="I1214" i="9"/>
  <c r="H1214" i="9"/>
  <c r="A1214" i="9"/>
  <c r="I1213" i="9"/>
  <c r="H1213" i="9"/>
  <c r="A1213" i="9"/>
  <c r="I1212" i="9"/>
  <c r="H1212" i="9"/>
  <c r="A1212" i="9"/>
  <c r="I1211" i="9"/>
  <c r="H1211" i="9"/>
  <c r="A1211" i="9"/>
  <c r="I1210" i="9"/>
  <c r="H1210" i="9"/>
  <c r="A1210" i="9"/>
  <c r="I1209" i="9"/>
  <c r="H1209" i="9"/>
  <c r="A1209" i="9"/>
  <c r="I1208" i="9"/>
  <c r="H1208" i="9"/>
  <c r="A1208" i="9"/>
  <c r="I1207" i="9"/>
  <c r="H1207" i="9"/>
  <c r="A1207" i="9"/>
  <c r="I1206" i="9"/>
  <c r="H1206" i="9"/>
  <c r="A1206" i="9"/>
  <c r="I1205" i="9"/>
  <c r="H1205" i="9"/>
  <c r="A1205" i="9"/>
  <c r="I1204" i="9"/>
  <c r="H1204" i="9"/>
  <c r="A1204" i="9"/>
  <c r="I1203" i="9"/>
  <c r="H1203" i="9"/>
  <c r="A1203" i="9"/>
  <c r="I1202" i="9"/>
  <c r="H1202" i="9"/>
  <c r="A1202" i="9"/>
  <c r="I1201" i="9"/>
  <c r="H1201" i="9"/>
  <c r="A1201" i="9"/>
  <c r="I1200" i="9"/>
  <c r="H1200" i="9"/>
  <c r="A1200" i="9"/>
  <c r="I1199" i="9"/>
  <c r="H1199" i="9"/>
  <c r="A1199" i="9"/>
  <c r="I1198" i="9"/>
  <c r="H1198" i="9"/>
  <c r="A1198" i="9"/>
  <c r="I1197" i="9"/>
  <c r="H1197" i="9"/>
  <c r="A1197" i="9"/>
  <c r="I1196" i="9"/>
  <c r="H1196" i="9"/>
  <c r="A1196" i="9"/>
  <c r="I1195" i="9"/>
  <c r="H1195" i="9"/>
  <c r="A1195" i="9"/>
  <c r="I1194" i="9"/>
  <c r="H1194" i="9"/>
  <c r="A1194" i="9"/>
  <c r="I1193" i="9"/>
  <c r="H1193" i="9"/>
  <c r="A1193" i="9"/>
  <c r="I1192" i="9"/>
  <c r="H1192" i="9"/>
  <c r="A1192" i="9"/>
  <c r="I1191" i="9"/>
  <c r="H1191" i="9"/>
  <c r="A1191" i="9"/>
  <c r="I1190" i="9"/>
  <c r="H1190" i="9"/>
  <c r="A1190" i="9"/>
  <c r="I1189" i="9"/>
  <c r="H1189" i="9"/>
  <c r="A1189" i="9"/>
  <c r="I1188" i="9"/>
  <c r="H1188" i="9"/>
  <c r="A1188" i="9"/>
  <c r="I1187" i="9"/>
  <c r="H1187" i="9"/>
  <c r="A1187" i="9"/>
  <c r="I1186" i="9"/>
  <c r="H1186" i="9"/>
  <c r="A1186" i="9"/>
  <c r="I1185" i="9"/>
  <c r="H1185" i="9"/>
  <c r="A1185" i="9"/>
  <c r="I1184" i="9"/>
  <c r="H1184" i="9"/>
  <c r="A1184" i="9"/>
  <c r="I1183" i="9"/>
  <c r="H1183" i="9"/>
  <c r="A1183" i="9"/>
  <c r="I1182" i="9"/>
  <c r="H1182" i="9"/>
  <c r="A1182" i="9"/>
  <c r="I1181" i="9"/>
  <c r="H1181" i="9"/>
  <c r="A1181" i="9"/>
  <c r="I1180" i="9"/>
  <c r="H1180" i="9"/>
  <c r="A1180" i="9"/>
  <c r="I1179" i="9"/>
  <c r="H1179" i="9"/>
  <c r="A1179" i="9"/>
  <c r="I1178" i="9"/>
  <c r="H1178" i="9"/>
  <c r="A1178" i="9"/>
  <c r="I1177" i="9"/>
  <c r="H1177" i="9"/>
  <c r="A1177" i="9"/>
  <c r="I1176" i="9"/>
  <c r="H1176" i="9"/>
  <c r="A1176" i="9"/>
  <c r="I1175" i="9"/>
  <c r="H1175" i="9"/>
  <c r="A1175" i="9"/>
  <c r="I1174" i="9"/>
  <c r="H1174" i="9"/>
  <c r="A1174" i="9"/>
  <c r="I1173" i="9"/>
  <c r="H1173" i="9"/>
  <c r="A1173" i="9"/>
  <c r="I1172" i="9"/>
  <c r="H1172" i="9"/>
  <c r="A1172" i="9"/>
  <c r="I1171" i="9"/>
  <c r="H1171" i="9"/>
  <c r="A1171" i="9"/>
  <c r="I1170" i="9"/>
  <c r="H1170" i="9"/>
  <c r="A1170" i="9"/>
  <c r="I1169" i="9"/>
  <c r="H1169" i="9"/>
  <c r="A1169" i="9"/>
  <c r="I1168" i="9"/>
  <c r="H1168" i="9"/>
  <c r="A1168" i="9"/>
  <c r="I1167" i="9"/>
  <c r="H1167" i="9"/>
  <c r="A1167" i="9"/>
  <c r="I1166" i="9"/>
  <c r="H1166" i="9"/>
  <c r="A1166" i="9"/>
  <c r="I1165" i="9"/>
  <c r="H1165" i="9"/>
  <c r="A1165" i="9"/>
  <c r="I1164" i="9"/>
  <c r="H1164" i="9"/>
  <c r="A1164" i="9"/>
  <c r="I1163" i="9"/>
  <c r="H1163" i="9"/>
  <c r="A1163" i="9"/>
  <c r="I1162" i="9"/>
  <c r="H1162" i="9"/>
  <c r="A1162" i="9"/>
  <c r="I1161" i="9"/>
  <c r="H1161" i="9"/>
  <c r="A1161" i="9"/>
  <c r="I1160" i="9"/>
  <c r="H1160" i="9"/>
  <c r="A1160" i="9"/>
  <c r="I1159" i="9"/>
  <c r="H1159" i="9"/>
  <c r="A1159" i="9"/>
  <c r="I1158" i="9"/>
  <c r="H1158" i="9"/>
  <c r="A1158" i="9"/>
  <c r="I1157" i="9"/>
  <c r="H1157" i="9"/>
  <c r="A1157" i="9"/>
  <c r="I1156" i="9"/>
  <c r="H1156" i="9"/>
  <c r="A1156" i="9"/>
  <c r="I1155" i="9"/>
  <c r="H1155" i="9"/>
  <c r="A1155" i="9"/>
  <c r="I1154" i="9"/>
  <c r="H1154" i="9"/>
  <c r="A1154" i="9"/>
  <c r="I1153" i="9"/>
  <c r="H1153" i="9"/>
  <c r="A1153" i="9"/>
  <c r="I1152" i="9"/>
  <c r="H1152" i="9"/>
  <c r="A1152" i="9"/>
  <c r="I1151" i="9"/>
  <c r="H1151" i="9"/>
  <c r="A1151" i="9"/>
  <c r="I1150" i="9"/>
  <c r="H1150" i="9"/>
  <c r="A1150" i="9"/>
  <c r="I1149" i="9"/>
  <c r="H1149" i="9"/>
  <c r="A1149" i="9"/>
  <c r="I1148" i="9"/>
  <c r="H1148" i="9"/>
  <c r="A1148" i="9"/>
  <c r="I1147" i="9"/>
  <c r="H1147" i="9"/>
  <c r="A1147" i="9"/>
  <c r="I1146" i="9"/>
  <c r="H1146" i="9"/>
  <c r="A1146" i="9"/>
  <c r="I1145" i="9"/>
  <c r="H1145" i="9"/>
  <c r="A1145" i="9"/>
  <c r="I1144" i="9"/>
  <c r="H1144" i="9"/>
  <c r="A1144" i="9"/>
  <c r="I1143" i="9"/>
  <c r="H1143" i="9"/>
  <c r="A1143" i="9"/>
  <c r="I1142" i="9"/>
  <c r="H1142" i="9"/>
  <c r="A1142" i="9"/>
  <c r="I1141" i="9"/>
  <c r="H1141" i="9"/>
  <c r="A1141" i="9"/>
  <c r="I1140" i="9"/>
  <c r="H1140" i="9"/>
  <c r="A1140" i="9"/>
  <c r="I1139" i="9"/>
  <c r="H1139" i="9"/>
  <c r="A1139" i="9"/>
  <c r="I1138" i="9"/>
  <c r="H1138" i="9"/>
  <c r="A1138" i="9"/>
  <c r="I1137" i="9"/>
  <c r="H1137" i="9"/>
  <c r="A1137" i="9"/>
  <c r="I1136" i="9"/>
  <c r="H1136" i="9"/>
  <c r="A1136" i="9"/>
  <c r="I1135" i="9"/>
  <c r="H1135" i="9"/>
  <c r="A1135" i="9"/>
  <c r="I1134" i="9"/>
  <c r="H1134" i="9"/>
  <c r="A1134" i="9"/>
  <c r="I1133" i="9"/>
  <c r="H1133" i="9"/>
  <c r="A1133" i="9"/>
  <c r="I1132" i="9"/>
  <c r="H1132" i="9"/>
  <c r="A1132" i="9"/>
  <c r="I1131" i="9"/>
  <c r="H1131" i="9"/>
  <c r="A1131" i="9"/>
  <c r="I1130" i="9"/>
  <c r="H1130" i="9"/>
  <c r="A1130" i="9"/>
  <c r="I1129" i="9"/>
  <c r="H1129" i="9"/>
  <c r="A1129" i="9"/>
  <c r="I1128" i="9"/>
  <c r="H1128" i="9"/>
  <c r="A1128" i="9"/>
  <c r="I1127" i="9"/>
  <c r="H1127" i="9"/>
  <c r="A1127" i="9"/>
  <c r="I1126" i="9"/>
  <c r="H1126" i="9"/>
  <c r="A1126" i="9"/>
  <c r="I1125" i="9"/>
  <c r="H1125" i="9"/>
  <c r="A1125" i="9"/>
  <c r="I1124" i="9"/>
  <c r="H1124" i="9"/>
  <c r="A1124" i="9"/>
  <c r="I1123" i="9"/>
  <c r="H1123" i="9"/>
  <c r="A1123" i="9"/>
  <c r="I1122" i="9"/>
  <c r="H1122" i="9"/>
  <c r="A1122" i="9"/>
  <c r="I1121" i="9"/>
  <c r="H1121" i="9"/>
  <c r="A1121" i="9"/>
  <c r="I1120" i="9"/>
  <c r="H1120" i="9"/>
  <c r="A1120" i="9"/>
  <c r="I1119" i="9"/>
  <c r="H1119" i="9"/>
  <c r="A1119" i="9"/>
  <c r="I1118" i="9"/>
  <c r="H1118" i="9"/>
  <c r="A1118" i="9"/>
  <c r="I1117" i="9"/>
  <c r="H1117" i="9"/>
  <c r="A1117" i="9"/>
  <c r="I1116" i="9"/>
  <c r="H1116" i="9"/>
  <c r="A1116" i="9"/>
  <c r="I1115" i="9"/>
  <c r="H1115" i="9"/>
  <c r="A1115" i="9"/>
  <c r="I1114" i="9"/>
  <c r="H1114" i="9"/>
  <c r="A1114" i="9"/>
  <c r="I1113" i="9"/>
  <c r="H1113" i="9"/>
  <c r="A1113" i="9"/>
  <c r="I1112" i="9"/>
  <c r="H1112" i="9"/>
  <c r="A1112" i="9"/>
  <c r="I1111" i="9"/>
  <c r="H1111" i="9"/>
  <c r="A1111" i="9"/>
  <c r="I1110" i="9"/>
  <c r="H1110" i="9"/>
  <c r="A1110" i="9"/>
  <c r="I1109" i="9"/>
  <c r="H1109" i="9"/>
  <c r="A1109" i="9"/>
  <c r="I1108" i="9"/>
  <c r="H1108" i="9"/>
  <c r="A1108" i="9"/>
  <c r="I1107" i="9"/>
  <c r="H1107" i="9"/>
  <c r="A1107" i="9"/>
  <c r="I1106" i="9"/>
  <c r="H1106" i="9"/>
  <c r="A1106" i="9"/>
  <c r="I1105" i="9"/>
  <c r="H1105" i="9"/>
  <c r="A1105" i="9"/>
  <c r="I1104" i="9"/>
  <c r="H1104" i="9"/>
  <c r="A1104" i="9"/>
  <c r="I1103" i="9"/>
  <c r="H1103" i="9"/>
  <c r="A1103" i="9"/>
  <c r="I1102" i="9"/>
  <c r="H1102" i="9"/>
  <c r="A1102" i="9"/>
  <c r="I1101" i="9"/>
  <c r="H1101" i="9"/>
  <c r="A1101" i="9"/>
  <c r="I1100" i="9"/>
  <c r="H1100" i="9"/>
  <c r="A1100" i="9"/>
  <c r="I1099" i="9"/>
  <c r="H1099" i="9"/>
  <c r="A1099" i="9"/>
  <c r="I1098" i="9"/>
  <c r="H1098" i="9"/>
  <c r="A1098" i="9"/>
  <c r="I1097" i="9"/>
  <c r="H1097" i="9"/>
  <c r="A1097" i="9"/>
  <c r="I1096" i="9"/>
  <c r="H1096" i="9"/>
  <c r="A1096" i="9"/>
  <c r="I1095" i="9"/>
  <c r="H1095" i="9"/>
  <c r="A1095" i="9"/>
  <c r="I1094" i="9"/>
  <c r="H1094" i="9"/>
  <c r="A1094" i="9"/>
  <c r="I1093" i="9"/>
  <c r="H1093" i="9"/>
  <c r="A1093" i="9"/>
  <c r="I1092" i="9"/>
  <c r="H1092" i="9"/>
  <c r="A1092" i="9"/>
  <c r="I1091" i="9"/>
  <c r="H1091" i="9"/>
  <c r="A1091" i="9"/>
  <c r="I1090" i="9"/>
  <c r="H1090" i="9"/>
  <c r="A1090" i="9"/>
  <c r="I1089" i="9"/>
  <c r="H1089" i="9"/>
  <c r="A1089" i="9"/>
  <c r="I1088" i="9"/>
  <c r="H1088" i="9"/>
  <c r="A1088" i="9"/>
  <c r="I1087" i="9"/>
  <c r="H1087" i="9"/>
  <c r="A1087" i="9"/>
  <c r="I1086" i="9"/>
  <c r="H1086" i="9"/>
  <c r="A1086" i="9"/>
  <c r="I1085" i="9"/>
  <c r="H1085" i="9"/>
  <c r="A1085" i="9"/>
  <c r="I1084" i="9"/>
  <c r="H1084" i="9"/>
  <c r="A1084" i="9"/>
  <c r="I1083" i="9"/>
  <c r="H1083" i="9"/>
  <c r="A1083" i="9"/>
  <c r="I1082" i="9"/>
  <c r="H1082" i="9"/>
  <c r="A1082" i="9"/>
  <c r="I1081" i="9"/>
  <c r="H1081" i="9"/>
  <c r="A1081" i="9"/>
  <c r="I1080" i="9"/>
  <c r="H1080" i="9"/>
  <c r="A1080" i="9"/>
  <c r="I1079" i="9"/>
  <c r="H1079" i="9"/>
  <c r="A1079" i="9"/>
  <c r="I1078" i="9"/>
  <c r="H1078" i="9"/>
  <c r="A1078" i="9"/>
  <c r="I1077" i="9"/>
  <c r="H1077" i="9"/>
  <c r="A1077" i="9"/>
  <c r="I1076" i="9"/>
  <c r="H1076" i="9"/>
  <c r="A1076" i="9"/>
  <c r="I1075" i="9"/>
  <c r="H1075" i="9"/>
  <c r="A1075" i="9"/>
  <c r="I1074" i="9"/>
  <c r="H1074" i="9"/>
  <c r="A1074" i="9"/>
  <c r="I1073" i="9"/>
  <c r="H1073" i="9"/>
  <c r="A1073" i="9"/>
  <c r="I1072" i="9"/>
  <c r="H1072" i="9"/>
  <c r="A1072" i="9"/>
  <c r="I1071" i="9"/>
  <c r="H1071" i="9"/>
  <c r="A1071" i="9"/>
  <c r="I1070" i="9"/>
  <c r="H1070" i="9"/>
  <c r="A1070" i="9"/>
  <c r="I1069" i="9"/>
  <c r="H1069" i="9"/>
  <c r="A1069" i="9"/>
  <c r="I1068" i="9"/>
  <c r="H1068" i="9"/>
  <c r="A1068" i="9"/>
  <c r="I1067" i="9"/>
  <c r="H1067" i="9"/>
  <c r="A1067" i="9"/>
  <c r="I1066" i="9"/>
  <c r="H1066" i="9"/>
  <c r="A1066" i="9"/>
  <c r="I1065" i="9"/>
  <c r="H1065" i="9"/>
  <c r="A1065" i="9"/>
  <c r="I1064" i="9"/>
  <c r="H1064" i="9"/>
  <c r="A1064" i="9"/>
  <c r="I1063" i="9"/>
  <c r="H1063" i="9"/>
  <c r="A1063" i="9"/>
  <c r="I1062" i="9"/>
  <c r="H1062" i="9"/>
  <c r="A1062" i="9"/>
  <c r="I1061" i="9"/>
  <c r="H1061" i="9"/>
  <c r="A1061" i="9"/>
  <c r="I1060" i="9"/>
  <c r="H1060" i="9"/>
  <c r="A1060" i="9"/>
  <c r="I1059" i="9"/>
  <c r="H1059" i="9"/>
  <c r="A1059" i="9"/>
  <c r="I1058" i="9"/>
  <c r="H1058" i="9"/>
  <c r="A1058" i="9"/>
  <c r="I1057" i="9"/>
  <c r="H1057" i="9"/>
  <c r="A1057" i="9"/>
  <c r="I1056" i="9"/>
  <c r="H1056" i="9"/>
  <c r="A1056" i="9"/>
  <c r="I1055" i="9"/>
  <c r="H1055" i="9"/>
  <c r="A1055" i="9"/>
  <c r="I1054" i="9"/>
  <c r="H1054" i="9"/>
  <c r="A1054" i="9"/>
  <c r="I1053" i="9"/>
  <c r="H1053" i="9"/>
  <c r="A1053" i="9"/>
  <c r="I1052" i="9"/>
  <c r="H1052" i="9"/>
  <c r="A1052" i="9"/>
  <c r="I1051" i="9"/>
  <c r="H1051" i="9"/>
  <c r="A1051" i="9"/>
  <c r="I1050" i="9"/>
  <c r="H1050" i="9"/>
  <c r="A1050" i="9"/>
  <c r="I1049" i="9"/>
  <c r="H1049" i="9"/>
  <c r="A1049" i="9"/>
  <c r="I1048" i="9"/>
  <c r="H1048" i="9"/>
  <c r="A1048" i="9"/>
  <c r="I1047" i="9"/>
  <c r="H1047" i="9"/>
  <c r="A1047" i="9"/>
  <c r="I1046" i="9"/>
  <c r="H1046" i="9"/>
  <c r="A1046" i="9"/>
  <c r="I1045" i="9"/>
  <c r="H1045" i="9"/>
  <c r="A1045" i="9"/>
  <c r="I1044" i="9"/>
  <c r="H1044" i="9"/>
  <c r="A1044" i="9"/>
  <c r="I1043" i="9"/>
  <c r="H1043" i="9"/>
  <c r="A1043" i="9"/>
  <c r="I1042" i="9"/>
  <c r="H1042" i="9"/>
  <c r="A1042" i="9"/>
  <c r="I1041" i="9"/>
  <c r="H1041" i="9"/>
  <c r="A1041" i="9"/>
  <c r="I1040" i="9"/>
  <c r="H1040" i="9"/>
  <c r="A1040" i="9"/>
  <c r="I1039" i="9"/>
  <c r="H1039" i="9"/>
  <c r="A1039" i="9"/>
  <c r="I1038" i="9"/>
  <c r="H1038" i="9"/>
  <c r="A1038" i="9"/>
  <c r="I1037" i="9"/>
  <c r="H1037" i="9"/>
  <c r="A1037" i="9"/>
  <c r="I1036" i="9"/>
  <c r="H1036" i="9"/>
  <c r="A1036" i="9"/>
  <c r="I1035" i="9"/>
  <c r="H1035" i="9"/>
  <c r="A1035" i="9"/>
  <c r="I1034" i="9"/>
  <c r="H1034" i="9"/>
  <c r="A1034" i="9"/>
  <c r="I1033" i="9"/>
  <c r="H1033" i="9"/>
  <c r="A1033" i="9"/>
  <c r="I1032" i="9"/>
  <c r="H1032" i="9"/>
  <c r="A1032" i="9"/>
  <c r="I1031" i="9"/>
  <c r="H1031" i="9"/>
  <c r="A1031" i="9"/>
  <c r="I1030" i="9"/>
  <c r="H1030" i="9"/>
  <c r="A1030" i="9"/>
  <c r="I1029" i="9"/>
  <c r="H1029" i="9"/>
  <c r="A1029" i="9"/>
  <c r="I1028" i="9"/>
  <c r="H1028" i="9"/>
  <c r="A1028" i="9"/>
  <c r="I1027" i="9"/>
  <c r="H1027" i="9"/>
  <c r="A1027" i="9"/>
  <c r="I1026" i="9"/>
  <c r="H1026" i="9"/>
  <c r="A1026" i="9"/>
  <c r="I1025" i="9"/>
  <c r="H1025" i="9"/>
  <c r="A1025" i="9"/>
  <c r="I1024" i="9"/>
  <c r="H1024" i="9"/>
  <c r="A1024" i="9"/>
  <c r="I1023" i="9"/>
  <c r="H1023" i="9"/>
  <c r="A1023" i="9"/>
  <c r="I1022" i="9"/>
  <c r="H1022" i="9"/>
  <c r="A1022" i="9"/>
  <c r="I1021" i="9"/>
  <c r="H1021" i="9"/>
  <c r="A1021" i="9"/>
  <c r="I1020" i="9"/>
  <c r="H1020" i="9"/>
  <c r="A1020" i="9"/>
  <c r="I1019" i="9"/>
  <c r="H1019" i="9"/>
  <c r="A1019" i="9"/>
  <c r="I1018" i="9"/>
  <c r="H1018" i="9"/>
  <c r="A1018" i="9"/>
  <c r="I1017" i="9"/>
  <c r="H1017" i="9"/>
  <c r="A1017" i="9"/>
  <c r="I1016" i="9"/>
  <c r="H1016" i="9"/>
  <c r="A1016" i="9"/>
  <c r="I1015" i="9"/>
  <c r="H1015" i="9"/>
  <c r="A1015" i="9"/>
  <c r="I1014" i="9"/>
  <c r="H1014" i="9"/>
  <c r="A1014" i="9"/>
  <c r="I1013" i="9"/>
  <c r="H1013" i="9"/>
  <c r="A1013" i="9"/>
  <c r="I1012" i="9"/>
  <c r="H1012" i="9"/>
  <c r="A1012" i="9"/>
  <c r="I1011" i="9"/>
  <c r="H1011" i="9"/>
  <c r="A1011" i="9"/>
  <c r="I1010" i="9"/>
  <c r="H1010" i="9"/>
  <c r="A1010" i="9"/>
  <c r="I1009" i="9"/>
  <c r="H1009" i="9"/>
  <c r="A1009" i="9"/>
  <c r="I1008" i="9"/>
  <c r="H1008" i="9"/>
  <c r="A1008" i="9"/>
  <c r="I1007" i="9"/>
  <c r="H1007" i="9"/>
  <c r="A1007" i="9"/>
  <c r="I1006" i="9"/>
  <c r="H1006" i="9"/>
  <c r="A1006" i="9"/>
  <c r="I1005" i="9"/>
  <c r="H1005" i="9"/>
  <c r="A1005" i="9"/>
  <c r="I1004" i="9"/>
  <c r="H1004" i="9"/>
  <c r="A1004" i="9"/>
  <c r="I1003" i="9"/>
  <c r="H1003" i="9"/>
  <c r="A1003" i="9"/>
  <c r="I1002" i="9"/>
  <c r="H1002" i="9"/>
  <c r="A1002" i="9"/>
  <c r="I1001" i="9"/>
  <c r="H1001" i="9"/>
  <c r="A1001" i="9"/>
  <c r="I1000" i="9"/>
  <c r="H1000" i="9"/>
  <c r="A1000" i="9"/>
  <c r="I999" i="9"/>
  <c r="H999" i="9"/>
  <c r="A999" i="9"/>
  <c r="I998" i="9"/>
  <c r="H998" i="9"/>
  <c r="A998" i="9"/>
  <c r="I997" i="9"/>
  <c r="H997" i="9"/>
  <c r="A997" i="9"/>
  <c r="I996" i="9"/>
  <c r="H996" i="9"/>
  <c r="A996" i="9"/>
  <c r="I995" i="9"/>
  <c r="H995" i="9"/>
  <c r="A995" i="9"/>
  <c r="I994" i="9"/>
  <c r="H994" i="9"/>
  <c r="A994" i="9"/>
  <c r="I993" i="9"/>
  <c r="H993" i="9"/>
  <c r="A993" i="9"/>
  <c r="I992" i="9"/>
  <c r="H992" i="9"/>
  <c r="A992" i="9"/>
  <c r="I991" i="9"/>
  <c r="H991" i="9"/>
  <c r="A991" i="9"/>
  <c r="I990" i="9"/>
  <c r="H990" i="9"/>
  <c r="A990" i="9"/>
  <c r="I989" i="9"/>
  <c r="H989" i="9"/>
  <c r="A989" i="9"/>
  <c r="I988" i="9"/>
  <c r="H988" i="9"/>
  <c r="A988" i="9"/>
  <c r="I987" i="9"/>
  <c r="H987" i="9"/>
  <c r="A987" i="9"/>
  <c r="I986" i="9"/>
  <c r="H986" i="9"/>
  <c r="A986" i="9"/>
  <c r="I985" i="9"/>
  <c r="H985" i="9"/>
  <c r="A985" i="9"/>
  <c r="I984" i="9"/>
  <c r="H984" i="9"/>
  <c r="A984" i="9"/>
  <c r="I983" i="9"/>
  <c r="H983" i="9"/>
  <c r="A983" i="9"/>
  <c r="I982" i="9"/>
  <c r="H982" i="9"/>
  <c r="A982" i="9"/>
  <c r="I981" i="9"/>
  <c r="H981" i="9"/>
  <c r="A981" i="9"/>
  <c r="I980" i="9"/>
  <c r="H980" i="9"/>
  <c r="A980" i="9"/>
  <c r="I979" i="9"/>
  <c r="H979" i="9"/>
  <c r="A979" i="9"/>
  <c r="I978" i="9"/>
  <c r="H978" i="9"/>
  <c r="A978" i="9"/>
  <c r="I977" i="9"/>
  <c r="H977" i="9"/>
  <c r="A977" i="9"/>
  <c r="I976" i="9"/>
  <c r="H976" i="9"/>
  <c r="A976" i="9"/>
  <c r="I975" i="9"/>
  <c r="H975" i="9"/>
  <c r="A975" i="9"/>
  <c r="I974" i="9"/>
  <c r="H974" i="9"/>
  <c r="A974" i="9"/>
  <c r="I973" i="9"/>
  <c r="H973" i="9"/>
  <c r="A973" i="9"/>
  <c r="I972" i="9"/>
  <c r="H972" i="9"/>
  <c r="A972" i="9"/>
  <c r="I971" i="9"/>
  <c r="H971" i="9"/>
  <c r="A971" i="9"/>
  <c r="I970" i="9"/>
  <c r="H970" i="9"/>
  <c r="A970" i="9"/>
  <c r="I969" i="9"/>
  <c r="H969" i="9"/>
  <c r="A969" i="9"/>
  <c r="I968" i="9"/>
  <c r="H968" i="9"/>
  <c r="A968" i="9"/>
  <c r="I967" i="9"/>
  <c r="H967" i="9"/>
  <c r="A967" i="9"/>
  <c r="I966" i="9"/>
  <c r="H966" i="9"/>
  <c r="A966" i="9"/>
  <c r="I965" i="9"/>
  <c r="H965" i="9"/>
  <c r="A965" i="9"/>
  <c r="I964" i="9"/>
  <c r="H964" i="9"/>
  <c r="A964" i="9"/>
  <c r="I963" i="9"/>
  <c r="H963" i="9"/>
  <c r="A963" i="9"/>
  <c r="I962" i="9"/>
  <c r="H962" i="9"/>
  <c r="A962" i="9"/>
  <c r="I961" i="9"/>
  <c r="H961" i="9"/>
  <c r="A961" i="9"/>
  <c r="I960" i="9"/>
  <c r="H960" i="9"/>
  <c r="A960" i="9"/>
  <c r="I959" i="9"/>
  <c r="H959" i="9"/>
  <c r="A959" i="9"/>
  <c r="I958" i="9"/>
  <c r="H958" i="9"/>
  <c r="A958" i="9"/>
  <c r="I957" i="9"/>
  <c r="H957" i="9"/>
  <c r="A957" i="9"/>
  <c r="I956" i="9"/>
  <c r="H956" i="9"/>
  <c r="A956" i="9"/>
  <c r="I955" i="9"/>
  <c r="H955" i="9"/>
  <c r="A955" i="9"/>
  <c r="I954" i="9"/>
  <c r="H954" i="9"/>
  <c r="A954" i="9"/>
  <c r="I953" i="9"/>
  <c r="H953" i="9"/>
  <c r="A953" i="9"/>
  <c r="I952" i="9"/>
  <c r="H952" i="9"/>
  <c r="A952" i="9"/>
  <c r="I951" i="9"/>
  <c r="H951" i="9"/>
  <c r="A951" i="9"/>
  <c r="I950" i="9"/>
  <c r="H950" i="9"/>
  <c r="A950" i="9"/>
  <c r="I949" i="9"/>
  <c r="H949" i="9"/>
  <c r="A949" i="9"/>
  <c r="A948" i="9"/>
  <c r="I947" i="9"/>
  <c r="H947" i="9"/>
  <c r="A947" i="9"/>
  <c r="I946" i="9"/>
  <c r="H946" i="9"/>
  <c r="A946" i="9"/>
  <c r="I945" i="9"/>
  <c r="H945" i="9"/>
  <c r="A945" i="9"/>
  <c r="I944" i="9"/>
  <c r="H944" i="9"/>
  <c r="A944" i="9"/>
  <c r="I943" i="9"/>
  <c r="H943" i="9"/>
  <c r="A943" i="9"/>
  <c r="I942" i="9"/>
  <c r="H942" i="9"/>
  <c r="A942" i="9"/>
  <c r="I941" i="9"/>
  <c r="H941" i="9"/>
  <c r="A941" i="9"/>
  <c r="I940" i="9"/>
  <c r="H940" i="9"/>
  <c r="A940" i="9"/>
  <c r="I939" i="9"/>
  <c r="H939" i="9"/>
  <c r="A939" i="9"/>
  <c r="I938" i="9"/>
  <c r="H938" i="9"/>
  <c r="A938" i="9"/>
  <c r="I937" i="9"/>
  <c r="H937" i="9"/>
  <c r="A937" i="9"/>
  <c r="I936" i="9"/>
  <c r="H936" i="9"/>
  <c r="A936" i="9"/>
  <c r="I935" i="9"/>
  <c r="H935" i="9"/>
  <c r="A935" i="9"/>
  <c r="I934" i="9"/>
  <c r="H934" i="9"/>
  <c r="A934" i="9"/>
  <c r="I933" i="9"/>
  <c r="H933" i="9"/>
  <c r="A933" i="9"/>
  <c r="I932" i="9"/>
  <c r="H932" i="9"/>
  <c r="A932" i="9"/>
  <c r="I931" i="9"/>
  <c r="H931" i="9"/>
  <c r="A931" i="9"/>
  <c r="I930" i="9"/>
  <c r="H930" i="9"/>
  <c r="A930" i="9"/>
  <c r="I929" i="9"/>
  <c r="H929" i="9"/>
  <c r="A929" i="9"/>
  <c r="I928" i="9"/>
  <c r="H928" i="9"/>
  <c r="A928" i="9"/>
  <c r="I927" i="9"/>
  <c r="H927" i="9"/>
  <c r="A927" i="9"/>
  <c r="I926" i="9"/>
  <c r="H926" i="9"/>
  <c r="A926" i="9"/>
  <c r="I925" i="9"/>
  <c r="H925" i="9"/>
  <c r="A925" i="9"/>
  <c r="I924" i="9"/>
  <c r="H924" i="9"/>
  <c r="A924" i="9"/>
  <c r="I923" i="9"/>
  <c r="H923" i="9"/>
  <c r="A923" i="9"/>
  <c r="I922" i="9"/>
  <c r="H922" i="9"/>
  <c r="A922" i="9"/>
  <c r="I921" i="9"/>
  <c r="H921" i="9"/>
  <c r="A921" i="9"/>
  <c r="I920" i="9"/>
  <c r="H920" i="9"/>
  <c r="A920" i="9"/>
  <c r="I919" i="9"/>
  <c r="H919" i="9"/>
  <c r="A919" i="9"/>
  <c r="I918" i="9"/>
  <c r="H918" i="9"/>
  <c r="A918" i="9"/>
  <c r="I917" i="9"/>
  <c r="H917" i="9"/>
  <c r="A917" i="9"/>
  <c r="I916" i="9"/>
  <c r="H916" i="9"/>
  <c r="A916" i="9"/>
  <c r="I915" i="9"/>
  <c r="H915" i="9"/>
  <c r="A915" i="9"/>
  <c r="I914" i="9"/>
  <c r="H914" i="9"/>
  <c r="A914" i="9"/>
  <c r="I913" i="9"/>
  <c r="H913" i="9"/>
  <c r="A913" i="9"/>
  <c r="I912" i="9"/>
  <c r="H912" i="9"/>
  <c r="A912" i="9"/>
  <c r="I911" i="9"/>
  <c r="H911" i="9"/>
  <c r="A911" i="9"/>
  <c r="I910" i="9"/>
  <c r="H910" i="9"/>
  <c r="A910" i="9"/>
  <c r="I909" i="9"/>
  <c r="H909" i="9"/>
  <c r="A909" i="9"/>
  <c r="I908" i="9"/>
  <c r="H908" i="9"/>
  <c r="A908" i="9"/>
  <c r="I907" i="9"/>
  <c r="H907" i="9"/>
  <c r="A907" i="9"/>
  <c r="I906" i="9"/>
  <c r="H906" i="9"/>
  <c r="A906" i="9"/>
  <c r="I905" i="9"/>
  <c r="H905" i="9"/>
  <c r="A905" i="9"/>
  <c r="I904" i="9"/>
  <c r="H904" i="9"/>
  <c r="A904" i="9"/>
  <c r="I903" i="9"/>
  <c r="H903" i="9"/>
  <c r="A903" i="9"/>
  <c r="I902" i="9"/>
  <c r="H902" i="9"/>
  <c r="A902" i="9"/>
  <c r="I901" i="9"/>
  <c r="H901" i="9"/>
  <c r="A901" i="9"/>
  <c r="I900" i="9"/>
  <c r="H900" i="9"/>
  <c r="A900" i="9"/>
  <c r="I899" i="9"/>
  <c r="H899" i="9"/>
  <c r="A899" i="9"/>
  <c r="I898" i="9"/>
  <c r="H898" i="9"/>
  <c r="A898" i="9"/>
  <c r="I897" i="9"/>
  <c r="H897" i="9"/>
  <c r="A897" i="9"/>
  <c r="I896" i="9"/>
  <c r="H896" i="9"/>
  <c r="A896" i="9"/>
  <c r="I895" i="9"/>
  <c r="H895" i="9"/>
  <c r="A895" i="9"/>
  <c r="I894" i="9"/>
  <c r="H894" i="9"/>
  <c r="A894" i="9"/>
  <c r="I893" i="9"/>
  <c r="H893" i="9"/>
  <c r="A893" i="9"/>
  <c r="I892" i="9"/>
  <c r="H892" i="9"/>
  <c r="A892" i="9"/>
  <c r="I891" i="9"/>
  <c r="H891" i="9"/>
  <c r="A891" i="9"/>
  <c r="I890" i="9"/>
  <c r="H890" i="9"/>
  <c r="A890" i="9"/>
  <c r="I889" i="9"/>
  <c r="H889" i="9"/>
  <c r="A889" i="9"/>
  <c r="I888" i="9"/>
  <c r="H888" i="9"/>
  <c r="A888" i="9"/>
  <c r="I887" i="9"/>
  <c r="H887" i="9"/>
  <c r="A887" i="9"/>
  <c r="I886" i="9"/>
  <c r="H886" i="9"/>
  <c r="A886" i="9"/>
  <c r="I885" i="9"/>
  <c r="H885" i="9"/>
  <c r="A885" i="9"/>
  <c r="I884" i="9"/>
  <c r="H884" i="9"/>
  <c r="A884" i="9"/>
  <c r="I883" i="9"/>
  <c r="H883" i="9"/>
  <c r="A883" i="9"/>
  <c r="I882" i="9"/>
  <c r="H882" i="9"/>
  <c r="A882" i="9"/>
  <c r="I881" i="9"/>
  <c r="H881" i="9"/>
  <c r="A881" i="9"/>
  <c r="I880" i="9"/>
  <c r="H880" i="9"/>
  <c r="A880" i="9"/>
  <c r="I879" i="9"/>
  <c r="H879" i="9"/>
  <c r="A879" i="9"/>
  <c r="I878" i="9"/>
  <c r="H878" i="9"/>
  <c r="A878" i="9"/>
  <c r="I877" i="9"/>
  <c r="H877" i="9"/>
  <c r="A877" i="9"/>
  <c r="I876" i="9"/>
  <c r="H876" i="9"/>
  <c r="A876" i="9"/>
  <c r="I875" i="9"/>
  <c r="H875" i="9"/>
  <c r="A875" i="9"/>
  <c r="I874" i="9"/>
  <c r="H874" i="9"/>
  <c r="A874" i="9"/>
  <c r="I873" i="9"/>
  <c r="H873" i="9"/>
  <c r="A873" i="9"/>
  <c r="I872" i="9"/>
  <c r="H872" i="9"/>
  <c r="A872" i="9"/>
  <c r="I871" i="9"/>
  <c r="H871" i="9"/>
  <c r="A871" i="9"/>
  <c r="I870" i="9"/>
  <c r="H870" i="9"/>
  <c r="A870" i="9"/>
  <c r="I869" i="9"/>
  <c r="H869" i="9"/>
  <c r="A869" i="9"/>
  <c r="I868" i="9"/>
  <c r="H868" i="9"/>
  <c r="A868" i="9"/>
  <c r="I867" i="9"/>
  <c r="H867" i="9"/>
  <c r="A867" i="9"/>
  <c r="I866" i="9"/>
  <c r="H866" i="9"/>
  <c r="A866" i="9"/>
  <c r="I865" i="9"/>
  <c r="H865" i="9"/>
  <c r="A865" i="9"/>
  <c r="I864" i="9"/>
  <c r="H864" i="9"/>
  <c r="A864" i="9"/>
  <c r="I863" i="9"/>
  <c r="H863" i="9"/>
  <c r="A863" i="9"/>
  <c r="I862" i="9"/>
  <c r="H862" i="9"/>
  <c r="A862" i="9"/>
  <c r="I861" i="9"/>
  <c r="H861" i="9"/>
  <c r="A861" i="9"/>
  <c r="I860" i="9"/>
  <c r="H860" i="9"/>
  <c r="A860" i="9"/>
  <c r="I859" i="9"/>
  <c r="H859" i="9"/>
  <c r="A859" i="9"/>
  <c r="I858" i="9"/>
  <c r="H858" i="9"/>
  <c r="A858" i="9"/>
  <c r="I857" i="9"/>
  <c r="H857" i="9"/>
  <c r="A857" i="9"/>
  <c r="I856" i="9"/>
  <c r="H856" i="9"/>
  <c r="A856" i="9"/>
  <c r="I855" i="9"/>
  <c r="H855" i="9"/>
  <c r="A855" i="9"/>
  <c r="I854" i="9"/>
  <c r="H854" i="9"/>
  <c r="A854" i="9"/>
  <c r="I853" i="9"/>
  <c r="H853" i="9"/>
  <c r="A853" i="9"/>
  <c r="I852" i="9"/>
  <c r="H852" i="9"/>
  <c r="A852" i="9"/>
  <c r="I851" i="9"/>
  <c r="H851" i="9"/>
  <c r="A851" i="9"/>
  <c r="I850" i="9"/>
  <c r="H850" i="9"/>
  <c r="A850" i="9"/>
  <c r="I849" i="9"/>
  <c r="H849" i="9"/>
  <c r="A849" i="9"/>
  <c r="I848" i="9"/>
  <c r="H848" i="9"/>
  <c r="A848" i="9"/>
  <c r="I847" i="9"/>
  <c r="H847" i="9"/>
  <c r="A847" i="9"/>
  <c r="I846" i="9"/>
  <c r="H846" i="9"/>
  <c r="A846" i="9"/>
  <c r="I845" i="9"/>
  <c r="H845" i="9"/>
  <c r="A845" i="9"/>
  <c r="I844" i="9"/>
  <c r="H844" i="9"/>
  <c r="A844" i="9"/>
  <c r="I843" i="9"/>
  <c r="H843" i="9"/>
  <c r="A843" i="9"/>
  <c r="I842" i="9"/>
  <c r="H842" i="9"/>
  <c r="A842" i="9"/>
  <c r="I841" i="9"/>
  <c r="H841" i="9"/>
  <c r="A841" i="9"/>
  <c r="I840" i="9"/>
  <c r="H840" i="9"/>
  <c r="A840" i="9"/>
  <c r="I839" i="9"/>
  <c r="H839" i="9"/>
  <c r="A839" i="9"/>
  <c r="I838" i="9"/>
  <c r="H838" i="9"/>
  <c r="A838" i="9"/>
  <c r="I837" i="9"/>
  <c r="H837" i="9"/>
  <c r="A837" i="9"/>
  <c r="I836" i="9"/>
  <c r="H836" i="9"/>
  <c r="A836" i="9"/>
  <c r="I835" i="9"/>
  <c r="H835" i="9"/>
  <c r="A835" i="9"/>
  <c r="I834" i="9"/>
  <c r="H834" i="9"/>
  <c r="A834" i="9"/>
  <c r="I833" i="9"/>
  <c r="H833" i="9"/>
  <c r="A833" i="9"/>
  <c r="I832" i="9"/>
  <c r="H832" i="9"/>
  <c r="A832" i="9"/>
  <c r="I831" i="9"/>
  <c r="H831" i="9"/>
  <c r="A831" i="9"/>
  <c r="I830" i="9"/>
  <c r="H830" i="9"/>
  <c r="A830" i="9"/>
  <c r="I829" i="9"/>
  <c r="H829" i="9"/>
  <c r="A829" i="9"/>
  <c r="I828" i="9"/>
  <c r="H828" i="9"/>
  <c r="A828" i="9"/>
  <c r="I827" i="9"/>
  <c r="H827" i="9"/>
  <c r="A827" i="9"/>
  <c r="I826" i="9"/>
  <c r="H826" i="9"/>
  <c r="A826" i="9"/>
  <c r="I825" i="9"/>
  <c r="H825" i="9"/>
  <c r="A825" i="9"/>
  <c r="I824" i="9"/>
  <c r="H824" i="9"/>
  <c r="A824" i="9"/>
  <c r="I823" i="9"/>
  <c r="H823" i="9"/>
  <c r="A823" i="9"/>
  <c r="I822" i="9"/>
  <c r="H822" i="9"/>
  <c r="A822" i="9"/>
  <c r="I821" i="9"/>
  <c r="H821" i="9"/>
  <c r="A821" i="9"/>
  <c r="I820" i="9"/>
  <c r="H820" i="9"/>
  <c r="A820" i="9"/>
  <c r="I819" i="9"/>
  <c r="H819" i="9"/>
  <c r="A819" i="9"/>
  <c r="I818" i="9"/>
  <c r="H818" i="9"/>
  <c r="A818" i="9"/>
  <c r="I817" i="9"/>
  <c r="H817" i="9"/>
  <c r="A817" i="9"/>
  <c r="I816" i="9"/>
  <c r="H816" i="9"/>
  <c r="A816" i="9"/>
  <c r="I815" i="9"/>
  <c r="H815" i="9"/>
  <c r="A815" i="9"/>
  <c r="I814" i="9"/>
  <c r="H814" i="9"/>
  <c r="A814" i="9"/>
  <c r="I813" i="9"/>
  <c r="H813" i="9"/>
  <c r="A813" i="9"/>
  <c r="I812" i="9"/>
  <c r="H812" i="9"/>
  <c r="A812" i="9"/>
  <c r="I811" i="9"/>
  <c r="H811" i="9"/>
  <c r="A811" i="9"/>
  <c r="I810" i="9"/>
  <c r="H810" i="9"/>
  <c r="A810" i="9"/>
  <c r="I809" i="9"/>
  <c r="H809" i="9"/>
  <c r="A809" i="9"/>
  <c r="I808" i="9"/>
  <c r="H808" i="9"/>
  <c r="A808" i="9"/>
  <c r="I807" i="9"/>
  <c r="H807" i="9"/>
  <c r="A807" i="9"/>
  <c r="I806" i="9"/>
  <c r="H806" i="9"/>
  <c r="A806" i="9"/>
  <c r="I805" i="9"/>
  <c r="H805" i="9"/>
  <c r="A805" i="9"/>
  <c r="I804" i="9"/>
  <c r="H804" i="9"/>
  <c r="A804" i="9"/>
  <c r="I803" i="9"/>
  <c r="H803" i="9"/>
  <c r="A803" i="9"/>
  <c r="I802" i="9"/>
  <c r="H802" i="9"/>
  <c r="A802" i="9"/>
  <c r="I801" i="9"/>
  <c r="H801" i="9"/>
  <c r="A801" i="9"/>
  <c r="I800" i="9"/>
  <c r="H800" i="9"/>
  <c r="A800" i="9"/>
  <c r="I799" i="9"/>
  <c r="H799" i="9"/>
  <c r="A799" i="9"/>
  <c r="I798" i="9"/>
  <c r="H798" i="9"/>
  <c r="A798" i="9"/>
  <c r="I797" i="9"/>
  <c r="H797" i="9"/>
  <c r="A797" i="9"/>
  <c r="I796" i="9"/>
  <c r="H796" i="9"/>
  <c r="A796" i="9"/>
  <c r="I795" i="9"/>
  <c r="H795" i="9"/>
  <c r="A795" i="9"/>
  <c r="I794" i="9"/>
  <c r="H794" i="9"/>
  <c r="A794" i="9"/>
  <c r="I793" i="9"/>
  <c r="H793" i="9"/>
  <c r="A793" i="9"/>
  <c r="I792" i="9"/>
  <c r="H792" i="9"/>
  <c r="A792" i="9"/>
  <c r="I791" i="9"/>
  <c r="H791" i="9"/>
  <c r="A791" i="9"/>
  <c r="I790" i="9"/>
  <c r="H790" i="9"/>
  <c r="A790" i="9"/>
  <c r="I789" i="9"/>
  <c r="H789" i="9"/>
  <c r="A789" i="9"/>
  <c r="I788" i="9"/>
  <c r="H788" i="9"/>
  <c r="A788" i="9"/>
  <c r="I787" i="9"/>
  <c r="H787" i="9"/>
  <c r="A787" i="9"/>
  <c r="I786" i="9"/>
  <c r="H786" i="9"/>
  <c r="A786" i="9"/>
  <c r="I785" i="9"/>
  <c r="H785" i="9"/>
  <c r="A785" i="9"/>
  <c r="I784" i="9"/>
  <c r="H784" i="9"/>
  <c r="A784" i="9"/>
  <c r="I783" i="9"/>
  <c r="H783" i="9"/>
  <c r="A783" i="9"/>
  <c r="I782" i="9"/>
  <c r="H782" i="9"/>
  <c r="A782" i="9"/>
  <c r="I781" i="9"/>
  <c r="H781" i="9"/>
  <c r="A781" i="9"/>
  <c r="I780" i="9"/>
  <c r="H780" i="9"/>
  <c r="A780" i="9"/>
  <c r="I779" i="9"/>
  <c r="H779" i="9"/>
  <c r="A779" i="9"/>
  <c r="I778" i="9"/>
  <c r="H778" i="9"/>
  <c r="A778" i="9"/>
  <c r="I777" i="9"/>
  <c r="H777" i="9"/>
  <c r="A777" i="9"/>
  <c r="I776" i="9"/>
  <c r="H776" i="9"/>
  <c r="A776" i="9"/>
  <c r="I775" i="9"/>
  <c r="H775" i="9"/>
  <c r="A775" i="9"/>
  <c r="I774" i="9"/>
  <c r="H774" i="9"/>
  <c r="A774" i="9"/>
  <c r="I773" i="9"/>
  <c r="H773" i="9"/>
  <c r="A773" i="9"/>
  <c r="I772" i="9"/>
  <c r="H772" i="9"/>
  <c r="A772" i="9"/>
  <c r="I771" i="9"/>
  <c r="H771" i="9"/>
  <c r="A771" i="9"/>
  <c r="I770" i="9"/>
  <c r="H770" i="9"/>
  <c r="A770" i="9"/>
  <c r="I769" i="9"/>
  <c r="H769" i="9"/>
  <c r="A769" i="9"/>
  <c r="I768" i="9"/>
  <c r="H768" i="9"/>
  <c r="A768" i="9"/>
  <c r="I767" i="9"/>
  <c r="H767" i="9"/>
  <c r="A767" i="9"/>
  <c r="I766" i="9"/>
  <c r="H766" i="9"/>
  <c r="A766" i="9"/>
  <c r="I765" i="9"/>
  <c r="H765" i="9"/>
  <c r="A765" i="9"/>
  <c r="I764" i="9"/>
  <c r="H764" i="9"/>
  <c r="A764" i="9"/>
  <c r="I763" i="9"/>
  <c r="H763" i="9"/>
  <c r="A763" i="9"/>
  <c r="I762" i="9"/>
  <c r="H762" i="9"/>
  <c r="A762" i="9"/>
  <c r="I761" i="9"/>
  <c r="H761" i="9"/>
  <c r="A761" i="9"/>
  <c r="I760" i="9"/>
  <c r="H760" i="9"/>
  <c r="A760" i="9"/>
  <c r="I759" i="9"/>
  <c r="H759" i="9"/>
  <c r="A759" i="9"/>
  <c r="I758" i="9"/>
  <c r="H758" i="9"/>
  <c r="A758" i="9"/>
  <c r="I757" i="9"/>
  <c r="H757" i="9"/>
  <c r="A757" i="9"/>
  <c r="I756" i="9"/>
  <c r="H756" i="9"/>
  <c r="A756" i="9"/>
  <c r="I755" i="9"/>
  <c r="H755" i="9"/>
  <c r="A755" i="9"/>
  <c r="I754" i="9"/>
  <c r="H754" i="9"/>
  <c r="A754" i="9"/>
  <c r="I753" i="9"/>
  <c r="H753" i="9"/>
  <c r="A753" i="9"/>
  <c r="I752" i="9"/>
  <c r="H752" i="9"/>
  <c r="A752" i="9"/>
  <c r="I751" i="9"/>
  <c r="H751" i="9"/>
  <c r="A751" i="9"/>
  <c r="I750" i="9"/>
  <c r="H750" i="9"/>
  <c r="A750" i="9"/>
  <c r="I749" i="9"/>
  <c r="H749" i="9"/>
  <c r="A749" i="9"/>
  <c r="I748" i="9"/>
  <c r="H748" i="9"/>
  <c r="A748" i="9"/>
  <c r="I747" i="9"/>
  <c r="H747" i="9"/>
  <c r="A747" i="9"/>
  <c r="I746" i="9"/>
  <c r="H746" i="9"/>
  <c r="A746" i="9"/>
  <c r="I745" i="9"/>
  <c r="H745" i="9"/>
  <c r="A745" i="9"/>
  <c r="I744" i="9"/>
  <c r="H744" i="9"/>
  <c r="A744" i="9"/>
  <c r="I743" i="9"/>
  <c r="H743" i="9"/>
  <c r="A743" i="9"/>
  <c r="I742" i="9"/>
  <c r="H742" i="9"/>
  <c r="A742" i="9"/>
  <c r="I741" i="9"/>
  <c r="H741" i="9"/>
  <c r="A741" i="9"/>
  <c r="I740" i="9"/>
  <c r="H740" i="9"/>
  <c r="A740" i="9"/>
  <c r="I739" i="9"/>
  <c r="H739" i="9"/>
  <c r="A739" i="9"/>
  <c r="I738" i="9"/>
  <c r="H738" i="9"/>
  <c r="A738" i="9"/>
  <c r="I737" i="9"/>
  <c r="H737" i="9"/>
  <c r="A737" i="9"/>
  <c r="I736" i="9"/>
  <c r="H736" i="9"/>
  <c r="A736" i="9"/>
  <c r="I735" i="9"/>
  <c r="H735" i="9"/>
  <c r="A735" i="9"/>
  <c r="I734" i="9"/>
  <c r="H734" i="9"/>
  <c r="A734" i="9"/>
  <c r="I733" i="9"/>
  <c r="H733" i="9"/>
  <c r="A733" i="9"/>
  <c r="I732" i="9"/>
  <c r="H732" i="9"/>
  <c r="A732" i="9"/>
  <c r="I731" i="9"/>
  <c r="H731" i="9"/>
  <c r="A731" i="9"/>
  <c r="I730" i="9"/>
  <c r="H730" i="9"/>
  <c r="A730" i="9"/>
  <c r="I729" i="9"/>
  <c r="H729" i="9"/>
  <c r="A729" i="9"/>
  <c r="I728" i="9"/>
  <c r="H728" i="9"/>
  <c r="A728" i="9"/>
  <c r="I727" i="9"/>
  <c r="H727" i="9"/>
  <c r="A727" i="9"/>
  <c r="I726" i="9"/>
  <c r="H726" i="9"/>
  <c r="A726" i="9"/>
  <c r="I725" i="9"/>
  <c r="H725" i="9"/>
  <c r="A725" i="9"/>
  <c r="I724" i="9"/>
  <c r="H724" i="9"/>
  <c r="A724" i="9"/>
  <c r="I723" i="9"/>
  <c r="H723" i="9"/>
  <c r="A723" i="9"/>
  <c r="I722" i="9"/>
  <c r="H722" i="9"/>
  <c r="A722" i="9"/>
  <c r="I721" i="9"/>
  <c r="H721" i="9"/>
  <c r="A721" i="9"/>
  <c r="I720" i="9"/>
  <c r="H720" i="9"/>
  <c r="A720" i="9"/>
  <c r="I719" i="9"/>
  <c r="H719" i="9"/>
  <c r="A719" i="9"/>
  <c r="I718" i="9"/>
  <c r="H718" i="9"/>
  <c r="A718" i="9"/>
  <c r="I717" i="9"/>
  <c r="H717" i="9"/>
  <c r="A717" i="9"/>
  <c r="I716" i="9"/>
  <c r="H716" i="9"/>
  <c r="A716" i="9"/>
  <c r="I715" i="9"/>
  <c r="H715" i="9"/>
  <c r="A715" i="9"/>
  <c r="I714" i="9"/>
  <c r="H714" i="9"/>
  <c r="A714" i="9"/>
  <c r="I713" i="9"/>
  <c r="H713" i="9"/>
  <c r="A713" i="9"/>
  <c r="I712" i="9"/>
  <c r="H712" i="9"/>
  <c r="A712" i="9"/>
  <c r="I711" i="9"/>
  <c r="H711" i="9"/>
  <c r="A711" i="9"/>
  <c r="I710" i="9"/>
  <c r="H710" i="9"/>
  <c r="A710" i="9"/>
  <c r="I709" i="9"/>
  <c r="H709" i="9"/>
  <c r="A709" i="9"/>
  <c r="I708" i="9"/>
  <c r="H708" i="9"/>
  <c r="A708" i="9"/>
  <c r="I707" i="9"/>
  <c r="H707" i="9"/>
  <c r="A707" i="9"/>
  <c r="I706" i="9"/>
  <c r="H706" i="9"/>
  <c r="A706" i="9"/>
  <c r="I705" i="9"/>
  <c r="H705" i="9"/>
  <c r="A705" i="9"/>
  <c r="I704" i="9"/>
  <c r="H704" i="9"/>
  <c r="A704" i="9"/>
  <c r="I703" i="9"/>
  <c r="H703" i="9"/>
  <c r="A703" i="9"/>
  <c r="I702" i="9"/>
  <c r="H702" i="9"/>
  <c r="A702" i="9"/>
  <c r="I701" i="9"/>
  <c r="H701" i="9"/>
  <c r="A701" i="9"/>
  <c r="I700" i="9"/>
  <c r="H700" i="9"/>
  <c r="A700" i="9"/>
  <c r="I699" i="9"/>
  <c r="H699" i="9"/>
  <c r="A699" i="9"/>
  <c r="I698" i="9"/>
  <c r="H698" i="9"/>
  <c r="A698" i="9"/>
  <c r="I697" i="9"/>
  <c r="H697" i="9"/>
  <c r="A697" i="9"/>
  <c r="I696" i="9"/>
  <c r="H696" i="9"/>
  <c r="A696" i="9"/>
  <c r="I695" i="9"/>
  <c r="H695" i="9"/>
  <c r="A695" i="9"/>
  <c r="I694" i="9"/>
  <c r="H694" i="9"/>
  <c r="A694" i="9"/>
  <c r="I693" i="9"/>
  <c r="H693" i="9"/>
  <c r="A693" i="9"/>
  <c r="I692" i="9"/>
  <c r="H692" i="9"/>
  <c r="A692" i="9"/>
  <c r="I691" i="9"/>
  <c r="H691" i="9"/>
  <c r="A691" i="9"/>
  <c r="I690" i="9"/>
  <c r="H690" i="9"/>
  <c r="A690" i="9"/>
  <c r="I689" i="9"/>
  <c r="H689" i="9"/>
  <c r="A689" i="9"/>
  <c r="I688" i="9"/>
  <c r="H688" i="9"/>
  <c r="A688" i="9"/>
  <c r="I687" i="9"/>
  <c r="H687" i="9"/>
  <c r="A687" i="9"/>
  <c r="I686" i="9"/>
  <c r="H686" i="9"/>
  <c r="A686" i="9"/>
  <c r="I685" i="9"/>
  <c r="H685" i="9"/>
  <c r="A685" i="9"/>
  <c r="I684" i="9"/>
  <c r="H684" i="9"/>
  <c r="A684" i="9"/>
  <c r="I683" i="9"/>
  <c r="H683" i="9"/>
  <c r="A683" i="9"/>
  <c r="I682" i="9"/>
  <c r="H682" i="9"/>
  <c r="A682" i="9"/>
  <c r="I681" i="9"/>
  <c r="H681" i="9"/>
  <c r="A681" i="9"/>
  <c r="I680" i="9"/>
  <c r="H680" i="9"/>
  <c r="A680" i="9"/>
  <c r="I679" i="9"/>
  <c r="H679" i="9"/>
  <c r="A679" i="9"/>
  <c r="I678" i="9"/>
  <c r="H678" i="9"/>
  <c r="A678" i="9"/>
  <c r="I677" i="9"/>
  <c r="H677" i="9"/>
  <c r="A677" i="9"/>
  <c r="I676" i="9"/>
  <c r="H676" i="9"/>
  <c r="A676" i="9"/>
  <c r="I675" i="9"/>
  <c r="H675" i="9"/>
  <c r="A675" i="9"/>
  <c r="I674" i="9"/>
  <c r="H674" i="9"/>
  <c r="A674" i="9"/>
  <c r="I673" i="9"/>
  <c r="H673" i="9"/>
  <c r="A673" i="9"/>
  <c r="I672" i="9"/>
  <c r="H672" i="9"/>
  <c r="A672" i="9"/>
  <c r="I671" i="9"/>
  <c r="H671" i="9"/>
  <c r="A671" i="9"/>
  <c r="I670" i="9"/>
  <c r="H670" i="9"/>
  <c r="A670" i="9"/>
  <c r="I669" i="9"/>
  <c r="H669" i="9"/>
  <c r="A669" i="9"/>
  <c r="I668" i="9"/>
  <c r="H668" i="9"/>
  <c r="A668" i="9"/>
  <c r="I667" i="9"/>
  <c r="H667" i="9"/>
  <c r="A667" i="9"/>
  <c r="I666" i="9"/>
  <c r="H666" i="9"/>
  <c r="A666" i="9"/>
  <c r="I665" i="9"/>
  <c r="H665" i="9"/>
  <c r="A665" i="9"/>
  <c r="I664" i="9"/>
  <c r="H664" i="9"/>
  <c r="A664" i="9"/>
  <c r="I663" i="9"/>
  <c r="H663" i="9"/>
  <c r="A663" i="9"/>
  <c r="I662" i="9"/>
  <c r="H662" i="9"/>
  <c r="A662" i="9"/>
  <c r="I661" i="9"/>
  <c r="H661" i="9"/>
  <c r="A661" i="9"/>
  <c r="I660" i="9"/>
  <c r="H660" i="9"/>
  <c r="A660" i="9"/>
  <c r="I659" i="9"/>
  <c r="H659" i="9"/>
  <c r="A659" i="9"/>
  <c r="I658" i="9"/>
  <c r="H658" i="9"/>
  <c r="A658" i="9"/>
  <c r="I657" i="9"/>
  <c r="H657" i="9"/>
  <c r="A657" i="9"/>
  <c r="I656" i="9"/>
  <c r="H656" i="9"/>
  <c r="A656" i="9"/>
  <c r="I655" i="9"/>
  <c r="H655" i="9"/>
  <c r="A655" i="9"/>
  <c r="I654" i="9"/>
  <c r="H654" i="9"/>
  <c r="A654" i="9"/>
  <c r="I653" i="9"/>
  <c r="H653" i="9"/>
  <c r="A653" i="9"/>
  <c r="I652" i="9"/>
  <c r="H652" i="9"/>
  <c r="A652" i="9"/>
  <c r="I651" i="9"/>
  <c r="H651" i="9"/>
  <c r="A651" i="9"/>
  <c r="I650" i="9"/>
  <c r="H650" i="9"/>
  <c r="A650" i="9"/>
  <c r="I649" i="9"/>
  <c r="H649" i="9"/>
  <c r="A649" i="9"/>
  <c r="I648" i="9"/>
  <c r="H648" i="9"/>
  <c r="A648" i="9"/>
  <c r="I647" i="9"/>
  <c r="H647" i="9"/>
  <c r="A647" i="9"/>
  <c r="I646" i="9"/>
  <c r="H646" i="9"/>
  <c r="A646" i="9"/>
  <c r="I645" i="9"/>
  <c r="H645" i="9"/>
  <c r="A645" i="9"/>
  <c r="I644" i="9"/>
  <c r="H644" i="9"/>
  <c r="A644" i="9"/>
  <c r="I643" i="9"/>
  <c r="H643" i="9"/>
  <c r="A643" i="9"/>
  <c r="I642" i="9"/>
  <c r="H642" i="9"/>
  <c r="A642" i="9"/>
  <c r="I641" i="9"/>
  <c r="H641" i="9"/>
  <c r="A641" i="9"/>
  <c r="I640" i="9"/>
  <c r="H640" i="9"/>
  <c r="A640" i="9"/>
  <c r="I639" i="9"/>
  <c r="H639" i="9"/>
  <c r="A639" i="9"/>
  <c r="I638" i="9"/>
  <c r="H638" i="9"/>
  <c r="A638" i="9"/>
  <c r="I637" i="9"/>
  <c r="H637" i="9"/>
  <c r="A637" i="9"/>
  <c r="I636" i="9"/>
  <c r="H636" i="9"/>
  <c r="A636" i="9"/>
  <c r="I635" i="9"/>
  <c r="H635" i="9"/>
  <c r="A635" i="9"/>
  <c r="I634" i="9"/>
  <c r="H634" i="9"/>
  <c r="A634" i="9"/>
  <c r="I633" i="9"/>
  <c r="H633" i="9"/>
  <c r="A633" i="9"/>
  <c r="I632" i="9"/>
  <c r="H632" i="9"/>
  <c r="A632" i="9"/>
  <c r="I631" i="9"/>
  <c r="H631" i="9"/>
  <c r="A631" i="9"/>
  <c r="I630" i="9"/>
  <c r="H630" i="9"/>
  <c r="A630" i="9"/>
  <c r="I629" i="9"/>
  <c r="H629" i="9"/>
  <c r="A629" i="9"/>
  <c r="I628" i="9"/>
  <c r="H628" i="9"/>
  <c r="A628" i="9"/>
  <c r="I627" i="9"/>
  <c r="H627" i="9"/>
  <c r="A627" i="9"/>
  <c r="I626" i="9"/>
  <c r="H626" i="9"/>
  <c r="A626" i="9"/>
  <c r="I625" i="9"/>
  <c r="H625" i="9"/>
  <c r="A625" i="9"/>
  <c r="I624" i="9"/>
  <c r="H624" i="9"/>
  <c r="A624" i="9"/>
  <c r="I623" i="9"/>
  <c r="H623" i="9"/>
  <c r="A623" i="9"/>
  <c r="I622" i="9"/>
  <c r="H622" i="9"/>
  <c r="A622" i="9"/>
  <c r="I621" i="9"/>
  <c r="H621" i="9"/>
  <c r="A621" i="9"/>
  <c r="I620" i="9"/>
  <c r="H620" i="9"/>
  <c r="A620" i="9"/>
  <c r="I619" i="9"/>
  <c r="H619" i="9"/>
  <c r="A619" i="9"/>
  <c r="I618" i="9"/>
  <c r="H618" i="9"/>
  <c r="A618" i="9"/>
  <c r="I617" i="9"/>
  <c r="H617" i="9"/>
  <c r="A617" i="9"/>
  <c r="I616" i="9"/>
  <c r="H616" i="9"/>
  <c r="A616" i="9"/>
  <c r="I615" i="9"/>
  <c r="H615" i="9"/>
  <c r="A615" i="9"/>
  <c r="I614" i="9"/>
  <c r="H614" i="9"/>
  <c r="A614" i="9"/>
  <c r="I613" i="9"/>
  <c r="H613" i="9"/>
  <c r="A613" i="9"/>
  <c r="I612" i="9"/>
  <c r="H612" i="9"/>
  <c r="A612" i="9"/>
  <c r="I611" i="9"/>
  <c r="H611" i="9"/>
  <c r="A611" i="9"/>
  <c r="I610" i="9"/>
  <c r="H610" i="9"/>
  <c r="A610" i="9"/>
  <c r="I609" i="9"/>
  <c r="H609" i="9"/>
  <c r="A609" i="9"/>
  <c r="I608" i="9"/>
  <c r="H608" i="9"/>
  <c r="A608" i="9"/>
  <c r="I607" i="9"/>
  <c r="H607" i="9"/>
  <c r="A607" i="9"/>
  <c r="I606" i="9"/>
  <c r="H606" i="9"/>
  <c r="A606" i="9"/>
  <c r="I605" i="9"/>
  <c r="H605" i="9"/>
  <c r="A605" i="9"/>
  <c r="I604" i="9"/>
  <c r="H604" i="9"/>
  <c r="A604" i="9"/>
  <c r="I603" i="9"/>
  <c r="H603" i="9"/>
  <c r="A603" i="9"/>
  <c r="I602" i="9"/>
  <c r="H602" i="9"/>
  <c r="A602" i="9"/>
  <c r="I601" i="9"/>
  <c r="H601" i="9"/>
  <c r="A601" i="9"/>
  <c r="I600" i="9"/>
  <c r="H600" i="9"/>
  <c r="A600" i="9"/>
  <c r="I599" i="9"/>
  <c r="H599" i="9"/>
  <c r="A599" i="9"/>
  <c r="I598" i="9"/>
  <c r="H598" i="9"/>
  <c r="A598" i="9"/>
  <c r="I597" i="9"/>
  <c r="H597" i="9"/>
  <c r="A597" i="9"/>
  <c r="I596" i="9"/>
  <c r="H596" i="9"/>
  <c r="A596" i="9"/>
  <c r="I595" i="9"/>
  <c r="H595" i="9"/>
  <c r="A595" i="9"/>
  <c r="I594" i="9"/>
  <c r="H594" i="9"/>
  <c r="A594" i="9"/>
  <c r="I593" i="9"/>
  <c r="H593" i="9"/>
  <c r="A593" i="9"/>
  <c r="I592" i="9"/>
  <c r="H592" i="9"/>
  <c r="A592" i="9"/>
  <c r="I591" i="9"/>
  <c r="H591" i="9"/>
  <c r="A591" i="9"/>
  <c r="I590" i="9"/>
  <c r="H590" i="9"/>
  <c r="A590" i="9"/>
  <c r="I589" i="9"/>
  <c r="H589" i="9"/>
  <c r="A589" i="9"/>
  <c r="I588" i="9"/>
  <c r="H588" i="9"/>
  <c r="A588" i="9"/>
  <c r="I587" i="9"/>
  <c r="H587" i="9"/>
  <c r="A587" i="9"/>
  <c r="I586" i="9"/>
  <c r="H586" i="9"/>
  <c r="A586" i="9"/>
  <c r="I585" i="9"/>
  <c r="H585" i="9"/>
  <c r="A585" i="9"/>
  <c r="I584" i="9"/>
  <c r="H584" i="9"/>
  <c r="A584" i="9"/>
  <c r="I583" i="9"/>
  <c r="H583" i="9"/>
  <c r="A583" i="9"/>
  <c r="I582" i="9"/>
  <c r="H582" i="9"/>
  <c r="A582" i="9"/>
  <c r="I581" i="9"/>
  <c r="H581" i="9"/>
  <c r="A581" i="9"/>
  <c r="I580" i="9"/>
  <c r="H580" i="9"/>
  <c r="A580" i="9"/>
  <c r="I579" i="9"/>
  <c r="H579" i="9"/>
  <c r="A579" i="9"/>
  <c r="I578" i="9"/>
  <c r="H578" i="9"/>
  <c r="A578" i="9"/>
  <c r="I577" i="9"/>
  <c r="H577" i="9"/>
  <c r="A577" i="9"/>
  <c r="I576" i="9"/>
  <c r="H576" i="9"/>
  <c r="A576" i="9"/>
  <c r="I575" i="9"/>
  <c r="H575" i="9"/>
  <c r="A575" i="9"/>
  <c r="I574" i="9"/>
  <c r="H574" i="9"/>
  <c r="A574" i="9"/>
  <c r="I573" i="9"/>
  <c r="H573" i="9"/>
  <c r="A573" i="9"/>
  <c r="I572" i="9"/>
  <c r="H572" i="9"/>
  <c r="A572" i="9"/>
  <c r="I571" i="9"/>
  <c r="H571" i="9"/>
  <c r="A571" i="9"/>
  <c r="I570" i="9"/>
  <c r="H570" i="9"/>
  <c r="A570" i="9"/>
  <c r="I569" i="9"/>
  <c r="H569" i="9"/>
  <c r="A569" i="9"/>
  <c r="I568" i="9"/>
  <c r="H568" i="9"/>
  <c r="A568" i="9"/>
  <c r="I567" i="9"/>
  <c r="H567" i="9"/>
  <c r="A567" i="9"/>
  <c r="I566" i="9"/>
  <c r="H566" i="9"/>
  <c r="A566" i="9"/>
  <c r="I565" i="9"/>
  <c r="H565" i="9"/>
  <c r="A565" i="9"/>
  <c r="I564" i="9"/>
  <c r="H564" i="9"/>
  <c r="A564" i="9"/>
  <c r="I563" i="9"/>
  <c r="H563" i="9"/>
  <c r="A563" i="9"/>
  <c r="I562" i="9"/>
  <c r="H562" i="9"/>
  <c r="A562" i="9"/>
  <c r="I561" i="9"/>
  <c r="H561" i="9"/>
  <c r="A561" i="9"/>
  <c r="I560" i="9"/>
  <c r="H560" i="9"/>
  <c r="A560" i="9"/>
  <c r="I559" i="9"/>
  <c r="H559" i="9"/>
  <c r="A559" i="9"/>
  <c r="I558" i="9"/>
  <c r="H558" i="9"/>
  <c r="A558" i="9"/>
  <c r="I557" i="9"/>
  <c r="H557" i="9"/>
  <c r="A557" i="9"/>
  <c r="I556" i="9"/>
  <c r="H556" i="9"/>
  <c r="A556" i="9"/>
  <c r="I555" i="9"/>
  <c r="H555" i="9"/>
  <c r="A555" i="9"/>
  <c r="I554" i="9"/>
  <c r="H554" i="9"/>
  <c r="A554" i="9"/>
  <c r="I553" i="9"/>
  <c r="H553" i="9"/>
  <c r="A553" i="9"/>
  <c r="I552" i="9"/>
  <c r="H552" i="9"/>
  <c r="A552" i="9"/>
  <c r="I551" i="9"/>
  <c r="H551" i="9"/>
  <c r="A551" i="9"/>
  <c r="I550" i="9"/>
  <c r="H550" i="9"/>
  <c r="A550" i="9"/>
  <c r="I549" i="9"/>
  <c r="H549" i="9"/>
  <c r="A549" i="9"/>
  <c r="I548" i="9"/>
  <c r="H548" i="9"/>
  <c r="A548" i="9"/>
  <c r="I547" i="9"/>
  <c r="H547" i="9"/>
  <c r="A547" i="9"/>
  <c r="I546" i="9"/>
  <c r="H546" i="9"/>
  <c r="A546" i="9"/>
  <c r="I545" i="9"/>
  <c r="H545" i="9"/>
  <c r="A545" i="9"/>
  <c r="I544" i="9"/>
  <c r="H544" i="9"/>
  <c r="A544" i="9"/>
  <c r="I543" i="9"/>
  <c r="H543" i="9"/>
  <c r="A543" i="9"/>
  <c r="I542" i="9"/>
  <c r="H542" i="9"/>
  <c r="A542" i="9"/>
  <c r="I541" i="9"/>
  <c r="H541" i="9"/>
  <c r="A541" i="9"/>
  <c r="I540" i="9"/>
  <c r="H540" i="9"/>
  <c r="A540" i="9"/>
  <c r="I539" i="9"/>
  <c r="H539" i="9"/>
  <c r="A539" i="9"/>
  <c r="I538" i="9"/>
  <c r="H538" i="9"/>
  <c r="A538" i="9"/>
  <c r="I537" i="9"/>
  <c r="H537" i="9"/>
  <c r="A537" i="9"/>
  <c r="I536" i="9"/>
  <c r="H536" i="9"/>
  <c r="A536" i="9"/>
  <c r="I535" i="9"/>
  <c r="H535" i="9"/>
  <c r="A535" i="9"/>
  <c r="I534" i="9"/>
  <c r="H534" i="9"/>
  <c r="A534" i="9"/>
  <c r="I533" i="9"/>
  <c r="H533" i="9"/>
  <c r="A533" i="9"/>
  <c r="I532" i="9"/>
  <c r="H532" i="9"/>
  <c r="A532" i="9"/>
  <c r="I531" i="9"/>
  <c r="H531" i="9"/>
  <c r="A531" i="9"/>
  <c r="I530" i="9"/>
  <c r="H530" i="9"/>
  <c r="A530" i="9"/>
  <c r="I529" i="9"/>
  <c r="H529" i="9"/>
  <c r="A529" i="9"/>
  <c r="I528" i="9"/>
  <c r="H528" i="9"/>
  <c r="A528" i="9"/>
  <c r="I527" i="9"/>
  <c r="H527" i="9"/>
  <c r="A527" i="9"/>
  <c r="I526" i="9"/>
  <c r="H526" i="9"/>
  <c r="A526" i="9"/>
  <c r="I525" i="9"/>
  <c r="H525" i="9"/>
  <c r="A525" i="9"/>
  <c r="I524" i="9"/>
  <c r="H524" i="9"/>
  <c r="A524" i="9"/>
  <c r="I523" i="9"/>
  <c r="H523" i="9"/>
  <c r="A523" i="9"/>
  <c r="I522" i="9"/>
  <c r="H522" i="9"/>
  <c r="A522" i="9"/>
  <c r="I521" i="9"/>
  <c r="H521" i="9"/>
  <c r="A521" i="9"/>
  <c r="I520" i="9"/>
  <c r="H520" i="9"/>
  <c r="A520" i="9"/>
  <c r="I519" i="9"/>
  <c r="H519" i="9"/>
  <c r="A519" i="9"/>
  <c r="I518" i="9"/>
  <c r="H518" i="9"/>
  <c r="A518" i="9"/>
  <c r="I517" i="9"/>
  <c r="H517" i="9"/>
  <c r="A517" i="9"/>
  <c r="I516" i="9"/>
  <c r="H516" i="9"/>
  <c r="A516" i="9"/>
  <c r="I515" i="9"/>
  <c r="H515" i="9"/>
  <c r="A515" i="9"/>
  <c r="I514" i="9"/>
  <c r="H514" i="9"/>
  <c r="A514" i="9"/>
  <c r="I513" i="9"/>
  <c r="H513" i="9"/>
  <c r="A513" i="9"/>
  <c r="I512" i="9"/>
  <c r="H512" i="9"/>
  <c r="A512" i="9"/>
  <c r="I511" i="9"/>
  <c r="H511" i="9"/>
  <c r="A511" i="9"/>
  <c r="I510" i="9"/>
  <c r="H510" i="9"/>
  <c r="A510" i="9"/>
  <c r="I509" i="9"/>
  <c r="H509" i="9"/>
  <c r="A509" i="9"/>
  <c r="I508" i="9"/>
  <c r="H508" i="9"/>
  <c r="A508" i="9"/>
  <c r="I507" i="9"/>
  <c r="H507" i="9"/>
  <c r="A507" i="9"/>
  <c r="I506" i="9"/>
  <c r="H506" i="9"/>
  <c r="A506" i="9"/>
  <c r="I505" i="9"/>
  <c r="H505" i="9"/>
  <c r="A505" i="9"/>
  <c r="I504" i="9"/>
  <c r="H504" i="9"/>
  <c r="A504" i="9"/>
  <c r="I503" i="9"/>
  <c r="H503" i="9"/>
  <c r="A503" i="9"/>
  <c r="I502" i="9"/>
  <c r="H502" i="9"/>
  <c r="A502" i="9"/>
  <c r="I501" i="9"/>
  <c r="H501" i="9"/>
  <c r="A501" i="9"/>
  <c r="I500" i="9"/>
  <c r="H500" i="9"/>
  <c r="A500" i="9"/>
  <c r="I499" i="9"/>
  <c r="H499" i="9"/>
  <c r="A499" i="9"/>
  <c r="I498" i="9"/>
  <c r="H498" i="9"/>
  <c r="A498" i="9"/>
  <c r="I497" i="9"/>
  <c r="H497" i="9"/>
  <c r="A497" i="9"/>
  <c r="I496" i="9"/>
  <c r="H496" i="9"/>
  <c r="A496" i="9"/>
  <c r="I495" i="9"/>
  <c r="H495" i="9"/>
  <c r="A495" i="9"/>
  <c r="I494" i="9"/>
  <c r="H494" i="9"/>
  <c r="A494" i="9"/>
  <c r="I493" i="9"/>
  <c r="H493" i="9"/>
  <c r="A493" i="9"/>
  <c r="I492" i="9"/>
  <c r="H492" i="9"/>
  <c r="A492" i="9"/>
  <c r="I491" i="9"/>
  <c r="H491" i="9"/>
  <c r="A491" i="9"/>
  <c r="I490" i="9"/>
  <c r="H490" i="9"/>
  <c r="A490" i="9"/>
  <c r="I489" i="9"/>
  <c r="H489" i="9"/>
  <c r="A489" i="9"/>
  <c r="I488" i="9"/>
  <c r="H488" i="9"/>
  <c r="A488" i="9"/>
  <c r="I487" i="9"/>
  <c r="H487" i="9"/>
  <c r="A487" i="9"/>
  <c r="I486" i="9"/>
  <c r="H486" i="9"/>
  <c r="A486" i="9"/>
  <c r="I485" i="9"/>
  <c r="H485" i="9"/>
  <c r="A485" i="9"/>
  <c r="I484" i="9"/>
  <c r="H484" i="9"/>
  <c r="A484" i="9"/>
  <c r="I483" i="9"/>
  <c r="H483" i="9"/>
  <c r="A483" i="9"/>
  <c r="I482" i="9"/>
  <c r="H482" i="9"/>
  <c r="A482" i="9"/>
  <c r="I481" i="9"/>
  <c r="H481" i="9"/>
  <c r="A481" i="9"/>
  <c r="I480" i="9"/>
  <c r="H480" i="9"/>
  <c r="A480" i="9"/>
  <c r="I479" i="9"/>
  <c r="H479" i="9"/>
  <c r="A479" i="9"/>
  <c r="I478" i="9"/>
  <c r="H478" i="9"/>
  <c r="A478" i="9"/>
  <c r="I477" i="9"/>
  <c r="H477" i="9"/>
  <c r="A477" i="9"/>
  <c r="I476" i="9"/>
  <c r="H476" i="9"/>
  <c r="A476" i="9"/>
  <c r="A475" i="9"/>
  <c r="I474" i="9"/>
  <c r="H474" i="9"/>
  <c r="A474" i="9"/>
  <c r="I473" i="9"/>
  <c r="H473" i="9"/>
  <c r="A473" i="9"/>
  <c r="I472" i="9"/>
  <c r="H472" i="9"/>
  <c r="A472" i="9"/>
  <c r="I471" i="9"/>
  <c r="H471" i="9"/>
  <c r="A471" i="9"/>
  <c r="I470" i="9"/>
  <c r="H470" i="9"/>
  <c r="A470" i="9"/>
  <c r="I469" i="9"/>
  <c r="H469" i="9"/>
  <c r="A469" i="9"/>
  <c r="I468" i="9"/>
  <c r="H468" i="9"/>
  <c r="A468" i="9"/>
  <c r="I467" i="9"/>
  <c r="H467" i="9"/>
  <c r="A467" i="9"/>
  <c r="I466" i="9"/>
  <c r="H466" i="9"/>
  <c r="A466" i="9"/>
  <c r="I465" i="9"/>
  <c r="H465" i="9"/>
  <c r="A465" i="9"/>
  <c r="I464" i="9"/>
  <c r="H464" i="9"/>
  <c r="A464" i="9"/>
  <c r="I463" i="9"/>
  <c r="H463" i="9"/>
  <c r="A463" i="9"/>
  <c r="I462" i="9"/>
  <c r="H462" i="9"/>
  <c r="A462" i="9"/>
  <c r="I461" i="9"/>
  <c r="H461" i="9"/>
  <c r="A461" i="9"/>
  <c r="I460" i="9"/>
  <c r="H460" i="9"/>
  <c r="A460" i="9"/>
  <c r="I459" i="9"/>
  <c r="H459" i="9"/>
  <c r="A459" i="9"/>
  <c r="I458" i="9"/>
  <c r="H458" i="9"/>
  <c r="A458" i="9"/>
  <c r="I457" i="9"/>
  <c r="H457" i="9"/>
  <c r="A457" i="9"/>
  <c r="I456" i="9"/>
  <c r="H456" i="9"/>
  <c r="A456" i="9"/>
  <c r="I455" i="9"/>
  <c r="H455" i="9"/>
  <c r="A455" i="9"/>
  <c r="I454" i="9"/>
  <c r="H454" i="9"/>
  <c r="A454" i="9"/>
  <c r="I453" i="9"/>
  <c r="H453" i="9"/>
  <c r="A453" i="9"/>
  <c r="I452" i="9"/>
  <c r="H452" i="9"/>
  <c r="A452" i="9"/>
  <c r="I451" i="9"/>
  <c r="H451" i="9"/>
  <c r="A451" i="9"/>
  <c r="I450" i="9"/>
  <c r="H450" i="9"/>
  <c r="A450" i="9"/>
  <c r="I449" i="9"/>
  <c r="H449" i="9"/>
  <c r="A449" i="9"/>
  <c r="I448" i="9"/>
  <c r="H448" i="9"/>
  <c r="A448" i="9"/>
  <c r="I447" i="9"/>
  <c r="H447" i="9"/>
  <c r="A447" i="9"/>
  <c r="I446" i="9"/>
  <c r="H446" i="9"/>
  <c r="A446" i="9"/>
  <c r="I445" i="9"/>
  <c r="H445" i="9"/>
  <c r="A445" i="9"/>
  <c r="I444" i="9"/>
  <c r="H444" i="9"/>
  <c r="A444" i="9"/>
  <c r="I443" i="9"/>
  <c r="H443" i="9"/>
  <c r="A443" i="9"/>
  <c r="I442" i="9"/>
  <c r="H442" i="9"/>
  <c r="A442" i="9"/>
  <c r="I441" i="9"/>
  <c r="H441" i="9"/>
  <c r="A441" i="9"/>
  <c r="I440" i="9"/>
  <c r="H440" i="9"/>
  <c r="A440" i="9"/>
  <c r="I439" i="9"/>
  <c r="H439" i="9"/>
  <c r="A439" i="9"/>
  <c r="I438" i="9"/>
  <c r="H438" i="9"/>
  <c r="A438" i="9"/>
  <c r="I437" i="9"/>
  <c r="H437" i="9"/>
  <c r="A437" i="9"/>
  <c r="I436" i="9"/>
  <c r="H436" i="9"/>
  <c r="A436" i="9"/>
  <c r="I435" i="9"/>
  <c r="H435" i="9"/>
  <c r="A435" i="9"/>
  <c r="I434" i="9"/>
  <c r="H434" i="9"/>
  <c r="A434" i="9"/>
  <c r="I433" i="9"/>
  <c r="H433" i="9"/>
  <c r="A433" i="9"/>
  <c r="I432" i="9"/>
  <c r="H432" i="9"/>
  <c r="A432" i="9"/>
  <c r="I431" i="9"/>
  <c r="H431" i="9"/>
  <c r="A431" i="9"/>
  <c r="I430" i="9"/>
  <c r="H430" i="9"/>
  <c r="A430" i="9"/>
  <c r="I429" i="9"/>
  <c r="H429" i="9"/>
  <c r="A429" i="9"/>
  <c r="I428" i="9"/>
  <c r="H428" i="9"/>
  <c r="A428" i="9"/>
  <c r="I427" i="9"/>
  <c r="H427" i="9"/>
  <c r="A427" i="9"/>
  <c r="I426" i="9"/>
  <c r="H426" i="9"/>
  <c r="A426" i="9"/>
  <c r="I425" i="9"/>
  <c r="H425" i="9"/>
  <c r="A425" i="9"/>
  <c r="I424" i="9"/>
  <c r="H424" i="9"/>
  <c r="A424" i="9"/>
  <c r="I423" i="9"/>
  <c r="H423" i="9"/>
  <c r="A423" i="9"/>
  <c r="I422" i="9"/>
  <c r="H422" i="9"/>
  <c r="A422" i="9"/>
  <c r="I421" i="9"/>
  <c r="H421" i="9"/>
  <c r="A421" i="9"/>
  <c r="I420" i="9"/>
  <c r="H420" i="9"/>
  <c r="A420" i="9"/>
  <c r="I419" i="9"/>
  <c r="H419" i="9"/>
  <c r="A419" i="9"/>
  <c r="I418" i="9"/>
  <c r="H418" i="9"/>
  <c r="A418" i="9"/>
  <c r="I417" i="9"/>
  <c r="H417" i="9"/>
  <c r="A417" i="9"/>
  <c r="I416" i="9"/>
  <c r="H416" i="9"/>
  <c r="A416" i="9"/>
  <c r="I415" i="9"/>
  <c r="H415" i="9"/>
  <c r="A415" i="9"/>
  <c r="I414" i="9"/>
  <c r="H414" i="9"/>
  <c r="A414" i="9"/>
  <c r="I413" i="9"/>
  <c r="H413" i="9"/>
  <c r="A413" i="9"/>
  <c r="I412" i="9"/>
  <c r="H412" i="9"/>
  <c r="A412" i="9"/>
  <c r="I411" i="9"/>
  <c r="H411" i="9"/>
  <c r="A411" i="9"/>
  <c r="I410" i="9"/>
  <c r="H410" i="9"/>
  <c r="A410" i="9"/>
  <c r="I409" i="9"/>
  <c r="H409" i="9"/>
  <c r="A409" i="9"/>
  <c r="I408" i="9"/>
  <c r="H408" i="9"/>
  <c r="A408" i="9"/>
  <c r="I407" i="9"/>
  <c r="H407" i="9"/>
  <c r="A407" i="9"/>
  <c r="I406" i="9"/>
  <c r="H406" i="9"/>
  <c r="A406" i="9"/>
  <c r="I405" i="9"/>
  <c r="H405" i="9"/>
  <c r="A405" i="9"/>
  <c r="I404" i="9"/>
  <c r="H404" i="9"/>
  <c r="A404" i="9"/>
  <c r="I403" i="9"/>
  <c r="H403" i="9"/>
  <c r="A403" i="9"/>
  <c r="I402" i="9"/>
  <c r="H402" i="9"/>
  <c r="A402" i="9"/>
  <c r="I401" i="9"/>
  <c r="H401" i="9"/>
  <c r="A401" i="9"/>
  <c r="I400" i="9"/>
  <c r="H400" i="9"/>
  <c r="A400" i="9"/>
  <c r="I399" i="9"/>
  <c r="H399" i="9"/>
  <c r="A399" i="9"/>
  <c r="I398" i="9"/>
  <c r="H398" i="9"/>
  <c r="A398" i="9"/>
  <c r="I397" i="9"/>
  <c r="H397" i="9"/>
  <c r="A397" i="9"/>
  <c r="I396" i="9"/>
  <c r="H396" i="9"/>
  <c r="A396" i="9"/>
  <c r="I395" i="9"/>
  <c r="H395" i="9"/>
  <c r="A395" i="9"/>
  <c r="I394" i="9"/>
  <c r="H394" i="9"/>
  <c r="A394" i="9"/>
  <c r="I393" i="9"/>
  <c r="H393" i="9"/>
  <c r="A393" i="9"/>
  <c r="I392" i="9"/>
  <c r="H392" i="9"/>
  <c r="A392" i="9"/>
  <c r="I391" i="9"/>
  <c r="H391" i="9"/>
  <c r="A391" i="9"/>
  <c r="I390" i="9"/>
  <c r="H390" i="9"/>
  <c r="A390" i="9"/>
  <c r="I389" i="9"/>
  <c r="H389" i="9"/>
  <c r="A389" i="9"/>
  <c r="I388" i="9"/>
  <c r="H388" i="9"/>
  <c r="A388" i="9"/>
  <c r="I387" i="9"/>
  <c r="H387" i="9"/>
  <c r="A387" i="9"/>
  <c r="I386" i="9"/>
  <c r="H386" i="9"/>
  <c r="A386" i="9"/>
  <c r="I385" i="9"/>
  <c r="H385" i="9"/>
  <c r="A385" i="9"/>
  <c r="I384" i="9"/>
  <c r="H384" i="9"/>
  <c r="A384" i="9"/>
  <c r="I383" i="9"/>
  <c r="H383" i="9"/>
  <c r="A383" i="9"/>
  <c r="I382" i="9"/>
  <c r="H382" i="9"/>
  <c r="A382" i="9"/>
  <c r="I381" i="9"/>
  <c r="H381" i="9"/>
  <c r="A381" i="9"/>
  <c r="I380" i="9"/>
  <c r="H380" i="9"/>
  <c r="A380" i="9"/>
  <c r="I379" i="9"/>
  <c r="H379" i="9"/>
  <c r="A379" i="9"/>
  <c r="I378" i="9"/>
  <c r="H378" i="9"/>
  <c r="A378" i="9"/>
  <c r="I377" i="9"/>
  <c r="H377" i="9"/>
  <c r="A377" i="9"/>
  <c r="I376" i="9"/>
  <c r="H376" i="9"/>
  <c r="A376" i="9"/>
  <c r="I375" i="9"/>
  <c r="H375" i="9"/>
  <c r="A375" i="9"/>
  <c r="I374" i="9"/>
  <c r="H374" i="9"/>
  <c r="A374" i="9"/>
  <c r="I373" i="9"/>
  <c r="H373" i="9"/>
  <c r="A373" i="9"/>
  <c r="I372" i="9"/>
  <c r="H372" i="9"/>
  <c r="A372" i="9"/>
  <c r="I371" i="9"/>
  <c r="H371" i="9"/>
  <c r="A371" i="9"/>
  <c r="I370" i="9"/>
  <c r="H370" i="9"/>
  <c r="A370" i="9"/>
  <c r="I369" i="9"/>
  <c r="H369" i="9"/>
  <c r="A369" i="9"/>
  <c r="I368" i="9"/>
  <c r="H368" i="9"/>
  <c r="A368" i="9"/>
  <c r="I367" i="9"/>
  <c r="H367" i="9"/>
  <c r="A367" i="9"/>
  <c r="I366" i="9"/>
  <c r="H366" i="9"/>
  <c r="A366" i="9"/>
  <c r="I365" i="9"/>
  <c r="H365" i="9"/>
  <c r="A365" i="9"/>
  <c r="I364" i="9"/>
  <c r="H364" i="9"/>
  <c r="A364" i="9"/>
  <c r="I363" i="9"/>
  <c r="H363" i="9"/>
  <c r="A363" i="9"/>
  <c r="I362" i="9"/>
  <c r="H362" i="9"/>
  <c r="A362" i="9"/>
  <c r="I361" i="9"/>
  <c r="H361" i="9"/>
  <c r="A361" i="9"/>
  <c r="I360" i="9"/>
  <c r="H360" i="9"/>
  <c r="A360" i="9"/>
  <c r="I359" i="9"/>
  <c r="H359" i="9"/>
  <c r="A359" i="9"/>
  <c r="I358" i="9"/>
  <c r="H358" i="9"/>
  <c r="A358" i="9"/>
  <c r="I357" i="9"/>
  <c r="H357" i="9"/>
  <c r="A357" i="9"/>
  <c r="I356" i="9"/>
  <c r="H356" i="9"/>
  <c r="A356" i="9"/>
  <c r="I355" i="9"/>
  <c r="H355" i="9"/>
  <c r="A355" i="9"/>
  <c r="I354" i="9"/>
  <c r="H354" i="9"/>
  <c r="A354" i="9"/>
  <c r="I353" i="9"/>
  <c r="H353" i="9"/>
  <c r="A353" i="9"/>
  <c r="I352" i="9"/>
  <c r="H352" i="9"/>
  <c r="A352" i="9"/>
  <c r="I351" i="9"/>
  <c r="H351" i="9"/>
  <c r="A351" i="9"/>
  <c r="I350" i="9"/>
  <c r="H350" i="9"/>
  <c r="A350" i="9"/>
  <c r="I349" i="9"/>
  <c r="H349" i="9"/>
  <c r="A349" i="9"/>
  <c r="I348" i="9"/>
  <c r="H348" i="9"/>
  <c r="A348" i="9"/>
  <c r="I347" i="9"/>
  <c r="H347" i="9"/>
  <c r="A347" i="9"/>
  <c r="I346" i="9"/>
  <c r="H346" i="9"/>
  <c r="A346" i="9"/>
  <c r="I345" i="9"/>
  <c r="H345" i="9"/>
  <c r="A345" i="9"/>
  <c r="I344" i="9"/>
  <c r="H344" i="9"/>
  <c r="A344" i="9"/>
  <c r="I343" i="9"/>
  <c r="H343" i="9"/>
  <c r="A343" i="9"/>
  <c r="I342" i="9"/>
  <c r="H342" i="9"/>
  <c r="A342" i="9"/>
  <c r="I341" i="9"/>
  <c r="H341" i="9"/>
  <c r="A341" i="9"/>
  <c r="I340" i="9"/>
  <c r="H340" i="9"/>
  <c r="A340" i="9"/>
  <c r="I339" i="9"/>
  <c r="H339" i="9"/>
  <c r="A339" i="9"/>
  <c r="I338" i="9"/>
  <c r="H338" i="9"/>
  <c r="A338" i="9"/>
  <c r="I337" i="9"/>
  <c r="H337" i="9"/>
  <c r="A337" i="9"/>
  <c r="I336" i="9"/>
  <c r="H336" i="9"/>
  <c r="A336" i="9"/>
  <c r="I335" i="9"/>
  <c r="H335" i="9"/>
  <c r="A335" i="9"/>
  <c r="I334" i="9"/>
  <c r="H334" i="9"/>
  <c r="A334" i="9"/>
  <c r="I333" i="9"/>
  <c r="H333" i="9"/>
  <c r="A333" i="9"/>
  <c r="I332" i="9"/>
  <c r="H332" i="9"/>
  <c r="A332" i="9"/>
  <c r="I331" i="9"/>
  <c r="H331" i="9"/>
  <c r="A331" i="9"/>
  <c r="I330" i="9"/>
  <c r="H330" i="9"/>
  <c r="A330" i="9"/>
  <c r="I329" i="9"/>
  <c r="H329" i="9"/>
  <c r="A329" i="9"/>
  <c r="I328" i="9"/>
  <c r="H328" i="9"/>
  <c r="A328" i="9"/>
  <c r="I327" i="9"/>
  <c r="H327" i="9"/>
  <c r="A327" i="9"/>
  <c r="I326" i="9"/>
  <c r="H326" i="9"/>
  <c r="A326" i="9"/>
  <c r="I325" i="9"/>
  <c r="H325" i="9"/>
  <c r="A325" i="9"/>
  <c r="I324" i="9"/>
  <c r="H324" i="9"/>
  <c r="A324" i="9"/>
  <c r="I323" i="9"/>
  <c r="H323" i="9"/>
  <c r="A323" i="9"/>
  <c r="I322" i="9"/>
  <c r="H322" i="9"/>
  <c r="A322" i="9"/>
  <c r="I321" i="9"/>
  <c r="H321" i="9"/>
  <c r="A321" i="9"/>
  <c r="I320" i="9"/>
  <c r="H320" i="9"/>
  <c r="A320" i="9"/>
  <c r="I319" i="9"/>
  <c r="H319" i="9"/>
  <c r="A319" i="9"/>
  <c r="I318" i="9"/>
  <c r="H318" i="9"/>
  <c r="A318" i="9"/>
  <c r="I317" i="9"/>
  <c r="H317" i="9"/>
  <c r="A317" i="9"/>
  <c r="I316" i="9"/>
  <c r="H316" i="9"/>
  <c r="A316" i="9"/>
  <c r="I315" i="9"/>
  <c r="H315" i="9"/>
  <c r="A315" i="9"/>
  <c r="I314" i="9"/>
  <c r="H314" i="9"/>
  <c r="A314" i="9"/>
  <c r="I313" i="9"/>
  <c r="H313" i="9"/>
  <c r="A313" i="9"/>
  <c r="I312" i="9"/>
  <c r="H312" i="9"/>
  <c r="A312" i="9"/>
  <c r="I311" i="9"/>
  <c r="H311" i="9"/>
  <c r="A311" i="9"/>
  <c r="I310" i="9"/>
  <c r="H310" i="9"/>
  <c r="A310" i="9"/>
  <c r="I309" i="9"/>
  <c r="H309" i="9"/>
  <c r="A309" i="9"/>
  <c r="I308" i="9"/>
  <c r="H308" i="9"/>
  <c r="A308" i="9"/>
  <c r="I307" i="9"/>
  <c r="H307" i="9"/>
  <c r="A307" i="9"/>
  <c r="I306" i="9"/>
  <c r="H306" i="9"/>
  <c r="A306" i="9"/>
  <c r="I305" i="9"/>
  <c r="H305" i="9"/>
  <c r="A305" i="9"/>
  <c r="I304" i="9"/>
  <c r="H304" i="9"/>
  <c r="A304" i="9"/>
  <c r="I303" i="9"/>
  <c r="H303" i="9"/>
  <c r="A303" i="9"/>
  <c r="I302" i="9"/>
  <c r="H302" i="9"/>
  <c r="A302" i="9"/>
  <c r="I301" i="9"/>
  <c r="H301" i="9"/>
  <c r="A301" i="9"/>
  <c r="I300" i="9"/>
  <c r="H300" i="9"/>
  <c r="A300" i="9"/>
  <c r="I299" i="9"/>
  <c r="H299" i="9"/>
  <c r="A299" i="9"/>
  <c r="I298" i="9"/>
  <c r="H298" i="9"/>
  <c r="A298" i="9"/>
  <c r="I297" i="9"/>
  <c r="H297" i="9"/>
  <c r="A297" i="9"/>
  <c r="I296" i="9"/>
  <c r="H296" i="9"/>
  <c r="A296" i="9"/>
  <c r="I295" i="9"/>
  <c r="H295" i="9"/>
  <c r="A295" i="9"/>
  <c r="I294" i="9"/>
  <c r="H294" i="9"/>
  <c r="A294" i="9"/>
  <c r="I293" i="9"/>
  <c r="H293" i="9"/>
  <c r="A293" i="9"/>
  <c r="I292" i="9"/>
  <c r="H292" i="9"/>
  <c r="A292" i="9"/>
  <c r="I291" i="9"/>
  <c r="H291" i="9"/>
  <c r="A291" i="9"/>
  <c r="I290" i="9"/>
  <c r="H290" i="9"/>
  <c r="A290" i="9"/>
  <c r="I289" i="9"/>
  <c r="H289" i="9"/>
  <c r="A289" i="9"/>
  <c r="I288" i="9"/>
  <c r="H288" i="9"/>
  <c r="A288" i="9"/>
  <c r="I287" i="9"/>
  <c r="H287" i="9"/>
  <c r="A287" i="9"/>
  <c r="I286" i="9"/>
  <c r="H286" i="9"/>
  <c r="A286" i="9"/>
  <c r="I285" i="9"/>
  <c r="H285" i="9"/>
  <c r="A285" i="9"/>
  <c r="I284" i="9"/>
  <c r="H284" i="9"/>
  <c r="A284" i="9"/>
  <c r="I283" i="9"/>
  <c r="H283" i="9"/>
  <c r="A283" i="9"/>
  <c r="I282" i="9"/>
  <c r="H282" i="9"/>
  <c r="A282" i="9"/>
  <c r="I281" i="9"/>
  <c r="H281" i="9"/>
  <c r="A281" i="9"/>
  <c r="I280" i="9"/>
  <c r="H280" i="9"/>
  <c r="A280" i="9"/>
  <c r="I279" i="9"/>
  <c r="H279" i="9"/>
  <c r="A279" i="9"/>
  <c r="I278" i="9"/>
  <c r="H278" i="9"/>
  <c r="A278" i="9"/>
  <c r="I277" i="9"/>
  <c r="H277" i="9"/>
  <c r="A277" i="9"/>
  <c r="I276" i="9"/>
  <c r="H276" i="9"/>
  <c r="A276" i="9"/>
  <c r="I275" i="9"/>
  <c r="H275" i="9"/>
  <c r="A275" i="9"/>
  <c r="I274" i="9"/>
  <c r="H274" i="9"/>
  <c r="A274" i="9"/>
  <c r="I273" i="9"/>
  <c r="H273" i="9"/>
  <c r="A273" i="9"/>
  <c r="I272" i="9"/>
  <c r="H272" i="9"/>
  <c r="A272" i="9"/>
  <c r="I271" i="9"/>
  <c r="H271" i="9"/>
  <c r="A271" i="9"/>
  <c r="I270" i="9"/>
  <c r="H270" i="9"/>
  <c r="A270" i="9"/>
  <c r="I269" i="9"/>
  <c r="H269" i="9"/>
  <c r="A269" i="9"/>
  <c r="I268" i="9"/>
  <c r="H268" i="9"/>
  <c r="A268" i="9"/>
  <c r="I267" i="9"/>
  <c r="H267" i="9"/>
  <c r="A267" i="9"/>
  <c r="I266" i="9"/>
  <c r="H266" i="9"/>
  <c r="A266" i="9"/>
  <c r="I265" i="9"/>
  <c r="H265" i="9"/>
  <c r="A265" i="9"/>
  <c r="I264" i="9"/>
  <c r="H264" i="9"/>
  <c r="A264" i="9"/>
  <c r="I263" i="9"/>
  <c r="H263" i="9"/>
  <c r="A263" i="9"/>
  <c r="I262" i="9"/>
  <c r="H262" i="9"/>
  <c r="A262" i="9"/>
  <c r="I261" i="9"/>
  <c r="H261" i="9"/>
  <c r="A261" i="9"/>
  <c r="I260" i="9"/>
  <c r="H260" i="9"/>
  <c r="A260" i="9"/>
  <c r="I259" i="9"/>
  <c r="H259" i="9"/>
  <c r="A259" i="9"/>
  <c r="I258" i="9"/>
  <c r="H258" i="9"/>
  <c r="A258" i="9"/>
  <c r="I257" i="9"/>
  <c r="H257" i="9"/>
  <c r="A257" i="9"/>
  <c r="I256" i="9"/>
  <c r="H256" i="9"/>
  <c r="A256" i="9"/>
  <c r="I255" i="9"/>
  <c r="H255" i="9"/>
  <c r="A255" i="9"/>
  <c r="I254" i="9"/>
  <c r="H254" i="9"/>
  <c r="A254" i="9"/>
  <c r="I253" i="9"/>
  <c r="H253" i="9"/>
  <c r="A253" i="9"/>
  <c r="I252" i="9"/>
  <c r="H252" i="9"/>
  <c r="A252" i="9"/>
  <c r="I251" i="9"/>
  <c r="H251" i="9"/>
  <c r="A251" i="9"/>
  <c r="I250" i="9"/>
  <c r="H250" i="9"/>
  <c r="A250" i="9"/>
  <c r="I249" i="9"/>
  <c r="H249" i="9"/>
  <c r="A249" i="9"/>
  <c r="I248" i="9"/>
  <c r="H248" i="9"/>
  <c r="A248" i="9"/>
  <c r="I247" i="9"/>
  <c r="H247" i="9"/>
  <c r="A247" i="9"/>
  <c r="I246" i="9"/>
  <c r="H246" i="9"/>
  <c r="A246" i="9"/>
  <c r="I245" i="9"/>
  <c r="H245" i="9"/>
  <c r="A245" i="9"/>
  <c r="I244" i="9"/>
  <c r="H244" i="9"/>
  <c r="A244" i="9"/>
  <c r="I243" i="9"/>
  <c r="H243" i="9"/>
  <c r="A243" i="9"/>
  <c r="I242" i="9"/>
  <c r="H242" i="9"/>
  <c r="A242" i="9"/>
  <c r="I241" i="9"/>
  <c r="H241" i="9"/>
  <c r="A241" i="9"/>
  <c r="I240" i="9"/>
  <c r="H240" i="9"/>
  <c r="A240" i="9"/>
  <c r="I239" i="9"/>
  <c r="H239" i="9"/>
  <c r="A239" i="9"/>
  <c r="I238" i="9"/>
  <c r="H238" i="9"/>
  <c r="A238" i="9"/>
  <c r="I237" i="9"/>
  <c r="H237" i="9"/>
  <c r="A237" i="9"/>
  <c r="I236" i="9"/>
  <c r="H236" i="9"/>
  <c r="A236" i="9"/>
  <c r="I235" i="9"/>
  <c r="H235" i="9"/>
  <c r="A235" i="9"/>
  <c r="I234" i="9"/>
  <c r="H234" i="9"/>
  <c r="A234" i="9"/>
  <c r="I233" i="9"/>
  <c r="H233" i="9"/>
  <c r="A233" i="9"/>
  <c r="I232" i="9"/>
  <c r="H232" i="9"/>
  <c r="A232" i="9"/>
  <c r="I231" i="9"/>
  <c r="H231" i="9"/>
  <c r="A231" i="9"/>
  <c r="I230" i="9"/>
  <c r="H230" i="9"/>
  <c r="A230" i="9"/>
  <c r="I229" i="9"/>
  <c r="H229" i="9"/>
  <c r="A229" i="9"/>
  <c r="I228" i="9"/>
  <c r="H228" i="9"/>
  <c r="A228" i="9"/>
  <c r="I227" i="9"/>
  <c r="H227" i="9"/>
  <c r="A227" i="9"/>
  <c r="I226" i="9"/>
  <c r="H226" i="9"/>
  <c r="A226" i="9"/>
  <c r="I225" i="9"/>
  <c r="H225" i="9"/>
  <c r="A225" i="9"/>
  <c r="I224" i="9"/>
  <c r="H224" i="9"/>
  <c r="A224" i="9"/>
  <c r="I223" i="9"/>
  <c r="H223" i="9"/>
  <c r="A223" i="9"/>
  <c r="I222" i="9"/>
  <c r="H222" i="9"/>
  <c r="A222" i="9"/>
  <c r="I221" i="9"/>
  <c r="H221" i="9"/>
  <c r="A221" i="9"/>
  <c r="I220" i="9"/>
  <c r="H220" i="9"/>
  <c r="A220" i="9"/>
  <c r="I219" i="9"/>
  <c r="H219" i="9"/>
  <c r="A219" i="9"/>
  <c r="I218" i="9"/>
  <c r="H218" i="9"/>
  <c r="A218" i="9"/>
  <c r="I217" i="9"/>
  <c r="H217" i="9"/>
  <c r="A217" i="9"/>
  <c r="I216" i="9"/>
  <c r="H216" i="9"/>
  <c r="A216" i="9"/>
  <c r="I215" i="9"/>
  <c r="H215" i="9"/>
  <c r="A215" i="9"/>
  <c r="I214" i="9"/>
  <c r="H214" i="9"/>
  <c r="A214" i="9"/>
  <c r="I213" i="9"/>
  <c r="H213" i="9"/>
  <c r="A213" i="9"/>
  <c r="I212" i="9"/>
  <c r="H212" i="9"/>
  <c r="A212" i="9"/>
  <c r="I211" i="9"/>
  <c r="H211" i="9"/>
  <c r="A211" i="9"/>
  <c r="I210" i="9"/>
  <c r="H210" i="9"/>
  <c r="A210" i="9"/>
  <c r="I209" i="9"/>
  <c r="H209" i="9"/>
  <c r="A209" i="9"/>
  <c r="I208" i="9"/>
  <c r="H208" i="9"/>
  <c r="A208" i="9"/>
  <c r="I207" i="9"/>
  <c r="H207" i="9"/>
  <c r="A207" i="9"/>
  <c r="I206" i="9"/>
  <c r="H206" i="9"/>
  <c r="A206" i="9"/>
  <c r="I205" i="9"/>
  <c r="H205" i="9"/>
  <c r="A205" i="9"/>
  <c r="I204" i="9"/>
  <c r="H204" i="9"/>
  <c r="A204" i="9"/>
  <c r="I203" i="9"/>
  <c r="H203" i="9"/>
  <c r="A203" i="9"/>
  <c r="I202" i="9"/>
  <c r="H202" i="9"/>
  <c r="A202" i="9"/>
  <c r="I201" i="9"/>
  <c r="H201" i="9"/>
  <c r="A201" i="9"/>
  <c r="I200" i="9"/>
  <c r="H200" i="9"/>
  <c r="A200" i="9"/>
  <c r="I199" i="9"/>
  <c r="H199" i="9"/>
  <c r="A199" i="9"/>
  <c r="I198" i="9"/>
  <c r="H198" i="9"/>
  <c r="A198" i="9"/>
  <c r="I197" i="9"/>
  <c r="H197" i="9"/>
  <c r="A197" i="9"/>
  <c r="I196" i="9"/>
  <c r="H196" i="9"/>
  <c r="A196" i="9"/>
  <c r="I195" i="9"/>
  <c r="H195" i="9"/>
  <c r="A195" i="9"/>
  <c r="I194" i="9"/>
  <c r="H194" i="9"/>
  <c r="A194" i="9"/>
  <c r="I193" i="9"/>
  <c r="H193" i="9"/>
  <c r="A193" i="9"/>
  <c r="I192" i="9"/>
  <c r="H192" i="9"/>
  <c r="A192" i="9"/>
  <c r="I191" i="9"/>
  <c r="H191" i="9"/>
  <c r="A191" i="9"/>
  <c r="I190" i="9"/>
  <c r="H190" i="9"/>
  <c r="A190" i="9"/>
  <c r="I189" i="9"/>
  <c r="H189" i="9"/>
  <c r="A189" i="9"/>
  <c r="I188" i="9"/>
  <c r="H188" i="9"/>
  <c r="A188" i="9"/>
  <c r="I187" i="9"/>
  <c r="H187" i="9"/>
  <c r="A187" i="9"/>
  <c r="I186" i="9"/>
  <c r="H186" i="9"/>
  <c r="A186" i="9"/>
  <c r="I185" i="9"/>
  <c r="H185" i="9"/>
  <c r="A185" i="9"/>
  <c r="I184" i="9"/>
  <c r="H184" i="9"/>
  <c r="A184" i="9"/>
  <c r="I183" i="9"/>
  <c r="H183" i="9"/>
  <c r="A183" i="9"/>
  <c r="I182" i="9"/>
  <c r="H182" i="9"/>
  <c r="A182" i="9"/>
  <c r="I181" i="9"/>
  <c r="H181" i="9"/>
  <c r="A181" i="9"/>
  <c r="I180" i="9"/>
  <c r="H180" i="9"/>
  <c r="A180" i="9"/>
  <c r="I179" i="9"/>
  <c r="H179" i="9"/>
  <c r="A179" i="9"/>
  <c r="I178" i="9"/>
  <c r="H178" i="9"/>
  <c r="A178" i="9"/>
  <c r="I177" i="9"/>
  <c r="H177" i="9"/>
  <c r="A177" i="9"/>
  <c r="I176" i="9"/>
  <c r="H176" i="9"/>
  <c r="A176" i="9"/>
  <c r="I175" i="9"/>
  <c r="H175" i="9"/>
  <c r="A175" i="9"/>
  <c r="I174" i="9"/>
  <c r="H174" i="9"/>
  <c r="A174" i="9"/>
  <c r="I173" i="9"/>
  <c r="H173" i="9"/>
  <c r="A173" i="9"/>
  <c r="I172" i="9"/>
  <c r="H172" i="9"/>
  <c r="A172" i="9"/>
  <c r="I171" i="9"/>
  <c r="H171" i="9"/>
  <c r="A171" i="9"/>
  <c r="I170" i="9"/>
  <c r="H170" i="9"/>
  <c r="A170" i="9"/>
  <c r="I169" i="9"/>
  <c r="H169" i="9"/>
  <c r="A169" i="9"/>
  <c r="I168" i="9"/>
  <c r="H168" i="9"/>
  <c r="A168" i="9"/>
  <c r="I167" i="9"/>
  <c r="H167" i="9"/>
  <c r="A167" i="9"/>
  <c r="I166" i="9"/>
  <c r="H166" i="9"/>
  <c r="A166" i="9"/>
  <c r="I165" i="9"/>
  <c r="H165" i="9"/>
  <c r="A165" i="9"/>
  <c r="I164" i="9"/>
  <c r="H164" i="9"/>
  <c r="A164" i="9"/>
  <c r="I163" i="9"/>
  <c r="H163" i="9"/>
  <c r="A163" i="9"/>
  <c r="I162" i="9"/>
  <c r="H162" i="9"/>
  <c r="A162" i="9"/>
  <c r="I161" i="9"/>
  <c r="H161" i="9"/>
  <c r="A161" i="9"/>
  <c r="I160" i="9"/>
  <c r="H160" i="9"/>
  <c r="A160" i="9"/>
  <c r="I159" i="9"/>
  <c r="H159" i="9"/>
  <c r="A159" i="9"/>
  <c r="I158" i="9"/>
  <c r="H158" i="9"/>
  <c r="A158" i="9"/>
  <c r="I157" i="9"/>
  <c r="H157" i="9"/>
  <c r="A157" i="9"/>
  <c r="I156" i="9"/>
  <c r="H156" i="9"/>
  <c r="A156" i="9"/>
  <c r="I155" i="9"/>
  <c r="H155" i="9"/>
  <c r="A155" i="9"/>
  <c r="I154" i="9"/>
  <c r="H154" i="9"/>
  <c r="A154" i="9"/>
  <c r="I153" i="9"/>
  <c r="H153" i="9"/>
  <c r="A153" i="9"/>
  <c r="I152" i="9"/>
  <c r="H152" i="9"/>
  <c r="A152" i="9"/>
  <c r="I151" i="9"/>
  <c r="H151" i="9"/>
  <c r="A151" i="9"/>
  <c r="I150" i="9"/>
  <c r="H150" i="9"/>
  <c r="A150" i="9"/>
  <c r="I149" i="9"/>
  <c r="H149" i="9"/>
  <c r="A149" i="9"/>
  <c r="I148" i="9"/>
  <c r="H148" i="9"/>
  <c r="A148" i="9"/>
  <c r="I147" i="9"/>
  <c r="H147" i="9"/>
  <c r="A147" i="9"/>
  <c r="I146" i="9"/>
  <c r="H146" i="9"/>
  <c r="A146" i="9"/>
  <c r="I145" i="9"/>
  <c r="H145" i="9"/>
  <c r="A145" i="9"/>
  <c r="I144" i="9"/>
  <c r="H144" i="9"/>
  <c r="A144" i="9"/>
  <c r="I143" i="9"/>
  <c r="H143" i="9"/>
  <c r="A143" i="9"/>
  <c r="I142" i="9"/>
  <c r="H142" i="9"/>
  <c r="A142" i="9"/>
  <c r="I141" i="9"/>
  <c r="H141" i="9"/>
  <c r="A141" i="9"/>
  <c r="I140" i="9"/>
  <c r="H140" i="9"/>
  <c r="A140" i="9"/>
  <c r="I139" i="9"/>
  <c r="H139" i="9"/>
  <c r="A139" i="9"/>
  <c r="I138" i="9"/>
  <c r="H138" i="9"/>
  <c r="A138" i="9"/>
  <c r="I137" i="9"/>
  <c r="H137" i="9"/>
  <c r="A137" i="9"/>
  <c r="I136" i="9"/>
  <c r="H136" i="9"/>
  <c r="A136" i="9"/>
  <c r="I135" i="9"/>
  <c r="H135" i="9"/>
  <c r="A135" i="9"/>
  <c r="I134" i="9"/>
  <c r="H134" i="9"/>
  <c r="A134" i="9"/>
  <c r="I133" i="9"/>
  <c r="H133" i="9"/>
  <c r="A133" i="9"/>
  <c r="I132" i="9"/>
  <c r="H132" i="9"/>
  <c r="A132" i="9"/>
  <c r="I131" i="9"/>
  <c r="H131" i="9"/>
  <c r="A131" i="9"/>
  <c r="I130" i="9"/>
  <c r="H130" i="9"/>
  <c r="A130" i="9"/>
  <c r="I129" i="9"/>
  <c r="H129" i="9"/>
  <c r="A129" i="9"/>
  <c r="I128" i="9"/>
  <c r="H128" i="9"/>
  <c r="A128" i="9"/>
  <c r="I127" i="9"/>
  <c r="H127" i="9"/>
  <c r="A127" i="9"/>
  <c r="I126" i="9"/>
  <c r="H126" i="9"/>
  <c r="A126" i="9"/>
  <c r="I125" i="9"/>
  <c r="H125" i="9"/>
  <c r="A125" i="9"/>
  <c r="I124" i="9"/>
  <c r="H124" i="9"/>
  <c r="A124" i="9"/>
  <c r="I123" i="9"/>
  <c r="H123" i="9"/>
  <c r="A123" i="9"/>
  <c r="I122" i="9"/>
  <c r="H122" i="9"/>
  <c r="A122" i="9"/>
  <c r="I121" i="9"/>
  <c r="H121" i="9"/>
  <c r="A121" i="9"/>
  <c r="I120" i="9"/>
  <c r="H120" i="9"/>
  <c r="A120" i="9"/>
  <c r="I119" i="9"/>
  <c r="H119" i="9"/>
  <c r="A119" i="9"/>
  <c r="I118" i="9"/>
  <c r="H118" i="9"/>
  <c r="A118" i="9"/>
  <c r="I117" i="9"/>
  <c r="H117" i="9"/>
  <c r="A117" i="9"/>
  <c r="I116" i="9"/>
  <c r="H116" i="9"/>
  <c r="A116" i="9"/>
  <c r="I115" i="9"/>
  <c r="H115" i="9"/>
  <c r="A115" i="9"/>
  <c r="I114" i="9"/>
  <c r="H114" i="9"/>
  <c r="A114" i="9"/>
  <c r="I113" i="9"/>
  <c r="H113" i="9"/>
  <c r="A113" i="9"/>
  <c r="I112" i="9"/>
  <c r="H112" i="9"/>
  <c r="A112" i="9"/>
  <c r="I111" i="9"/>
  <c r="H111" i="9"/>
  <c r="A111" i="9"/>
  <c r="I110" i="9"/>
  <c r="H110" i="9"/>
  <c r="A110" i="9"/>
  <c r="I109" i="9"/>
  <c r="H109" i="9"/>
  <c r="A109" i="9"/>
  <c r="I108" i="9"/>
  <c r="H108" i="9"/>
  <c r="A108" i="9"/>
  <c r="I107" i="9"/>
  <c r="H107" i="9"/>
  <c r="A107" i="9"/>
  <c r="I106" i="9"/>
  <c r="H106" i="9"/>
  <c r="A106" i="9"/>
  <c r="I105" i="9"/>
  <c r="H105" i="9"/>
  <c r="A105" i="9"/>
  <c r="I104" i="9"/>
  <c r="H104" i="9"/>
  <c r="A104" i="9"/>
  <c r="I103" i="9"/>
  <c r="H103" i="9"/>
  <c r="A103" i="9"/>
  <c r="I102" i="9"/>
  <c r="H102" i="9"/>
  <c r="A102" i="9"/>
  <c r="I101" i="9"/>
  <c r="H101" i="9"/>
  <c r="A101" i="9"/>
  <c r="I100" i="9"/>
  <c r="H100" i="9"/>
  <c r="A100" i="9"/>
  <c r="I99" i="9"/>
  <c r="H99" i="9"/>
  <c r="A99" i="9"/>
  <c r="I98" i="9"/>
  <c r="H98" i="9"/>
  <c r="A98" i="9"/>
  <c r="I97" i="9"/>
  <c r="H97" i="9"/>
  <c r="A97" i="9"/>
  <c r="I96" i="9"/>
  <c r="H96" i="9"/>
  <c r="A96" i="9"/>
  <c r="I95" i="9"/>
  <c r="H95" i="9"/>
  <c r="A95" i="9"/>
  <c r="I94" i="9"/>
  <c r="H94" i="9"/>
  <c r="A94" i="9"/>
  <c r="I93" i="9"/>
  <c r="H93" i="9"/>
  <c r="A93" i="9"/>
  <c r="I92" i="9"/>
  <c r="H92" i="9"/>
  <c r="A92" i="9"/>
  <c r="I91" i="9"/>
  <c r="H91" i="9"/>
  <c r="A91" i="9"/>
  <c r="I90" i="9"/>
  <c r="H90" i="9"/>
  <c r="A90" i="9"/>
  <c r="I89" i="9"/>
  <c r="H89" i="9"/>
  <c r="A89" i="9"/>
  <c r="I88" i="9"/>
  <c r="H88" i="9"/>
  <c r="A88" i="9"/>
  <c r="I87" i="9"/>
  <c r="H87" i="9"/>
  <c r="A87" i="9"/>
  <c r="I86" i="9"/>
  <c r="H86" i="9"/>
  <c r="A86" i="9"/>
  <c r="I85" i="9"/>
  <c r="H85" i="9"/>
  <c r="A85" i="9"/>
  <c r="I84" i="9"/>
  <c r="H84" i="9"/>
  <c r="A84" i="9"/>
  <c r="I83" i="9"/>
  <c r="H83" i="9"/>
  <c r="A83" i="9"/>
  <c r="I82" i="9"/>
  <c r="H82" i="9"/>
  <c r="A82" i="9"/>
  <c r="I81" i="9"/>
  <c r="H81" i="9"/>
  <c r="A81" i="9"/>
  <c r="I80" i="9"/>
  <c r="H80" i="9"/>
  <c r="A80" i="9"/>
  <c r="I79" i="9"/>
  <c r="H79" i="9"/>
  <c r="A79" i="9"/>
  <c r="I78" i="9"/>
  <c r="H78" i="9"/>
  <c r="A78" i="9"/>
  <c r="I77" i="9"/>
  <c r="H77" i="9"/>
  <c r="A77" i="9"/>
  <c r="I76" i="9"/>
  <c r="H76" i="9"/>
  <c r="A76" i="9"/>
  <c r="I75" i="9"/>
  <c r="H75" i="9"/>
  <c r="A75" i="9"/>
  <c r="I74" i="9"/>
  <c r="H74" i="9"/>
  <c r="A74" i="9"/>
  <c r="I73" i="9"/>
  <c r="H73" i="9"/>
  <c r="A73" i="9"/>
  <c r="I72" i="9"/>
  <c r="H72" i="9"/>
  <c r="A72" i="9"/>
  <c r="I71" i="9"/>
  <c r="H71" i="9"/>
  <c r="A71" i="9"/>
  <c r="I70" i="9"/>
  <c r="H70" i="9"/>
  <c r="A70" i="9"/>
  <c r="I69" i="9"/>
  <c r="H69" i="9"/>
  <c r="A69" i="9"/>
  <c r="I68" i="9"/>
  <c r="H68" i="9"/>
  <c r="A68" i="9"/>
  <c r="I67" i="9"/>
  <c r="H67" i="9"/>
  <c r="A67" i="9"/>
  <c r="I66" i="9"/>
  <c r="H66" i="9"/>
  <c r="A66" i="9"/>
  <c r="I65" i="9"/>
  <c r="H65" i="9"/>
  <c r="A65" i="9"/>
  <c r="I64" i="9"/>
  <c r="H64" i="9"/>
  <c r="A64" i="9"/>
  <c r="I63" i="9"/>
  <c r="H63" i="9"/>
  <c r="A63" i="9"/>
  <c r="I62" i="9"/>
  <c r="H62" i="9"/>
  <c r="A62" i="9"/>
  <c r="I61" i="9"/>
  <c r="H61" i="9"/>
  <c r="A61" i="9"/>
  <c r="I60" i="9"/>
  <c r="H60" i="9"/>
  <c r="A60" i="9"/>
  <c r="I59" i="9"/>
  <c r="H59" i="9"/>
  <c r="A59" i="9"/>
  <c r="I58" i="9"/>
  <c r="H58" i="9"/>
  <c r="A58" i="9"/>
  <c r="I57" i="9"/>
  <c r="H57" i="9"/>
  <c r="A57" i="9"/>
  <c r="I56" i="9"/>
  <c r="H56" i="9"/>
  <c r="A56" i="9"/>
  <c r="I55" i="9"/>
  <c r="H55" i="9"/>
  <c r="A55" i="9"/>
  <c r="I54" i="9"/>
  <c r="H54" i="9"/>
  <c r="A54" i="9"/>
  <c r="I53" i="9"/>
  <c r="H53" i="9"/>
  <c r="A53" i="9"/>
  <c r="I52" i="9"/>
  <c r="H52" i="9"/>
  <c r="A52" i="9"/>
  <c r="I51" i="9"/>
  <c r="H51" i="9"/>
  <c r="A51" i="9"/>
  <c r="I50" i="9"/>
  <c r="H50" i="9"/>
  <c r="A50" i="9"/>
  <c r="I49" i="9"/>
  <c r="H49" i="9"/>
  <c r="A49" i="9"/>
  <c r="I48" i="9"/>
  <c r="H48" i="9"/>
  <c r="A48" i="9"/>
  <c r="I47" i="9"/>
  <c r="H47" i="9"/>
  <c r="A47" i="9"/>
  <c r="I46" i="9"/>
  <c r="H46" i="9"/>
  <c r="A46" i="9"/>
  <c r="I45" i="9"/>
  <c r="H45" i="9"/>
  <c r="A45" i="9"/>
  <c r="I44" i="9"/>
  <c r="H44" i="9"/>
  <c r="A44" i="9"/>
  <c r="I43" i="9"/>
  <c r="H43" i="9"/>
  <c r="A43" i="9"/>
  <c r="I42" i="9"/>
  <c r="H42" i="9"/>
  <c r="A42" i="9"/>
  <c r="I41" i="9"/>
  <c r="H41" i="9"/>
  <c r="A41" i="9"/>
  <c r="I40" i="9"/>
  <c r="H40" i="9"/>
  <c r="A40" i="9"/>
  <c r="I39" i="9"/>
  <c r="H39" i="9"/>
  <c r="A39" i="9"/>
  <c r="I38" i="9"/>
  <c r="H38" i="9"/>
  <c r="A38" i="9"/>
  <c r="I37" i="9"/>
  <c r="H37" i="9"/>
  <c r="A37" i="9"/>
  <c r="I36" i="9"/>
  <c r="H36" i="9"/>
  <c r="A36" i="9"/>
  <c r="I35" i="9"/>
  <c r="H35" i="9"/>
  <c r="A35" i="9"/>
  <c r="I34" i="9"/>
  <c r="H34" i="9"/>
  <c r="A34" i="9"/>
  <c r="I33" i="9"/>
  <c r="H33" i="9"/>
  <c r="A33" i="9"/>
  <c r="I32" i="9"/>
  <c r="H32" i="9"/>
  <c r="A32" i="9"/>
  <c r="I31" i="9"/>
  <c r="H31" i="9"/>
  <c r="A31" i="9"/>
  <c r="I30" i="9"/>
  <c r="H30" i="9"/>
  <c r="A30" i="9"/>
  <c r="I29" i="9"/>
  <c r="H29" i="9"/>
  <c r="A29" i="9"/>
  <c r="I28" i="9"/>
  <c r="H28" i="9"/>
  <c r="A28" i="9"/>
  <c r="I27" i="9"/>
  <c r="H27" i="9"/>
  <c r="A27" i="9"/>
  <c r="I26" i="9"/>
  <c r="H26" i="9"/>
  <c r="A26" i="9"/>
  <c r="I25" i="9"/>
  <c r="H25" i="9"/>
  <c r="A25" i="9"/>
  <c r="I24" i="9"/>
  <c r="H24" i="9"/>
  <c r="A24" i="9"/>
  <c r="I23" i="9"/>
  <c r="H23" i="9"/>
  <c r="A23" i="9"/>
  <c r="I22" i="9"/>
  <c r="H22" i="9"/>
  <c r="A22" i="9"/>
  <c r="I21" i="9"/>
  <c r="H21" i="9"/>
  <c r="A21" i="9"/>
  <c r="I20" i="9"/>
  <c r="H20" i="9"/>
  <c r="A20" i="9"/>
  <c r="I19" i="9"/>
  <c r="H19" i="9"/>
  <c r="A19" i="9"/>
  <c r="I18" i="9"/>
  <c r="H18" i="9"/>
  <c r="A18" i="9"/>
  <c r="I17" i="9"/>
  <c r="H17" i="9"/>
  <c r="A17" i="9"/>
  <c r="I16" i="9"/>
  <c r="H16" i="9"/>
  <c r="A16" i="9"/>
  <c r="I15" i="9"/>
  <c r="H15" i="9"/>
  <c r="A15" i="9"/>
  <c r="I14" i="9"/>
  <c r="H14" i="9"/>
  <c r="A14" i="9"/>
  <c r="I13" i="9"/>
  <c r="H13" i="9"/>
  <c r="A13" i="9"/>
  <c r="I12" i="9"/>
  <c r="H12" i="9"/>
  <c r="A12" i="9"/>
  <c r="I11" i="9"/>
  <c r="H11" i="9"/>
  <c r="A11" i="9"/>
  <c r="I10" i="9"/>
  <c r="H10" i="9"/>
  <c r="A10" i="9"/>
  <c r="I9" i="9"/>
  <c r="H9" i="9"/>
  <c r="A9" i="9"/>
  <c r="I8" i="9"/>
  <c r="H8" i="9"/>
  <c r="A8" i="9"/>
  <c r="I7" i="9"/>
  <c r="H7" i="9"/>
  <c r="A7" i="9"/>
  <c r="I6" i="9"/>
  <c r="H6" i="9"/>
  <c r="A6" i="9"/>
  <c r="I5" i="9"/>
  <c r="H5" i="9"/>
  <c r="A5" i="9"/>
  <c r="I4" i="9"/>
  <c r="H4" i="9"/>
  <c r="A4" i="9"/>
  <c r="I3" i="9"/>
  <c r="H3" i="9"/>
  <c r="A3" i="9"/>
  <c r="A2" i="9"/>
  <c r="C5" i="8"/>
  <c r="C4" i="8"/>
  <c r="C3" i="8"/>
  <c r="B3" i="8"/>
  <c r="I4" i="4"/>
  <c r="J4" i="4"/>
  <c r="I5" i="4"/>
  <c r="J5" i="4"/>
  <c r="I6" i="4"/>
  <c r="J6" i="4"/>
  <c r="I7" i="4"/>
  <c r="J7" i="4"/>
  <c r="I8" i="4"/>
  <c r="J8" i="4"/>
  <c r="I9" i="4"/>
  <c r="J9" i="4"/>
  <c r="I10" i="4"/>
  <c r="J10" i="4"/>
  <c r="I11" i="4"/>
  <c r="J11" i="4"/>
  <c r="I12" i="4"/>
  <c r="J12" i="4"/>
  <c r="I13" i="4"/>
  <c r="J13" i="4"/>
  <c r="I14" i="4"/>
  <c r="J14" i="4"/>
  <c r="I15" i="4"/>
  <c r="J15" i="4"/>
  <c r="I16" i="4"/>
  <c r="J16" i="4"/>
  <c r="I17" i="4"/>
  <c r="J17" i="4"/>
  <c r="I18" i="4"/>
  <c r="J18" i="4"/>
  <c r="I19" i="4"/>
  <c r="J19" i="4"/>
  <c r="I20" i="4"/>
  <c r="J20" i="4"/>
  <c r="I21" i="4"/>
  <c r="J21" i="4"/>
  <c r="I22" i="4"/>
  <c r="J22" i="4"/>
  <c r="I23" i="4"/>
  <c r="J23" i="4"/>
  <c r="I24" i="4"/>
  <c r="J24" i="4"/>
  <c r="I25" i="4"/>
  <c r="J25" i="4"/>
  <c r="I26" i="4"/>
  <c r="J26" i="4"/>
  <c r="I27" i="4"/>
  <c r="J27" i="4"/>
  <c r="I28" i="4"/>
  <c r="J28" i="4"/>
  <c r="I29" i="4"/>
  <c r="J29" i="4"/>
  <c r="I30" i="4"/>
  <c r="J30" i="4"/>
  <c r="I31" i="4"/>
  <c r="J31" i="4"/>
  <c r="I32" i="4"/>
  <c r="J32" i="4"/>
  <c r="I33" i="4"/>
  <c r="J33" i="4"/>
  <c r="I34" i="4"/>
  <c r="J34" i="4"/>
  <c r="I35" i="4"/>
  <c r="J35" i="4"/>
  <c r="I36" i="4"/>
  <c r="J36" i="4"/>
  <c r="I37" i="4"/>
  <c r="J37" i="4"/>
  <c r="I38" i="4"/>
  <c r="J38" i="4"/>
  <c r="I39" i="4"/>
  <c r="J39" i="4"/>
  <c r="I40" i="4"/>
  <c r="J40" i="4"/>
  <c r="I41" i="4"/>
  <c r="J41" i="4"/>
  <c r="I42" i="4"/>
  <c r="J42" i="4"/>
  <c r="I43" i="4"/>
  <c r="J43" i="4"/>
  <c r="I44" i="4"/>
  <c r="J44" i="4"/>
  <c r="I45" i="4"/>
  <c r="J45" i="4"/>
  <c r="I46" i="4"/>
  <c r="J46" i="4"/>
  <c r="I47" i="4"/>
  <c r="J47" i="4"/>
  <c r="I48" i="4"/>
  <c r="J48" i="4"/>
  <c r="I49" i="4"/>
  <c r="J49" i="4"/>
  <c r="I50" i="4"/>
  <c r="J50" i="4"/>
  <c r="I51" i="4"/>
  <c r="J51" i="4"/>
  <c r="I52" i="4"/>
  <c r="J52" i="4"/>
  <c r="I53" i="4"/>
  <c r="J53" i="4"/>
  <c r="I54" i="4"/>
  <c r="J54" i="4"/>
  <c r="I55" i="4"/>
  <c r="J55" i="4"/>
  <c r="I56" i="4"/>
  <c r="J56" i="4"/>
  <c r="I57" i="4"/>
  <c r="J57" i="4"/>
  <c r="I58" i="4"/>
  <c r="J58" i="4"/>
  <c r="I59" i="4"/>
  <c r="J59" i="4"/>
  <c r="I60" i="4"/>
  <c r="J60" i="4"/>
  <c r="I61" i="4"/>
  <c r="J61" i="4"/>
  <c r="I62" i="4"/>
  <c r="J62" i="4"/>
  <c r="I63" i="4"/>
  <c r="J63" i="4"/>
  <c r="I64" i="4"/>
  <c r="J64" i="4"/>
  <c r="I65" i="4"/>
  <c r="J65" i="4"/>
  <c r="I66" i="4"/>
  <c r="J66" i="4"/>
  <c r="I67" i="4"/>
  <c r="J67" i="4"/>
  <c r="I68" i="4"/>
  <c r="J68" i="4"/>
  <c r="I69" i="4"/>
  <c r="J69" i="4"/>
  <c r="I70" i="4"/>
  <c r="J70" i="4"/>
  <c r="I71" i="4"/>
  <c r="J71" i="4"/>
  <c r="I72" i="4"/>
  <c r="J72" i="4"/>
  <c r="I73" i="4"/>
  <c r="J73" i="4"/>
  <c r="I74" i="4"/>
  <c r="J74" i="4"/>
  <c r="I75" i="4"/>
  <c r="J75" i="4"/>
  <c r="I76" i="4"/>
  <c r="J76" i="4"/>
  <c r="I77" i="4"/>
  <c r="J77" i="4"/>
  <c r="I78" i="4"/>
  <c r="J78" i="4"/>
  <c r="I79" i="4"/>
  <c r="J79" i="4"/>
  <c r="I80" i="4"/>
  <c r="J80" i="4"/>
  <c r="I81" i="4"/>
  <c r="J81" i="4"/>
  <c r="I82" i="4"/>
  <c r="J82" i="4"/>
  <c r="I83" i="4"/>
  <c r="J83" i="4"/>
  <c r="I84" i="4"/>
  <c r="J84" i="4"/>
  <c r="I85" i="4"/>
  <c r="J85" i="4"/>
  <c r="I86" i="4"/>
  <c r="J86" i="4"/>
  <c r="I87" i="4"/>
  <c r="J87" i="4"/>
  <c r="I88" i="4"/>
  <c r="J88" i="4"/>
  <c r="I89" i="4"/>
  <c r="J89" i="4"/>
  <c r="I90" i="4"/>
  <c r="J90" i="4"/>
  <c r="I91" i="4"/>
  <c r="J91" i="4"/>
  <c r="I92" i="4"/>
  <c r="J92" i="4"/>
  <c r="I93" i="4"/>
  <c r="J93" i="4"/>
  <c r="I94" i="4"/>
  <c r="J94" i="4"/>
  <c r="I95" i="4"/>
  <c r="J95" i="4"/>
  <c r="I96" i="4"/>
  <c r="J96" i="4"/>
  <c r="I97" i="4"/>
  <c r="J97" i="4"/>
  <c r="I98" i="4"/>
  <c r="J98" i="4"/>
  <c r="I99" i="4"/>
  <c r="J99" i="4"/>
  <c r="I100" i="4"/>
  <c r="J100" i="4"/>
  <c r="I101" i="4"/>
  <c r="J101" i="4"/>
  <c r="I102" i="4"/>
  <c r="J102" i="4"/>
  <c r="I103" i="4"/>
  <c r="J103" i="4"/>
  <c r="I104" i="4"/>
  <c r="J104" i="4"/>
  <c r="I105" i="4"/>
  <c r="J105" i="4"/>
  <c r="I106" i="4"/>
  <c r="J106" i="4"/>
  <c r="I107" i="4"/>
  <c r="J107" i="4"/>
  <c r="I108" i="4"/>
  <c r="J108" i="4"/>
  <c r="I109" i="4"/>
  <c r="J109" i="4"/>
  <c r="I110" i="4"/>
  <c r="J110" i="4"/>
  <c r="I111" i="4"/>
  <c r="J111" i="4"/>
  <c r="I112" i="4"/>
  <c r="J112" i="4"/>
  <c r="I113" i="4"/>
  <c r="J113" i="4"/>
  <c r="I114" i="4"/>
  <c r="J114" i="4"/>
  <c r="I115" i="4"/>
  <c r="J115" i="4"/>
  <c r="I116" i="4"/>
  <c r="J116" i="4"/>
  <c r="I117" i="4"/>
  <c r="J117" i="4"/>
  <c r="I118" i="4"/>
  <c r="J118" i="4"/>
  <c r="I119" i="4"/>
  <c r="J119" i="4"/>
  <c r="I120" i="4"/>
  <c r="J120" i="4"/>
  <c r="I121" i="4"/>
  <c r="J121" i="4"/>
  <c r="I122" i="4"/>
  <c r="J122" i="4"/>
  <c r="I123" i="4"/>
  <c r="J123" i="4"/>
  <c r="I124" i="4"/>
  <c r="J124" i="4"/>
  <c r="I125" i="4"/>
  <c r="J125" i="4"/>
  <c r="I126" i="4"/>
  <c r="J126" i="4"/>
  <c r="I127" i="4"/>
  <c r="J127" i="4"/>
  <c r="I128" i="4"/>
  <c r="J128" i="4"/>
  <c r="I129" i="4"/>
  <c r="J129" i="4"/>
  <c r="I130" i="4"/>
  <c r="J130" i="4"/>
  <c r="I131" i="4"/>
  <c r="J131" i="4"/>
  <c r="I132" i="4"/>
  <c r="J132" i="4"/>
  <c r="I133" i="4"/>
  <c r="J133" i="4"/>
  <c r="I134" i="4"/>
  <c r="J134" i="4"/>
  <c r="I135" i="4"/>
  <c r="J135" i="4"/>
  <c r="I136" i="4"/>
  <c r="J136" i="4"/>
  <c r="I137" i="4"/>
  <c r="J137" i="4"/>
  <c r="I138" i="4"/>
  <c r="J138" i="4"/>
  <c r="I139" i="4"/>
  <c r="J139" i="4"/>
  <c r="I140" i="4"/>
  <c r="J140" i="4"/>
  <c r="I141" i="4"/>
  <c r="J141" i="4"/>
  <c r="I142" i="4"/>
  <c r="J142" i="4"/>
  <c r="I143" i="4"/>
  <c r="J143" i="4"/>
  <c r="I144" i="4"/>
  <c r="J144" i="4"/>
  <c r="I145" i="4"/>
  <c r="J145" i="4"/>
  <c r="I146" i="4"/>
  <c r="J146" i="4"/>
  <c r="I147" i="4"/>
  <c r="J147" i="4"/>
  <c r="I148" i="4"/>
  <c r="J148" i="4"/>
  <c r="I149" i="4"/>
  <c r="J149" i="4"/>
  <c r="I150" i="4"/>
  <c r="J150" i="4"/>
  <c r="I151" i="4"/>
  <c r="J151" i="4"/>
  <c r="I152" i="4"/>
  <c r="J152" i="4"/>
  <c r="I153" i="4"/>
  <c r="J153" i="4"/>
  <c r="I154" i="4"/>
  <c r="J154" i="4"/>
  <c r="I155" i="4"/>
  <c r="J155" i="4"/>
  <c r="I156" i="4"/>
  <c r="J156" i="4"/>
  <c r="I157" i="4"/>
  <c r="J157" i="4"/>
  <c r="I158" i="4"/>
  <c r="J158" i="4"/>
  <c r="I159" i="4"/>
  <c r="J159" i="4"/>
  <c r="I160" i="4"/>
  <c r="J160" i="4"/>
  <c r="I161" i="4"/>
  <c r="J161" i="4"/>
  <c r="I162" i="4"/>
  <c r="J162" i="4"/>
  <c r="I163" i="4"/>
  <c r="J163" i="4"/>
  <c r="I164" i="4"/>
  <c r="J164" i="4"/>
  <c r="I165" i="4"/>
  <c r="J165" i="4"/>
  <c r="I166" i="4"/>
  <c r="J166" i="4"/>
  <c r="I167" i="4"/>
  <c r="J167" i="4"/>
  <c r="I168" i="4"/>
  <c r="J168" i="4"/>
  <c r="I169" i="4"/>
  <c r="J169" i="4"/>
  <c r="I170" i="4"/>
  <c r="J170" i="4"/>
  <c r="I171" i="4"/>
  <c r="J171" i="4"/>
  <c r="I172" i="4"/>
  <c r="J172" i="4"/>
  <c r="I173" i="4"/>
  <c r="J173" i="4"/>
  <c r="I174" i="4"/>
  <c r="J174" i="4"/>
  <c r="I175" i="4"/>
  <c r="J175" i="4"/>
  <c r="I176" i="4"/>
  <c r="J176" i="4"/>
  <c r="I177" i="4"/>
  <c r="J177" i="4"/>
  <c r="I178" i="4"/>
  <c r="J178" i="4"/>
  <c r="I179" i="4"/>
  <c r="J179" i="4"/>
  <c r="I180" i="4"/>
  <c r="J180" i="4"/>
  <c r="I181" i="4"/>
  <c r="J181" i="4"/>
  <c r="I182" i="4"/>
  <c r="J182" i="4"/>
  <c r="I183" i="4"/>
  <c r="J183" i="4"/>
  <c r="I184" i="4"/>
  <c r="J184" i="4"/>
  <c r="I185" i="4"/>
  <c r="J185" i="4"/>
  <c r="I186" i="4"/>
  <c r="J186" i="4"/>
  <c r="I187" i="4"/>
  <c r="J187" i="4"/>
  <c r="I188" i="4"/>
  <c r="J188" i="4"/>
  <c r="I189" i="4"/>
  <c r="J189" i="4"/>
  <c r="I190" i="4"/>
  <c r="J190" i="4"/>
  <c r="I191" i="4"/>
  <c r="J191" i="4"/>
  <c r="I192" i="4"/>
  <c r="J192" i="4"/>
  <c r="I193" i="4"/>
  <c r="J193" i="4"/>
  <c r="I194" i="4"/>
  <c r="J194" i="4"/>
  <c r="I195" i="4"/>
  <c r="J195" i="4"/>
  <c r="I196" i="4"/>
  <c r="J196" i="4"/>
  <c r="I197" i="4"/>
  <c r="J197" i="4"/>
  <c r="I198" i="4"/>
  <c r="J198" i="4"/>
  <c r="I199" i="4"/>
  <c r="J199" i="4"/>
  <c r="I200" i="4"/>
  <c r="J200" i="4"/>
  <c r="I201" i="4"/>
  <c r="J201" i="4"/>
  <c r="I202" i="4"/>
  <c r="J202" i="4"/>
  <c r="I203" i="4"/>
  <c r="J203" i="4"/>
  <c r="I204" i="4"/>
  <c r="J204" i="4"/>
  <c r="I205" i="4"/>
  <c r="J205" i="4"/>
  <c r="I206" i="4"/>
  <c r="J206" i="4"/>
  <c r="I207" i="4"/>
  <c r="J207" i="4"/>
  <c r="I208" i="4"/>
  <c r="J208" i="4"/>
  <c r="I209" i="4"/>
  <c r="J209" i="4"/>
  <c r="I210" i="4"/>
  <c r="J210" i="4"/>
  <c r="I211" i="4"/>
  <c r="J211" i="4"/>
  <c r="I212" i="4"/>
  <c r="J212" i="4"/>
  <c r="I213" i="4"/>
  <c r="J213" i="4"/>
  <c r="I214" i="4"/>
  <c r="J214" i="4"/>
  <c r="I215" i="4"/>
  <c r="J215" i="4"/>
  <c r="I216" i="4"/>
  <c r="J216" i="4"/>
  <c r="I217" i="4"/>
  <c r="J217" i="4"/>
  <c r="I218" i="4"/>
  <c r="J218" i="4"/>
  <c r="I219" i="4"/>
  <c r="J219" i="4"/>
  <c r="I220" i="4"/>
  <c r="J220" i="4"/>
  <c r="I221" i="4"/>
  <c r="J221" i="4"/>
  <c r="I222" i="4"/>
  <c r="J222" i="4"/>
  <c r="I223" i="4"/>
  <c r="J223" i="4"/>
  <c r="I224" i="4"/>
  <c r="J224" i="4"/>
  <c r="I225" i="4"/>
  <c r="J225" i="4"/>
  <c r="I226" i="4"/>
  <c r="J226" i="4"/>
  <c r="I227" i="4"/>
  <c r="J227" i="4"/>
  <c r="I228" i="4"/>
  <c r="J228" i="4"/>
  <c r="I229" i="4"/>
  <c r="J229" i="4"/>
  <c r="I230" i="4"/>
  <c r="J230" i="4"/>
  <c r="I231" i="4"/>
  <c r="J231" i="4"/>
  <c r="I232" i="4"/>
  <c r="J232" i="4"/>
  <c r="I233" i="4"/>
  <c r="J233" i="4"/>
  <c r="I234" i="4"/>
  <c r="J234" i="4"/>
  <c r="I235" i="4"/>
  <c r="J235" i="4"/>
  <c r="I236" i="4"/>
  <c r="J236" i="4"/>
  <c r="I237" i="4"/>
  <c r="J237" i="4"/>
  <c r="I238" i="4"/>
  <c r="J238" i="4"/>
  <c r="I239" i="4"/>
  <c r="J239" i="4"/>
  <c r="I240" i="4"/>
  <c r="J240" i="4"/>
  <c r="I241" i="4"/>
  <c r="J241" i="4"/>
  <c r="I242" i="4"/>
  <c r="J242" i="4"/>
  <c r="I243" i="4"/>
  <c r="J243" i="4"/>
  <c r="I244" i="4"/>
  <c r="J244" i="4"/>
  <c r="I245" i="4"/>
  <c r="J245" i="4"/>
  <c r="I246" i="4"/>
  <c r="J246" i="4"/>
  <c r="I247" i="4"/>
  <c r="J247" i="4"/>
  <c r="I248" i="4"/>
  <c r="J248" i="4"/>
  <c r="I249" i="4"/>
  <c r="J249" i="4"/>
  <c r="I250" i="4"/>
  <c r="J250" i="4"/>
  <c r="I251" i="4"/>
  <c r="J251" i="4"/>
  <c r="I252" i="4"/>
  <c r="J252" i="4"/>
  <c r="I253" i="4"/>
  <c r="J253" i="4"/>
  <c r="I254" i="4"/>
  <c r="J254" i="4"/>
  <c r="I255" i="4"/>
  <c r="J255" i="4"/>
  <c r="I256" i="4"/>
  <c r="J256" i="4"/>
  <c r="I257" i="4"/>
  <c r="J257" i="4"/>
  <c r="I258" i="4"/>
  <c r="J258" i="4"/>
  <c r="I259" i="4"/>
  <c r="J259" i="4"/>
  <c r="I260" i="4"/>
  <c r="J260" i="4"/>
  <c r="I261" i="4"/>
  <c r="J261" i="4"/>
  <c r="I262" i="4"/>
  <c r="J262" i="4"/>
  <c r="I263" i="4"/>
  <c r="J263" i="4"/>
  <c r="I264" i="4"/>
  <c r="J264" i="4"/>
  <c r="I265" i="4"/>
  <c r="J265" i="4"/>
  <c r="I266" i="4"/>
  <c r="J266" i="4"/>
  <c r="I267" i="4"/>
  <c r="J267" i="4"/>
  <c r="I268" i="4"/>
  <c r="J268" i="4"/>
  <c r="I269" i="4"/>
  <c r="J269" i="4"/>
  <c r="I270" i="4"/>
  <c r="J270" i="4"/>
  <c r="I271" i="4"/>
  <c r="J271" i="4"/>
  <c r="I272" i="4"/>
  <c r="J272" i="4"/>
  <c r="I273" i="4"/>
  <c r="J273" i="4"/>
  <c r="I274" i="4"/>
  <c r="J274" i="4"/>
  <c r="I275" i="4"/>
  <c r="J275" i="4"/>
  <c r="I276" i="4"/>
  <c r="J276" i="4"/>
  <c r="I277" i="4"/>
  <c r="J277" i="4"/>
  <c r="I278" i="4"/>
  <c r="J278" i="4"/>
  <c r="I279" i="4"/>
  <c r="J279" i="4"/>
  <c r="I280" i="4"/>
  <c r="J280" i="4"/>
  <c r="I281" i="4"/>
  <c r="J281" i="4"/>
  <c r="I282" i="4"/>
  <c r="J282" i="4"/>
  <c r="I283" i="4"/>
  <c r="J283" i="4"/>
  <c r="I284" i="4"/>
  <c r="J284" i="4"/>
  <c r="I285" i="4"/>
  <c r="J285" i="4"/>
  <c r="I286" i="4"/>
  <c r="J286" i="4"/>
  <c r="I287" i="4"/>
  <c r="J287" i="4"/>
  <c r="I288" i="4"/>
  <c r="J288" i="4"/>
  <c r="I289" i="4"/>
  <c r="J289" i="4"/>
  <c r="I290" i="4"/>
  <c r="J290" i="4"/>
  <c r="I291" i="4"/>
  <c r="J291" i="4"/>
  <c r="I292" i="4"/>
  <c r="J292" i="4"/>
  <c r="I293" i="4"/>
  <c r="J293" i="4"/>
  <c r="I294" i="4"/>
  <c r="J294" i="4"/>
  <c r="I295" i="4"/>
  <c r="J295" i="4"/>
  <c r="I296" i="4"/>
  <c r="J296" i="4"/>
  <c r="I297" i="4"/>
  <c r="J297" i="4"/>
  <c r="I298" i="4"/>
  <c r="J298" i="4"/>
  <c r="I299" i="4"/>
  <c r="J299" i="4"/>
  <c r="I300" i="4"/>
  <c r="J300" i="4"/>
  <c r="I301" i="4"/>
  <c r="J301" i="4"/>
  <c r="I302" i="4"/>
  <c r="J302" i="4"/>
  <c r="I303" i="4"/>
  <c r="J303" i="4"/>
  <c r="I304" i="4"/>
  <c r="J304" i="4"/>
  <c r="I305" i="4"/>
  <c r="J305" i="4"/>
  <c r="I306" i="4"/>
  <c r="J306" i="4"/>
  <c r="I307" i="4"/>
  <c r="J307" i="4"/>
  <c r="I308" i="4"/>
  <c r="J308" i="4"/>
  <c r="I309" i="4"/>
  <c r="J309" i="4"/>
  <c r="I310" i="4"/>
  <c r="J310" i="4"/>
  <c r="I311" i="4"/>
  <c r="J311" i="4"/>
  <c r="I312" i="4"/>
  <c r="J312" i="4"/>
  <c r="I313" i="4"/>
  <c r="J313" i="4"/>
  <c r="I314" i="4"/>
  <c r="J314" i="4"/>
  <c r="I315" i="4"/>
  <c r="J315" i="4"/>
  <c r="I316" i="4"/>
  <c r="J316" i="4"/>
  <c r="I317" i="4"/>
  <c r="J317" i="4"/>
  <c r="I318" i="4"/>
  <c r="J318" i="4"/>
  <c r="I319" i="4"/>
  <c r="J319" i="4"/>
  <c r="I320" i="4"/>
  <c r="J320" i="4"/>
  <c r="I321" i="4"/>
  <c r="J321" i="4"/>
  <c r="I322" i="4"/>
  <c r="J322" i="4"/>
  <c r="I323" i="4"/>
  <c r="J323" i="4"/>
  <c r="I324" i="4"/>
  <c r="J324" i="4"/>
  <c r="I325" i="4"/>
  <c r="J325" i="4"/>
  <c r="I326" i="4"/>
  <c r="J326" i="4"/>
  <c r="I327" i="4"/>
  <c r="J327" i="4"/>
  <c r="I328" i="4"/>
  <c r="J328" i="4"/>
  <c r="I329" i="4"/>
  <c r="J329" i="4"/>
  <c r="I330" i="4"/>
  <c r="J330" i="4"/>
  <c r="I331" i="4"/>
  <c r="J331" i="4"/>
  <c r="I332" i="4"/>
  <c r="J332" i="4"/>
  <c r="I333" i="4"/>
  <c r="J333" i="4"/>
  <c r="I334" i="4"/>
  <c r="J334" i="4"/>
  <c r="I335" i="4"/>
  <c r="J335" i="4"/>
  <c r="I336" i="4"/>
  <c r="J336" i="4"/>
  <c r="I337" i="4"/>
  <c r="J337" i="4"/>
  <c r="I338" i="4"/>
  <c r="J338" i="4"/>
  <c r="I339" i="4"/>
  <c r="J339" i="4"/>
  <c r="I340" i="4"/>
  <c r="J340" i="4"/>
  <c r="I341" i="4"/>
  <c r="J341" i="4"/>
  <c r="I342" i="4"/>
  <c r="J342" i="4"/>
  <c r="I343" i="4"/>
  <c r="J343" i="4"/>
  <c r="I344" i="4"/>
  <c r="J344" i="4"/>
  <c r="I345" i="4"/>
  <c r="J345" i="4"/>
  <c r="I346" i="4"/>
  <c r="J346" i="4"/>
  <c r="I347" i="4"/>
  <c r="J347" i="4"/>
  <c r="I348" i="4"/>
  <c r="J348" i="4"/>
  <c r="I349" i="4"/>
  <c r="J349" i="4"/>
  <c r="I350" i="4"/>
  <c r="J350" i="4"/>
  <c r="I351" i="4"/>
  <c r="J351" i="4"/>
  <c r="I352" i="4"/>
  <c r="J352" i="4"/>
  <c r="I353" i="4"/>
  <c r="J353" i="4"/>
  <c r="I354" i="4"/>
  <c r="J354" i="4"/>
  <c r="I355" i="4"/>
  <c r="J355" i="4"/>
  <c r="I356" i="4"/>
  <c r="J356" i="4"/>
  <c r="I357" i="4"/>
  <c r="J357" i="4"/>
  <c r="I358" i="4"/>
  <c r="J358" i="4"/>
  <c r="I359" i="4"/>
  <c r="J359" i="4"/>
  <c r="I360" i="4"/>
  <c r="J360" i="4"/>
  <c r="I361" i="4"/>
  <c r="J361" i="4"/>
  <c r="I362" i="4"/>
  <c r="J362" i="4"/>
  <c r="I363" i="4"/>
  <c r="J363" i="4"/>
  <c r="I364" i="4"/>
  <c r="J364" i="4"/>
  <c r="I365" i="4"/>
  <c r="J365" i="4"/>
  <c r="I366" i="4"/>
  <c r="J366" i="4"/>
  <c r="I367" i="4"/>
  <c r="J367" i="4"/>
  <c r="I368" i="4"/>
  <c r="J368" i="4"/>
  <c r="I369" i="4"/>
  <c r="J369" i="4"/>
  <c r="I370" i="4"/>
  <c r="J370" i="4"/>
  <c r="I371" i="4"/>
  <c r="J371" i="4"/>
  <c r="I372" i="4"/>
  <c r="J372" i="4"/>
  <c r="I373" i="4"/>
  <c r="J373" i="4"/>
  <c r="I374" i="4"/>
  <c r="J374" i="4"/>
  <c r="I375" i="4"/>
  <c r="J375" i="4"/>
  <c r="I376" i="4"/>
  <c r="J376" i="4"/>
  <c r="I377" i="4"/>
  <c r="J377" i="4"/>
  <c r="I378" i="4"/>
  <c r="J378" i="4"/>
  <c r="I379" i="4"/>
  <c r="J379" i="4"/>
  <c r="I380" i="4"/>
  <c r="J380" i="4"/>
  <c r="I381" i="4"/>
  <c r="J381" i="4"/>
  <c r="I382" i="4"/>
  <c r="J382" i="4"/>
  <c r="I383" i="4"/>
  <c r="J383" i="4"/>
  <c r="I384" i="4"/>
  <c r="J384" i="4"/>
  <c r="I385" i="4"/>
  <c r="J385" i="4"/>
  <c r="I386" i="4"/>
  <c r="J386" i="4"/>
  <c r="I387" i="4"/>
  <c r="J387" i="4"/>
  <c r="I388" i="4"/>
  <c r="J388" i="4"/>
  <c r="I389" i="4"/>
  <c r="J389" i="4"/>
  <c r="I390" i="4"/>
  <c r="J390" i="4"/>
  <c r="I391" i="4"/>
  <c r="J391" i="4"/>
  <c r="I392" i="4"/>
  <c r="J392" i="4"/>
  <c r="I393" i="4"/>
  <c r="J393" i="4"/>
  <c r="I394" i="4"/>
  <c r="J394" i="4"/>
  <c r="I395" i="4"/>
  <c r="J395" i="4"/>
  <c r="I396" i="4"/>
  <c r="J396" i="4"/>
  <c r="I397" i="4"/>
  <c r="J397" i="4"/>
  <c r="I398" i="4"/>
  <c r="J398" i="4"/>
  <c r="I399" i="4"/>
  <c r="J399" i="4"/>
  <c r="I400" i="4"/>
  <c r="J400" i="4"/>
  <c r="I401" i="4"/>
  <c r="J401" i="4"/>
  <c r="I402" i="4"/>
  <c r="J402" i="4"/>
  <c r="I403" i="4"/>
  <c r="J403" i="4"/>
  <c r="I404" i="4"/>
  <c r="J404" i="4"/>
  <c r="I405" i="4"/>
  <c r="J405" i="4"/>
  <c r="I406" i="4"/>
  <c r="J406" i="4"/>
  <c r="I407" i="4"/>
  <c r="J407" i="4"/>
  <c r="I408" i="4"/>
  <c r="J408" i="4"/>
  <c r="I409" i="4"/>
  <c r="J409" i="4"/>
  <c r="I410" i="4"/>
  <c r="J410" i="4"/>
  <c r="I411" i="4"/>
  <c r="J411" i="4"/>
  <c r="I412" i="4"/>
  <c r="J412" i="4"/>
  <c r="I413" i="4"/>
  <c r="J413" i="4"/>
  <c r="I414" i="4"/>
  <c r="J414" i="4"/>
  <c r="I415" i="4"/>
  <c r="J415" i="4"/>
  <c r="I416" i="4"/>
  <c r="J416" i="4"/>
  <c r="I417" i="4"/>
  <c r="J417" i="4"/>
  <c r="I418" i="4"/>
  <c r="J418" i="4"/>
  <c r="I419" i="4"/>
  <c r="J419" i="4"/>
  <c r="I420" i="4"/>
  <c r="J420" i="4"/>
  <c r="I421" i="4"/>
  <c r="J421" i="4"/>
  <c r="I422" i="4"/>
  <c r="J422" i="4"/>
  <c r="I423" i="4"/>
  <c r="J423" i="4"/>
  <c r="I424" i="4"/>
  <c r="J424" i="4"/>
  <c r="I425" i="4"/>
  <c r="J425" i="4"/>
  <c r="I426" i="4"/>
  <c r="J426" i="4"/>
  <c r="I427" i="4"/>
  <c r="J427" i="4"/>
  <c r="I428" i="4"/>
  <c r="J428" i="4"/>
  <c r="I429" i="4"/>
  <c r="J429" i="4"/>
  <c r="I430" i="4"/>
  <c r="J430" i="4"/>
  <c r="I431" i="4"/>
  <c r="J431" i="4"/>
  <c r="I432" i="4"/>
  <c r="J432" i="4"/>
  <c r="I433" i="4"/>
  <c r="J433" i="4"/>
  <c r="I434" i="4"/>
  <c r="J434" i="4"/>
  <c r="I435" i="4"/>
  <c r="J435" i="4"/>
  <c r="I436" i="4"/>
  <c r="J436" i="4"/>
  <c r="I437" i="4"/>
  <c r="J437" i="4"/>
  <c r="I438" i="4"/>
  <c r="J438" i="4"/>
  <c r="I439" i="4"/>
  <c r="J439" i="4"/>
  <c r="I440" i="4"/>
  <c r="J440" i="4"/>
  <c r="I441" i="4"/>
  <c r="J441" i="4"/>
  <c r="I442" i="4"/>
  <c r="J442" i="4"/>
  <c r="I443" i="4"/>
  <c r="J443" i="4"/>
  <c r="I444" i="4"/>
  <c r="J444" i="4"/>
  <c r="I445" i="4"/>
  <c r="J445" i="4"/>
  <c r="I446" i="4"/>
  <c r="J446" i="4"/>
  <c r="I447" i="4"/>
  <c r="J447" i="4"/>
  <c r="I448" i="4"/>
  <c r="J448" i="4"/>
  <c r="I449" i="4"/>
  <c r="J449" i="4"/>
  <c r="I450" i="4"/>
  <c r="J450" i="4"/>
  <c r="I451" i="4"/>
  <c r="J451" i="4"/>
  <c r="I452" i="4"/>
  <c r="J452" i="4"/>
  <c r="I453" i="4"/>
  <c r="J453" i="4"/>
  <c r="I454" i="4"/>
  <c r="J454" i="4"/>
  <c r="I455" i="4"/>
  <c r="J455" i="4"/>
  <c r="I456" i="4"/>
  <c r="J456" i="4"/>
  <c r="I457" i="4"/>
  <c r="J457" i="4"/>
  <c r="I458" i="4"/>
  <c r="J458" i="4"/>
  <c r="I459" i="4"/>
  <c r="J459" i="4"/>
  <c r="I460" i="4"/>
  <c r="J460" i="4"/>
  <c r="I461" i="4"/>
  <c r="J461" i="4"/>
  <c r="I462" i="4"/>
  <c r="J462" i="4"/>
  <c r="I463" i="4"/>
  <c r="J463" i="4"/>
  <c r="I464" i="4"/>
  <c r="J464" i="4"/>
  <c r="I465" i="4"/>
  <c r="J465" i="4"/>
  <c r="I466" i="4"/>
  <c r="J466" i="4"/>
  <c r="I467" i="4"/>
  <c r="J467" i="4"/>
  <c r="I468" i="4"/>
  <c r="J468" i="4"/>
  <c r="I469" i="4"/>
  <c r="J469" i="4"/>
  <c r="I470" i="4"/>
  <c r="J470" i="4"/>
  <c r="I471" i="4"/>
  <c r="J471" i="4"/>
  <c r="I472" i="4"/>
  <c r="J472" i="4"/>
  <c r="I473" i="4"/>
  <c r="J473" i="4"/>
  <c r="I474" i="4"/>
  <c r="J474" i="4"/>
  <c r="J3" i="4"/>
  <c r="I3" i="4"/>
  <c r="B5" i="8" s="1"/>
  <c r="I4" i="3"/>
  <c r="J4" i="3"/>
  <c r="I5" i="3"/>
  <c r="J5" i="3"/>
  <c r="I6" i="3"/>
  <c r="J6" i="3"/>
  <c r="I7" i="3"/>
  <c r="J7" i="3"/>
  <c r="I8" i="3"/>
  <c r="J8" i="3"/>
  <c r="I9" i="3"/>
  <c r="J9" i="3"/>
  <c r="I10" i="3"/>
  <c r="J10" i="3"/>
  <c r="I11" i="3"/>
  <c r="J11" i="3"/>
  <c r="I12" i="3"/>
  <c r="J12" i="3"/>
  <c r="I13" i="3"/>
  <c r="J13" i="3"/>
  <c r="I14" i="3"/>
  <c r="J14" i="3"/>
  <c r="I15" i="3"/>
  <c r="J15" i="3"/>
  <c r="I16" i="3"/>
  <c r="J16" i="3"/>
  <c r="I17" i="3"/>
  <c r="J17" i="3"/>
  <c r="I18" i="3"/>
  <c r="J18" i="3"/>
  <c r="I19" i="3"/>
  <c r="J19" i="3"/>
  <c r="I20" i="3"/>
  <c r="J20" i="3"/>
  <c r="I21" i="3"/>
  <c r="J21" i="3"/>
  <c r="I22" i="3"/>
  <c r="J22" i="3"/>
  <c r="I23" i="3"/>
  <c r="J23" i="3"/>
  <c r="I24" i="3"/>
  <c r="J24" i="3"/>
  <c r="I25" i="3"/>
  <c r="J25" i="3"/>
  <c r="I26" i="3"/>
  <c r="J26" i="3"/>
  <c r="I27" i="3"/>
  <c r="J27" i="3"/>
  <c r="I28" i="3"/>
  <c r="J28" i="3"/>
  <c r="I29" i="3"/>
  <c r="J29" i="3"/>
  <c r="I30" i="3"/>
  <c r="J30" i="3"/>
  <c r="I31" i="3"/>
  <c r="J31" i="3"/>
  <c r="I32" i="3"/>
  <c r="J32" i="3"/>
  <c r="I33" i="3"/>
  <c r="J33" i="3"/>
  <c r="I34" i="3"/>
  <c r="J34" i="3"/>
  <c r="I35" i="3"/>
  <c r="J35" i="3"/>
  <c r="I36" i="3"/>
  <c r="J36" i="3"/>
  <c r="I37" i="3"/>
  <c r="J37" i="3"/>
  <c r="I38" i="3"/>
  <c r="J38" i="3"/>
  <c r="I39" i="3"/>
  <c r="J39" i="3"/>
  <c r="I40" i="3"/>
  <c r="J40" i="3"/>
  <c r="I41" i="3"/>
  <c r="J41" i="3"/>
  <c r="I42" i="3"/>
  <c r="J42" i="3"/>
  <c r="I43" i="3"/>
  <c r="J43" i="3"/>
  <c r="I44" i="3"/>
  <c r="J44" i="3"/>
  <c r="I45" i="3"/>
  <c r="J45" i="3"/>
  <c r="I46" i="3"/>
  <c r="J46" i="3"/>
  <c r="I47" i="3"/>
  <c r="J47" i="3"/>
  <c r="I48" i="3"/>
  <c r="J48" i="3"/>
  <c r="I49" i="3"/>
  <c r="J49" i="3"/>
  <c r="I50" i="3"/>
  <c r="J50" i="3"/>
  <c r="I51" i="3"/>
  <c r="J51" i="3"/>
  <c r="I52" i="3"/>
  <c r="J52" i="3"/>
  <c r="I53" i="3"/>
  <c r="J53" i="3"/>
  <c r="I54" i="3"/>
  <c r="J54" i="3"/>
  <c r="I55" i="3"/>
  <c r="J55" i="3"/>
  <c r="I56" i="3"/>
  <c r="J56" i="3"/>
  <c r="I57" i="3"/>
  <c r="J57" i="3"/>
  <c r="I58" i="3"/>
  <c r="J58" i="3"/>
  <c r="I59" i="3"/>
  <c r="J59" i="3"/>
  <c r="I60" i="3"/>
  <c r="J60" i="3"/>
  <c r="I61" i="3"/>
  <c r="J61" i="3"/>
  <c r="I62" i="3"/>
  <c r="J62" i="3"/>
  <c r="I63" i="3"/>
  <c r="J63" i="3"/>
  <c r="I64" i="3"/>
  <c r="J64" i="3"/>
  <c r="I65" i="3"/>
  <c r="J65" i="3"/>
  <c r="I66" i="3"/>
  <c r="J66" i="3"/>
  <c r="I67" i="3"/>
  <c r="J67" i="3"/>
  <c r="I68" i="3"/>
  <c r="J68" i="3"/>
  <c r="I69" i="3"/>
  <c r="J69" i="3"/>
  <c r="I70" i="3"/>
  <c r="J70" i="3"/>
  <c r="I71" i="3"/>
  <c r="J71" i="3"/>
  <c r="I72" i="3"/>
  <c r="J72" i="3"/>
  <c r="I73" i="3"/>
  <c r="J73" i="3"/>
  <c r="I74" i="3"/>
  <c r="J74" i="3"/>
  <c r="I75" i="3"/>
  <c r="J75" i="3"/>
  <c r="I76" i="3"/>
  <c r="J76" i="3"/>
  <c r="I77" i="3"/>
  <c r="J77" i="3"/>
  <c r="I78" i="3"/>
  <c r="J78" i="3"/>
  <c r="I79" i="3"/>
  <c r="J79" i="3"/>
  <c r="I80" i="3"/>
  <c r="J80" i="3"/>
  <c r="I81" i="3"/>
  <c r="J81" i="3"/>
  <c r="I82" i="3"/>
  <c r="J82" i="3"/>
  <c r="I83" i="3"/>
  <c r="J83" i="3"/>
  <c r="I84" i="3"/>
  <c r="J84" i="3"/>
  <c r="I85" i="3"/>
  <c r="J85" i="3"/>
  <c r="I86" i="3"/>
  <c r="J86" i="3"/>
  <c r="I87" i="3"/>
  <c r="J87" i="3"/>
  <c r="I88" i="3"/>
  <c r="J88" i="3"/>
  <c r="I89" i="3"/>
  <c r="J89" i="3"/>
  <c r="I90" i="3"/>
  <c r="J90" i="3"/>
  <c r="I91" i="3"/>
  <c r="J91" i="3"/>
  <c r="I92" i="3"/>
  <c r="J92" i="3"/>
  <c r="I93" i="3"/>
  <c r="J93" i="3"/>
  <c r="I94" i="3"/>
  <c r="J94" i="3"/>
  <c r="I95" i="3"/>
  <c r="J95" i="3"/>
  <c r="I96" i="3"/>
  <c r="J96" i="3"/>
  <c r="I97" i="3"/>
  <c r="J97" i="3"/>
  <c r="I98" i="3"/>
  <c r="J98" i="3"/>
  <c r="I99" i="3"/>
  <c r="J99" i="3"/>
  <c r="I100" i="3"/>
  <c r="J100" i="3"/>
  <c r="I101" i="3"/>
  <c r="J101" i="3"/>
  <c r="I102" i="3"/>
  <c r="J102" i="3"/>
  <c r="I103" i="3"/>
  <c r="J103" i="3"/>
  <c r="I104" i="3"/>
  <c r="J104" i="3"/>
  <c r="I105" i="3"/>
  <c r="J105" i="3"/>
  <c r="I106" i="3"/>
  <c r="J106" i="3"/>
  <c r="I107" i="3"/>
  <c r="J107" i="3"/>
  <c r="I108" i="3"/>
  <c r="J108" i="3"/>
  <c r="I109" i="3"/>
  <c r="J109" i="3"/>
  <c r="I110" i="3"/>
  <c r="J110" i="3"/>
  <c r="I111" i="3"/>
  <c r="J111" i="3"/>
  <c r="I112" i="3"/>
  <c r="J112" i="3"/>
  <c r="I113" i="3"/>
  <c r="J113" i="3"/>
  <c r="I114" i="3"/>
  <c r="J114" i="3"/>
  <c r="I115" i="3"/>
  <c r="J115" i="3"/>
  <c r="I116" i="3"/>
  <c r="J116" i="3"/>
  <c r="I117" i="3"/>
  <c r="J117" i="3"/>
  <c r="I118" i="3"/>
  <c r="J118" i="3"/>
  <c r="I119" i="3"/>
  <c r="J119" i="3"/>
  <c r="I120" i="3"/>
  <c r="J120" i="3"/>
  <c r="I121" i="3"/>
  <c r="J121" i="3"/>
  <c r="I122" i="3"/>
  <c r="J122" i="3"/>
  <c r="I123" i="3"/>
  <c r="J123" i="3"/>
  <c r="I124" i="3"/>
  <c r="J124" i="3"/>
  <c r="I125" i="3"/>
  <c r="J125" i="3"/>
  <c r="I126" i="3"/>
  <c r="J126" i="3"/>
  <c r="I127" i="3"/>
  <c r="J127" i="3"/>
  <c r="I128" i="3"/>
  <c r="J128" i="3"/>
  <c r="I129" i="3"/>
  <c r="J129" i="3"/>
  <c r="I130" i="3"/>
  <c r="J130" i="3"/>
  <c r="I131" i="3"/>
  <c r="J131" i="3"/>
  <c r="I132" i="3"/>
  <c r="J132" i="3"/>
  <c r="I133" i="3"/>
  <c r="J133" i="3"/>
  <c r="I134" i="3"/>
  <c r="J134" i="3"/>
  <c r="I135" i="3"/>
  <c r="J135" i="3"/>
  <c r="I136" i="3"/>
  <c r="J136" i="3"/>
  <c r="I137" i="3"/>
  <c r="J137" i="3"/>
  <c r="I138" i="3"/>
  <c r="J138" i="3"/>
  <c r="I139" i="3"/>
  <c r="J139" i="3"/>
  <c r="I140" i="3"/>
  <c r="J140" i="3"/>
  <c r="I141" i="3"/>
  <c r="J141" i="3"/>
  <c r="I142" i="3"/>
  <c r="J142" i="3"/>
  <c r="I143" i="3"/>
  <c r="J143" i="3"/>
  <c r="I144" i="3"/>
  <c r="J144" i="3"/>
  <c r="I145" i="3"/>
  <c r="J145" i="3"/>
  <c r="I146" i="3"/>
  <c r="J146" i="3"/>
  <c r="I147" i="3"/>
  <c r="J147" i="3"/>
  <c r="I148" i="3"/>
  <c r="J148" i="3"/>
  <c r="I149" i="3"/>
  <c r="J149" i="3"/>
  <c r="I150" i="3"/>
  <c r="J150" i="3"/>
  <c r="I151" i="3"/>
  <c r="J151" i="3"/>
  <c r="I152" i="3"/>
  <c r="J152" i="3"/>
  <c r="I153" i="3"/>
  <c r="J153" i="3"/>
  <c r="I154" i="3"/>
  <c r="J154" i="3"/>
  <c r="I155" i="3"/>
  <c r="J155" i="3"/>
  <c r="I156" i="3"/>
  <c r="J156" i="3"/>
  <c r="I157" i="3"/>
  <c r="J157" i="3"/>
  <c r="I158" i="3"/>
  <c r="J158" i="3"/>
  <c r="I159" i="3"/>
  <c r="J159" i="3"/>
  <c r="I160" i="3"/>
  <c r="J160" i="3"/>
  <c r="I161" i="3"/>
  <c r="J161" i="3"/>
  <c r="I162" i="3"/>
  <c r="J162" i="3"/>
  <c r="I163" i="3"/>
  <c r="J163" i="3"/>
  <c r="I164" i="3"/>
  <c r="J164" i="3"/>
  <c r="I165" i="3"/>
  <c r="J165" i="3"/>
  <c r="I166" i="3"/>
  <c r="J166" i="3"/>
  <c r="I167" i="3"/>
  <c r="J167" i="3"/>
  <c r="I168" i="3"/>
  <c r="J168" i="3"/>
  <c r="I169" i="3"/>
  <c r="J169" i="3"/>
  <c r="I170" i="3"/>
  <c r="J170" i="3"/>
  <c r="I171" i="3"/>
  <c r="J171" i="3"/>
  <c r="I172" i="3"/>
  <c r="J172" i="3"/>
  <c r="I173" i="3"/>
  <c r="J173" i="3"/>
  <c r="I174" i="3"/>
  <c r="J174" i="3"/>
  <c r="I175" i="3"/>
  <c r="J175" i="3"/>
  <c r="I176" i="3"/>
  <c r="J176" i="3"/>
  <c r="I177" i="3"/>
  <c r="J177" i="3"/>
  <c r="I178" i="3"/>
  <c r="J178" i="3"/>
  <c r="I179" i="3"/>
  <c r="J179" i="3"/>
  <c r="I180" i="3"/>
  <c r="J180" i="3"/>
  <c r="I181" i="3"/>
  <c r="J181" i="3"/>
  <c r="I182" i="3"/>
  <c r="J182" i="3"/>
  <c r="I183" i="3"/>
  <c r="J183" i="3"/>
  <c r="I184" i="3"/>
  <c r="J184" i="3"/>
  <c r="I185" i="3"/>
  <c r="J185" i="3"/>
  <c r="I186" i="3"/>
  <c r="J186" i="3"/>
  <c r="I187" i="3"/>
  <c r="J187" i="3"/>
  <c r="I188" i="3"/>
  <c r="J188" i="3"/>
  <c r="I189" i="3"/>
  <c r="J189" i="3"/>
  <c r="I190" i="3"/>
  <c r="J190" i="3"/>
  <c r="I191" i="3"/>
  <c r="J191" i="3"/>
  <c r="I192" i="3"/>
  <c r="J192" i="3"/>
  <c r="I193" i="3"/>
  <c r="J193" i="3"/>
  <c r="I194" i="3"/>
  <c r="J194" i="3"/>
  <c r="I195" i="3"/>
  <c r="J195" i="3"/>
  <c r="I196" i="3"/>
  <c r="J196" i="3"/>
  <c r="I197" i="3"/>
  <c r="J197" i="3"/>
  <c r="I198" i="3"/>
  <c r="J198" i="3"/>
  <c r="I199" i="3"/>
  <c r="J199" i="3"/>
  <c r="I200" i="3"/>
  <c r="J200" i="3"/>
  <c r="I201" i="3"/>
  <c r="J201" i="3"/>
  <c r="I202" i="3"/>
  <c r="J202" i="3"/>
  <c r="I203" i="3"/>
  <c r="J203" i="3"/>
  <c r="I204" i="3"/>
  <c r="J204" i="3"/>
  <c r="I205" i="3"/>
  <c r="J205" i="3"/>
  <c r="I206" i="3"/>
  <c r="J206" i="3"/>
  <c r="I207" i="3"/>
  <c r="J207" i="3"/>
  <c r="I208" i="3"/>
  <c r="J208" i="3"/>
  <c r="I209" i="3"/>
  <c r="J209" i="3"/>
  <c r="I210" i="3"/>
  <c r="J210" i="3"/>
  <c r="I211" i="3"/>
  <c r="J211" i="3"/>
  <c r="I212" i="3"/>
  <c r="J212" i="3"/>
  <c r="I213" i="3"/>
  <c r="J213" i="3"/>
  <c r="I214" i="3"/>
  <c r="J214" i="3"/>
  <c r="I215" i="3"/>
  <c r="J215" i="3"/>
  <c r="I216" i="3"/>
  <c r="J216" i="3"/>
  <c r="I217" i="3"/>
  <c r="J217" i="3"/>
  <c r="I218" i="3"/>
  <c r="J218" i="3"/>
  <c r="I219" i="3"/>
  <c r="J219" i="3"/>
  <c r="I220" i="3"/>
  <c r="J220" i="3"/>
  <c r="I221" i="3"/>
  <c r="J221" i="3"/>
  <c r="I222" i="3"/>
  <c r="J222" i="3"/>
  <c r="I223" i="3"/>
  <c r="J223" i="3"/>
  <c r="I224" i="3"/>
  <c r="J224" i="3"/>
  <c r="I225" i="3"/>
  <c r="J225" i="3"/>
  <c r="I226" i="3"/>
  <c r="J226" i="3"/>
  <c r="I227" i="3"/>
  <c r="J227" i="3"/>
  <c r="I228" i="3"/>
  <c r="J228" i="3"/>
  <c r="I229" i="3"/>
  <c r="J229" i="3"/>
  <c r="I230" i="3"/>
  <c r="J230" i="3"/>
  <c r="I231" i="3"/>
  <c r="J231" i="3"/>
  <c r="I232" i="3"/>
  <c r="J232" i="3"/>
  <c r="I233" i="3"/>
  <c r="J233" i="3"/>
  <c r="I234" i="3"/>
  <c r="J234" i="3"/>
  <c r="I235" i="3"/>
  <c r="J235" i="3"/>
  <c r="I236" i="3"/>
  <c r="J236" i="3"/>
  <c r="I237" i="3"/>
  <c r="J237" i="3"/>
  <c r="I238" i="3"/>
  <c r="J238" i="3"/>
  <c r="I239" i="3"/>
  <c r="J239" i="3"/>
  <c r="I240" i="3"/>
  <c r="J240" i="3"/>
  <c r="I241" i="3"/>
  <c r="J241" i="3"/>
  <c r="I242" i="3"/>
  <c r="J242" i="3"/>
  <c r="I243" i="3"/>
  <c r="J243" i="3"/>
  <c r="I244" i="3"/>
  <c r="J244" i="3"/>
  <c r="I245" i="3"/>
  <c r="J245" i="3"/>
  <c r="I246" i="3"/>
  <c r="J246" i="3"/>
  <c r="I247" i="3"/>
  <c r="J247" i="3"/>
  <c r="I248" i="3"/>
  <c r="J248" i="3"/>
  <c r="I249" i="3"/>
  <c r="J249" i="3"/>
  <c r="I250" i="3"/>
  <c r="J250" i="3"/>
  <c r="I251" i="3"/>
  <c r="J251" i="3"/>
  <c r="I252" i="3"/>
  <c r="J252" i="3"/>
  <c r="I253" i="3"/>
  <c r="J253" i="3"/>
  <c r="I254" i="3"/>
  <c r="J254" i="3"/>
  <c r="I255" i="3"/>
  <c r="J255" i="3"/>
  <c r="I256" i="3"/>
  <c r="J256" i="3"/>
  <c r="I257" i="3"/>
  <c r="J257" i="3"/>
  <c r="I258" i="3"/>
  <c r="J258" i="3"/>
  <c r="I259" i="3"/>
  <c r="J259" i="3"/>
  <c r="I260" i="3"/>
  <c r="J260" i="3"/>
  <c r="I261" i="3"/>
  <c r="J261" i="3"/>
  <c r="I262" i="3"/>
  <c r="J262" i="3"/>
  <c r="I263" i="3"/>
  <c r="J263" i="3"/>
  <c r="I264" i="3"/>
  <c r="J264" i="3"/>
  <c r="I265" i="3"/>
  <c r="J265" i="3"/>
  <c r="I266" i="3"/>
  <c r="J266" i="3"/>
  <c r="I267" i="3"/>
  <c r="J267" i="3"/>
  <c r="I268" i="3"/>
  <c r="J268" i="3"/>
  <c r="I269" i="3"/>
  <c r="J269" i="3"/>
  <c r="I270" i="3"/>
  <c r="J270" i="3"/>
  <c r="I271" i="3"/>
  <c r="J271" i="3"/>
  <c r="I272" i="3"/>
  <c r="J272" i="3"/>
  <c r="I273" i="3"/>
  <c r="J273" i="3"/>
  <c r="I274" i="3"/>
  <c r="J274" i="3"/>
  <c r="I275" i="3"/>
  <c r="J275" i="3"/>
  <c r="I276" i="3"/>
  <c r="J276" i="3"/>
  <c r="I277" i="3"/>
  <c r="J277" i="3"/>
  <c r="I278" i="3"/>
  <c r="J278" i="3"/>
  <c r="I279" i="3"/>
  <c r="J279" i="3"/>
  <c r="I280" i="3"/>
  <c r="J280" i="3"/>
  <c r="I281" i="3"/>
  <c r="J281" i="3"/>
  <c r="I282" i="3"/>
  <c r="J282" i="3"/>
  <c r="I283" i="3"/>
  <c r="J283" i="3"/>
  <c r="I284" i="3"/>
  <c r="J284" i="3"/>
  <c r="I285" i="3"/>
  <c r="J285" i="3"/>
  <c r="I286" i="3"/>
  <c r="J286" i="3"/>
  <c r="I287" i="3"/>
  <c r="J287" i="3"/>
  <c r="I288" i="3"/>
  <c r="J288" i="3"/>
  <c r="I289" i="3"/>
  <c r="J289" i="3"/>
  <c r="I290" i="3"/>
  <c r="J290" i="3"/>
  <c r="I291" i="3"/>
  <c r="J291" i="3"/>
  <c r="I292" i="3"/>
  <c r="J292" i="3"/>
  <c r="I293" i="3"/>
  <c r="J293" i="3"/>
  <c r="I294" i="3"/>
  <c r="J294" i="3"/>
  <c r="I295" i="3"/>
  <c r="J295" i="3"/>
  <c r="I296" i="3"/>
  <c r="J296" i="3"/>
  <c r="I297" i="3"/>
  <c r="J297" i="3"/>
  <c r="I298" i="3"/>
  <c r="J298" i="3"/>
  <c r="I299" i="3"/>
  <c r="J299" i="3"/>
  <c r="I300" i="3"/>
  <c r="J300" i="3"/>
  <c r="I301" i="3"/>
  <c r="J301" i="3"/>
  <c r="I302" i="3"/>
  <c r="J302" i="3"/>
  <c r="I303" i="3"/>
  <c r="J303" i="3"/>
  <c r="I304" i="3"/>
  <c r="J304" i="3"/>
  <c r="I305" i="3"/>
  <c r="J305" i="3"/>
  <c r="I306" i="3"/>
  <c r="J306" i="3"/>
  <c r="I307" i="3"/>
  <c r="J307" i="3"/>
  <c r="I308" i="3"/>
  <c r="J308" i="3"/>
  <c r="I309" i="3"/>
  <c r="J309" i="3"/>
  <c r="I310" i="3"/>
  <c r="J310" i="3"/>
  <c r="I311" i="3"/>
  <c r="J311" i="3"/>
  <c r="I312" i="3"/>
  <c r="J312" i="3"/>
  <c r="I313" i="3"/>
  <c r="J313" i="3"/>
  <c r="I314" i="3"/>
  <c r="J314" i="3"/>
  <c r="I315" i="3"/>
  <c r="J315" i="3"/>
  <c r="I316" i="3"/>
  <c r="J316" i="3"/>
  <c r="I317" i="3"/>
  <c r="J317" i="3"/>
  <c r="I318" i="3"/>
  <c r="J318" i="3"/>
  <c r="I319" i="3"/>
  <c r="J319" i="3"/>
  <c r="I320" i="3"/>
  <c r="J320" i="3"/>
  <c r="I321" i="3"/>
  <c r="J321" i="3"/>
  <c r="I322" i="3"/>
  <c r="J322" i="3"/>
  <c r="I323" i="3"/>
  <c r="J323" i="3"/>
  <c r="I324" i="3"/>
  <c r="J324" i="3"/>
  <c r="I325" i="3"/>
  <c r="J325" i="3"/>
  <c r="I326" i="3"/>
  <c r="J326" i="3"/>
  <c r="I327" i="3"/>
  <c r="J327" i="3"/>
  <c r="I328" i="3"/>
  <c r="J328" i="3"/>
  <c r="I329" i="3"/>
  <c r="J329" i="3"/>
  <c r="I330" i="3"/>
  <c r="J330" i="3"/>
  <c r="I331" i="3"/>
  <c r="J331" i="3"/>
  <c r="I332" i="3"/>
  <c r="J332" i="3"/>
  <c r="I333" i="3"/>
  <c r="J333" i="3"/>
  <c r="I334" i="3"/>
  <c r="J334" i="3"/>
  <c r="I335" i="3"/>
  <c r="J335" i="3"/>
  <c r="I336" i="3"/>
  <c r="J336" i="3"/>
  <c r="I337" i="3"/>
  <c r="J337" i="3"/>
  <c r="I338" i="3"/>
  <c r="J338" i="3"/>
  <c r="I339" i="3"/>
  <c r="J339" i="3"/>
  <c r="I340" i="3"/>
  <c r="J340" i="3"/>
  <c r="I341" i="3"/>
  <c r="J341" i="3"/>
  <c r="I342" i="3"/>
  <c r="J342" i="3"/>
  <c r="I343" i="3"/>
  <c r="J343" i="3"/>
  <c r="I344" i="3"/>
  <c r="J344" i="3"/>
  <c r="I345" i="3"/>
  <c r="J345" i="3"/>
  <c r="I346" i="3"/>
  <c r="J346" i="3"/>
  <c r="I347" i="3"/>
  <c r="J347" i="3"/>
  <c r="I348" i="3"/>
  <c r="J348" i="3"/>
  <c r="I349" i="3"/>
  <c r="J349" i="3"/>
  <c r="I350" i="3"/>
  <c r="J350" i="3"/>
  <c r="I351" i="3"/>
  <c r="J351" i="3"/>
  <c r="I352" i="3"/>
  <c r="J352" i="3"/>
  <c r="I353" i="3"/>
  <c r="J353" i="3"/>
  <c r="I354" i="3"/>
  <c r="J354" i="3"/>
  <c r="I355" i="3"/>
  <c r="J355" i="3"/>
  <c r="I356" i="3"/>
  <c r="J356" i="3"/>
  <c r="I357" i="3"/>
  <c r="J357" i="3"/>
  <c r="I358" i="3"/>
  <c r="J358" i="3"/>
  <c r="I359" i="3"/>
  <c r="J359" i="3"/>
  <c r="I360" i="3"/>
  <c r="J360" i="3"/>
  <c r="I361" i="3"/>
  <c r="J361" i="3"/>
  <c r="I362" i="3"/>
  <c r="J362" i="3"/>
  <c r="I363" i="3"/>
  <c r="J363" i="3"/>
  <c r="I364" i="3"/>
  <c r="J364" i="3"/>
  <c r="I365" i="3"/>
  <c r="J365" i="3"/>
  <c r="I366" i="3"/>
  <c r="J366" i="3"/>
  <c r="I367" i="3"/>
  <c r="J367" i="3"/>
  <c r="I368" i="3"/>
  <c r="J368" i="3"/>
  <c r="I369" i="3"/>
  <c r="J369" i="3"/>
  <c r="I370" i="3"/>
  <c r="J370" i="3"/>
  <c r="I371" i="3"/>
  <c r="J371" i="3"/>
  <c r="I372" i="3"/>
  <c r="J372" i="3"/>
  <c r="I373" i="3"/>
  <c r="J373" i="3"/>
  <c r="I374" i="3"/>
  <c r="J374" i="3"/>
  <c r="I375" i="3"/>
  <c r="J375" i="3"/>
  <c r="I376" i="3"/>
  <c r="J376" i="3"/>
  <c r="I377" i="3"/>
  <c r="J377" i="3"/>
  <c r="I378" i="3"/>
  <c r="J378" i="3"/>
  <c r="I379" i="3"/>
  <c r="J379" i="3"/>
  <c r="I380" i="3"/>
  <c r="J380" i="3"/>
  <c r="I381" i="3"/>
  <c r="J381" i="3"/>
  <c r="I382" i="3"/>
  <c r="J382" i="3"/>
  <c r="I383" i="3"/>
  <c r="J383" i="3"/>
  <c r="I384" i="3"/>
  <c r="J384" i="3"/>
  <c r="I385" i="3"/>
  <c r="J385" i="3"/>
  <c r="I386" i="3"/>
  <c r="J386" i="3"/>
  <c r="I387" i="3"/>
  <c r="J387" i="3"/>
  <c r="I388" i="3"/>
  <c r="J388" i="3"/>
  <c r="I389" i="3"/>
  <c r="J389" i="3"/>
  <c r="I390" i="3"/>
  <c r="J390" i="3"/>
  <c r="I391" i="3"/>
  <c r="J391" i="3"/>
  <c r="I392" i="3"/>
  <c r="J392" i="3"/>
  <c r="I393" i="3"/>
  <c r="J393" i="3"/>
  <c r="I394" i="3"/>
  <c r="J394" i="3"/>
  <c r="I395" i="3"/>
  <c r="J395" i="3"/>
  <c r="I396" i="3"/>
  <c r="J396" i="3"/>
  <c r="I397" i="3"/>
  <c r="J397" i="3"/>
  <c r="I398" i="3"/>
  <c r="J398" i="3"/>
  <c r="I399" i="3"/>
  <c r="J399" i="3"/>
  <c r="I400" i="3"/>
  <c r="J400" i="3"/>
  <c r="I401" i="3"/>
  <c r="J401" i="3"/>
  <c r="I402" i="3"/>
  <c r="J402" i="3"/>
  <c r="I403" i="3"/>
  <c r="J403" i="3"/>
  <c r="I404" i="3"/>
  <c r="J404" i="3"/>
  <c r="I405" i="3"/>
  <c r="J405" i="3"/>
  <c r="I406" i="3"/>
  <c r="J406" i="3"/>
  <c r="I407" i="3"/>
  <c r="J407" i="3"/>
  <c r="I408" i="3"/>
  <c r="J408" i="3"/>
  <c r="I409" i="3"/>
  <c r="J409" i="3"/>
  <c r="I410" i="3"/>
  <c r="J410" i="3"/>
  <c r="I411" i="3"/>
  <c r="J411" i="3"/>
  <c r="I412" i="3"/>
  <c r="J412" i="3"/>
  <c r="I413" i="3"/>
  <c r="J413" i="3"/>
  <c r="I414" i="3"/>
  <c r="J414" i="3"/>
  <c r="I415" i="3"/>
  <c r="J415" i="3"/>
  <c r="I416" i="3"/>
  <c r="J416" i="3"/>
  <c r="I417" i="3"/>
  <c r="J417" i="3"/>
  <c r="I418" i="3"/>
  <c r="J418" i="3"/>
  <c r="I419" i="3"/>
  <c r="J419" i="3"/>
  <c r="I420" i="3"/>
  <c r="J420" i="3"/>
  <c r="I421" i="3"/>
  <c r="J421" i="3"/>
  <c r="I422" i="3"/>
  <c r="J422" i="3"/>
  <c r="I423" i="3"/>
  <c r="J423" i="3"/>
  <c r="I424" i="3"/>
  <c r="J424" i="3"/>
  <c r="I425" i="3"/>
  <c r="J425" i="3"/>
  <c r="I426" i="3"/>
  <c r="J426" i="3"/>
  <c r="I427" i="3"/>
  <c r="J427" i="3"/>
  <c r="I428" i="3"/>
  <c r="J428" i="3"/>
  <c r="I429" i="3"/>
  <c r="J429" i="3"/>
  <c r="I430" i="3"/>
  <c r="J430" i="3"/>
  <c r="I431" i="3"/>
  <c r="J431" i="3"/>
  <c r="I432" i="3"/>
  <c r="J432" i="3"/>
  <c r="I433" i="3"/>
  <c r="J433" i="3"/>
  <c r="I434" i="3"/>
  <c r="J434" i="3"/>
  <c r="I435" i="3"/>
  <c r="J435" i="3"/>
  <c r="I436" i="3"/>
  <c r="J436" i="3"/>
  <c r="I437" i="3"/>
  <c r="J437" i="3"/>
  <c r="I438" i="3"/>
  <c r="J438" i="3"/>
  <c r="I439" i="3"/>
  <c r="J439" i="3"/>
  <c r="I440" i="3"/>
  <c r="J440" i="3"/>
  <c r="I441" i="3"/>
  <c r="J441" i="3"/>
  <c r="I442" i="3"/>
  <c r="J442" i="3"/>
  <c r="I443" i="3"/>
  <c r="J443" i="3"/>
  <c r="I444" i="3"/>
  <c r="J444" i="3"/>
  <c r="I445" i="3"/>
  <c r="J445" i="3"/>
  <c r="I446" i="3"/>
  <c r="J446" i="3"/>
  <c r="I447" i="3"/>
  <c r="J447" i="3"/>
  <c r="I448" i="3"/>
  <c r="J448" i="3"/>
  <c r="I449" i="3"/>
  <c r="J449" i="3"/>
  <c r="I450" i="3"/>
  <c r="J450" i="3"/>
  <c r="I451" i="3"/>
  <c r="J451" i="3"/>
  <c r="I452" i="3"/>
  <c r="J452" i="3"/>
  <c r="I453" i="3"/>
  <c r="J453" i="3"/>
  <c r="I454" i="3"/>
  <c r="J454" i="3"/>
  <c r="I455" i="3"/>
  <c r="J455" i="3"/>
  <c r="I456" i="3"/>
  <c r="J456" i="3"/>
  <c r="I457" i="3"/>
  <c r="J457" i="3"/>
  <c r="I458" i="3"/>
  <c r="J458" i="3"/>
  <c r="I459" i="3"/>
  <c r="J459" i="3"/>
  <c r="I460" i="3"/>
  <c r="J460" i="3"/>
  <c r="I461" i="3"/>
  <c r="J461" i="3"/>
  <c r="I462" i="3"/>
  <c r="J462" i="3"/>
  <c r="I463" i="3"/>
  <c r="J463" i="3"/>
  <c r="I464" i="3"/>
  <c r="J464" i="3"/>
  <c r="I465" i="3"/>
  <c r="J465" i="3"/>
  <c r="I466" i="3"/>
  <c r="J466" i="3"/>
  <c r="I467" i="3"/>
  <c r="J467" i="3"/>
  <c r="I468" i="3"/>
  <c r="J468" i="3"/>
  <c r="I469" i="3"/>
  <c r="J469" i="3"/>
  <c r="I470" i="3"/>
  <c r="J470" i="3"/>
  <c r="I471" i="3"/>
  <c r="J471" i="3"/>
  <c r="I472" i="3"/>
  <c r="J472" i="3"/>
  <c r="I473" i="3"/>
  <c r="J473" i="3"/>
  <c r="I474" i="3"/>
  <c r="J474" i="3"/>
  <c r="J3" i="3"/>
  <c r="I3" i="3"/>
  <c r="B4" i="8" s="1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K51" i="2"/>
  <c r="J21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H29" i="2"/>
  <c r="I29" i="2"/>
  <c r="H30" i="2"/>
  <c r="I30" i="2"/>
  <c r="H31" i="2"/>
  <c r="I31" i="2"/>
  <c r="H32" i="2"/>
  <c r="I32" i="2"/>
  <c r="H33" i="2"/>
  <c r="I33" i="2"/>
  <c r="H34" i="2"/>
  <c r="I34" i="2"/>
  <c r="H35" i="2"/>
  <c r="I35" i="2"/>
  <c r="H36" i="2"/>
  <c r="I36" i="2"/>
  <c r="H37" i="2"/>
  <c r="I37" i="2"/>
  <c r="H38" i="2"/>
  <c r="I38" i="2"/>
  <c r="H39" i="2"/>
  <c r="I39" i="2"/>
  <c r="H40" i="2"/>
  <c r="I40" i="2"/>
  <c r="H41" i="2"/>
  <c r="I41" i="2"/>
  <c r="H42" i="2"/>
  <c r="I42" i="2"/>
  <c r="H43" i="2"/>
  <c r="I43" i="2"/>
  <c r="H44" i="2"/>
  <c r="I44" i="2"/>
  <c r="H45" i="2"/>
  <c r="I45" i="2"/>
  <c r="H46" i="2"/>
  <c r="I46" i="2"/>
  <c r="H47" i="2"/>
  <c r="I47" i="2"/>
  <c r="H48" i="2"/>
  <c r="I48" i="2"/>
  <c r="H49" i="2"/>
  <c r="I49" i="2"/>
  <c r="H50" i="2"/>
  <c r="I50" i="2"/>
  <c r="H51" i="2"/>
  <c r="I51" i="2"/>
  <c r="H52" i="2"/>
  <c r="I52" i="2"/>
  <c r="H53" i="2"/>
  <c r="I53" i="2"/>
  <c r="H54" i="2"/>
  <c r="I54" i="2"/>
  <c r="H55" i="2"/>
  <c r="I55" i="2"/>
  <c r="H56" i="2"/>
  <c r="I56" i="2"/>
  <c r="H57" i="2"/>
  <c r="I57" i="2"/>
  <c r="H58" i="2"/>
  <c r="I58" i="2"/>
  <c r="H59" i="2"/>
  <c r="I59" i="2"/>
  <c r="H60" i="2"/>
  <c r="I60" i="2"/>
  <c r="H61" i="2"/>
  <c r="I61" i="2"/>
  <c r="H62" i="2"/>
  <c r="I62" i="2"/>
  <c r="H63" i="2"/>
  <c r="I63" i="2"/>
  <c r="H64" i="2"/>
  <c r="I64" i="2"/>
  <c r="H65" i="2"/>
  <c r="I65" i="2"/>
  <c r="H66" i="2"/>
  <c r="I66" i="2"/>
  <c r="H67" i="2"/>
  <c r="I67" i="2"/>
  <c r="H68" i="2"/>
  <c r="I68" i="2"/>
  <c r="H69" i="2"/>
  <c r="I69" i="2"/>
  <c r="H70" i="2"/>
  <c r="I70" i="2"/>
  <c r="H71" i="2"/>
  <c r="I71" i="2"/>
  <c r="H72" i="2"/>
  <c r="I72" i="2"/>
  <c r="H73" i="2"/>
  <c r="I73" i="2"/>
  <c r="H74" i="2"/>
  <c r="I74" i="2"/>
  <c r="H75" i="2"/>
  <c r="I75" i="2"/>
  <c r="H76" i="2"/>
  <c r="I76" i="2"/>
  <c r="H77" i="2"/>
  <c r="I77" i="2"/>
  <c r="H78" i="2"/>
  <c r="I78" i="2"/>
  <c r="H79" i="2"/>
  <c r="I79" i="2"/>
  <c r="H80" i="2"/>
  <c r="I80" i="2"/>
  <c r="H81" i="2"/>
  <c r="I81" i="2"/>
  <c r="H82" i="2"/>
  <c r="I82" i="2"/>
  <c r="H83" i="2"/>
  <c r="I83" i="2"/>
  <c r="H84" i="2"/>
  <c r="I84" i="2"/>
  <c r="H85" i="2"/>
  <c r="I85" i="2"/>
  <c r="H86" i="2"/>
  <c r="I86" i="2"/>
  <c r="H87" i="2"/>
  <c r="I87" i="2"/>
  <c r="H88" i="2"/>
  <c r="I88" i="2"/>
  <c r="H89" i="2"/>
  <c r="I89" i="2"/>
  <c r="H90" i="2"/>
  <c r="I90" i="2"/>
  <c r="H91" i="2"/>
  <c r="I91" i="2"/>
  <c r="H92" i="2"/>
  <c r="I92" i="2"/>
  <c r="H93" i="2"/>
  <c r="I93" i="2"/>
  <c r="H94" i="2"/>
  <c r="I94" i="2"/>
  <c r="H95" i="2"/>
  <c r="I95" i="2"/>
  <c r="H96" i="2"/>
  <c r="I96" i="2"/>
  <c r="H97" i="2"/>
  <c r="I97" i="2"/>
  <c r="H98" i="2"/>
  <c r="I98" i="2"/>
  <c r="H99" i="2"/>
  <c r="I99" i="2"/>
  <c r="H100" i="2"/>
  <c r="I100" i="2"/>
  <c r="H101" i="2"/>
  <c r="I101" i="2"/>
  <c r="H102" i="2"/>
  <c r="I102" i="2"/>
  <c r="H103" i="2"/>
  <c r="I103" i="2"/>
  <c r="H104" i="2"/>
  <c r="I104" i="2"/>
  <c r="H105" i="2"/>
  <c r="I105" i="2"/>
  <c r="H106" i="2"/>
  <c r="I106" i="2"/>
  <c r="H107" i="2"/>
  <c r="I107" i="2"/>
  <c r="H108" i="2"/>
  <c r="I108" i="2"/>
  <c r="H109" i="2"/>
  <c r="I109" i="2"/>
  <c r="H110" i="2"/>
  <c r="I110" i="2"/>
  <c r="H111" i="2"/>
  <c r="I111" i="2"/>
  <c r="H112" i="2"/>
  <c r="I112" i="2"/>
  <c r="H113" i="2"/>
  <c r="I113" i="2"/>
  <c r="H114" i="2"/>
  <c r="I114" i="2"/>
  <c r="H115" i="2"/>
  <c r="I115" i="2"/>
  <c r="H116" i="2"/>
  <c r="I116" i="2"/>
  <c r="H117" i="2"/>
  <c r="I117" i="2"/>
  <c r="H118" i="2"/>
  <c r="I118" i="2"/>
  <c r="H119" i="2"/>
  <c r="I119" i="2"/>
  <c r="H120" i="2"/>
  <c r="I120" i="2"/>
  <c r="H121" i="2"/>
  <c r="I121" i="2"/>
  <c r="H122" i="2"/>
  <c r="I122" i="2"/>
  <c r="H123" i="2"/>
  <c r="I123" i="2"/>
  <c r="H124" i="2"/>
  <c r="I124" i="2"/>
  <c r="H125" i="2"/>
  <c r="I125" i="2"/>
  <c r="H126" i="2"/>
  <c r="I126" i="2"/>
  <c r="H127" i="2"/>
  <c r="I127" i="2"/>
  <c r="H128" i="2"/>
  <c r="I128" i="2"/>
  <c r="H129" i="2"/>
  <c r="I129" i="2"/>
  <c r="H130" i="2"/>
  <c r="I130" i="2"/>
  <c r="H131" i="2"/>
  <c r="I131" i="2"/>
  <c r="H132" i="2"/>
  <c r="I132" i="2"/>
  <c r="H133" i="2"/>
  <c r="I133" i="2"/>
  <c r="H134" i="2"/>
  <c r="I134" i="2"/>
  <c r="H135" i="2"/>
  <c r="I135" i="2"/>
  <c r="H136" i="2"/>
  <c r="I136" i="2"/>
  <c r="H137" i="2"/>
  <c r="I137" i="2"/>
  <c r="H138" i="2"/>
  <c r="I138" i="2"/>
  <c r="H139" i="2"/>
  <c r="I139" i="2"/>
  <c r="H140" i="2"/>
  <c r="I140" i="2"/>
  <c r="H141" i="2"/>
  <c r="I141" i="2"/>
  <c r="H142" i="2"/>
  <c r="I142" i="2"/>
  <c r="H143" i="2"/>
  <c r="I143" i="2"/>
  <c r="H144" i="2"/>
  <c r="I144" i="2"/>
  <c r="H145" i="2"/>
  <c r="I145" i="2"/>
  <c r="H146" i="2"/>
  <c r="I146" i="2"/>
  <c r="H147" i="2"/>
  <c r="I147" i="2"/>
  <c r="H148" i="2"/>
  <c r="I148" i="2"/>
  <c r="H149" i="2"/>
  <c r="I149" i="2"/>
  <c r="H150" i="2"/>
  <c r="I150" i="2"/>
  <c r="H151" i="2"/>
  <c r="I151" i="2"/>
  <c r="H152" i="2"/>
  <c r="I152" i="2"/>
  <c r="H153" i="2"/>
  <c r="I153" i="2"/>
  <c r="H154" i="2"/>
  <c r="I154" i="2"/>
  <c r="H155" i="2"/>
  <c r="I155" i="2"/>
  <c r="H156" i="2"/>
  <c r="I156" i="2"/>
  <c r="H157" i="2"/>
  <c r="I157" i="2"/>
  <c r="H158" i="2"/>
  <c r="I158" i="2"/>
  <c r="H159" i="2"/>
  <c r="I159" i="2"/>
  <c r="H160" i="2"/>
  <c r="I160" i="2"/>
  <c r="H161" i="2"/>
  <c r="I161" i="2"/>
  <c r="H162" i="2"/>
  <c r="I162" i="2"/>
  <c r="H163" i="2"/>
  <c r="I163" i="2"/>
  <c r="H164" i="2"/>
  <c r="I164" i="2"/>
  <c r="H165" i="2"/>
  <c r="I165" i="2"/>
  <c r="H166" i="2"/>
  <c r="I166" i="2"/>
  <c r="H167" i="2"/>
  <c r="I167" i="2"/>
  <c r="H168" i="2"/>
  <c r="I168" i="2"/>
  <c r="H169" i="2"/>
  <c r="I169" i="2"/>
  <c r="H170" i="2"/>
  <c r="I170" i="2"/>
  <c r="H171" i="2"/>
  <c r="I171" i="2"/>
  <c r="H172" i="2"/>
  <c r="I172" i="2"/>
  <c r="H173" i="2"/>
  <c r="I173" i="2"/>
  <c r="H174" i="2"/>
  <c r="I174" i="2"/>
  <c r="H175" i="2"/>
  <c r="I175" i="2"/>
  <c r="H176" i="2"/>
  <c r="I176" i="2"/>
  <c r="H177" i="2"/>
  <c r="I177" i="2"/>
  <c r="H178" i="2"/>
  <c r="I178" i="2"/>
  <c r="H179" i="2"/>
  <c r="I179" i="2"/>
  <c r="H180" i="2"/>
  <c r="I180" i="2"/>
  <c r="H181" i="2"/>
  <c r="I181" i="2"/>
  <c r="H182" i="2"/>
  <c r="I182" i="2"/>
  <c r="H183" i="2"/>
  <c r="I183" i="2"/>
  <c r="H184" i="2"/>
  <c r="I184" i="2"/>
  <c r="H185" i="2"/>
  <c r="I185" i="2"/>
  <c r="H186" i="2"/>
  <c r="I186" i="2"/>
  <c r="H187" i="2"/>
  <c r="I187" i="2"/>
  <c r="H188" i="2"/>
  <c r="I188" i="2"/>
  <c r="H189" i="2"/>
  <c r="I189" i="2"/>
  <c r="H190" i="2"/>
  <c r="I190" i="2"/>
  <c r="H191" i="2"/>
  <c r="I191" i="2"/>
  <c r="H192" i="2"/>
  <c r="I192" i="2"/>
  <c r="H193" i="2"/>
  <c r="I193" i="2"/>
  <c r="H194" i="2"/>
  <c r="I194" i="2"/>
  <c r="H195" i="2"/>
  <c r="I195" i="2"/>
  <c r="H196" i="2"/>
  <c r="I196" i="2"/>
  <c r="H197" i="2"/>
  <c r="I197" i="2"/>
  <c r="H198" i="2"/>
  <c r="I198" i="2"/>
  <c r="H199" i="2"/>
  <c r="I199" i="2"/>
  <c r="H200" i="2"/>
  <c r="I200" i="2"/>
  <c r="H201" i="2"/>
  <c r="I201" i="2"/>
  <c r="H202" i="2"/>
  <c r="I202" i="2"/>
  <c r="H203" i="2"/>
  <c r="I203" i="2"/>
  <c r="H204" i="2"/>
  <c r="I204" i="2"/>
  <c r="H205" i="2"/>
  <c r="I205" i="2"/>
  <c r="H206" i="2"/>
  <c r="I206" i="2"/>
  <c r="H207" i="2"/>
  <c r="I207" i="2"/>
  <c r="H208" i="2"/>
  <c r="I208" i="2"/>
  <c r="H209" i="2"/>
  <c r="I209" i="2"/>
  <c r="H210" i="2"/>
  <c r="I210" i="2"/>
  <c r="H211" i="2"/>
  <c r="I211" i="2"/>
  <c r="H212" i="2"/>
  <c r="I212" i="2"/>
  <c r="H213" i="2"/>
  <c r="I213" i="2"/>
  <c r="H214" i="2"/>
  <c r="I214" i="2"/>
  <c r="H215" i="2"/>
  <c r="I215" i="2"/>
  <c r="H216" i="2"/>
  <c r="I216" i="2"/>
  <c r="H217" i="2"/>
  <c r="I217" i="2"/>
  <c r="H218" i="2"/>
  <c r="I218" i="2"/>
  <c r="H219" i="2"/>
  <c r="I219" i="2"/>
  <c r="H220" i="2"/>
  <c r="I220" i="2"/>
  <c r="H221" i="2"/>
  <c r="I221" i="2"/>
  <c r="H222" i="2"/>
  <c r="I222" i="2"/>
  <c r="H223" i="2"/>
  <c r="I223" i="2"/>
  <c r="H224" i="2"/>
  <c r="I224" i="2"/>
  <c r="H225" i="2"/>
  <c r="I225" i="2"/>
  <c r="H226" i="2"/>
  <c r="I226" i="2"/>
  <c r="H227" i="2"/>
  <c r="I227" i="2"/>
  <c r="H228" i="2"/>
  <c r="I228" i="2"/>
  <c r="H229" i="2"/>
  <c r="I229" i="2"/>
  <c r="H230" i="2"/>
  <c r="I230" i="2"/>
  <c r="H231" i="2"/>
  <c r="I231" i="2"/>
  <c r="H232" i="2"/>
  <c r="I232" i="2"/>
  <c r="H233" i="2"/>
  <c r="I233" i="2"/>
  <c r="H234" i="2"/>
  <c r="I234" i="2"/>
  <c r="H235" i="2"/>
  <c r="I235" i="2"/>
  <c r="H236" i="2"/>
  <c r="I236" i="2"/>
  <c r="H237" i="2"/>
  <c r="I237" i="2"/>
  <c r="H238" i="2"/>
  <c r="I238" i="2"/>
  <c r="H239" i="2"/>
  <c r="I239" i="2"/>
  <c r="H240" i="2"/>
  <c r="I240" i="2"/>
  <c r="H241" i="2"/>
  <c r="I241" i="2"/>
  <c r="H242" i="2"/>
  <c r="I242" i="2"/>
  <c r="H243" i="2"/>
  <c r="I243" i="2"/>
  <c r="H244" i="2"/>
  <c r="I244" i="2"/>
  <c r="H245" i="2"/>
  <c r="I245" i="2"/>
  <c r="H246" i="2"/>
  <c r="I246" i="2"/>
  <c r="H247" i="2"/>
  <c r="I247" i="2"/>
  <c r="H248" i="2"/>
  <c r="I248" i="2"/>
  <c r="H249" i="2"/>
  <c r="I249" i="2"/>
  <c r="H250" i="2"/>
  <c r="I250" i="2"/>
  <c r="H251" i="2"/>
  <c r="I251" i="2"/>
  <c r="H252" i="2"/>
  <c r="I252" i="2"/>
  <c r="H253" i="2"/>
  <c r="I253" i="2"/>
  <c r="H254" i="2"/>
  <c r="I254" i="2"/>
  <c r="H255" i="2"/>
  <c r="I255" i="2"/>
  <c r="H256" i="2"/>
  <c r="I256" i="2"/>
  <c r="H257" i="2"/>
  <c r="I257" i="2"/>
  <c r="H258" i="2"/>
  <c r="I258" i="2"/>
  <c r="H259" i="2"/>
  <c r="I259" i="2"/>
  <c r="H260" i="2"/>
  <c r="I260" i="2"/>
  <c r="H261" i="2"/>
  <c r="I261" i="2"/>
  <c r="H262" i="2"/>
  <c r="I262" i="2"/>
  <c r="H263" i="2"/>
  <c r="I263" i="2"/>
  <c r="H264" i="2"/>
  <c r="I264" i="2"/>
  <c r="H265" i="2"/>
  <c r="I265" i="2"/>
  <c r="H266" i="2"/>
  <c r="I266" i="2"/>
  <c r="H267" i="2"/>
  <c r="I267" i="2"/>
  <c r="H268" i="2"/>
  <c r="I268" i="2"/>
  <c r="H269" i="2"/>
  <c r="I269" i="2"/>
  <c r="H270" i="2"/>
  <c r="I270" i="2"/>
  <c r="H271" i="2"/>
  <c r="I271" i="2"/>
  <c r="H272" i="2"/>
  <c r="I272" i="2"/>
  <c r="H273" i="2"/>
  <c r="I273" i="2"/>
  <c r="H274" i="2"/>
  <c r="I274" i="2"/>
  <c r="H275" i="2"/>
  <c r="I275" i="2"/>
  <c r="H276" i="2"/>
  <c r="I276" i="2"/>
  <c r="H277" i="2"/>
  <c r="I277" i="2"/>
  <c r="H278" i="2"/>
  <c r="I278" i="2"/>
  <c r="H279" i="2"/>
  <c r="I279" i="2"/>
  <c r="H280" i="2"/>
  <c r="I280" i="2"/>
  <c r="H281" i="2"/>
  <c r="I281" i="2"/>
  <c r="H282" i="2"/>
  <c r="I282" i="2"/>
  <c r="H283" i="2"/>
  <c r="I283" i="2"/>
  <c r="H284" i="2"/>
  <c r="I284" i="2"/>
  <c r="H285" i="2"/>
  <c r="I285" i="2"/>
  <c r="H286" i="2"/>
  <c r="I286" i="2"/>
  <c r="H287" i="2"/>
  <c r="I287" i="2"/>
  <c r="H288" i="2"/>
  <c r="I288" i="2"/>
  <c r="H289" i="2"/>
  <c r="I289" i="2"/>
  <c r="H290" i="2"/>
  <c r="I290" i="2"/>
  <c r="H291" i="2"/>
  <c r="I291" i="2"/>
  <c r="H292" i="2"/>
  <c r="I292" i="2"/>
  <c r="H293" i="2"/>
  <c r="I293" i="2"/>
  <c r="H294" i="2"/>
  <c r="I294" i="2"/>
  <c r="H295" i="2"/>
  <c r="I295" i="2"/>
  <c r="H296" i="2"/>
  <c r="I296" i="2"/>
  <c r="H297" i="2"/>
  <c r="I297" i="2"/>
  <c r="H298" i="2"/>
  <c r="I298" i="2"/>
  <c r="H299" i="2"/>
  <c r="I299" i="2"/>
  <c r="H300" i="2"/>
  <c r="I300" i="2"/>
  <c r="H301" i="2"/>
  <c r="I301" i="2"/>
  <c r="H302" i="2"/>
  <c r="I302" i="2"/>
  <c r="H303" i="2"/>
  <c r="I303" i="2"/>
  <c r="H304" i="2"/>
  <c r="I304" i="2"/>
  <c r="H305" i="2"/>
  <c r="I305" i="2"/>
  <c r="H306" i="2"/>
  <c r="I306" i="2"/>
  <c r="H307" i="2"/>
  <c r="I307" i="2"/>
  <c r="H308" i="2"/>
  <c r="I308" i="2"/>
  <c r="H309" i="2"/>
  <c r="I309" i="2"/>
  <c r="H310" i="2"/>
  <c r="I310" i="2"/>
  <c r="H311" i="2"/>
  <c r="I311" i="2"/>
  <c r="H312" i="2"/>
  <c r="I312" i="2"/>
  <c r="H313" i="2"/>
  <c r="I313" i="2"/>
  <c r="H314" i="2"/>
  <c r="I314" i="2"/>
  <c r="H315" i="2"/>
  <c r="I315" i="2"/>
  <c r="H316" i="2"/>
  <c r="I316" i="2"/>
  <c r="H317" i="2"/>
  <c r="I317" i="2"/>
  <c r="H318" i="2"/>
  <c r="I318" i="2"/>
  <c r="H319" i="2"/>
  <c r="I319" i="2"/>
  <c r="H320" i="2"/>
  <c r="I320" i="2"/>
  <c r="H321" i="2"/>
  <c r="I321" i="2"/>
  <c r="H322" i="2"/>
  <c r="I322" i="2"/>
  <c r="H323" i="2"/>
  <c r="I323" i="2"/>
  <c r="H324" i="2"/>
  <c r="I324" i="2"/>
  <c r="H325" i="2"/>
  <c r="I325" i="2"/>
  <c r="H326" i="2"/>
  <c r="I326" i="2"/>
  <c r="H327" i="2"/>
  <c r="I327" i="2"/>
  <c r="H328" i="2"/>
  <c r="I328" i="2"/>
  <c r="H329" i="2"/>
  <c r="I329" i="2"/>
  <c r="H330" i="2"/>
  <c r="I330" i="2"/>
  <c r="H331" i="2"/>
  <c r="I331" i="2"/>
  <c r="H332" i="2"/>
  <c r="I332" i="2"/>
  <c r="H333" i="2"/>
  <c r="I333" i="2"/>
  <c r="H334" i="2"/>
  <c r="I334" i="2"/>
  <c r="H335" i="2"/>
  <c r="I335" i="2"/>
  <c r="H336" i="2"/>
  <c r="I336" i="2"/>
  <c r="H337" i="2"/>
  <c r="I337" i="2"/>
  <c r="H338" i="2"/>
  <c r="I338" i="2"/>
  <c r="H339" i="2"/>
  <c r="I339" i="2"/>
  <c r="H340" i="2"/>
  <c r="I340" i="2"/>
  <c r="H341" i="2"/>
  <c r="I341" i="2"/>
  <c r="H342" i="2"/>
  <c r="I342" i="2"/>
  <c r="H343" i="2"/>
  <c r="I343" i="2"/>
  <c r="H344" i="2"/>
  <c r="I344" i="2"/>
  <c r="H345" i="2"/>
  <c r="I345" i="2"/>
  <c r="H346" i="2"/>
  <c r="I346" i="2"/>
  <c r="H347" i="2"/>
  <c r="I347" i="2"/>
  <c r="H348" i="2"/>
  <c r="I348" i="2"/>
  <c r="H349" i="2"/>
  <c r="I349" i="2"/>
  <c r="H350" i="2"/>
  <c r="I350" i="2"/>
  <c r="H351" i="2"/>
  <c r="I351" i="2"/>
  <c r="H352" i="2"/>
  <c r="I352" i="2"/>
  <c r="H353" i="2"/>
  <c r="I353" i="2"/>
  <c r="H354" i="2"/>
  <c r="I354" i="2"/>
  <c r="H355" i="2"/>
  <c r="I355" i="2"/>
  <c r="H356" i="2"/>
  <c r="I356" i="2"/>
  <c r="H357" i="2"/>
  <c r="I357" i="2"/>
  <c r="H358" i="2"/>
  <c r="I358" i="2"/>
  <c r="H359" i="2"/>
  <c r="I359" i="2"/>
  <c r="H360" i="2"/>
  <c r="I360" i="2"/>
  <c r="H361" i="2"/>
  <c r="I361" i="2"/>
  <c r="H362" i="2"/>
  <c r="I362" i="2"/>
  <c r="H363" i="2"/>
  <c r="I363" i="2"/>
  <c r="H364" i="2"/>
  <c r="I364" i="2"/>
  <c r="H365" i="2"/>
  <c r="I365" i="2"/>
  <c r="H366" i="2"/>
  <c r="I366" i="2"/>
  <c r="H367" i="2"/>
  <c r="I367" i="2"/>
  <c r="H368" i="2"/>
  <c r="I368" i="2"/>
  <c r="H369" i="2"/>
  <c r="I369" i="2"/>
  <c r="H370" i="2"/>
  <c r="I370" i="2"/>
  <c r="H371" i="2"/>
  <c r="I371" i="2"/>
  <c r="H372" i="2"/>
  <c r="I372" i="2"/>
  <c r="H373" i="2"/>
  <c r="I373" i="2"/>
  <c r="H374" i="2"/>
  <c r="I374" i="2"/>
  <c r="H375" i="2"/>
  <c r="I375" i="2"/>
  <c r="H376" i="2"/>
  <c r="I376" i="2"/>
  <c r="H377" i="2"/>
  <c r="I377" i="2"/>
  <c r="H378" i="2"/>
  <c r="I378" i="2"/>
  <c r="H379" i="2"/>
  <c r="I379" i="2"/>
  <c r="H380" i="2"/>
  <c r="I380" i="2"/>
  <c r="H381" i="2"/>
  <c r="I381" i="2"/>
  <c r="H382" i="2"/>
  <c r="I382" i="2"/>
  <c r="H383" i="2"/>
  <c r="I383" i="2"/>
  <c r="H384" i="2"/>
  <c r="I384" i="2"/>
  <c r="H385" i="2"/>
  <c r="I385" i="2"/>
  <c r="H386" i="2"/>
  <c r="I386" i="2"/>
  <c r="H387" i="2"/>
  <c r="I387" i="2"/>
  <c r="H388" i="2"/>
  <c r="I388" i="2"/>
  <c r="H389" i="2"/>
  <c r="I389" i="2"/>
  <c r="H390" i="2"/>
  <c r="I390" i="2"/>
  <c r="H391" i="2"/>
  <c r="I391" i="2"/>
  <c r="H392" i="2"/>
  <c r="I392" i="2"/>
  <c r="H393" i="2"/>
  <c r="I393" i="2"/>
  <c r="H394" i="2"/>
  <c r="I394" i="2"/>
  <c r="H395" i="2"/>
  <c r="I395" i="2"/>
  <c r="H396" i="2"/>
  <c r="I396" i="2"/>
  <c r="H397" i="2"/>
  <c r="I397" i="2"/>
  <c r="H398" i="2"/>
  <c r="I398" i="2"/>
  <c r="H399" i="2"/>
  <c r="I399" i="2"/>
  <c r="H400" i="2"/>
  <c r="I400" i="2"/>
  <c r="H401" i="2"/>
  <c r="I401" i="2"/>
  <c r="H402" i="2"/>
  <c r="I402" i="2"/>
  <c r="H403" i="2"/>
  <c r="I403" i="2"/>
  <c r="H404" i="2"/>
  <c r="I404" i="2"/>
  <c r="H405" i="2"/>
  <c r="I405" i="2"/>
  <c r="H406" i="2"/>
  <c r="I406" i="2"/>
  <c r="H407" i="2"/>
  <c r="I407" i="2"/>
  <c r="H408" i="2"/>
  <c r="I408" i="2"/>
  <c r="H409" i="2"/>
  <c r="I409" i="2"/>
  <c r="H410" i="2"/>
  <c r="I410" i="2"/>
  <c r="H411" i="2"/>
  <c r="I411" i="2"/>
  <c r="H412" i="2"/>
  <c r="I412" i="2"/>
  <c r="H413" i="2"/>
  <c r="I413" i="2"/>
  <c r="H414" i="2"/>
  <c r="I414" i="2"/>
  <c r="H415" i="2"/>
  <c r="I415" i="2"/>
  <c r="H416" i="2"/>
  <c r="I416" i="2"/>
  <c r="H417" i="2"/>
  <c r="I417" i="2"/>
  <c r="H418" i="2"/>
  <c r="I418" i="2"/>
  <c r="H419" i="2"/>
  <c r="I419" i="2"/>
  <c r="H420" i="2"/>
  <c r="I420" i="2"/>
  <c r="H421" i="2"/>
  <c r="I421" i="2"/>
  <c r="H422" i="2"/>
  <c r="I422" i="2"/>
  <c r="H423" i="2"/>
  <c r="I423" i="2"/>
  <c r="H424" i="2"/>
  <c r="I424" i="2"/>
  <c r="H425" i="2"/>
  <c r="I425" i="2"/>
  <c r="H426" i="2"/>
  <c r="I426" i="2"/>
  <c r="H427" i="2"/>
  <c r="I427" i="2"/>
  <c r="H428" i="2"/>
  <c r="I428" i="2"/>
  <c r="H429" i="2"/>
  <c r="I429" i="2"/>
  <c r="H430" i="2"/>
  <c r="I430" i="2"/>
  <c r="H431" i="2"/>
  <c r="I431" i="2"/>
  <c r="H432" i="2"/>
  <c r="I432" i="2"/>
  <c r="H433" i="2"/>
  <c r="I433" i="2"/>
  <c r="H434" i="2"/>
  <c r="I434" i="2"/>
  <c r="H435" i="2"/>
  <c r="I435" i="2"/>
  <c r="H436" i="2"/>
  <c r="I436" i="2"/>
  <c r="H437" i="2"/>
  <c r="I437" i="2"/>
  <c r="H438" i="2"/>
  <c r="I438" i="2"/>
  <c r="H439" i="2"/>
  <c r="I439" i="2"/>
  <c r="H440" i="2"/>
  <c r="I440" i="2"/>
  <c r="H441" i="2"/>
  <c r="I441" i="2"/>
  <c r="H442" i="2"/>
  <c r="I442" i="2"/>
  <c r="H443" i="2"/>
  <c r="I443" i="2"/>
  <c r="H444" i="2"/>
  <c r="I444" i="2"/>
  <c r="H445" i="2"/>
  <c r="I445" i="2"/>
  <c r="H446" i="2"/>
  <c r="I446" i="2"/>
  <c r="H447" i="2"/>
  <c r="I447" i="2"/>
  <c r="H448" i="2"/>
  <c r="I448" i="2"/>
  <c r="H449" i="2"/>
  <c r="I449" i="2"/>
  <c r="H450" i="2"/>
  <c r="I450" i="2"/>
  <c r="H451" i="2"/>
  <c r="I451" i="2"/>
  <c r="H452" i="2"/>
  <c r="I452" i="2"/>
  <c r="H453" i="2"/>
  <c r="I453" i="2"/>
  <c r="H454" i="2"/>
  <c r="I454" i="2"/>
  <c r="H455" i="2"/>
  <c r="I455" i="2"/>
  <c r="H456" i="2"/>
  <c r="I456" i="2"/>
  <c r="H457" i="2"/>
  <c r="I457" i="2"/>
  <c r="H458" i="2"/>
  <c r="I458" i="2"/>
  <c r="H459" i="2"/>
  <c r="I459" i="2"/>
  <c r="H460" i="2"/>
  <c r="I460" i="2"/>
  <c r="H461" i="2"/>
  <c r="I461" i="2"/>
  <c r="H462" i="2"/>
  <c r="I462" i="2"/>
  <c r="H463" i="2"/>
  <c r="I463" i="2"/>
  <c r="H464" i="2"/>
  <c r="I464" i="2"/>
  <c r="H465" i="2"/>
  <c r="I465" i="2"/>
  <c r="H466" i="2"/>
  <c r="I466" i="2"/>
  <c r="H467" i="2"/>
  <c r="I467" i="2"/>
  <c r="H468" i="2"/>
  <c r="I468" i="2"/>
  <c r="H469" i="2"/>
  <c r="I469" i="2"/>
  <c r="H470" i="2"/>
  <c r="I470" i="2"/>
  <c r="H471" i="2"/>
  <c r="I471" i="2"/>
  <c r="H472" i="2"/>
  <c r="I472" i="2"/>
  <c r="H473" i="2"/>
  <c r="I473" i="2"/>
  <c r="H474" i="2"/>
  <c r="I474" i="2"/>
  <c r="I3" i="2"/>
  <c r="H3" i="2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C2" i="8" s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3" i="1"/>
  <c r="B2" i="8" s="1"/>
  <c r="A472" i="6"/>
  <c r="A471" i="6"/>
  <c r="A470" i="6"/>
  <c r="A469" i="6"/>
  <c r="A468" i="6"/>
  <c r="A467" i="6"/>
  <c r="A466" i="6"/>
  <c r="A465" i="6"/>
  <c r="A464" i="6"/>
  <c r="A463" i="6"/>
  <c r="A462" i="6"/>
  <c r="A461" i="6"/>
  <c r="A460" i="6"/>
  <c r="A459" i="6"/>
  <c r="A458" i="6"/>
  <c r="A457" i="6"/>
  <c r="A456" i="6"/>
  <c r="A455" i="6"/>
  <c r="A454" i="6"/>
  <c r="A453" i="6"/>
  <c r="A452" i="6"/>
  <c r="A451" i="6"/>
  <c r="A450" i="6"/>
  <c r="A449" i="6"/>
  <c r="A448" i="6"/>
  <c r="A447" i="6"/>
  <c r="A446" i="6"/>
  <c r="A445" i="6"/>
  <c r="A444" i="6"/>
  <c r="A443" i="6"/>
  <c r="A442" i="6"/>
  <c r="A441" i="6"/>
  <c r="A440" i="6"/>
  <c r="A439" i="6"/>
  <c r="A438" i="6"/>
  <c r="A437" i="6"/>
  <c r="A436" i="6"/>
  <c r="A435" i="6"/>
  <c r="A434" i="6"/>
  <c r="A433" i="6"/>
  <c r="A432" i="6"/>
  <c r="A431" i="6"/>
  <c r="A430" i="6"/>
  <c r="A429" i="6"/>
  <c r="A428" i="6"/>
  <c r="A427" i="6"/>
  <c r="A426" i="6"/>
  <c r="A425" i="6"/>
  <c r="A424" i="6"/>
  <c r="A423" i="6"/>
  <c r="A422" i="6"/>
  <c r="A421" i="6"/>
  <c r="A420" i="6"/>
  <c r="A419" i="6"/>
  <c r="A418" i="6"/>
  <c r="A417" i="6"/>
  <c r="A416" i="6"/>
  <c r="A415" i="6"/>
  <c r="A414" i="6"/>
  <c r="A413" i="6"/>
  <c r="A412" i="6"/>
  <c r="A411" i="6"/>
  <c r="A410" i="6"/>
  <c r="A409" i="6"/>
  <c r="A408" i="6"/>
  <c r="A407" i="6"/>
  <c r="A406" i="6"/>
  <c r="A405" i="6"/>
  <c r="A404" i="6"/>
  <c r="A403" i="6"/>
  <c r="A402" i="6"/>
  <c r="A401" i="6"/>
  <c r="A400" i="6"/>
  <c r="A399" i="6"/>
  <c r="A398" i="6"/>
  <c r="A397" i="6"/>
  <c r="A396" i="6"/>
  <c r="A395" i="6"/>
  <c r="A394" i="6"/>
  <c r="A393" i="6"/>
  <c r="A392" i="6"/>
  <c r="A391" i="6"/>
  <c r="A390" i="6"/>
  <c r="A389" i="6"/>
  <c r="A388" i="6"/>
  <c r="A387" i="6"/>
  <c r="A386" i="6"/>
  <c r="A385" i="6"/>
  <c r="A384" i="6"/>
  <c r="A383" i="6"/>
  <c r="A382" i="6"/>
  <c r="A381" i="6"/>
  <c r="A380" i="6"/>
  <c r="A379" i="6"/>
  <c r="A378" i="6"/>
  <c r="A377" i="6"/>
  <c r="A376" i="6"/>
  <c r="A375" i="6"/>
  <c r="A374" i="6"/>
  <c r="A373" i="6"/>
  <c r="A372" i="6"/>
  <c r="A371" i="6"/>
  <c r="A370" i="6"/>
  <c r="A369" i="6"/>
  <c r="A368" i="6"/>
  <c r="A367" i="6"/>
  <c r="A366" i="6"/>
  <c r="A365" i="6"/>
  <c r="A364" i="6"/>
  <c r="A363" i="6"/>
  <c r="A362" i="6"/>
  <c r="A361" i="6"/>
  <c r="A360" i="6"/>
  <c r="A359" i="6"/>
  <c r="A358" i="6"/>
  <c r="A357" i="6"/>
  <c r="A356" i="6"/>
  <c r="A355" i="6"/>
  <c r="A354" i="6"/>
  <c r="A353" i="6"/>
  <c r="A352" i="6"/>
  <c r="A351" i="6"/>
  <c r="A350" i="6"/>
  <c r="A349" i="6"/>
  <c r="A348" i="6"/>
  <c r="A347" i="6"/>
  <c r="A346" i="6"/>
  <c r="A345" i="6"/>
  <c r="A344" i="6"/>
  <c r="A343" i="6"/>
  <c r="A342" i="6"/>
  <c r="A341" i="6"/>
  <c r="A340" i="6"/>
  <c r="A339" i="6"/>
  <c r="A338" i="6"/>
  <c r="A337" i="6"/>
  <c r="A336" i="6"/>
  <c r="A335" i="6"/>
  <c r="A334" i="6"/>
  <c r="A333" i="6"/>
  <c r="A332" i="6"/>
  <c r="A331" i="6"/>
  <c r="A330" i="6"/>
  <c r="A329" i="6"/>
  <c r="A328" i="6"/>
  <c r="A327" i="6"/>
  <c r="A326" i="6"/>
  <c r="A325" i="6"/>
  <c r="A324" i="6"/>
  <c r="A323" i="6"/>
  <c r="A322" i="6"/>
  <c r="A321" i="6"/>
  <c r="A320" i="6"/>
  <c r="A319" i="6"/>
  <c r="A318" i="6"/>
  <c r="A317" i="6"/>
  <c r="A316" i="6"/>
  <c r="A315" i="6"/>
  <c r="A314" i="6"/>
  <c r="A313" i="6"/>
  <c r="A312" i="6"/>
  <c r="A311" i="6"/>
  <c r="A310" i="6"/>
  <c r="A309" i="6"/>
  <c r="A308" i="6"/>
  <c r="A307" i="6"/>
  <c r="A306" i="6"/>
  <c r="A305" i="6"/>
  <c r="A304" i="6"/>
  <c r="A303" i="6"/>
  <c r="A302" i="6"/>
  <c r="A301" i="6"/>
  <c r="A300" i="6"/>
  <c r="A299" i="6"/>
  <c r="A298" i="6"/>
  <c r="A297" i="6"/>
  <c r="A296" i="6"/>
  <c r="A295" i="6"/>
  <c r="A294" i="6"/>
  <c r="A293" i="6"/>
  <c r="A292" i="6"/>
  <c r="A291" i="6"/>
  <c r="A290" i="6"/>
  <c r="A289" i="6"/>
  <c r="A288" i="6"/>
  <c r="A287" i="6"/>
  <c r="A286" i="6"/>
  <c r="A285" i="6"/>
  <c r="A284" i="6"/>
  <c r="A283" i="6"/>
  <c r="A282" i="6"/>
  <c r="A281" i="6"/>
  <c r="A280" i="6"/>
  <c r="A279" i="6"/>
  <c r="A278" i="6"/>
  <c r="A277" i="6"/>
  <c r="A276" i="6"/>
  <c r="A275" i="6"/>
  <c r="A274" i="6"/>
  <c r="A273" i="6"/>
  <c r="A272" i="6"/>
  <c r="A271" i="6"/>
  <c r="A270" i="6"/>
  <c r="A269" i="6"/>
  <c r="A268" i="6"/>
  <c r="A267" i="6"/>
  <c r="A266" i="6"/>
  <c r="A265" i="6"/>
  <c r="A264" i="6"/>
  <c r="A263" i="6"/>
  <c r="A262" i="6"/>
  <c r="A261" i="6"/>
  <c r="A260" i="6"/>
  <c r="A259" i="6"/>
  <c r="A258" i="6"/>
  <c r="A257" i="6"/>
  <c r="A256" i="6"/>
  <c r="A255" i="6"/>
  <c r="A254" i="6"/>
  <c r="A253" i="6"/>
  <c r="A252" i="6"/>
  <c r="A251" i="6"/>
  <c r="A250" i="6"/>
  <c r="A249" i="6"/>
  <c r="A248" i="6"/>
  <c r="A247" i="6"/>
  <c r="A246" i="6"/>
  <c r="A245" i="6"/>
  <c r="A244" i="6"/>
  <c r="A243" i="6"/>
  <c r="A242" i="6"/>
  <c r="A241" i="6"/>
  <c r="A240" i="6"/>
  <c r="A239" i="6"/>
  <c r="A238" i="6"/>
  <c r="A237" i="6"/>
  <c r="A236" i="6"/>
  <c r="A235" i="6"/>
  <c r="A234" i="6"/>
  <c r="A233" i="6"/>
  <c r="A232" i="6"/>
  <c r="A231" i="6"/>
  <c r="A230" i="6"/>
  <c r="A229" i="6"/>
  <c r="A228" i="6"/>
  <c r="A227" i="6"/>
  <c r="A226" i="6"/>
  <c r="A225" i="6"/>
  <c r="A224" i="6"/>
  <c r="A223" i="6"/>
  <c r="A222" i="6"/>
  <c r="A221" i="6"/>
  <c r="A220" i="6"/>
  <c r="A219" i="6"/>
  <c r="A218" i="6"/>
  <c r="A217" i="6"/>
  <c r="A216" i="6"/>
  <c r="A215" i="6"/>
  <c r="A214" i="6"/>
  <c r="A213" i="6"/>
  <c r="A212" i="6"/>
  <c r="A211" i="6"/>
  <c r="A210" i="6"/>
  <c r="A209" i="6"/>
  <c r="A208" i="6"/>
  <c r="A207" i="6"/>
  <c r="A206" i="6"/>
  <c r="A205" i="6"/>
  <c r="A204" i="6"/>
  <c r="A203" i="6"/>
  <c r="A202" i="6"/>
  <c r="A201" i="6"/>
  <c r="A200" i="6"/>
  <c r="A199" i="6"/>
  <c r="A198" i="6"/>
  <c r="A197" i="6"/>
  <c r="A196" i="6"/>
  <c r="A195" i="6"/>
  <c r="A194" i="6"/>
  <c r="A193" i="6"/>
  <c r="A192" i="6"/>
  <c r="A191" i="6"/>
  <c r="A190" i="6"/>
  <c r="A189" i="6"/>
  <c r="A188" i="6"/>
  <c r="A187" i="6"/>
  <c r="A186" i="6"/>
  <c r="A185" i="6"/>
  <c r="A184" i="6"/>
  <c r="A183" i="6"/>
  <c r="A182" i="6"/>
  <c r="A181" i="6"/>
  <c r="A180" i="6"/>
  <c r="A179" i="6"/>
  <c r="A178" i="6"/>
  <c r="A177" i="6"/>
  <c r="A176" i="6"/>
  <c r="A175" i="6"/>
  <c r="A174" i="6"/>
  <c r="A173" i="6"/>
  <c r="A172" i="6"/>
  <c r="A171" i="6"/>
  <c r="A170" i="6"/>
  <c r="A169" i="6"/>
  <c r="A168" i="6"/>
  <c r="A167" i="6"/>
  <c r="A166" i="6"/>
  <c r="A165" i="6"/>
  <c r="A164" i="6"/>
  <c r="A163" i="6"/>
  <c r="A162" i="6"/>
  <c r="A161" i="6"/>
  <c r="A160" i="6"/>
  <c r="A159" i="6"/>
  <c r="A158" i="6"/>
  <c r="A157" i="6"/>
  <c r="A156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" i="6"/>
  <c r="A720" i="5"/>
  <c r="A719" i="5"/>
  <c r="A718" i="5"/>
  <c r="A717" i="5"/>
  <c r="A716" i="5"/>
  <c r="A715" i="5"/>
  <c r="A714" i="5"/>
  <c r="A713" i="5"/>
  <c r="A712" i="5"/>
  <c r="A711" i="5"/>
  <c r="A710" i="5"/>
  <c r="A709" i="5"/>
  <c r="A708" i="5"/>
  <c r="A707" i="5"/>
  <c r="A706" i="5"/>
  <c r="A705" i="5"/>
  <c r="A704" i="5"/>
  <c r="A703" i="5"/>
  <c r="A702" i="5"/>
  <c r="A701" i="5"/>
  <c r="A700" i="5"/>
  <c r="A699" i="5"/>
  <c r="A698" i="5"/>
  <c r="A697" i="5"/>
  <c r="A696" i="5"/>
  <c r="A695" i="5"/>
  <c r="A694" i="5"/>
  <c r="A693" i="5"/>
  <c r="A692" i="5"/>
  <c r="A691" i="5"/>
  <c r="A690" i="5"/>
  <c r="A689" i="5"/>
  <c r="A688" i="5"/>
  <c r="A687" i="5"/>
  <c r="A686" i="5"/>
  <c r="A685" i="5"/>
  <c r="A684" i="5"/>
  <c r="A683" i="5"/>
  <c r="A682" i="5"/>
  <c r="A681" i="5"/>
  <c r="A680" i="5"/>
  <c r="A679" i="5"/>
  <c r="A678" i="5"/>
  <c r="A677" i="5"/>
  <c r="A676" i="5"/>
  <c r="A675" i="5"/>
  <c r="A674" i="5"/>
  <c r="A673" i="5"/>
  <c r="A672" i="5"/>
  <c r="A671" i="5"/>
  <c r="A670" i="5"/>
  <c r="A669" i="5"/>
  <c r="A668" i="5"/>
  <c r="A667" i="5"/>
  <c r="A666" i="5"/>
  <c r="A665" i="5"/>
  <c r="A664" i="5"/>
  <c r="A663" i="5"/>
  <c r="A662" i="5"/>
  <c r="A661" i="5"/>
  <c r="A660" i="5"/>
  <c r="A659" i="5"/>
  <c r="A658" i="5"/>
  <c r="A657" i="5"/>
  <c r="A656" i="5"/>
  <c r="A655" i="5"/>
  <c r="A654" i="5"/>
  <c r="A653" i="5"/>
  <c r="A652" i="5"/>
  <c r="A651" i="5"/>
  <c r="A650" i="5"/>
  <c r="A649" i="5"/>
  <c r="A648" i="5"/>
  <c r="A647" i="5"/>
  <c r="A646" i="5"/>
  <c r="A645" i="5"/>
  <c r="A644" i="5"/>
  <c r="A643" i="5"/>
  <c r="A642" i="5"/>
  <c r="A641" i="5"/>
  <c r="A640" i="5"/>
  <c r="A639" i="5"/>
  <c r="A638" i="5"/>
  <c r="A637" i="5"/>
  <c r="A636" i="5"/>
  <c r="A635" i="5"/>
  <c r="A634" i="5"/>
  <c r="A633" i="5"/>
  <c r="A632" i="5"/>
  <c r="A631" i="5"/>
  <c r="A630" i="5"/>
  <c r="A629" i="5"/>
  <c r="A628" i="5"/>
  <c r="A627" i="5"/>
  <c r="A626" i="5"/>
  <c r="A625" i="5"/>
  <c r="A624" i="5"/>
  <c r="A623" i="5"/>
  <c r="A622" i="5"/>
  <c r="A621" i="5"/>
  <c r="A620" i="5"/>
  <c r="A619" i="5"/>
  <c r="A618" i="5"/>
  <c r="A617" i="5"/>
  <c r="A616" i="5"/>
  <c r="A615" i="5"/>
  <c r="A614" i="5"/>
  <c r="A613" i="5"/>
  <c r="A612" i="5"/>
  <c r="A611" i="5"/>
  <c r="A610" i="5"/>
  <c r="A609" i="5"/>
  <c r="A608" i="5"/>
  <c r="A607" i="5"/>
  <c r="A606" i="5"/>
  <c r="A605" i="5"/>
  <c r="A604" i="5"/>
  <c r="A603" i="5"/>
  <c r="A602" i="5"/>
  <c r="A601" i="5"/>
  <c r="A600" i="5"/>
  <c r="A599" i="5"/>
  <c r="A598" i="5"/>
  <c r="A597" i="5"/>
  <c r="A596" i="5"/>
  <c r="A595" i="5"/>
  <c r="A594" i="5"/>
  <c r="A593" i="5"/>
  <c r="A592" i="5"/>
  <c r="A591" i="5"/>
  <c r="A590" i="5"/>
  <c r="A589" i="5"/>
  <c r="A588" i="5"/>
  <c r="A587" i="5"/>
  <c r="A586" i="5"/>
  <c r="A585" i="5"/>
  <c r="A584" i="5"/>
  <c r="A583" i="5"/>
  <c r="A582" i="5"/>
  <c r="A581" i="5"/>
  <c r="A580" i="5"/>
  <c r="A579" i="5"/>
  <c r="A578" i="5"/>
  <c r="A577" i="5"/>
  <c r="A576" i="5"/>
  <c r="A575" i="5"/>
  <c r="A574" i="5"/>
  <c r="A573" i="5"/>
  <c r="A572" i="5"/>
  <c r="A571" i="5"/>
  <c r="A570" i="5"/>
  <c r="A569" i="5"/>
  <c r="A568" i="5"/>
  <c r="A567" i="5"/>
  <c r="A566" i="5"/>
  <c r="A565" i="5"/>
  <c r="A564" i="5"/>
  <c r="A563" i="5"/>
  <c r="A562" i="5"/>
  <c r="A561" i="5"/>
  <c r="A560" i="5"/>
  <c r="A559" i="5"/>
  <c r="A558" i="5"/>
  <c r="A557" i="5"/>
  <c r="A556" i="5"/>
  <c r="A555" i="5"/>
  <c r="A554" i="5"/>
  <c r="A553" i="5"/>
  <c r="A552" i="5"/>
  <c r="A551" i="5"/>
  <c r="A550" i="5"/>
  <c r="A549" i="5"/>
  <c r="A548" i="5"/>
  <c r="A547" i="5"/>
  <c r="A546" i="5"/>
  <c r="A545" i="5"/>
  <c r="A544" i="5"/>
  <c r="A543" i="5"/>
  <c r="A542" i="5"/>
  <c r="A541" i="5"/>
  <c r="A540" i="5"/>
  <c r="A539" i="5"/>
  <c r="A538" i="5"/>
  <c r="A537" i="5"/>
  <c r="A536" i="5"/>
  <c r="A535" i="5"/>
  <c r="A534" i="5"/>
  <c r="A533" i="5"/>
  <c r="A532" i="5"/>
  <c r="A531" i="5"/>
  <c r="A530" i="5"/>
  <c r="A529" i="5"/>
  <c r="A528" i="5"/>
  <c r="A527" i="5"/>
  <c r="A526" i="5"/>
  <c r="A525" i="5"/>
  <c r="A524" i="5"/>
  <c r="A523" i="5"/>
  <c r="A522" i="5"/>
  <c r="A521" i="5"/>
  <c r="A520" i="5"/>
  <c r="A519" i="5"/>
  <c r="A518" i="5"/>
  <c r="A517" i="5"/>
  <c r="A516" i="5"/>
  <c r="A515" i="5"/>
  <c r="A514" i="5"/>
  <c r="A513" i="5"/>
  <c r="A512" i="5"/>
  <c r="A511" i="5"/>
  <c r="A510" i="5"/>
  <c r="A509" i="5"/>
  <c r="A508" i="5"/>
  <c r="A507" i="5"/>
  <c r="A506" i="5"/>
  <c r="A505" i="5"/>
  <c r="A504" i="5"/>
  <c r="A503" i="5"/>
  <c r="A502" i="5"/>
  <c r="A501" i="5"/>
  <c r="A500" i="5"/>
  <c r="A499" i="5"/>
  <c r="A498" i="5"/>
  <c r="A497" i="5"/>
  <c r="A496" i="5"/>
  <c r="A495" i="5"/>
  <c r="A494" i="5"/>
  <c r="A493" i="5"/>
  <c r="A492" i="5"/>
  <c r="A491" i="5"/>
  <c r="A490" i="5"/>
  <c r="A489" i="5"/>
  <c r="A488" i="5"/>
  <c r="A487" i="5"/>
  <c r="A486" i="5"/>
  <c r="A485" i="5"/>
  <c r="A484" i="5"/>
  <c r="A483" i="5"/>
  <c r="A482" i="5"/>
  <c r="A481" i="5"/>
  <c r="A480" i="5"/>
  <c r="A479" i="5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474" i="4"/>
  <c r="A473" i="4"/>
  <c r="A472" i="4"/>
  <c r="A471" i="4"/>
  <c r="A470" i="4"/>
  <c r="A469" i="4"/>
  <c r="A468" i="4"/>
  <c r="A467" i="4"/>
  <c r="A466" i="4"/>
  <c r="A465" i="4"/>
  <c r="A464" i="4"/>
  <c r="A463" i="4"/>
  <c r="A462" i="4"/>
  <c r="A461" i="4"/>
  <c r="A460" i="4"/>
  <c r="A459" i="4"/>
  <c r="A458" i="4"/>
  <c r="A457" i="4"/>
  <c r="A456" i="4"/>
  <c r="A455" i="4"/>
  <c r="A454" i="4"/>
  <c r="A453" i="4"/>
  <c r="A452" i="4"/>
  <c r="A451" i="4"/>
  <c r="A450" i="4"/>
  <c r="A449" i="4"/>
  <c r="A448" i="4"/>
  <c r="A447" i="4"/>
  <c r="A446" i="4"/>
  <c r="A445" i="4"/>
  <c r="A444" i="4"/>
  <c r="A443" i="4"/>
  <c r="A442" i="4"/>
  <c r="A441" i="4"/>
  <c r="A440" i="4"/>
  <c r="A439" i="4"/>
  <c r="A438" i="4"/>
  <c r="A437" i="4"/>
  <c r="A436" i="4"/>
  <c r="A435" i="4"/>
  <c r="A434" i="4"/>
  <c r="A433" i="4"/>
  <c r="A432" i="4"/>
  <c r="A431" i="4"/>
  <c r="A430" i="4"/>
  <c r="A429" i="4"/>
  <c r="A428" i="4"/>
  <c r="A427" i="4"/>
  <c r="A426" i="4"/>
  <c r="A425" i="4"/>
  <c r="A424" i="4"/>
  <c r="A423" i="4"/>
  <c r="A422" i="4"/>
  <c r="A421" i="4"/>
  <c r="A420" i="4"/>
  <c r="A419" i="4"/>
  <c r="A418" i="4"/>
  <c r="A417" i="4"/>
  <c r="A416" i="4"/>
  <c r="A415" i="4"/>
  <c r="A414" i="4"/>
  <c r="A413" i="4"/>
  <c r="A412" i="4"/>
  <c r="A411" i="4"/>
  <c r="A410" i="4"/>
  <c r="A409" i="4"/>
  <c r="A408" i="4"/>
  <c r="A407" i="4"/>
  <c r="A406" i="4"/>
  <c r="A405" i="4"/>
  <c r="A404" i="4"/>
  <c r="A403" i="4"/>
  <c r="A402" i="4"/>
  <c r="A401" i="4"/>
  <c r="A400" i="4"/>
  <c r="A399" i="4"/>
  <c r="A398" i="4"/>
  <c r="A397" i="4"/>
  <c r="A396" i="4"/>
  <c r="A395" i="4"/>
  <c r="A394" i="4"/>
  <c r="A393" i="4"/>
  <c r="A392" i="4"/>
  <c r="A391" i="4"/>
  <c r="A390" i="4"/>
  <c r="A389" i="4"/>
  <c r="A388" i="4"/>
  <c r="A387" i="4"/>
  <c r="A386" i="4"/>
  <c r="A385" i="4"/>
  <c r="A384" i="4"/>
  <c r="A383" i="4"/>
  <c r="A382" i="4"/>
  <c r="A381" i="4"/>
  <c r="A380" i="4"/>
  <c r="A379" i="4"/>
  <c r="A378" i="4"/>
  <c r="A377" i="4"/>
  <c r="A376" i="4"/>
  <c r="A375" i="4"/>
  <c r="A374" i="4"/>
  <c r="A373" i="4"/>
  <c r="A372" i="4"/>
  <c r="A371" i="4"/>
  <c r="A370" i="4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474" i="2"/>
  <c r="A473" i="2"/>
  <c r="A472" i="2"/>
  <c r="A471" i="2"/>
  <c r="A470" i="2"/>
  <c r="A469" i="2"/>
  <c r="A468" i="2"/>
  <c r="A467" i="2"/>
  <c r="A466" i="2"/>
  <c r="A465" i="2"/>
  <c r="A464" i="2"/>
  <c r="A463" i="2"/>
  <c r="A462" i="2"/>
  <c r="A461" i="2"/>
  <c r="A460" i="2"/>
  <c r="A459" i="2"/>
  <c r="A458" i="2"/>
  <c r="A457" i="2"/>
  <c r="A456" i="2"/>
  <c r="A455" i="2"/>
  <c r="A454" i="2"/>
  <c r="A453" i="2"/>
  <c r="A452" i="2"/>
  <c r="A451" i="2"/>
  <c r="A450" i="2"/>
  <c r="A449" i="2"/>
  <c r="A448" i="2"/>
  <c r="A447" i="2"/>
  <c r="A446" i="2"/>
  <c r="A445" i="2"/>
  <c r="A444" i="2"/>
  <c r="A443" i="2"/>
  <c r="A442" i="2"/>
  <c r="A441" i="2"/>
  <c r="A440" i="2"/>
  <c r="A439" i="2"/>
  <c r="A438" i="2"/>
  <c r="A437" i="2"/>
  <c r="A436" i="2"/>
  <c r="A435" i="2"/>
  <c r="A434" i="2"/>
  <c r="A433" i="2"/>
  <c r="A432" i="2"/>
  <c r="A431" i="2"/>
  <c r="A430" i="2"/>
  <c r="A429" i="2"/>
  <c r="A428" i="2"/>
  <c r="A427" i="2"/>
  <c r="A426" i="2"/>
  <c r="A425" i="2"/>
  <c r="A424" i="2"/>
  <c r="A423" i="2"/>
  <c r="A422" i="2"/>
  <c r="A421" i="2"/>
  <c r="A420" i="2"/>
  <c r="A419" i="2"/>
  <c r="A418" i="2"/>
  <c r="A417" i="2"/>
  <c r="A416" i="2"/>
  <c r="A415" i="2"/>
  <c r="A414" i="2"/>
  <c r="A413" i="2"/>
  <c r="A412" i="2"/>
  <c r="A411" i="2"/>
  <c r="A410" i="2"/>
  <c r="A409" i="2"/>
  <c r="A408" i="2"/>
  <c r="A407" i="2"/>
  <c r="A406" i="2"/>
  <c r="A405" i="2"/>
  <c r="A404" i="2"/>
  <c r="A403" i="2"/>
  <c r="A402" i="2"/>
  <c r="A401" i="2"/>
  <c r="A400" i="2"/>
  <c r="A399" i="2"/>
  <c r="A398" i="2"/>
  <c r="A397" i="2"/>
  <c r="A396" i="2"/>
  <c r="A395" i="2"/>
  <c r="A394" i="2"/>
  <c r="A393" i="2"/>
  <c r="A392" i="2"/>
  <c r="A391" i="2"/>
  <c r="A390" i="2"/>
  <c r="A389" i="2"/>
  <c r="A388" i="2"/>
  <c r="A387" i="2"/>
  <c r="A386" i="2"/>
  <c r="A385" i="2"/>
  <c r="A384" i="2"/>
  <c r="A383" i="2"/>
  <c r="A382" i="2"/>
  <c r="A381" i="2"/>
  <c r="A380" i="2"/>
  <c r="A379" i="2"/>
  <c r="A378" i="2"/>
  <c r="A377" i="2"/>
  <c r="A376" i="2"/>
  <c r="A375" i="2"/>
  <c r="A374" i="2"/>
  <c r="A373" i="2"/>
  <c r="A372" i="2"/>
  <c r="A371" i="2"/>
  <c r="A370" i="2"/>
  <c r="A369" i="2"/>
  <c r="A368" i="2"/>
  <c r="A367" i="2"/>
  <c r="A366" i="2"/>
  <c r="A365" i="2"/>
  <c r="A364" i="2"/>
  <c r="A363" i="2"/>
  <c r="A362" i="2"/>
  <c r="A361" i="2"/>
  <c r="A360" i="2"/>
  <c r="A359" i="2"/>
  <c r="A358" i="2"/>
  <c r="A357" i="2"/>
  <c r="A356" i="2"/>
  <c r="A355" i="2"/>
  <c r="A354" i="2"/>
  <c r="A353" i="2"/>
  <c r="A352" i="2"/>
  <c r="A351" i="2"/>
  <c r="A350" i="2"/>
  <c r="A349" i="2"/>
  <c r="A348" i="2"/>
  <c r="A347" i="2"/>
  <c r="A346" i="2"/>
  <c r="A345" i="2"/>
  <c r="A344" i="2"/>
  <c r="A343" i="2"/>
  <c r="A342" i="2"/>
  <c r="A341" i="2"/>
  <c r="A340" i="2"/>
  <c r="A339" i="2"/>
  <c r="A338" i="2"/>
  <c r="A337" i="2"/>
  <c r="A336" i="2"/>
  <c r="A335" i="2"/>
  <c r="A334" i="2"/>
  <c r="A333" i="2"/>
  <c r="A332" i="2"/>
  <c r="A331" i="2"/>
  <c r="A330" i="2"/>
  <c r="A329" i="2"/>
  <c r="A328" i="2"/>
  <c r="A327" i="2"/>
  <c r="A326" i="2"/>
  <c r="A325" i="2"/>
  <c r="A324" i="2"/>
  <c r="A323" i="2"/>
  <c r="A322" i="2"/>
  <c r="A321" i="2"/>
  <c r="A320" i="2"/>
  <c r="A319" i="2"/>
  <c r="A318" i="2"/>
  <c r="A317" i="2"/>
  <c r="A316" i="2"/>
  <c r="A315" i="2"/>
  <c r="A314" i="2"/>
  <c r="A313" i="2"/>
  <c r="A312" i="2"/>
  <c r="A311" i="2"/>
  <c r="A310" i="2"/>
  <c r="A309" i="2"/>
  <c r="A308" i="2"/>
  <c r="A307" i="2"/>
  <c r="A306" i="2"/>
  <c r="A305" i="2"/>
  <c r="A304" i="2"/>
  <c r="A303" i="2"/>
  <c r="A302" i="2"/>
  <c r="A301" i="2"/>
  <c r="A300" i="2"/>
  <c r="A299" i="2"/>
  <c r="A298" i="2"/>
  <c r="A297" i="2"/>
  <c r="A296" i="2"/>
  <c r="A295" i="2"/>
  <c r="A294" i="2"/>
  <c r="A293" i="2"/>
  <c r="A292" i="2"/>
  <c r="A291" i="2"/>
  <c r="A290" i="2"/>
  <c r="A289" i="2"/>
  <c r="A288" i="2"/>
  <c r="A287" i="2"/>
  <c r="A286" i="2"/>
  <c r="A285" i="2"/>
  <c r="A284" i="2"/>
  <c r="A283" i="2"/>
  <c r="A282" i="2"/>
  <c r="A281" i="2"/>
  <c r="A280" i="2"/>
  <c r="A279" i="2"/>
  <c r="A278" i="2"/>
  <c r="A277" i="2"/>
  <c r="A276" i="2"/>
  <c r="A275" i="2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8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<sst xmlns="http://schemas.openxmlformats.org/spreadsheetml/2006/main" count="2070" uniqueCount="69">
  <si>
    <t>Change</t>
  </si>
  <si>
    <t>Kode Saham</t>
  </si>
  <si>
    <t>Tahun</t>
  </si>
  <si>
    <t>Market Cap (Triliun Rp)</t>
  </si>
  <si>
    <t>ROE (%)</t>
  </si>
  <si>
    <t>PER (x)</t>
  </si>
  <si>
    <t>PBV (x)</t>
  </si>
  <si>
    <t>Net Profit (Triliun Rp)</t>
  </si>
  <si>
    <t>21,80%</t>
  </si>
  <si>
    <t>20,98</t>
  </si>
  <si>
    <t>3,85</t>
  </si>
  <si>
    <t>54,84</t>
  </si>
  <si>
    <t>20,43%</t>
  </si>
  <si>
    <t>15,90</t>
  </si>
  <si>
    <t>3,25</t>
  </si>
  <si>
    <t>57,54</t>
  </si>
  <si>
    <t>18,90%</t>
  </si>
  <si>
    <t>12,09</t>
  </si>
  <si>
    <t>2,24</t>
  </si>
  <si>
    <t>59,94</t>
  </si>
  <si>
    <t>17,12%</t>
  </si>
  <si>
    <t>10,38</t>
  </si>
  <si>
    <t>1,78</t>
  </si>
  <si>
    <t>56,65</t>
  </si>
  <si>
    <t>17,79%</t>
  </si>
  <si>
    <t>8,36</t>
  </si>
  <si>
    <t>1,49</t>
  </si>
  <si>
    <t>55,78</t>
  </si>
  <si>
    <t>17,19%</t>
  </si>
  <si>
    <t>8,29</t>
  </si>
  <si>
    <t>1,43</t>
  </si>
  <si>
    <t>56,29</t>
  </si>
  <si>
    <t>14,20%</t>
  </si>
  <si>
    <t>8,64</t>
  </si>
  <si>
    <t>1,11</t>
  </si>
  <si>
    <t>21,46</t>
  </si>
  <si>
    <t>11,36%</t>
  </si>
  <si>
    <t>8,53</t>
  </si>
  <si>
    <t>0,97</t>
  </si>
  <si>
    <t>20,04</t>
  </si>
  <si>
    <t>Date</t>
  </si>
  <si>
    <t>Open</t>
  </si>
  <si>
    <t>High</t>
  </si>
  <si>
    <t>Low</t>
  </si>
  <si>
    <t>Close</t>
  </si>
  <si>
    <t>Volume</t>
  </si>
  <si>
    <t>915.3</t>
  </si>
  <si>
    <t>725</t>
  </si>
  <si>
    <t>588.1</t>
  </si>
  <si>
    <t>466.6</t>
  </si>
  <si>
    <t>185.5</t>
  </si>
  <si>
    <t>170.9</t>
  </si>
  <si>
    <t>1150</t>
  </si>
  <si>
    <t>Cumulative Return</t>
  </si>
  <si>
    <t>BBCA</t>
  </si>
  <si>
    <t>BBRI</t>
  </si>
  <si>
    <t>BMRI</t>
  </si>
  <si>
    <t>BBNI</t>
  </si>
  <si>
    <t>KODE SAHAM</t>
  </si>
  <si>
    <t>KETERANGAN</t>
  </si>
  <si>
    <t>ROE 2024 (%)</t>
  </si>
  <si>
    <t>Volatilitas 2024 (%)</t>
  </si>
  <si>
    <t>ROE 2025 (%)</t>
  </si>
  <si>
    <t>Volatilitas 2025 (%)</t>
  </si>
  <si>
    <t>Karakteristik Kuandran BI</t>
  </si>
  <si>
    <t>High Return, Low Risk (Paling Efisien)</t>
  </si>
  <si>
    <t>Moderate Return, High Risk</t>
  </si>
  <si>
    <t>High Return, High Risk (Agresif)</t>
  </si>
  <si>
    <t>Low Return, High Risk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</si>
</sst>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:ss"/>
    <numFmt numFmtId="165" formatCode="[$-421]dd\ mmmm\ yyyy;@"/>
  </numFmts>
  <fonts count="8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rgb="FF1F1F1F"/>
      <name val="Arial"/>
      <family val="2"/>
      <scheme val="minor"/>
    </font>
    <font>
      <b/>
      <sz val="10"/>
      <color rgb="FF1F1F1F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9">
    <xf numFmtId="0" fontId="0" fillId="0" borderId="0" xfId="0"/>
    <xf numFmtId="0" fontId="1" fillId="0" borderId="0" xfId="0" applyFont="1"/>
    <xf numFmtId="164" fontId="1" fillId="0" borderId="0" xfId="0" applyNumberFormat="1" applyFont="1"/>
    <xf numFmtId="1" fontId="1" fillId="0" borderId="0" xfId="0" applyNumberFormat="1" applyFont="1"/>
    <xf numFmtId="10" fontId="0" fillId="0" borderId="0" xfId="1" applyNumberFormat="1" applyFont="1"/>
    <xf numFmtId="0" fontId="5" fillId="0" borderId="0" xfId="0" applyFont="1"/>
    <xf numFmtId="165" fontId="4" fillId="0" borderId="0" xfId="0" applyNumberFormat="1" applyFont="1"/>
    <xf numFmtId="0" fontId="4" fillId="0" borderId="0" xfId="0" applyFont="1"/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0" fontId="0" fillId="0" borderId="1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164" fontId="1" fillId="2" borderId="0" xfId="0" applyNumberFormat="1" applyFont="1" applyFill="1"/>
    <xf numFmtId="0" fontId="1" fillId="2" borderId="0" xfId="0" applyFont="1" applyFill="1"/>
    <xf numFmtId="10" fontId="0" fillId="2" borderId="0" xfId="1" applyNumberFormat="1" applyFont="1" applyFill="1"/>
    <xf numFmtId="0" fontId="0" fillId="2" borderId="0" xfId="0" applyFill="1"/>
    <xf numFmtId="1" fontId="0" fillId="2" borderId="0" xfId="0" applyNumberFormat="1" applyFill="1"/>
    <xf numFmtId="0" fontId="1" fillId="0" borderId="1" xfId="0" applyFont="1" applyBorder="1"/>
    <xf numFmtId="165" fontId="1" fillId="0" borderId="1" xfId="0" applyNumberFormat="1" applyFont="1" applyBorder="1"/>
    <xf numFmtId="0" fontId="0" fillId="0" borderId="1" xfId="0" applyBorder="1"/>
    <xf numFmtId="165" fontId="4" fillId="0" borderId="1" xfId="0" applyNumberFormat="1" applyFont="1" applyBorder="1"/>
    <xf numFmtId="0" fontId="2" fillId="0" borderId="1" xfId="0" applyFont="1" applyBorder="1"/>
    <xf numFmtId="0" fontId="2" fillId="0" borderId="1" xfId="0" applyFont="1" applyBorder="1" applyAlignment="1">
      <alignment horizontal="right"/>
    </xf>
    <xf numFmtId="3" fontId="2" fillId="0" borderId="1" xfId="0" quotePrefix="1" applyNumberFormat="1" applyFont="1" applyBorder="1"/>
    <xf numFmtId="0" fontId="2" fillId="0" borderId="1" xfId="0" quotePrefix="1" applyFont="1" applyBorder="1"/>
    <xf numFmtId="0" fontId="7" fillId="0" borderId="2" xfId="0" applyFont="1" applyBorder="1" applyAlignment="1">
      <alignment horizontal="left" vertical="center" indent="1" readingOrder="1"/>
    </xf>
    <xf numFmtId="0" fontId="6" fillId="0" borderId="2" xfId="0" applyFont="1" applyBorder="1" applyAlignment="1">
      <alignment horizontal="left" vertical="center" indent="1" readingOrder="1"/>
    </xf>
    <xf numFmtId="0" fontId="7" fillId="0" borderId="1" xfId="0" applyFont="1" applyBorder="1" applyAlignment="1">
      <alignment horizontal="left" vertical="center" indent="1" readingOrder="1"/>
    </xf>
    <xf numFmtId="10" fontId="6" fillId="0" borderId="1" xfId="0" applyNumberFormat="1" applyFont="1" applyBorder="1" applyAlignment="1">
      <alignment horizontal="left" vertical="center" indent="1" readingOrder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Harga Saham BBRI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BBRI!$A$2:$A$474</c:f>
              <c:numCache>
                <c:formatCode>m/d/yyyy\ h:mm:ss</c:formatCode>
                <c:ptCount val="473"/>
                <c:pt idx="0">
                  <c:v>45293.666666666599</c:v>
                </c:pt>
                <c:pt idx="1">
                  <c:v>45294.666666666599</c:v>
                </c:pt>
                <c:pt idx="2">
                  <c:v>45295.666666666599</c:v>
                </c:pt>
                <c:pt idx="3">
                  <c:v>45296.666666666599</c:v>
                </c:pt>
                <c:pt idx="4">
                  <c:v>45299.666666666599</c:v>
                </c:pt>
                <c:pt idx="5">
                  <c:v>45300.666666666599</c:v>
                </c:pt>
                <c:pt idx="6">
                  <c:v>45301.666666666599</c:v>
                </c:pt>
                <c:pt idx="7">
                  <c:v>45302.666666666599</c:v>
                </c:pt>
                <c:pt idx="8">
                  <c:v>45303.666666666599</c:v>
                </c:pt>
                <c:pt idx="9">
                  <c:v>45306.666666666599</c:v>
                </c:pt>
                <c:pt idx="10">
                  <c:v>45307.666666666599</c:v>
                </c:pt>
                <c:pt idx="11">
                  <c:v>45308.666666666599</c:v>
                </c:pt>
                <c:pt idx="12">
                  <c:v>45309.666666666599</c:v>
                </c:pt>
                <c:pt idx="13">
                  <c:v>45310.666666666599</c:v>
                </c:pt>
                <c:pt idx="14">
                  <c:v>45313.666666666599</c:v>
                </c:pt>
                <c:pt idx="15">
                  <c:v>45314.666666666599</c:v>
                </c:pt>
                <c:pt idx="16">
                  <c:v>45315.666666666599</c:v>
                </c:pt>
                <c:pt idx="17">
                  <c:v>45316.666666666599</c:v>
                </c:pt>
                <c:pt idx="18">
                  <c:v>45317.666666666599</c:v>
                </c:pt>
                <c:pt idx="19">
                  <c:v>45320.666666666599</c:v>
                </c:pt>
                <c:pt idx="20">
                  <c:v>45321.666666666599</c:v>
                </c:pt>
                <c:pt idx="21">
                  <c:v>45322.666666666599</c:v>
                </c:pt>
                <c:pt idx="22">
                  <c:v>45323.666666666599</c:v>
                </c:pt>
                <c:pt idx="23">
                  <c:v>45324.666666666599</c:v>
                </c:pt>
                <c:pt idx="24">
                  <c:v>45327.666666666599</c:v>
                </c:pt>
                <c:pt idx="25">
                  <c:v>45328.666666666599</c:v>
                </c:pt>
                <c:pt idx="26">
                  <c:v>45329.666666666599</c:v>
                </c:pt>
                <c:pt idx="27">
                  <c:v>45334.666666666599</c:v>
                </c:pt>
                <c:pt idx="28">
                  <c:v>45335.666666666599</c:v>
                </c:pt>
                <c:pt idx="29">
                  <c:v>45337.666666666599</c:v>
                </c:pt>
                <c:pt idx="30">
                  <c:v>45338.666666666599</c:v>
                </c:pt>
                <c:pt idx="31">
                  <c:v>45341.666666666599</c:v>
                </c:pt>
                <c:pt idx="32">
                  <c:v>45342.666666666599</c:v>
                </c:pt>
                <c:pt idx="33">
                  <c:v>45343.666666666599</c:v>
                </c:pt>
                <c:pt idx="34">
                  <c:v>45344.666666666599</c:v>
                </c:pt>
                <c:pt idx="35">
                  <c:v>45345.666666666599</c:v>
                </c:pt>
                <c:pt idx="36">
                  <c:v>45348.666666666599</c:v>
                </c:pt>
                <c:pt idx="37">
                  <c:v>45349.666666666599</c:v>
                </c:pt>
                <c:pt idx="38">
                  <c:v>45350.666666666599</c:v>
                </c:pt>
                <c:pt idx="39">
                  <c:v>45351.666666666599</c:v>
                </c:pt>
                <c:pt idx="40">
                  <c:v>45352.666666666599</c:v>
                </c:pt>
                <c:pt idx="41">
                  <c:v>45355.666666666599</c:v>
                </c:pt>
                <c:pt idx="42">
                  <c:v>45356.666666666599</c:v>
                </c:pt>
                <c:pt idx="43">
                  <c:v>45357.666666666599</c:v>
                </c:pt>
                <c:pt idx="44">
                  <c:v>45358.666666666599</c:v>
                </c:pt>
                <c:pt idx="45">
                  <c:v>45359.666666666599</c:v>
                </c:pt>
                <c:pt idx="46">
                  <c:v>45364.666666666599</c:v>
                </c:pt>
                <c:pt idx="47">
                  <c:v>45365.666666666599</c:v>
                </c:pt>
                <c:pt idx="48">
                  <c:v>45366.666666666599</c:v>
                </c:pt>
                <c:pt idx="49">
                  <c:v>45369.666666666599</c:v>
                </c:pt>
                <c:pt idx="50">
                  <c:v>45370.666666666599</c:v>
                </c:pt>
                <c:pt idx="51">
                  <c:v>45371.666666666599</c:v>
                </c:pt>
                <c:pt idx="52">
                  <c:v>45372.666666666599</c:v>
                </c:pt>
                <c:pt idx="53">
                  <c:v>45373.666666666599</c:v>
                </c:pt>
                <c:pt idx="54">
                  <c:v>45376.666666666599</c:v>
                </c:pt>
                <c:pt idx="55">
                  <c:v>45377.666666666599</c:v>
                </c:pt>
                <c:pt idx="56">
                  <c:v>45378.666666666599</c:v>
                </c:pt>
                <c:pt idx="57">
                  <c:v>45379.666666666599</c:v>
                </c:pt>
                <c:pt idx="58">
                  <c:v>45383.666666666599</c:v>
                </c:pt>
                <c:pt idx="59">
                  <c:v>45384.666666666599</c:v>
                </c:pt>
                <c:pt idx="60">
                  <c:v>45385.666666666599</c:v>
                </c:pt>
                <c:pt idx="61">
                  <c:v>45386.666666666599</c:v>
                </c:pt>
                <c:pt idx="62">
                  <c:v>45387.666666666599</c:v>
                </c:pt>
                <c:pt idx="63">
                  <c:v>45398.666666666599</c:v>
                </c:pt>
                <c:pt idx="64">
                  <c:v>45399.666666666599</c:v>
                </c:pt>
                <c:pt idx="65">
                  <c:v>45400.666666666599</c:v>
                </c:pt>
                <c:pt idx="66">
                  <c:v>45401.666666666599</c:v>
                </c:pt>
                <c:pt idx="67">
                  <c:v>45404.666666666599</c:v>
                </c:pt>
                <c:pt idx="68">
                  <c:v>45405.666666666599</c:v>
                </c:pt>
                <c:pt idx="69">
                  <c:v>45406.666666666599</c:v>
                </c:pt>
                <c:pt idx="70">
                  <c:v>45407.666666666599</c:v>
                </c:pt>
                <c:pt idx="71">
                  <c:v>45408.666666666599</c:v>
                </c:pt>
                <c:pt idx="72">
                  <c:v>45411.666666666599</c:v>
                </c:pt>
                <c:pt idx="73">
                  <c:v>45412.666666666599</c:v>
                </c:pt>
                <c:pt idx="74">
                  <c:v>45414.666666666599</c:v>
                </c:pt>
                <c:pt idx="75">
                  <c:v>45415.666666666599</c:v>
                </c:pt>
                <c:pt idx="76">
                  <c:v>45418.666666666599</c:v>
                </c:pt>
                <c:pt idx="77">
                  <c:v>45419.666666666599</c:v>
                </c:pt>
                <c:pt idx="78">
                  <c:v>45420.666666666599</c:v>
                </c:pt>
                <c:pt idx="79">
                  <c:v>45425.666666666599</c:v>
                </c:pt>
                <c:pt idx="80">
                  <c:v>45426.666666666599</c:v>
                </c:pt>
                <c:pt idx="81">
                  <c:v>45427.666666666599</c:v>
                </c:pt>
                <c:pt idx="82">
                  <c:v>45428.666666666599</c:v>
                </c:pt>
                <c:pt idx="83">
                  <c:v>45429.666666666599</c:v>
                </c:pt>
                <c:pt idx="84">
                  <c:v>45432.666666666599</c:v>
                </c:pt>
                <c:pt idx="85">
                  <c:v>45433.666666666599</c:v>
                </c:pt>
                <c:pt idx="86">
                  <c:v>45434.666666666599</c:v>
                </c:pt>
                <c:pt idx="87">
                  <c:v>45439.666666666599</c:v>
                </c:pt>
                <c:pt idx="88">
                  <c:v>45440.666666666599</c:v>
                </c:pt>
                <c:pt idx="89">
                  <c:v>45441.666666666599</c:v>
                </c:pt>
                <c:pt idx="90">
                  <c:v>45442.666666666599</c:v>
                </c:pt>
                <c:pt idx="91">
                  <c:v>45443.666666666599</c:v>
                </c:pt>
                <c:pt idx="92">
                  <c:v>45446.666666666599</c:v>
                </c:pt>
                <c:pt idx="93">
                  <c:v>45447.666666666599</c:v>
                </c:pt>
                <c:pt idx="94">
                  <c:v>45448.666666666599</c:v>
                </c:pt>
                <c:pt idx="95">
                  <c:v>45449.666666666599</c:v>
                </c:pt>
                <c:pt idx="96">
                  <c:v>45450.666666666599</c:v>
                </c:pt>
                <c:pt idx="97">
                  <c:v>45453.666666666599</c:v>
                </c:pt>
                <c:pt idx="98">
                  <c:v>45454.666666666599</c:v>
                </c:pt>
                <c:pt idx="99">
                  <c:v>45455.666666666599</c:v>
                </c:pt>
                <c:pt idx="100">
                  <c:v>45456.666666666599</c:v>
                </c:pt>
                <c:pt idx="101">
                  <c:v>45457.666666666599</c:v>
                </c:pt>
                <c:pt idx="102">
                  <c:v>45462.666666666599</c:v>
                </c:pt>
                <c:pt idx="103">
                  <c:v>45463.666666666599</c:v>
                </c:pt>
                <c:pt idx="104">
                  <c:v>45464.666666666599</c:v>
                </c:pt>
                <c:pt idx="105">
                  <c:v>45467.666666666599</c:v>
                </c:pt>
                <c:pt idx="106">
                  <c:v>45468.666666666599</c:v>
                </c:pt>
                <c:pt idx="107">
                  <c:v>45469.666666666599</c:v>
                </c:pt>
                <c:pt idx="108">
                  <c:v>45470.666666666599</c:v>
                </c:pt>
                <c:pt idx="109">
                  <c:v>45471.666666666599</c:v>
                </c:pt>
                <c:pt idx="110">
                  <c:v>45474.666666666599</c:v>
                </c:pt>
                <c:pt idx="111">
                  <c:v>45475.666666666599</c:v>
                </c:pt>
                <c:pt idx="112">
                  <c:v>45476.666666666599</c:v>
                </c:pt>
                <c:pt idx="113">
                  <c:v>45477.666666666599</c:v>
                </c:pt>
                <c:pt idx="114">
                  <c:v>45478.666666666599</c:v>
                </c:pt>
                <c:pt idx="115">
                  <c:v>45481.666666666599</c:v>
                </c:pt>
                <c:pt idx="116">
                  <c:v>45482.666666666599</c:v>
                </c:pt>
                <c:pt idx="117">
                  <c:v>45483.666666666599</c:v>
                </c:pt>
                <c:pt idx="118">
                  <c:v>45484.666666666599</c:v>
                </c:pt>
                <c:pt idx="119">
                  <c:v>45485.666666666599</c:v>
                </c:pt>
                <c:pt idx="120">
                  <c:v>45488.666666666599</c:v>
                </c:pt>
                <c:pt idx="121">
                  <c:v>45489.666666666599</c:v>
                </c:pt>
                <c:pt idx="122">
                  <c:v>45490.666666666599</c:v>
                </c:pt>
                <c:pt idx="123">
                  <c:v>45491.666666666599</c:v>
                </c:pt>
                <c:pt idx="124">
                  <c:v>45492.666666666599</c:v>
                </c:pt>
                <c:pt idx="125">
                  <c:v>45495.666666666599</c:v>
                </c:pt>
                <c:pt idx="126">
                  <c:v>45496.666666666599</c:v>
                </c:pt>
                <c:pt idx="127">
                  <c:v>45497.666666666599</c:v>
                </c:pt>
                <c:pt idx="128">
                  <c:v>45498.666666666599</c:v>
                </c:pt>
                <c:pt idx="129">
                  <c:v>45499.666666666599</c:v>
                </c:pt>
                <c:pt idx="130">
                  <c:v>45502.666666666599</c:v>
                </c:pt>
                <c:pt idx="131">
                  <c:v>45503.666666666599</c:v>
                </c:pt>
                <c:pt idx="132">
                  <c:v>45504.666666666599</c:v>
                </c:pt>
                <c:pt idx="133">
                  <c:v>45505.666666666599</c:v>
                </c:pt>
                <c:pt idx="134">
                  <c:v>45506.666666666599</c:v>
                </c:pt>
                <c:pt idx="135">
                  <c:v>45509.666666666599</c:v>
                </c:pt>
                <c:pt idx="136">
                  <c:v>45510.666666666599</c:v>
                </c:pt>
                <c:pt idx="137">
                  <c:v>45511.666666666599</c:v>
                </c:pt>
                <c:pt idx="138">
                  <c:v>45512.666666666599</c:v>
                </c:pt>
                <c:pt idx="139">
                  <c:v>45513.666666666599</c:v>
                </c:pt>
                <c:pt idx="140">
                  <c:v>45516.666666666599</c:v>
                </c:pt>
                <c:pt idx="141">
                  <c:v>45517.666666666599</c:v>
                </c:pt>
                <c:pt idx="142">
                  <c:v>45518.666666666599</c:v>
                </c:pt>
                <c:pt idx="143">
                  <c:v>45519.666666666599</c:v>
                </c:pt>
                <c:pt idx="144">
                  <c:v>45520.666666666599</c:v>
                </c:pt>
                <c:pt idx="145">
                  <c:v>45523.666666666599</c:v>
                </c:pt>
                <c:pt idx="146">
                  <c:v>45524.666666666599</c:v>
                </c:pt>
                <c:pt idx="147">
                  <c:v>45525.666666666599</c:v>
                </c:pt>
                <c:pt idx="148">
                  <c:v>45526.666666666599</c:v>
                </c:pt>
                <c:pt idx="149">
                  <c:v>45527.666666666599</c:v>
                </c:pt>
                <c:pt idx="150">
                  <c:v>45530.666666666599</c:v>
                </c:pt>
                <c:pt idx="151">
                  <c:v>45531.666666666599</c:v>
                </c:pt>
                <c:pt idx="152">
                  <c:v>45532.666666666599</c:v>
                </c:pt>
                <c:pt idx="153">
                  <c:v>45533.666666666599</c:v>
                </c:pt>
                <c:pt idx="154">
                  <c:v>45534.666666666599</c:v>
                </c:pt>
                <c:pt idx="155">
                  <c:v>45537.666666666599</c:v>
                </c:pt>
                <c:pt idx="156">
                  <c:v>45538.666666666599</c:v>
                </c:pt>
                <c:pt idx="157">
                  <c:v>45539.666666666599</c:v>
                </c:pt>
                <c:pt idx="158">
                  <c:v>45540.666666666599</c:v>
                </c:pt>
                <c:pt idx="159">
                  <c:v>45541.666666666599</c:v>
                </c:pt>
                <c:pt idx="160">
                  <c:v>45544.666666666599</c:v>
                </c:pt>
                <c:pt idx="161">
                  <c:v>45545.666666666599</c:v>
                </c:pt>
                <c:pt idx="162">
                  <c:v>45546.666666666599</c:v>
                </c:pt>
                <c:pt idx="163">
                  <c:v>45547.666666666599</c:v>
                </c:pt>
                <c:pt idx="164">
                  <c:v>45548.666666666599</c:v>
                </c:pt>
                <c:pt idx="165">
                  <c:v>45552.666666666599</c:v>
                </c:pt>
                <c:pt idx="166">
                  <c:v>45553.666666666599</c:v>
                </c:pt>
                <c:pt idx="167">
                  <c:v>45554.666666666599</c:v>
                </c:pt>
                <c:pt idx="168">
                  <c:v>45555.666666666599</c:v>
                </c:pt>
                <c:pt idx="169">
                  <c:v>45558.666666666599</c:v>
                </c:pt>
                <c:pt idx="170">
                  <c:v>45559.666666666599</c:v>
                </c:pt>
                <c:pt idx="171">
                  <c:v>45560.666666666599</c:v>
                </c:pt>
                <c:pt idx="172">
                  <c:v>45561.666666666599</c:v>
                </c:pt>
                <c:pt idx="173">
                  <c:v>45562.666666666599</c:v>
                </c:pt>
                <c:pt idx="174">
                  <c:v>45565.666666666599</c:v>
                </c:pt>
                <c:pt idx="175">
                  <c:v>45566.666666666599</c:v>
                </c:pt>
                <c:pt idx="176">
                  <c:v>45567.666666666599</c:v>
                </c:pt>
                <c:pt idx="177">
                  <c:v>45568.666666666599</c:v>
                </c:pt>
                <c:pt idx="178">
                  <c:v>45569.666666666599</c:v>
                </c:pt>
                <c:pt idx="179">
                  <c:v>45572.666666666599</c:v>
                </c:pt>
                <c:pt idx="180">
                  <c:v>45573.666666666599</c:v>
                </c:pt>
                <c:pt idx="181">
                  <c:v>45574.666666666599</c:v>
                </c:pt>
                <c:pt idx="182">
                  <c:v>45575.666666666599</c:v>
                </c:pt>
                <c:pt idx="183">
                  <c:v>45576.666666666599</c:v>
                </c:pt>
                <c:pt idx="184">
                  <c:v>45579.666666666599</c:v>
                </c:pt>
                <c:pt idx="185">
                  <c:v>45580.666666666599</c:v>
                </c:pt>
                <c:pt idx="186">
                  <c:v>45581.666666666599</c:v>
                </c:pt>
                <c:pt idx="187">
                  <c:v>45582.666666666599</c:v>
                </c:pt>
                <c:pt idx="188">
                  <c:v>45583.666666666599</c:v>
                </c:pt>
                <c:pt idx="189">
                  <c:v>45586.666666666599</c:v>
                </c:pt>
                <c:pt idx="190">
                  <c:v>45587.666666666599</c:v>
                </c:pt>
                <c:pt idx="191">
                  <c:v>45588.666666666599</c:v>
                </c:pt>
                <c:pt idx="192">
                  <c:v>45589.666666666599</c:v>
                </c:pt>
                <c:pt idx="193">
                  <c:v>45590.666666666599</c:v>
                </c:pt>
                <c:pt idx="194">
                  <c:v>45593.666666666599</c:v>
                </c:pt>
                <c:pt idx="195">
                  <c:v>45594.666666666599</c:v>
                </c:pt>
                <c:pt idx="196">
                  <c:v>45595.666666666599</c:v>
                </c:pt>
                <c:pt idx="197">
                  <c:v>45596.666666666599</c:v>
                </c:pt>
                <c:pt idx="198">
                  <c:v>45597.666666666599</c:v>
                </c:pt>
                <c:pt idx="199">
                  <c:v>45600.666666666599</c:v>
                </c:pt>
                <c:pt idx="200">
                  <c:v>45601.666666666599</c:v>
                </c:pt>
                <c:pt idx="201">
                  <c:v>45602.666666666599</c:v>
                </c:pt>
                <c:pt idx="202">
                  <c:v>45603.666666666599</c:v>
                </c:pt>
                <c:pt idx="203">
                  <c:v>45604.666666666599</c:v>
                </c:pt>
                <c:pt idx="204">
                  <c:v>45607.666666666599</c:v>
                </c:pt>
                <c:pt idx="205">
                  <c:v>45608.666666666599</c:v>
                </c:pt>
                <c:pt idx="206">
                  <c:v>45609.666666666599</c:v>
                </c:pt>
                <c:pt idx="207">
                  <c:v>45610.666666666599</c:v>
                </c:pt>
                <c:pt idx="208">
                  <c:v>45611.666666666599</c:v>
                </c:pt>
                <c:pt idx="209">
                  <c:v>45614.666666666599</c:v>
                </c:pt>
                <c:pt idx="210">
                  <c:v>45615.666666666599</c:v>
                </c:pt>
                <c:pt idx="211">
                  <c:v>45616.666666666599</c:v>
                </c:pt>
                <c:pt idx="212">
                  <c:v>45617.666666666599</c:v>
                </c:pt>
                <c:pt idx="213">
                  <c:v>45618.666666666599</c:v>
                </c:pt>
                <c:pt idx="214">
                  <c:v>45621.666666666599</c:v>
                </c:pt>
                <c:pt idx="215">
                  <c:v>45622.666666666599</c:v>
                </c:pt>
                <c:pt idx="216">
                  <c:v>45624.666666666599</c:v>
                </c:pt>
                <c:pt idx="217">
                  <c:v>45625.666666666599</c:v>
                </c:pt>
                <c:pt idx="218">
                  <c:v>45628.666666666599</c:v>
                </c:pt>
                <c:pt idx="219">
                  <c:v>45629.666666666599</c:v>
                </c:pt>
                <c:pt idx="220">
                  <c:v>45630.666666666599</c:v>
                </c:pt>
                <c:pt idx="221">
                  <c:v>45631.666666666599</c:v>
                </c:pt>
                <c:pt idx="222">
                  <c:v>45632.666666666599</c:v>
                </c:pt>
                <c:pt idx="223">
                  <c:v>45635.666666666599</c:v>
                </c:pt>
                <c:pt idx="224">
                  <c:v>45636.666666666599</c:v>
                </c:pt>
                <c:pt idx="225">
                  <c:v>45637.666666666599</c:v>
                </c:pt>
                <c:pt idx="226">
                  <c:v>45638.666666666599</c:v>
                </c:pt>
                <c:pt idx="227">
                  <c:v>45639.666666666599</c:v>
                </c:pt>
                <c:pt idx="228">
                  <c:v>45642.666666666599</c:v>
                </c:pt>
                <c:pt idx="229">
                  <c:v>45643.666666666599</c:v>
                </c:pt>
                <c:pt idx="230">
                  <c:v>45644.666666666599</c:v>
                </c:pt>
                <c:pt idx="231">
                  <c:v>45645.666666666599</c:v>
                </c:pt>
                <c:pt idx="232">
                  <c:v>45646.666666666599</c:v>
                </c:pt>
                <c:pt idx="233">
                  <c:v>45649.666666666599</c:v>
                </c:pt>
                <c:pt idx="234">
                  <c:v>45650.666666666599</c:v>
                </c:pt>
                <c:pt idx="235">
                  <c:v>45653.666666666599</c:v>
                </c:pt>
                <c:pt idx="236">
                  <c:v>45656.666666666599</c:v>
                </c:pt>
                <c:pt idx="237">
                  <c:v>45659.666666666599</c:v>
                </c:pt>
                <c:pt idx="238">
                  <c:v>45660.666666666599</c:v>
                </c:pt>
                <c:pt idx="239">
                  <c:v>45663.666666666599</c:v>
                </c:pt>
                <c:pt idx="240">
                  <c:v>45664.666666666599</c:v>
                </c:pt>
                <c:pt idx="241">
                  <c:v>45665.666666666599</c:v>
                </c:pt>
                <c:pt idx="242">
                  <c:v>45666.666666666599</c:v>
                </c:pt>
                <c:pt idx="243">
                  <c:v>45667.666666666599</c:v>
                </c:pt>
                <c:pt idx="244">
                  <c:v>45670.666666666599</c:v>
                </c:pt>
                <c:pt idx="245">
                  <c:v>45671.666666666599</c:v>
                </c:pt>
                <c:pt idx="246">
                  <c:v>45672.666666666599</c:v>
                </c:pt>
                <c:pt idx="247">
                  <c:v>45673.666666666599</c:v>
                </c:pt>
                <c:pt idx="248">
                  <c:v>45674.666666666599</c:v>
                </c:pt>
                <c:pt idx="249">
                  <c:v>45677.666666666599</c:v>
                </c:pt>
                <c:pt idx="250">
                  <c:v>45678.666666666599</c:v>
                </c:pt>
                <c:pt idx="251">
                  <c:v>45679.666666666599</c:v>
                </c:pt>
                <c:pt idx="252">
                  <c:v>45680.666666666599</c:v>
                </c:pt>
                <c:pt idx="253">
                  <c:v>45681.666666666599</c:v>
                </c:pt>
                <c:pt idx="254">
                  <c:v>45687.666666666599</c:v>
                </c:pt>
                <c:pt idx="255">
                  <c:v>45688.666666666599</c:v>
                </c:pt>
                <c:pt idx="256">
                  <c:v>45691.666666666599</c:v>
                </c:pt>
                <c:pt idx="257">
                  <c:v>45692.666666666599</c:v>
                </c:pt>
                <c:pt idx="258">
                  <c:v>45693.666666666599</c:v>
                </c:pt>
                <c:pt idx="259">
                  <c:v>45694.666666666599</c:v>
                </c:pt>
                <c:pt idx="260">
                  <c:v>45695.666666666599</c:v>
                </c:pt>
                <c:pt idx="261">
                  <c:v>45698.666666666599</c:v>
                </c:pt>
                <c:pt idx="262">
                  <c:v>45699.666666666599</c:v>
                </c:pt>
                <c:pt idx="263">
                  <c:v>45700.666666666599</c:v>
                </c:pt>
                <c:pt idx="264">
                  <c:v>45701.666666666599</c:v>
                </c:pt>
                <c:pt idx="265">
                  <c:v>45702.666666666599</c:v>
                </c:pt>
                <c:pt idx="266">
                  <c:v>45705.666666666599</c:v>
                </c:pt>
                <c:pt idx="267">
                  <c:v>45706.666666666599</c:v>
                </c:pt>
                <c:pt idx="268">
                  <c:v>45707.666666666599</c:v>
                </c:pt>
                <c:pt idx="269">
                  <c:v>45708.666666666599</c:v>
                </c:pt>
                <c:pt idx="270">
                  <c:v>45709.666666666599</c:v>
                </c:pt>
                <c:pt idx="271">
                  <c:v>45712.666666666599</c:v>
                </c:pt>
                <c:pt idx="272">
                  <c:v>45713.666666666599</c:v>
                </c:pt>
                <c:pt idx="273">
                  <c:v>45714.666666666599</c:v>
                </c:pt>
                <c:pt idx="274">
                  <c:v>45715.666666666599</c:v>
                </c:pt>
                <c:pt idx="275">
                  <c:v>45716.666666666599</c:v>
                </c:pt>
                <c:pt idx="276">
                  <c:v>45719.666666666599</c:v>
                </c:pt>
                <c:pt idx="277">
                  <c:v>45720.666666666599</c:v>
                </c:pt>
                <c:pt idx="278">
                  <c:v>45721.666666666599</c:v>
                </c:pt>
                <c:pt idx="279">
                  <c:v>45722.666666666599</c:v>
                </c:pt>
                <c:pt idx="280">
                  <c:v>45723.666666666599</c:v>
                </c:pt>
                <c:pt idx="281">
                  <c:v>45726.666666666599</c:v>
                </c:pt>
                <c:pt idx="282">
                  <c:v>45727.666666666599</c:v>
                </c:pt>
                <c:pt idx="283">
                  <c:v>45728.666666666599</c:v>
                </c:pt>
                <c:pt idx="284">
                  <c:v>45729.666666666599</c:v>
                </c:pt>
                <c:pt idx="285">
                  <c:v>45730.666666666599</c:v>
                </c:pt>
                <c:pt idx="286">
                  <c:v>45733.666666666599</c:v>
                </c:pt>
                <c:pt idx="287">
                  <c:v>45734.666666666599</c:v>
                </c:pt>
                <c:pt idx="288">
                  <c:v>45735.666666666599</c:v>
                </c:pt>
                <c:pt idx="289">
                  <c:v>45736.666666666599</c:v>
                </c:pt>
                <c:pt idx="290">
                  <c:v>45737.666666666599</c:v>
                </c:pt>
                <c:pt idx="291">
                  <c:v>45740.666666666599</c:v>
                </c:pt>
                <c:pt idx="292">
                  <c:v>45741.666666666599</c:v>
                </c:pt>
                <c:pt idx="293">
                  <c:v>45742.666666666599</c:v>
                </c:pt>
                <c:pt idx="294">
                  <c:v>45743.666666666599</c:v>
                </c:pt>
                <c:pt idx="295">
                  <c:v>45755.666666666599</c:v>
                </c:pt>
                <c:pt idx="296">
                  <c:v>45756.666666666599</c:v>
                </c:pt>
                <c:pt idx="297">
                  <c:v>45757.666666666599</c:v>
                </c:pt>
                <c:pt idx="298">
                  <c:v>45758.666666666599</c:v>
                </c:pt>
                <c:pt idx="299">
                  <c:v>45761.666666666599</c:v>
                </c:pt>
                <c:pt idx="300">
                  <c:v>45762.666666666599</c:v>
                </c:pt>
                <c:pt idx="301">
                  <c:v>45763.666666666599</c:v>
                </c:pt>
                <c:pt idx="302">
                  <c:v>45764.666666666599</c:v>
                </c:pt>
                <c:pt idx="303">
                  <c:v>45768.666666666599</c:v>
                </c:pt>
                <c:pt idx="304">
                  <c:v>45769.666666666599</c:v>
                </c:pt>
                <c:pt idx="305">
                  <c:v>45770.666666666599</c:v>
                </c:pt>
                <c:pt idx="306">
                  <c:v>45771.666666666599</c:v>
                </c:pt>
                <c:pt idx="307">
                  <c:v>45772.666666666599</c:v>
                </c:pt>
                <c:pt idx="308">
                  <c:v>45775.666666666599</c:v>
                </c:pt>
                <c:pt idx="309">
                  <c:v>45776.666666666599</c:v>
                </c:pt>
                <c:pt idx="310">
                  <c:v>45777.666666666599</c:v>
                </c:pt>
                <c:pt idx="311">
                  <c:v>45779.666666666599</c:v>
                </c:pt>
                <c:pt idx="312">
                  <c:v>45782.666666666599</c:v>
                </c:pt>
                <c:pt idx="313">
                  <c:v>45783.666666666599</c:v>
                </c:pt>
                <c:pt idx="314">
                  <c:v>45784.666666666599</c:v>
                </c:pt>
                <c:pt idx="315">
                  <c:v>45785.666666666599</c:v>
                </c:pt>
                <c:pt idx="316">
                  <c:v>45786.666666666599</c:v>
                </c:pt>
                <c:pt idx="317">
                  <c:v>45791.666666666599</c:v>
                </c:pt>
                <c:pt idx="318">
                  <c:v>45792.666666666599</c:v>
                </c:pt>
                <c:pt idx="319">
                  <c:v>45793.666666666599</c:v>
                </c:pt>
                <c:pt idx="320">
                  <c:v>45796.666666666599</c:v>
                </c:pt>
                <c:pt idx="321">
                  <c:v>45797.666666666599</c:v>
                </c:pt>
                <c:pt idx="322">
                  <c:v>45798.666666666599</c:v>
                </c:pt>
                <c:pt idx="323">
                  <c:v>45799.666666666599</c:v>
                </c:pt>
                <c:pt idx="324">
                  <c:v>45800.666666666599</c:v>
                </c:pt>
                <c:pt idx="325">
                  <c:v>45803.666666666599</c:v>
                </c:pt>
                <c:pt idx="326">
                  <c:v>45804.666666666599</c:v>
                </c:pt>
                <c:pt idx="327">
                  <c:v>45805.666666666599</c:v>
                </c:pt>
                <c:pt idx="328">
                  <c:v>45810.666666666599</c:v>
                </c:pt>
                <c:pt idx="329">
                  <c:v>45811.666666666599</c:v>
                </c:pt>
                <c:pt idx="330">
                  <c:v>45812.666666666599</c:v>
                </c:pt>
                <c:pt idx="331">
                  <c:v>45813.666666666599</c:v>
                </c:pt>
                <c:pt idx="332">
                  <c:v>45818.666666666599</c:v>
                </c:pt>
                <c:pt idx="333">
                  <c:v>45819.666666666599</c:v>
                </c:pt>
                <c:pt idx="334">
                  <c:v>45820.666666666599</c:v>
                </c:pt>
                <c:pt idx="335">
                  <c:v>45821.666666666599</c:v>
                </c:pt>
                <c:pt idx="336">
                  <c:v>45824.666666666599</c:v>
                </c:pt>
                <c:pt idx="337">
                  <c:v>45825.666666666599</c:v>
                </c:pt>
                <c:pt idx="338">
                  <c:v>45826.666666666599</c:v>
                </c:pt>
                <c:pt idx="339">
                  <c:v>45827.666666666599</c:v>
                </c:pt>
                <c:pt idx="340">
                  <c:v>45828.666666666599</c:v>
                </c:pt>
                <c:pt idx="341">
                  <c:v>45831.666666666599</c:v>
                </c:pt>
                <c:pt idx="342">
                  <c:v>45832.666666666599</c:v>
                </c:pt>
                <c:pt idx="343">
                  <c:v>45833.666666666599</c:v>
                </c:pt>
                <c:pt idx="344">
                  <c:v>45834.666666666599</c:v>
                </c:pt>
                <c:pt idx="345">
                  <c:v>45838.666666666599</c:v>
                </c:pt>
                <c:pt idx="346">
                  <c:v>45839.666666666599</c:v>
                </c:pt>
                <c:pt idx="347">
                  <c:v>45840.666666666599</c:v>
                </c:pt>
                <c:pt idx="348">
                  <c:v>45841.666666666599</c:v>
                </c:pt>
                <c:pt idx="349">
                  <c:v>45842.666666666599</c:v>
                </c:pt>
                <c:pt idx="350">
                  <c:v>45845.666666666599</c:v>
                </c:pt>
                <c:pt idx="351">
                  <c:v>45846.666666666599</c:v>
                </c:pt>
                <c:pt idx="352">
                  <c:v>45847.666666666599</c:v>
                </c:pt>
                <c:pt idx="353">
                  <c:v>45848.666666666599</c:v>
                </c:pt>
                <c:pt idx="354">
                  <c:v>45849.666666666599</c:v>
                </c:pt>
                <c:pt idx="355">
                  <c:v>45852.666666666599</c:v>
                </c:pt>
                <c:pt idx="356">
                  <c:v>45853.666666666599</c:v>
                </c:pt>
                <c:pt idx="357">
                  <c:v>45854.666666666599</c:v>
                </c:pt>
                <c:pt idx="358">
                  <c:v>45855.666666666599</c:v>
                </c:pt>
                <c:pt idx="359">
                  <c:v>45856.666666666599</c:v>
                </c:pt>
                <c:pt idx="360">
                  <c:v>45859.666666666599</c:v>
                </c:pt>
                <c:pt idx="361">
                  <c:v>45860.666666666599</c:v>
                </c:pt>
                <c:pt idx="362">
                  <c:v>45861.666666666599</c:v>
                </c:pt>
                <c:pt idx="363">
                  <c:v>45862.666666666599</c:v>
                </c:pt>
                <c:pt idx="364">
                  <c:v>45863.666666666599</c:v>
                </c:pt>
                <c:pt idx="365">
                  <c:v>45866.666666666599</c:v>
                </c:pt>
                <c:pt idx="366">
                  <c:v>45867.666666666599</c:v>
                </c:pt>
                <c:pt idx="367">
                  <c:v>45868.666666666599</c:v>
                </c:pt>
                <c:pt idx="368">
                  <c:v>45869.666666666599</c:v>
                </c:pt>
                <c:pt idx="369">
                  <c:v>45870.666666666599</c:v>
                </c:pt>
                <c:pt idx="370">
                  <c:v>45873.666666666599</c:v>
                </c:pt>
                <c:pt idx="371">
                  <c:v>45874.666666666599</c:v>
                </c:pt>
                <c:pt idx="372">
                  <c:v>45875.666666666599</c:v>
                </c:pt>
                <c:pt idx="373">
                  <c:v>45876.666666666599</c:v>
                </c:pt>
                <c:pt idx="374">
                  <c:v>45877.666666666599</c:v>
                </c:pt>
                <c:pt idx="375">
                  <c:v>45880.666666666599</c:v>
                </c:pt>
                <c:pt idx="376">
                  <c:v>45881.666666666599</c:v>
                </c:pt>
                <c:pt idx="377">
                  <c:v>45882.666666666599</c:v>
                </c:pt>
                <c:pt idx="378">
                  <c:v>45883.666666666599</c:v>
                </c:pt>
                <c:pt idx="379">
                  <c:v>45884.666666666599</c:v>
                </c:pt>
                <c:pt idx="380">
                  <c:v>45888.666666666599</c:v>
                </c:pt>
                <c:pt idx="381">
                  <c:v>45889.666666666599</c:v>
                </c:pt>
                <c:pt idx="382">
                  <c:v>45890.666666666599</c:v>
                </c:pt>
                <c:pt idx="383">
                  <c:v>45891.666666666599</c:v>
                </c:pt>
                <c:pt idx="384">
                  <c:v>45894.666666666599</c:v>
                </c:pt>
                <c:pt idx="385">
                  <c:v>45895.666666666599</c:v>
                </c:pt>
                <c:pt idx="386">
                  <c:v>45896.666666666599</c:v>
                </c:pt>
                <c:pt idx="387">
                  <c:v>45897.666666666599</c:v>
                </c:pt>
                <c:pt idx="388">
                  <c:v>45898.666666666599</c:v>
                </c:pt>
                <c:pt idx="389">
                  <c:v>45901.666666666599</c:v>
                </c:pt>
                <c:pt idx="390">
                  <c:v>45902.666666666599</c:v>
                </c:pt>
                <c:pt idx="391">
                  <c:v>45903.666666666599</c:v>
                </c:pt>
                <c:pt idx="392">
                  <c:v>45904.666666666599</c:v>
                </c:pt>
                <c:pt idx="393">
                  <c:v>45908.666666666599</c:v>
                </c:pt>
                <c:pt idx="394">
                  <c:v>45909.666666666599</c:v>
                </c:pt>
                <c:pt idx="395">
                  <c:v>45910.666666666599</c:v>
                </c:pt>
                <c:pt idx="396">
                  <c:v>45911.666666666599</c:v>
                </c:pt>
                <c:pt idx="397">
                  <c:v>45912.666666666599</c:v>
                </c:pt>
                <c:pt idx="398">
                  <c:v>45915.666666666599</c:v>
                </c:pt>
                <c:pt idx="399">
                  <c:v>45916.666666666599</c:v>
                </c:pt>
                <c:pt idx="400">
                  <c:v>45917.666666666599</c:v>
                </c:pt>
                <c:pt idx="401">
                  <c:v>45918.666666666599</c:v>
                </c:pt>
                <c:pt idx="402">
                  <c:v>45919.666666666599</c:v>
                </c:pt>
                <c:pt idx="403">
                  <c:v>45922.666666666599</c:v>
                </c:pt>
                <c:pt idx="404">
                  <c:v>45923.666666666599</c:v>
                </c:pt>
                <c:pt idx="405">
                  <c:v>45924.666666666599</c:v>
                </c:pt>
                <c:pt idx="406">
                  <c:v>45925.666666666599</c:v>
                </c:pt>
                <c:pt idx="407">
                  <c:v>45926.666666666599</c:v>
                </c:pt>
                <c:pt idx="408">
                  <c:v>45929.666666666599</c:v>
                </c:pt>
                <c:pt idx="409">
                  <c:v>45930.666666666599</c:v>
                </c:pt>
                <c:pt idx="410">
                  <c:v>45931.666666666599</c:v>
                </c:pt>
                <c:pt idx="411">
                  <c:v>45932.666666666599</c:v>
                </c:pt>
                <c:pt idx="412">
                  <c:v>45933.666666666599</c:v>
                </c:pt>
                <c:pt idx="413">
                  <c:v>45936.666666666599</c:v>
                </c:pt>
                <c:pt idx="414">
                  <c:v>45937.666666666599</c:v>
                </c:pt>
                <c:pt idx="415">
                  <c:v>45938.666666666599</c:v>
                </c:pt>
                <c:pt idx="416">
                  <c:v>45939.666666666599</c:v>
                </c:pt>
                <c:pt idx="417">
                  <c:v>45940.666666666599</c:v>
                </c:pt>
                <c:pt idx="418">
                  <c:v>45943.666666666599</c:v>
                </c:pt>
                <c:pt idx="419">
                  <c:v>45944.666666666599</c:v>
                </c:pt>
                <c:pt idx="420">
                  <c:v>45945.666666666599</c:v>
                </c:pt>
                <c:pt idx="421">
                  <c:v>45946.666666666599</c:v>
                </c:pt>
                <c:pt idx="422">
                  <c:v>45947.666666666599</c:v>
                </c:pt>
                <c:pt idx="423">
                  <c:v>45950.666666666599</c:v>
                </c:pt>
                <c:pt idx="424">
                  <c:v>45951.666666666599</c:v>
                </c:pt>
                <c:pt idx="425">
                  <c:v>45952.666666666599</c:v>
                </c:pt>
                <c:pt idx="426">
                  <c:v>45953.666666666599</c:v>
                </c:pt>
                <c:pt idx="427">
                  <c:v>45954.666666666599</c:v>
                </c:pt>
                <c:pt idx="428">
                  <c:v>45957.666666666599</c:v>
                </c:pt>
                <c:pt idx="429">
                  <c:v>45958.666666666599</c:v>
                </c:pt>
                <c:pt idx="430">
                  <c:v>45959.666666666599</c:v>
                </c:pt>
                <c:pt idx="431">
                  <c:v>45960.666666666599</c:v>
                </c:pt>
                <c:pt idx="432">
                  <c:v>45961.666666666599</c:v>
                </c:pt>
                <c:pt idx="433">
                  <c:v>45964.666666666599</c:v>
                </c:pt>
                <c:pt idx="434">
                  <c:v>45965.666666666599</c:v>
                </c:pt>
                <c:pt idx="435">
                  <c:v>45966.666666666599</c:v>
                </c:pt>
                <c:pt idx="436">
                  <c:v>45967.666666666599</c:v>
                </c:pt>
                <c:pt idx="437">
                  <c:v>45968.666666666599</c:v>
                </c:pt>
                <c:pt idx="438">
                  <c:v>45971.666666666599</c:v>
                </c:pt>
                <c:pt idx="439">
                  <c:v>45972.666666666599</c:v>
                </c:pt>
                <c:pt idx="440">
                  <c:v>45973.666666666599</c:v>
                </c:pt>
                <c:pt idx="441">
                  <c:v>45974.666666666599</c:v>
                </c:pt>
                <c:pt idx="442">
                  <c:v>45975.666666666599</c:v>
                </c:pt>
                <c:pt idx="443">
                  <c:v>45978.666666666599</c:v>
                </c:pt>
                <c:pt idx="444">
                  <c:v>45979.666666666599</c:v>
                </c:pt>
                <c:pt idx="445">
                  <c:v>45980.666666666599</c:v>
                </c:pt>
                <c:pt idx="446">
                  <c:v>45981.666666666599</c:v>
                </c:pt>
                <c:pt idx="447">
                  <c:v>45982.666666666599</c:v>
                </c:pt>
                <c:pt idx="448">
                  <c:v>45985.666666666599</c:v>
                </c:pt>
                <c:pt idx="449">
                  <c:v>45986.666666666599</c:v>
                </c:pt>
                <c:pt idx="450">
                  <c:v>45987.666666666599</c:v>
                </c:pt>
                <c:pt idx="451">
                  <c:v>45988.666666666599</c:v>
                </c:pt>
                <c:pt idx="452">
                  <c:v>45989.666666666599</c:v>
                </c:pt>
                <c:pt idx="453">
                  <c:v>45992.666666666599</c:v>
                </c:pt>
                <c:pt idx="454">
                  <c:v>45993.666666666599</c:v>
                </c:pt>
                <c:pt idx="455">
                  <c:v>45994.666666666599</c:v>
                </c:pt>
                <c:pt idx="456">
                  <c:v>45995.666666666599</c:v>
                </c:pt>
                <c:pt idx="457">
                  <c:v>45996.666666666599</c:v>
                </c:pt>
                <c:pt idx="458">
                  <c:v>45999.666666666599</c:v>
                </c:pt>
                <c:pt idx="459">
                  <c:v>46000.666666666599</c:v>
                </c:pt>
                <c:pt idx="460">
                  <c:v>46001.666666666599</c:v>
                </c:pt>
                <c:pt idx="461">
                  <c:v>46002.666666666599</c:v>
                </c:pt>
                <c:pt idx="462">
                  <c:v>46003.666666666599</c:v>
                </c:pt>
                <c:pt idx="463">
                  <c:v>46006.666666666599</c:v>
                </c:pt>
                <c:pt idx="464">
                  <c:v>46007.666666666599</c:v>
                </c:pt>
                <c:pt idx="465">
                  <c:v>46008.666666666599</c:v>
                </c:pt>
                <c:pt idx="466">
                  <c:v>46009.666666666599</c:v>
                </c:pt>
                <c:pt idx="467">
                  <c:v>46010.666666666599</c:v>
                </c:pt>
                <c:pt idx="468">
                  <c:v>46013.666666666599</c:v>
                </c:pt>
                <c:pt idx="469">
                  <c:v>46014.666666666599</c:v>
                </c:pt>
                <c:pt idx="470">
                  <c:v>46015.666666666599</c:v>
                </c:pt>
                <c:pt idx="471">
                  <c:v>46020.666666666599</c:v>
                </c:pt>
                <c:pt idx="472">
                  <c:v>46021.666666666599</c:v>
                </c:pt>
              </c:numCache>
            </c:numRef>
          </c:cat>
          <c:val>
            <c:numRef>
              <c:f>BBRI!$F$2:$F$474</c:f>
              <c:numCache>
                <c:formatCode>General</c:formatCode>
                <c:ptCount val="473"/>
                <c:pt idx="0">
                  <c:v>5675</c:v>
                </c:pt>
                <c:pt idx="1">
                  <c:v>5600</c:v>
                </c:pt>
                <c:pt idx="2">
                  <c:v>5700</c:v>
                </c:pt>
                <c:pt idx="3">
                  <c:v>5750</c:v>
                </c:pt>
                <c:pt idx="4">
                  <c:v>5625</c:v>
                </c:pt>
                <c:pt idx="5">
                  <c:v>5700</c:v>
                </c:pt>
                <c:pt idx="6">
                  <c:v>5700</c:v>
                </c:pt>
                <c:pt idx="7">
                  <c:v>5750</c:v>
                </c:pt>
                <c:pt idx="8">
                  <c:v>5850</c:v>
                </c:pt>
                <c:pt idx="9">
                  <c:v>5825</c:v>
                </c:pt>
                <c:pt idx="10">
                  <c:v>5825</c:v>
                </c:pt>
                <c:pt idx="11">
                  <c:v>5775</c:v>
                </c:pt>
                <c:pt idx="12">
                  <c:v>5750</c:v>
                </c:pt>
                <c:pt idx="13">
                  <c:v>5800</c:v>
                </c:pt>
                <c:pt idx="14">
                  <c:v>5775</c:v>
                </c:pt>
                <c:pt idx="15">
                  <c:v>5700</c:v>
                </c:pt>
                <c:pt idx="16">
                  <c:v>5650</c:v>
                </c:pt>
                <c:pt idx="17">
                  <c:v>5525</c:v>
                </c:pt>
                <c:pt idx="18">
                  <c:v>5425</c:v>
                </c:pt>
                <c:pt idx="19">
                  <c:v>5575</c:v>
                </c:pt>
                <c:pt idx="20">
                  <c:v>5625</c:v>
                </c:pt>
                <c:pt idx="21">
                  <c:v>5700</c:v>
                </c:pt>
                <c:pt idx="22">
                  <c:v>5750</c:v>
                </c:pt>
                <c:pt idx="23">
                  <c:v>5850</c:v>
                </c:pt>
                <c:pt idx="24">
                  <c:v>5775</c:v>
                </c:pt>
                <c:pt idx="25">
                  <c:v>5825</c:v>
                </c:pt>
                <c:pt idx="26">
                  <c:v>5850</c:v>
                </c:pt>
                <c:pt idx="27">
                  <c:v>6025</c:v>
                </c:pt>
                <c:pt idx="28">
                  <c:v>6000</c:v>
                </c:pt>
                <c:pt idx="29">
                  <c:v>6125</c:v>
                </c:pt>
                <c:pt idx="30">
                  <c:v>6150</c:v>
                </c:pt>
                <c:pt idx="31">
                  <c:v>6100</c:v>
                </c:pt>
                <c:pt idx="32">
                  <c:v>6300</c:v>
                </c:pt>
                <c:pt idx="33">
                  <c:v>6300</c:v>
                </c:pt>
                <c:pt idx="34">
                  <c:v>6250</c:v>
                </c:pt>
                <c:pt idx="35">
                  <c:v>6125</c:v>
                </c:pt>
                <c:pt idx="36">
                  <c:v>6175</c:v>
                </c:pt>
                <c:pt idx="37">
                  <c:v>6125</c:v>
                </c:pt>
                <c:pt idx="38">
                  <c:v>6225</c:v>
                </c:pt>
                <c:pt idx="39">
                  <c:v>6125</c:v>
                </c:pt>
                <c:pt idx="40">
                  <c:v>6125</c:v>
                </c:pt>
                <c:pt idx="41">
                  <c:v>6050</c:v>
                </c:pt>
                <c:pt idx="42">
                  <c:v>6125</c:v>
                </c:pt>
                <c:pt idx="43">
                  <c:v>6200</c:v>
                </c:pt>
                <c:pt idx="44">
                  <c:v>6225</c:v>
                </c:pt>
                <c:pt idx="45">
                  <c:v>6350</c:v>
                </c:pt>
                <c:pt idx="46">
                  <c:v>6400</c:v>
                </c:pt>
                <c:pt idx="47">
                  <c:v>6150</c:v>
                </c:pt>
                <c:pt idx="48">
                  <c:v>5975</c:v>
                </c:pt>
                <c:pt idx="49">
                  <c:v>6000</c:v>
                </c:pt>
                <c:pt idx="50">
                  <c:v>6000</c:v>
                </c:pt>
                <c:pt idx="51">
                  <c:v>6100</c:v>
                </c:pt>
                <c:pt idx="52">
                  <c:v>6100</c:v>
                </c:pt>
                <c:pt idx="53">
                  <c:v>6125</c:v>
                </c:pt>
                <c:pt idx="54">
                  <c:v>6250</c:v>
                </c:pt>
                <c:pt idx="55">
                  <c:v>6300</c:v>
                </c:pt>
                <c:pt idx="56">
                  <c:v>6250</c:v>
                </c:pt>
                <c:pt idx="57">
                  <c:v>6050</c:v>
                </c:pt>
                <c:pt idx="58">
                  <c:v>5925</c:v>
                </c:pt>
                <c:pt idx="59">
                  <c:v>5675</c:v>
                </c:pt>
                <c:pt idx="60">
                  <c:v>5625</c:v>
                </c:pt>
                <c:pt idx="61">
                  <c:v>5700</c:v>
                </c:pt>
                <c:pt idx="62">
                  <c:v>5650</c:v>
                </c:pt>
                <c:pt idx="63">
                  <c:v>5350</c:v>
                </c:pt>
                <c:pt idx="64">
                  <c:v>5300</c:v>
                </c:pt>
                <c:pt idx="65">
                  <c:v>5475</c:v>
                </c:pt>
                <c:pt idx="66">
                  <c:v>5275</c:v>
                </c:pt>
                <c:pt idx="67">
                  <c:v>5300</c:v>
                </c:pt>
                <c:pt idx="68">
                  <c:v>5300</c:v>
                </c:pt>
                <c:pt idx="69">
                  <c:v>5225</c:v>
                </c:pt>
                <c:pt idx="70">
                  <c:v>5150</c:v>
                </c:pt>
                <c:pt idx="71">
                  <c:v>4830</c:v>
                </c:pt>
                <c:pt idx="72">
                  <c:v>4770</c:v>
                </c:pt>
                <c:pt idx="73">
                  <c:v>4940</c:v>
                </c:pt>
                <c:pt idx="74">
                  <c:v>4760</c:v>
                </c:pt>
                <c:pt idx="75">
                  <c:v>4750</c:v>
                </c:pt>
                <c:pt idx="76">
                  <c:v>4790</c:v>
                </c:pt>
                <c:pt idx="77">
                  <c:v>4670</c:v>
                </c:pt>
                <c:pt idx="78">
                  <c:v>4680</c:v>
                </c:pt>
                <c:pt idx="79">
                  <c:v>4680</c:v>
                </c:pt>
                <c:pt idx="80">
                  <c:v>4730</c:v>
                </c:pt>
                <c:pt idx="81">
                  <c:v>4820</c:v>
                </c:pt>
                <c:pt idx="82">
                  <c:v>4840</c:v>
                </c:pt>
                <c:pt idx="83">
                  <c:v>4920</c:v>
                </c:pt>
                <c:pt idx="84">
                  <c:v>4820</c:v>
                </c:pt>
                <c:pt idx="85">
                  <c:v>4680</c:v>
                </c:pt>
                <c:pt idx="86">
                  <c:v>4720</c:v>
                </c:pt>
                <c:pt idx="87">
                  <c:v>4550</c:v>
                </c:pt>
                <c:pt idx="88">
                  <c:v>4530</c:v>
                </c:pt>
                <c:pt idx="89">
                  <c:v>4410</c:v>
                </c:pt>
                <c:pt idx="90">
                  <c:v>4380</c:v>
                </c:pt>
                <c:pt idx="91">
                  <c:v>4340</c:v>
                </c:pt>
                <c:pt idx="92">
                  <c:v>4530</c:v>
                </c:pt>
                <c:pt idx="93">
                  <c:v>4450</c:v>
                </c:pt>
                <c:pt idx="94">
                  <c:v>4400</c:v>
                </c:pt>
                <c:pt idx="95">
                  <c:v>4500</c:v>
                </c:pt>
                <c:pt idx="96">
                  <c:v>4350</c:v>
                </c:pt>
                <c:pt idx="97">
                  <c:v>4400</c:v>
                </c:pt>
                <c:pt idx="98">
                  <c:v>4340</c:v>
                </c:pt>
                <c:pt idx="99">
                  <c:v>4350</c:v>
                </c:pt>
                <c:pt idx="100">
                  <c:v>4310</c:v>
                </c:pt>
                <c:pt idx="101">
                  <c:v>4180</c:v>
                </c:pt>
                <c:pt idx="102">
                  <c:v>4100</c:v>
                </c:pt>
                <c:pt idx="103">
                  <c:v>4270</c:v>
                </c:pt>
                <c:pt idx="104">
                  <c:v>4440</c:v>
                </c:pt>
                <c:pt idx="105">
                  <c:v>4400</c:v>
                </c:pt>
                <c:pt idx="106">
                  <c:v>4380</c:v>
                </c:pt>
                <c:pt idx="107">
                  <c:v>4370</c:v>
                </c:pt>
                <c:pt idx="108">
                  <c:v>4460</c:v>
                </c:pt>
                <c:pt idx="109">
                  <c:v>4600</c:v>
                </c:pt>
                <c:pt idx="110">
                  <c:v>4630</c:v>
                </c:pt>
                <c:pt idx="111">
                  <c:v>4570</c:v>
                </c:pt>
                <c:pt idx="112">
                  <c:v>4600</c:v>
                </c:pt>
                <c:pt idx="113">
                  <c:v>4790</c:v>
                </c:pt>
                <c:pt idx="114">
                  <c:v>4800</c:v>
                </c:pt>
                <c:pt idx="115">
                  <c:v>4750</c:v>
                </c:pt>
                <c:pt idx="116">
                  <c:v>4870</c:v>
                </c:pt>
                <c:pt idx="117">
                  <c:v>4850</c:v>
                </c:pt>
                <c:pt idx="118">
                  <c:v>4840</c:v>
                </c:pt>
                <c:pt idx="119">
                  <c:v>4900</c:v>
                </c:pt>
                <c:pt idx="120">
                  <c:v>4820</c:v>
                </c:pt>
                <c:pt idx="121">
                  <c:v>4730</c:v>
                </c:pt>
                <c:pt idx="122">
                  <c:v>4760</c:v>
                </c:pt>
                <c:pt idx="123">
                  <c:v>4890</c:v>
                </c:pt>
                <c:pt idx="124">
                  <c:v>4900</c:v>
                </c:pt>
                <c:pt idx="125">
                  <c:v>4910</c:v>
                </c:pt>
                <c:pt idx="126">
                  <c:v>4790</c:v>
                </c:pt>
                <c:pt idx="127">
                  <c:v>4780</c:v>
                </c:pt>
                <c:pt idx="128">
                  <c:v>4700</c:v>
                </c:pt>
                <c:pt idx="129">
                  <c:v>4760</c:v>
                </c:pt>
                <c:pt idx="130">
                  <c:v>4780</c:v>
                </c:pt>
                <c:pt idx="131">
                  <c:v>4670</c:v>
                </c:pt>
                <c:pt idx="132">
                  <c:v>4670</c:v>
                </c:pt>
                <c:pt idx="133">
                  <c:v>4750</c:v>
                </c:pt>
                <c:pt idx="134">
                  <c:v>4710</c:v>
                </c:pt>
                <c:pt idx="135">
                  <c:v>4530</c:v>
                </c:pt>
                <c:pt idx="136">
                  <c:v>4600</c:v>
                </c:pt>
                <c:pt idx="137">
                  <c:v>4620</c:v>
                </c:pt>
                <c:pt idx="138">
                  <c:v>4660</c:v>
                </c:pt>
                <c:pt idx="139">
                  <c:v>4670</c:v>
                </c:pt>
                <c:pt idx="140">
                  <c:v>4680</c:v>
                </c:pt>
                <c:pt idx="141">
                  <c:v>4720</c:v>
                </c:pt>
                <c:pt idx="142">
                  <c:v>4820</c:v>
                </c:pt>
                <c:pt idx="143">
                  <c:v>4830</c:v>
                </c:pt>
                <c:pt idx="144">
                  <c:v>4830</c:v>
                </c:pt>
                <c:pt idx="145">
                  <c:v>4820</c:v>
                </c:pt>
                <c:pt idx="146">
                  <c:v>4950</c:v>
                </c:pt>
                <c:pt idx="147">
                  <c:v>5100</c:v>
                </c:pt>
                <c:pt idx="148">
                  <c:v>5050</c:v>
                </c:pt>
                <c:pt idx="149">
                  <c:v>5150</c:v>
                </c:pt>
                <c:pt idx="150">
                  <c:v>5300</c:v>
                </c:pt>
                <c:pt idx="151">
                  <c:v>5175</c:v>
                </c:pt>
                <c:pt idx="152">
                  <c:v>5150</c:v>
                </c:pt>
                <c:pt idx="153">
                  <c:v>5125</c:v>
                </c:pt>
                <c:pt idx="154">
                  <c:v>5150</c:v>
                </c:pt>
                <c:pt idx="155">
                  <c:v>5175</c:v>
                </c:pt>
                <c:pt idx="156">
                  <c:v>5175</c:v>
                </c:pt>
                <c:pt idx="157">
                  <c:v>5100</c:v>
                </c:pt>
                <c:pt idx="158">
                  <c:v>5150</c:v>
                </c:pt>
                <c:pt idx="159">
                  <c:v>5225</c:v>
                </c:pt>
                <c:pt idx="160">
                  <c:v>5175</c:v>
                </c:pt>
                <c:pt idx="161">
                  <c:v>5250</c:v>
                </c:pt>
                <c:pt idx="162">
                  <c:v>5175</c:v>
                </c:pt>
                <c:pt idx="163">
                  <c:v>5175</c:v>
                </c:pt>
                <c:pt idx="164">
                  <c:v>5300</c:v>
                </c:pt>
                <c:pt idx="165">
                  <c:v>5300</c:v>
                </c:pt>
                <c:pt idx="166">
                  <c:v>5350</c:v>
                </c:pt>
                <c:pt idx="167">
                  <c:v>5400</c:v>
                </c:pt>
                <c:pt idx="168">
                  <c:v>5375</c:v>
                </c:pt>
                <c:pt idx="169">
                  <c:v>5500</c:v>
                </c:pt>
                <c:pt idx="170">
                  <c:v>5525</c:v>
                </c:pt>
                <c:pt idx="171">
                  <c:v>5325</c:v>
                </c:pt>
                <c:pt idx="172">
                  <c:v>5050</c:v>
                </c:pt>
                <c:pt idx="173">
                  <c:v>5100</c:v>
                </c:pt>
                <c:pt idx="174">
                  <c:v>4950</c:v>
                </c:pt>
                <c:pt idx="175">
                  <c:v>5075</c:v>
                </c:pt>
                <c:pt idx="176">
                  <c:v>4940</c:v>
                </c:pt>
                <c:pt idx="177">
                  <c:v>4920</c:v>
                </c:pt>
                <c:pt idx="178">
                  <c:v>4860</c:v>
                </c:pt>
                <c:pt idx="179">
                  <c:v>4820</c:v>
                </c:pt>
                <c:pt idx="180">
                  <c:v>5000</c:v>
                </c:pt>
                <c:pt idx="181">
                  <c:v>4930</c:v>
                </c:pt>
                <c:pt idx="182">
                  <c:v>4860</c:v>
                </c:pt>
                <c:pt idx="183">
                  <c:v>4900</c:v>
                </c:pt>
                <c:pt idx="184">
                  <c:v>4900</c:v>
                </c:pt>
                <c:pt idx="185">
                  <c:v>4920</c:v>
                </c:pt>
                <c:pt idx="186">
                  <c:v>4950</c:v>
                </c:pt>
                <c:pt idx="187">
                  <c:v>4980</c:v>
                </c:pt>
                <c:pt idx="188">
                  <c:v>4970</c:v>
                </c:pt>
                <c:pt idx="189">
                  <c:v>4990</c:v>
                </c:pt>
                <c:pt idx="190">
                  <c:v>4900</c:v>
                </c:pt>
                <c:pt idx="191">
                  <c:v>4860</c:v>
                </c:pt>
                <c:pt idx="192">
                  <c:v>4820</c:v>
                </c:pt>
                <c:pt idx="193">
                  <c:v>4770</c:v>
                </c:pt>
                <c:pt idx="194">
                  <c:v>4760</c:v>
                </c:pt>
                <c:pt idx="195">
                  <c:v>4700</c:v>
                </c:pt>
                <c:pt idx="196">
                  <c:v>4710</c:v>
                </c:pt>
                <c:pt idx="197">
                  <c:v>4800</c:v>
                </c:pt>
                <c:pt idx="198">
                  <c:v>4700</c:v>
                </c:pt>
                <c:pt idx="199">
                  <c:v>4720</c:v>
                </c:pt>
                <c:pt idx="200">
                  <c:v>4710</c:v>
                </c:pt>
                <c:pt idx="201">
                  <c:v>4600</c:v>
                </c:pt>
                <c:pt idx="202">
                  <c:v>4550</c:v>
                </c:pt>
                <c:pt idx="203">
                  <c:v>4520</c:v>
                </c:pt>
                <c:pt idx="204">
                  <c:v>4460</c:v>
                </c:pt>
                <c:pt idx="205">
                  <c:v>4500</c:v>
                </c:pt>
                <c:pt idx="206">
                  <c:v>4580</c:v>
                </c:pt>
                <c:pt idx="207">
                  <c:v>4500</c:v>
                </c:pt>
                <c:pt idx="208">
                  <c:v>4470</c:v>
                </c:pt>
                <c:pt idx="209">
                  <c:v>4350</c:v>
                </c:pt>
                <c:pt idx="210">
                  <c:v>4360</c:v>
                </c:pt>
                <c:pt idx="211">
                  <c:v>4330</c:v>
                </c:pt>
                <c:pt idx="212">
                  <c:v>4250</c:v>
                </c:pt>
                <c:pt idx="213">
                  <c:v>4400</c:v>
                </c:pt>
                <c:pt idx="214">
                  <c:v>4470</c:v>
                </c:pt>
                <c:pt idx="215">
                  <c:v>4400</c:v>
                </c:pt>
                <c:pt idx="216">
                  <c:v>4330</c:v>
                </c:pt>
                <c:pt idx="217">
                  <c:v>4250</c:v>
                </c:pt>
                <c:pt idx="218">
                  <c:v>4170</c:v>
                </c:pt>
                <c:pt idx="219">
                  <c:v>4240</c:v>
                </c:pt>
                <c:pt idx="220">
                  <c:v>4350</c:v>
                </c:pt>
                <c:pt idx="221">
                  <c:v>4260</c:v>
                </c:pt>
                <c:pt idx="222">
                  <c:v>4310</c:v>
                </c:pt>
                <c:pt idx="223">
                  <c:v>4390</c:v>
                </c:pt>
                <c:pt idx="224">
                  <c:v>4360</c:v>
                </c:pt>
                <c:pt idx="225">
                  <c:v>4380</c:v>
                </c:pt>
                <c:pt idx="226">
                  <c:v>4260</c:v>
                </c:pt>
                <c:pt idx="227">
                  <c:v>4170</c:v>
                </c:pt>
                <c:pt idx="228">
                  <c:v>4250</c:v>
                </c:pt>
                <c:pt idx="229">
                  <c:v>4150</c:v>
                </c:pt>
                <c:pt idx="230">
                  <c:v>4150</c:v>
                </c:pt>
                <c:pt idx="231">
                  <c:v>4090</c:v>
                </c:pt>
                <c:pt idx="232">
                  <c:v>4060</c:v>
                </c:pt>
                <c:pt idx="233">
                  <c:v>4210</c:v>
                </c:pt>
                <c:pt idx="234">
                  <c:v>4200</c:v>
                </c:pt>
                <c:pt idx="235">
                  <c:v>4100</c:v>
                </c:pt>
                <c:pt idx="236">
                  <c:v>4080</c:v>
                </c:pt>
                <c:pt idx="237">
                  <c:v>4210</c:v>
                </c:pt>
                <c:pt idx="238">
                  <c:v>4150</c:v>
                </c:pt>
                <c:pt idx="239">
                  <c:v>4100</c:v>
                </c:pt>
                <c:pt idx="240">
                  <c:v>4030</c:v>
                </c:pt>
                <c:pt idx="241">
                  <c:v>4080</c:v>
                </c:pt>
                <c:pt idx="242">
                  <c:v>4030</c:v>
                </c:pt>
                <c:pt idx="243">
                  <c:v>4010</c:v>
                </c:pt>
                <c:pt idx="244">
                  <c:v>3850</c:v>
                </c:pt>
                <c:pt idx="245">
                  <c:v>3800</c:v>
                </c:pt>
                <c:pt idx="246">
                  <c:v>4090</c:v>
                </c:pt>
                <c:pt idx="247">
                  <c:v>4160</c:v>
                </c:pt>
                <c:pt idx="248">
                  <c:v>4090</c:v>
                </c:pt>
                <c:pt idx="249">
                  <c:v>4220</c:v>
                </c:pt>
                <c:pt idx="250">
                  <c:v>4260</c:v>
                </c:pt>
                <c:pt idx="251">
                  <c:v>4260</c:v>
                </c:pt>
                <c:pt idx="252">
                  <c:v>4300</c:v>
                </c:pt>
                <c:pt idx="253">
                  <c:v>4190</c:v>
                </c:pt>
                <c:pt idx="254">
                  <c:v>4120</c:v>
                </c:pt>
                <c:pt idx="255">
                  <c:v>4220</c:v>
                </c:pt>
                <c:pt idx="256">
                  <c:v>4250</c:v>
                </c:pt>
                <c:pt idx="257">
                  <c:v>4260</c:v>
                </c:pt>
                <c:pt idx="258">
                  <c:v>4140</c:v>
                </c:pt>
                <c:pt idx="259">
                  <c:v>3970</c:v>
                </c:pt>
                <c:pt idx="260">
                  <c:v>4030</c:v>
                </c:pt>
                <c:pt idx="261">
                  <c:v>3970</c:v>
                </c:pt>
                <c:pt idx="262">
                  <c:v>4010</c:v>
                </c:pt>
                <c:pt idx="263">
                  <c:v>4030</c:v>
                </c:pt>
                <c:pt idx="264">
                  <c:v>3990</c:v>
                </c:pt>
                <c:pt idx="265">
                  <c:v>3860</c:v>
                </c:pt>
                <c:pt idx="266">
                  <c:v>4030</c:v>
                </c:pt>
                <c:pt idx="267">
                  <c:v>4150</c:v>
                </c:pt>
                <c:pt idx="268">
                  <c:v>4020</c:v>
                </c:pt>
                <c:pt idx="269">
                  <c:v>3910</c:v>
                </c:pt>
                <c:pt idx="270">
                  <c:v>3890</c:v>
                </c:pt>
                <c:pt idx="271">
                  <c:v>3920</c:v>
                </c:pt>
                <c:pt idx="272">
                  <c:v>3800</c:v>
                </c:pt>
                <c:pt idx="273">
                  <c:v>3820</c:v>
                </c:pt>
                <c:pt idx="274">
                  <c:v>3630</c:v>
                </c:pt>
                <c:pt idx="275">
                  <c:v>3360</c:v>
                </c:pt>
                <c:pt idx="276">
                  <c:v>3670</c:v>
                </c:pt>
                <c:pt idx="277">
                  <c:v>3670</c:v>
                </c:pt>
                <c:pt idx="278">
                  <c:v>3840</c:v>
                </c:pt>
                <c:pt idx="279">
                  <c:v>3950</c:v>
                </c:pt>
                <c:pt idx="280">
                  <c:v>3810</c:v>
                </c:pt>
                <c:pt idx="281">
                  <c:v>3760</c:v>
                </c:pt>
                <c:pt idx="282">
                  <c:v>3790</c:v>
                </c:pt>
                <c:pt idx="283">
                  <c:v>3890</c:v>
                </c:pt>
                <c:pt idx="284">
                  <c:v>3800</c:v>
                </c:pt>
                <c:pt idx="285">
                  <c:v>3750</c:v>
                </c:pt>
                <c:pt idx="286">
                  <c:v>3830</c:v>
                </c:pt>
                <c:pt idx="287">
                  <c:v>3680</c:v>
                </c:pt>
                <c:pt idx="288">
                  <c:v>3710</c:v>
                </c:pt>
                <c:pt idx="289">
                  <c:v>3660</c:v>
                </c:pt>
                <c:pt idx="290">
                  <c:v>3700</c:v>
                </c:pt>
                <c:pt idx="291">
                  <c:v>3610</c:v>
                </c:pt>
                <c:pt idx="292">
                  <c:v>3800</c:v>
                </c:pt>
                <c:pt idx="293">
                  <c:v>4000</c:v>
                </c:pt>
                <c:pt idx="294">
                  <c:v>4050</c:v>
                </c:pt>
                <c:pt idx="295">
                  <c:v>3640</c:v>
                </c:pt>
                <c:pt idx="296">
                  <c:v>3630</c:v>
                </c:pt>
                <c:pt idx="297">
                  <c:v>3800</c:v>
                </c:pt>
                <c:pt idx="298">
                  <c:v>3630</c:v>
                </c:pt>
                <c:pt idx="299">
                  <c:v>3690</c:v>
                </c:pt>
                <c:pt idx="300">
                  <c:v>3690</c:v>
                </c:pt>
                <c:pt idx="301">
                  <c:v>3650</c:v>
                </c:pt>
                <c:pt idx="302">
                  <c:v>3640</c:v>
                </c:pt>
                <c:pt idx="303">
                  <c:v>3620</c:v>
                </c:pt>
                <c:pt idx="304">
                  <c:v>3630</c:v>
                </c:pt>
                <c:pt idx="305">
                  <c:v>3760</c:v>
                </c:pt>
                <c:pt idx="306">
                  <c:v>3730</c:v>
                </c:pt>
                <c:pt idx="307">
                  <c:v>3740</c:v>
                </c:pt>
                <c:pt idx="308">
                  <c:v>3840</c:v>
                </c:pt>
                <c:pt idx="309">
                  <c:v>3850</c:v>
                </c:pt>
                <c:pt idx="310">
                  <c:v>3850</c:v>
                </c:pt>
                <c:pt idx="311">
                  <c:v>3880</c:v>
                </c:pt>
                <c:pt idx="312">
                  <c:v>3860</c:v>
                </c:pt>
                <c:pt idx="313">
                  <c:v>3880</c:v>
                </c:pt>
                <c:pt idx="314">
                  <c:v>3910</c:v>
                </c:pt>
                <c:pt idx="315">
                  <c:v>3790</c:v>
                </c:pt>
                <c:pt idx="316">
                  <c:v>3840</c:v>
                </c:pt>
                <c:pt idx="317">
                  <c:v>4090</c:v>
                </c:pt>
                <c:pt idx="318">
                  <c:v>4270</c:v>
                </c:pt>
                <c:pt idx="319">
                  <c:v>4250</c:v>
                </c:pt>
                <c:pt idx="320">
                  <c:v>4230</c:v>
                </c:pt>
                <c:pt idx="321">
                  <c:v>4210</c:v>
                </c:pt>
                <c:pt idx="322">
                  <c:v>4260</c:v>
                </c:pt>
                <c:pt idx="323">
                  <c:v>4300</c:v>
                </c:pt>
                <c:pt idx="324">
                  <c:v>4350</c:v>
                </c:pt>
                <c:pt idx="325">
                  <c:v>4320</c:v>
                </c:pt>
                <c:pt idx="326">
                  <c:v>4370</c:v>
                </c:pt>
                <c:pt idx="327">
                  <c:v>4450</c:v>
                </c:pt>
                <c:pt idx="328">
                  <c:v>4200</c:v>
                </c:pt>
                <c:pt idx="329">
                  <c:v>4200</c:v>
                </c:pt>
                <c:pt idx="330">
                  <c:v>4080</c:v>
                </c:pt>
                <c:pt idx="331">
                  <c:v>4100</c:v>
                </c:pt>
                <c:pt idx="332">
                  <c:v>4150</c:v>
                </c:pt>
                <c:pt idx="333">
                  <c:v>4070</c:v>
                </c:pt>
                <c:pt idx="334">
                  <c:v>4070</c:v>
                </c:pt>
                <c:pt idx="335">
                  <c:v>4000</c:v>
                </c:pt>
                <c:pt idx="336">
                  <c:v>3990</c:v>
                </c:pt>
                <c:pt idx="337">
                  <c:v>3960</c:v>
                </c:pt>
                <c:pt idx="338">
                  <c:v>3940</c:v>
                </c:pt>
                <c:pt idx="339">
                  <c:v>3800</c:v>
                </c:pt>
                <c:pt idx="340">
                  <c:v>3790</c:v>
                </c:pt>
                <c:pt idx="341">
                  <c:v>3720</c:v>
                </c:pt>
                <c:pt idx="342">
                  <c:v>3780</c:v>
                </c:pt>
                <c:pt idx="343">
                  <c:v>3760</c:v>
                </c:pt>
                <c:pt idx="344">
                  <c:v>3830</c:v>
                </c:pt>
                <c:pt idx="345">
                  <c:v>3740</c:v>
                </c:pt>
                <c:pt idx="346">
                  <c:v>3700</c:v>
                </c:pt>
                <c:pt idx="347">
                  <c:v>3680</c:v>
                </c:pt>
                <c:pt idx="348">
                  <c:v>3680</c:v>
                </c:pt>
                <c:pt idx="349">
                  <c:v>3670</c:v>
                </c:pt>
                <c:pt idx="350">
                  <c:v>3700</c:v>
                </c:pt>
                <c:pt idx="351">
                  <c:v>3670</c:v>
                </c:pt>
                <c:pt idx="352">
                  <c:v>3680</c:v>
                </c:pt>
                <c:pt idx="353">
                  <c:v>3870</c:v>
                </c:pt>
                <c:pt idx="354">
                  <c:v>3880</c:v>
                </c:pt>
                <c:pt idx="355">
                  <c:v>3780</c:v>
                </c:pt>
                <c:pt idx="356">
                  <c:v>3880</c:v>
                </c:pt>
                <c:pt idx="357">
                  <c:v>3880</c:v>
                </c:pt>
                <c:pt idx="358">
                  <c:v>3890</c:v>
                </c:pt>
                <c:pt idx="359">
                  <c:v>3860</c:v>
                </c:pt>
                <c:pt idx="360">
                  <c:v>3830</c:v>
                </c:pt>
                <c:pt idx="361">
                  <c:v>3840</c:v>
                </c:pt>
                <c:pt idx="362">
                  <c:v>3800</c:v>
                </c:pt>
                <c:pt idx="363">
                  <c:v>3950</c:v>
                </c:pt>
                <c:pt idx="364">
                  <c:v>3880</c:v>
                </c:pt>
                <c:pt idx="365">
                  <c:v>3940</c:v>
                </c:pt>
                <c:pt idx="366">
                  <c:v>3920</c:v>
                </c:pt>
                <c:pt idx="367">
                  <c:v>3780</c:v>
                </c:pt>
                <c:pt idx="368">
                  <c:v>3710</c:v>
                </c:pt>
                <c:pt idx="369">
                  <c:v>3740</c:v>
                </c:pt>
                <c:pt idx="370">
                  <c:v>3710</c:v>
                </c:pt>
                <c:pt idx="371">
                  <c:v>3740</c:v>
                </c:pt>
                <c:pt idx="372">
                  <c:v>3710</c:v>
                </c:pt>
                <c:pt idx="373">
                  <c:v>3710</c:v>
                </c:pt>
                <c:pt idx="374">
                  <c:v>3700</c:v>
                </c:pt>
                <c:pt idx="375">
                  <c:v>3810</c:v>
                </c:pt>
                <c:pt idx="376">
                  <c:v>4050</c:v>
                </c:pt>
                <c:pt idx="377">
                  <c:v>4080</c:v>
                </c:pt>
                <c:pt idx="378">
                  <c:v>4060</c:v>
                </c:pt>
                <c:pt idx="379">
                  <c:v>4120</c:v>
                </c:pt>
                <c:pt idx="380">
                  <c:v>4040</c:v>
                </c:pt>
                <c:pt idx="381">
                  <c:v>4150</c:v>
                </c:pt>
                <c:pt idx="382">
                  <c:v>4150</c:v>
                </c:pt>
                <c:pt idx="383">
                  <c:v>4100</c:v>
                </c:pt>
                <c:pt idx="384">
                  <c:v>4210</c:v>
                </c:pt>
                <c:pt idx="385">
                  <c:v>4170</c:v>
                </c:pt>
                <c:pt idx="386">
                  <c:v>4130</c:v>
                </c:pt>
                <c:pt idx="387">
                  <c:v>4140</c:v>
                </c:pt>
                <c:pt idx="388">
                  <c:v>4050</c:v>
                </c:pt>
                <c:pt idx="389">
                  <c:v>3980</c:v>
                </c:pt>
                <c:pt idx="390">
                  <c:v>3960</c:v>
                </c:pt>
                <c:pt idx="391">
                  <c:v>4030</c:v>
                </c:pt>
                <c:pt idx="392">
                  <c:v>4000</c:v>
                </c:pt>
                <c:pt idx="393">
                  <c:v>3900</c:v>
                </c:pt>
                <c:pt idx="394">
                  <c:v>3790</c:v>
                </c:pt>
                <c:pt idx="395">
                  <c:v>3880</c:v>
                </c:pt>
                <c:pt idx="396">
                  <c:v>4080</c:v>
                </c:pt>
                <c:pt idx="397">
                  <c:v>4180</c:v>
                </c:pt>
                <c:pt idx="398">
                  <c:v>4140</c:v>
                </c:pt>
                <c:pt idx="399">
                  <c:v>4130</c:v>
                </c:pt>
                <c:pt idx="400">
                  <c:v>4220</c:v>
                </c:pt>
                <c:pt idx="401">
                  <c:v>4250</c:v>
                </c:pt>
                <c:pt idx="402">
                  <c:v>4250</c:v>
                </c:pt>
                <c:pt idx="403">
                  <c:v>4160</c:v>
                </c:pt>
                <c:pt idx="404">
                  <c:v>4140</c:v>
                </c:pt>
                <c:pt idx="405">
                  <c:v>4170</c:v>
                </c:pt>
                <c:pt idx="406">
                  <c:v>4070</c:v>
                </c:pt>
                <c:pt idx="407">
                  <c:v>4040</c:v>
                </c:pt>
                <c:pt idx="408">
                  <c:v>3980</c:v>
                </c:pt>
                <c:pt idx="409">
                  <c:v>3900</c:v>
                </c:pt>
                <c:pt idx="410">
                  <c:v>3810</c:v>
                </c:pt>
                <c:pt idx="411">
                  <c:v>3710</c:v>
                </c:pt>
                <c:pt idx="412">
                  <c:v>3690</c:v>
                </c:pt>
                <c:pt idx="413">
                  <c:v>3660</c:v>
                </c:pt>
                <c:pt idx="414">
                  <c:v>3710</c:v>
                </c:pt>
                <c:pt idx="415">
                  <c:v>3720</c:v>
                </c:pt>
                <c:pt idx="416">
                  <c:v>3860</c:v>
                </c:pt>
                <c:pt idx="417">
                  <c:v>3730</c:v>
                </c:pt>
                <c:pt idx="418">
                  <c:v>3660</c:v>
                </c:pt>
                <c:pt idx="419">
                  <c:v>3550</c:v>
                </c:pt>
                <c:pt idx="420">
                  <c:v>3500</c:v>
                </c:pt>
                <c:pt idx="421">
                  <c:v>3530</c:v>
                </c:pt>
                <c:pt idx="422">
                  <c:v>3500</c:v>
                </c:pt>
                <c:pt idx="423">
                  <c:v>3680</c:v>
                </c:pt>
                <c:pt idx="424">
                  <c:v>3760</c:v>
                </c:pt>
                <c:pt idx="425">
                  <c:v>3700</c:v>
                </c:pt>
                <c:pt idx="426">
                  <c:v>3820</c:v>
                </c:pt>
                <c:pt idx="427">
                  <c:v>3850</c:v>
                </c:pt>
                <c:pt idx="428">
                  <c:v>3860</c:v>
                </c:pt>
                <c:pt idx="429">
                  <c:v>3850</c:v>
                </c:pt>
                <c:pt idx="430">
                  <c:v>3890</c:v>
                </c:pt>
                <c:pt idx="431">
                  <c:v>3910</c:v>
                </c:pt>
                <c:pt idx="432">
                  <c:v>3980</c:v>
                </c:pt>
                <c:pt idx="433">
                  <c:v>4040</c:v>
                </c:pt>
                <c:pt idx="434">
                  <c:v>3970</c:v>
                </c:pt>
                <c:pt idx="435">
                  <c:v>3980</c:v>
                </c:pt>
                <c:pt idx="436">
                  <c:v>4000</c:v>
                </c:pt>
                <c:pt idx="437">
                  <c:v>3980</c:v>
                </c:pt>
                <c:pt idx="438">
                  <c:v>3930</c:v>
                </c:pt>
                <c:pt idx="439">
                  <c:v>3890</c:v>
                </c:pt>
                <c:pt idx="440">
                  <c:v>3900</c:v>
                </c:pt>
                <c:pt idx="441">
                  <c:v>3870</c:v>
                </c:pt>
                <c:pt idx="442">
                  <c:v>3900</c:v>
                </c:pt>
                <c:pt idx="443">
                  <c:v>3940</c:v>
                </c:pt>
                <c:pt idx="444">
                  <c:v>3970</c:v>
                </c:pt>
                <c:pt idx="445">
                  <c:v>4000</c:v>
                </c:pt>
                <c:pt idx="446">
                  <c:v>3990</c:v>
                </c:pt>
                <c:pt idx="447">
                  <c:v>3960</c:v>
                </c:pt>
                <c:pt idx="448">
                  <c:v>3980</c:v>
                </c:pt>
                <c:pt idx="449">
                  <c:v>3830</c:v>
                </c:pt>
                <c:pt idx="450">
                  <c:v>3790</c:v>
                </c:pt>
                <c:pt idx="451">
                  <c:v>3740</c:v>
                </c:pt>
                <c:pt idx="452">
                  <c:v>3680</c:v>
                </c:pt>
                <c:pt idx="453">
                  <c:v>3670</c:v>
                </c:pt>
                <c:pt idx="454">
                  <c:v>3710</c:v>
                </c:pt>
                <c:pt idx="455">
                  <c:v>3660</c:v>
                </c:pt>
                <c:pt idx="456">
                  <c:v>3690</c:v>
                </c:pt>
                <c:pt idx="457">
                  <c:v>3650</c:v>
                </c:pt>
                <c:pt idx="458">
                  <c:v>3670</c:v>
                </c:pt>
                <c:pt idx="459">
                  <c:v>3680</c:v>
                </c:pt>
                <c:pt idx="460">
                  <c:v>3660</c:v>
                </c:pt>
                <c:pt idx="461">
                  <c:v>3620</c:v>
                </c:pt>
                <c:pt idx="462">
                  <c:v>3630</c:v>
                </c:pt>
                <c:pt idx="463">
                  <c:v>3780</c:v>
                </c:pt>
                <c:pt idx="464">
                  <c:v>3690</c:v>
                </c:pt>
                <c:pt idx="465">
                  <c:v>3750</c:v>
                </c:pt>
                <c:pt idx="466">
                  <c:v>3780</c:v>
                </c:pt>
                <c:pt idx="467">
                  <c:v>3770</c:v>
                </c:pt>
                <c:pt idx="468">
                  <c:v>3760</c:v>
                </c:pt>
                <c:pt idx="469">
                  <c:v>3770</c:v>
                </c:pt>
                <c:pt idx="470">
                  <c:v>3770</c:v>
                </c:pt>
                <c:pt idx="471">
                  <c:v>3780</c:v>
                </c:pt>
                <c:pt idx="472">
                  <c:v>3660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E5-4C42-9120-DF2919A0E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361135"/>
        <c:axId val="868361615"/>
      </c:lineChart>
      <c:dateAx>
        <c:axId val="868361135"/>
        <c:scaling>
          <c:orientation val="minMax"/>
        </c:scaling>
        <c:delete val="0"/>
        <c:axPos val="b"/>
        <c:numFmt formatCode="m/d/yyyy\ h:mm:ss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361615"/>
        <c:crosses val="autoZero"/>
        <c:auto val="1"/>
        <c:lblOffset val="100"/>
        <c:baseTimeUnit val="days"/>
      </c:dateAx>
      <c:valAx>
        <c:axId val="868361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361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Tren Harga Saham BBCA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BBCA!$A$2:$A$474</c:f>
              <c:numCache>
                <c:formatCode>m/d/yyyy\ h:mm:ss</c:formatCode>
                <c:ptCount val="473"/>
                <c:pt idx="0">
                  <c:v>45293.666666666599</c:v>
                </c:pt>
                <c:pt idx="1">
                  <c:v>45294.666666666599</c:v>
                </c:pt>
                <c:pt idx="2">
                  <c:v>45295.666666666599</c:v>
                </c:pt>
                <c:pt idx="3">
                  <c:v>45296.666666666599</c:v>
                </c:pt>
                <c:pt idx="4">
                  <c:v>45299.666666666599</c:v>
                </c:pt>
                <c:pt idx="5">
                  <c:v>45300.666666666599</c:v>
                </c:pt>
                <c:pt idx="6">
                  <c:v>45301.666666666599</c:v>
                </c:pt>
                <c:pt idx="7">
                  <c:v>45302.666666666599</c:v>
                </c:pt>
                <c:pt idx="8">
                  <c:v>45303.666666666599</c:v>
                </c:pt>
                <c:pt idx="9">
                  <c:v>45306.666666666599</c:v>
                </c:pt>
                <c:pt idx="10">
                  <c:v>45307.666666666599</c:v>
                </c:pt>
                <c:pt idx="11">
                  <c:v>45308.666666666599</c:v>
                </c:pt>
                <c:pt idx="12">
                  <c:v>45309.666666666599</c:v>
                </c:pt>
                <c:pt idx="13">
                  <c:v>45310.666666666599</c:v>
                </c:pt>
                <c:pt idx="14">
                  <c:v>45313.666666666599</c:v>
                </c:pt>
                <c:pt idx="15">
                  <c:v>45314.666666666599</c:v>
                </c:pt>
                <c:pt idx="16">
                  <c:v>45315.666666666599</c:v>
                </c:pt>
                <c:pt idx="17">
                  <c:v>45316.666666666599</c:v>
                </c:pt>
                <c:pt idx="18">
                  <c:v>45317.666666666599</c:v>
                </c:pt>
                <c:pt idx="19">
                  <c:v>45320.666666666599</c:v>
                </c:pt>
                <c:pt idx="20">
                  <c:v>45321.666666666599</c:v>
                </c:pt>
                <c:pt idx="21">
                  <c:v>45322.666666666599</c:v>
                </c:pt>
                <c:pt idx="22">
                  <c:v>45323.666666666599</c:v>
                </c:pt>
                <c:pt idx="23">
                  <c:v>45324.666666666599</c:v>
                </c:pt>
                <c:pt idx="24">
                  <c:v>45327.666666666599</c:v>
                </c:pt>
                <c:pt idx="25">
                  <c:v>45328.666666666599</c:v>
                </c:pt>
                <c:pt idx="26">
                  <c:v>45329.666666666599</c:v>
                </c:pt>
                <c:pt idx="27">
                  <c:v>45334.666666666599</c:v>
                </c:pt>
                <c:pt idx="28">
                  <c:v>45335.666666666599</c:v>
                </c:pt>
                <c:pt idx="29">
                  <c:v>45337.666666666599</c:v>
                </c:pt>
                <c:pt idx="30">
                  <c:v>45338.666666666599</c:v>
                </c:pt>
                <c:pt idx="31">
                  <c:v>45341.666666666599</c:v>
                </c:pt>
                <c:pt idx="32">
                  <c:v>45342.666666666599</c:v>
                </c:pt>
                <c:pt idx="33">
                  <c:v>45343.666666666599</c:v>
                </c:pt>
                <c:pt idx="34">
                  <c:v>45344.666666666599</c:v>
                </c:pt>
                <c:pt idx="35">
                  <c:v>45345.666666666599</c:v>
                </c:pt>
                <c:pt idx="36">
                  <c:v>45348.666666666599</c:v>
                </c:pt>
                <c:pt idx="37">
                  <c:v>45349.666666666599</c:v>
                </c:pt>
                <c:pt idx="38">
                  <c:v>45350.666666666599</c:v>
                </c:pt>
                <c:pt idx="39">
                  <c:v>45351.666666666599</c:v>
                </c:pt>
                <c:pt idx="40">
                  <c:v>45352.666666666599</c:v>
                </c:pt>
                <c:pt idx="41">
                  <c:v>45355.666666666599</c:v>
                </c:pt>
                <c:pt idx="42">
                  <c:v>45356.666666666599</c:v>
                </c:pt>
                <c:pt idx="43">
                  <c:v>45357.666666666599</c:v>
                </c:pt>
                <c:pt idx="44">
                  <c:v>45358.666666666599</c:v>
                </c:pt>
                <c:pt idx="45">
                  <c:v>45359.666666666599</c:v>
                </c:pt>
                <c:pt idx="46">
                  <c:v>45364.666666666599</c:v>
                </c:pt>
                <c:pt idx="47">
                  <c:v>45365.666666666599</c:v>
                </c:pt>
                <c:pt idx="48">
                  <c:v>45366.666666666599</c:v>
                </c:pt>
                <c:pt idx="49">
                  <c:v>45369.666666666599</c:v>
                </c:pt>
                <c:pt idx="50">
                  <c:v>45370.666666666599</c:v>
                </c:pt>
                <c:pt idx="51">
                  <c:v>45371.666666666599</c:v>
                </c:pt>
                <c:pt idx="52">
                  <c:v>45372.666666666599</c:v>
                </c:pt>
                <c:pt idx="53">
                  <c:v>45373.666666666599</c:v>
                </c:pt>
                <c:pt idx="54">
                  <c:v>45376.666666666599</c:v>
                </c:pt>
                <c:pt idx="55">
                  <c:v>45377.666666666599</c:v>
                </c:pt>
                <c:pt idx="56">
                  <c:v>45378.666666666599</c:v>
                </c:pt>
                <c:pt idx="57">
                  <c:v>45379.666666666599</c:v>
                </c:pt>
                <c:pt idx="58">
                  <c:v>45383.666666666599</c:v>
                </c:pt>
                <c:pt idx="59">
                  <c:v>45384.666666666599</c:v>
                </c:pt>
                <c:pt idx="60">
                  <c:v>45385.666666666599</c:v>
                </c:pt>
                <c:pt idx="61">
                  <c:v>45386.666666666599</c:v>
                </c:pt>
                <c:pt idx="62">
                  <c:v>45387.666666666599</c:v>
                </c:pt>
                <c:pt idx="63">
                  <c:v>45398.666666666599</c:v>
                </c:pt>
                <c:pt idx="64">
                  <c:v>45399.666666666599</c:v>
                </c:pt>
                <c:pt idx="65">
                  <c:v>45400.666666666599</c:v>
                </c:pt>
                <c:pt idx="66">
                  <c:v>45401.666666666599</c:v>
                </c:pt>
                <c:pt idx="67">
                  <c:v>45404.666666666599</c:v>
                </c:pt>
                <c:pt idx="68">
                  <c:v>45405.666666666599</c:v>
                </c:pt>
                <c:pt idx="69">
                  <c:v>45406.666666666599</c:v>
                </c:pt>
                <c:pt idx="70">
                  <c:v>45407.666666666599</c:v>
                </c:pt>
                <c:pt idx="71">
                  <c:v>45408.666666666599</c:v>
                </c:pt>
                <c:pt idx="72">
                  <c:v>45411.666666666599</c:v>
                </c:pt>
                <c:pt idx="73">
                  <c:v>45412.666666666599</c:v>
                </c:pt>
                <c:pt idx="74">
                  <c:v>45414.666666666599</c:v>
                </c:pt>
                <c:pt idx="75">
                  <c:v>45415.666666666599</c:v>
                </c:pt>
                <c:pt idx="76">
                  <c:v>45418.666666666599</c:v>
                </c:pt>
                <c:pt idx="77">
                  <c:v>45419.666666666599</c:v>
                </c:pt>
                <c:pt idx="78">
                  <c:v>45420.666666666599</c:v>
                </c:pt>
                <c:pt idx="79">
                  <c:v>45425.666666666599</c:v>
                </c:pt>
                <c:pt idx="80">
                  <c:v>45426.666666666599</c:v>
                </c:pt>
                <c:pt idx="81">
                  <c:v>45427.666666666599</c:v>
                </c:pt>
                <c:pt idx="82">
                  <c:v>45428.666666666599</c:v>
                </c:pt>
                <c:pt idx="83">
                  <c:v>45429.666666666599</c:v>
                </c:pt>
                <c:pt idx="84">
                  <c:v>45432.666666666599</c:v>
                </c:pt>
                <c:pt idx="85">
                  <c:v>45433.666666666599</c:v>
                </c:pt>
                <c:pt idx="86">
                  <c:v>45434.666666666599</c:v>
                </c:pt>
                <c:pt idx="87">
                  <c:v>45439.666666666599</c:v>
                </c:pt>
                <c:pt idx="88">
                  <c:v>45440.666666666599</c:v>
                </c:pt>
                <c:pt idx="89">
                  <c:v>45441.666666666599</c:v>
                </c:pt>
                <c:pt idx="90">
                  <c:v>45442.666666666599</c:v>
                </c:pt>
                <c:pt idx="91">
                  <c:v>45443.666666666599</c:v>
                </c:pt>
                <c:pt idx="92">
                  <c:v>45446.666666666599</c:v>
                </c:pt>
                <c:pt idx="93">
                  <c:v>45447.666666666599</c:v>
                </c:pt>
                <c:pt idx="94">
                  <c:v>45448.666666666599</c:v>
                </c:pt>
                <c:pt idx="95">
                  <c:v>45449.666666666599</c:v>
                </c:pt>
                <c:pt idx="96">
                  <c:v>45450.666666666599</c:v>
                </c:pt>
                <c:pt idx="97">
                  <c:v>45453.666666666599</c:v>
                </c:pt>
                <c:pt idx="98">
                  <c:v>45454.666666666599</c:v>
                </c:pt>
                <c:pt idx="99">
                  <c:v>45455.666666666599</c:v>
                </c:pt>
                <c:pt idx="100">
                  <c:v>45456.666666666599</c:v>
                </c:pt>
                <c:pt idx="101">
                  <c:v>45457.666666666599</c:v>
                </c:pt>
                <c:pt idx="102">
                  <c:v>45462.666666666599</c:v>
                </c:pt>
                <c:pt idx="103">
                  <c:v>45463.666666666599</c:v>
                </c:pt>
                <c:pt idx="104">
                  <c:v>45464.666666666599</c:v>
                </c:pt>
                <c:pt idx="105">
                  <c:v>45467.666666666599</c:v>
                </c:pt>
                <c:pt idx="106">
                  <c:v>45468.666666666599</c:v>
                </c:pt>
                <c:pt idx="107">
                  <c:v>45469.666666666599</c:v>
                </c:pt>
                <c:pt idx="108">
                  <c:v>45470.666666666599</c:v>
                </c:pt>
                <c:pt idx="109">
                  <c:v>45471.666666666599</c:v>
                </c:pt>
                <c:pt idx="110">
                  <c:v>45474.666666666599</c:v>
                </c:pt>
                <c:pt idx="111">
                  <c:v>45475.666666666599</c:v>
                </c:pt>
                <c:pt idx="112">
                  <c:v>45476.666666666599</c:v>
                </c:pt>
                <c:pt idx="113">
                  <c:v>45477.666666666599</c:v>
                </c:pt>
                <c:pt idx="114">
                  <c:v>45478.666666666599</c:v>
                </c:pt>
                <c:pt idx="115">
                  <c:v>45481.666666666599</c:v>
                </c:pt>
                <c:pt idx="116">
                  <c:v>45482.666666666599</c:v>
                </c:pt>
                <c:pt idx="117">
                  <c:v>45483.666666666599</c:v>
                </c:pt>
                <c:pt idx="118">
                  <c:v>45484.666666666599</c:v>
                </c:pt>
                <c:pt idx="119">
                  <c:v>45485.666666666599</c:v>
                </c:pt>
                <c:pt idx="120">
                  <c:v>45488.666666666599</c:v>
                </c:pt>
                <c:pt idx="121">
                  <c:v>45489.666666666599</c:v>
                </c:pt>
                <c:pt idx="122">
                  <c:v>45490.666666666599</c:v>
                </c:pt>
                <c:pt idx="123">
                  <c:v>45491.666666666599</c:v>
                </c:pt>
                <c:pt idx="124">
                  <c:v>45492.666666666599</c:v>
                </c:pt>
                <c:pt idx="125">
                  <c:v>45495.666666666599</c:v>
                </c:pt>
                <c:pt idx="126">
                  <c:v>45496.666666666599</c:v>
                </c:pt>
                <c:pt idx="127">
                  <c:v>45497.666666666599</c:v>
                </c:pt>
                <c:pt idx="128">
                  <c:v>45498.666666666599</c:v>
                </c:pt>
                <c:pt idx="129">
                  <c:v>45499.666666666599</c:v>
                </c:pt>
                <c:pt idx="130">
                  <c:v>45502.666666666599</c:v>
                </c:pt>
                <c:pt idx="131">
                  <c:v>45503.666666666599</c:v>
                </c:pt>
                <c:pt idx="132">
                  <c:v>45504.666666666599</c:v>
                </c:pt>
                <c:pt idx="133">
                  <c:v>45505.666666666599</c:v>
                </c:pt>
                <c:pt idx="134">
                  <c:v>45506.666666666599</c:v>
                </c:pt>
                <c:pt idx="135">
                  <c:v>45509.666666666599</c:v>
                </c:pt>
                <c:pt idx="136">
                  <c:v>45510.666666666599</c:v>
                </c:pt>
                <c:pt idx="137">
                  <c:v>45511.666666666599</c:v>
                </c:pt>
                <c:pt idx="138">
                  <c:v>45512.666666666599</c:v>
                </c:pt>
                <c:pt idx="139">
                  <c:v>45513.666666666599</c:v>
                </c:pt>
                <c:pt idx="140">
                  <c:v>45516.666666666599</c:v>
                </c:pt>
                <c:pt idx="141">
                  <c:v>45517.666666666599</c:v>
                </c:pt>
                <c:pt idx="142">
                  <c:v>45518.666666666599</c:v>
                </c:pt>
                <c:pt idx="143">
                  <c:v>45519.666666666599</c:v>
                </c:pt>
                <c:pt idx="144">
                  <c:v>45520.666666666599</c:v>
                </c:pt>
                <c:pt idx="145">
                  <c:v>45523.666666666599</c:v>
                </c:pt>
                <c:pt idx="146">
                  <c:v>45524.666666666599</c:v>
                </c:pt>
                <c:pt idx="147">
                  <c:v>45525.666666666599</c:v>
                </c:pt>
                <c:pt idx="148">
                  <c:v>45526.666666666599</c:v>
                </c:pt>
                <c:pt idx="149">
                  <c:v>45527.666666666599</c:v>
                </c:pt>
                <c:pt idx="150">
                  <c:v>45530.666666666599</c:v>
                </c:pt>
                <c:pt idx="151">
                  <c:v>45531.666666666599</c:v>
                </c:pt>
                <c:pt idx="152">
                  <c:v>45532.666666666599</c:v>
                </c:pt>
                <c:pt idx="153">
                  <c:v>45533.666666666599</c:v>
                </c:pt>
                <c:pt idx="154">
                  <c:v>45534.666666666599</c:v>
                </c:pt>
                <c:pt idx="155">
                  <c:v>45537.666666666599</c:v>
                </c:pt>
                <c:pt idx="156">
                  <c:v>45538.666666666599</c:v>
                </c:pt>
                <c:pt idx="157">
                  <c:v>45539.666666666599</c:v>
                </c:pt>
                <c:pt idx="158">
                  <c:v>45540.666666666599</c:v>
                </c:pt>
                <c:pt idx="159">
                  <c:v>45541.666666666599</c:v>
                </c:pt>
                <c:pt idx="160">
                  <c:v>45544.666666666599</c:v>
                </c:pt>
                <c:pt idx="161">
                  <c:v>45545.666666666599</c:v>
                </c:pt>
                <c:pt idx="162">
                  <c:v>45546.666666666599</c:v>
                </c:pt>
                <c:pt idx="163">
                  <c:v>45547.666666666599</c:v>
                </c:pt>
                <c:pt idx="164">
                  <c:v>45548.666666666599</c:v>
                </c:pt>
                <c:pt idx="165">
                  <c:v>45552.666666666599</c:v>
                </c:pt>
                <c:pt idx="166">
                  <c:v>45553.666666666599</c:v>
                </c:pt>
                <c:pt idx="167">
                  <c:v>45554.666666666599</c:v>
                </c:pt>
                <c:pt idx="168">
                  <c:v>45555.666666666599</c:v>
                </c:pt>
                <c:pt idx="169">
                  <c:v>45558.666666666599</c:v>
                </c:pt>
                <c:pt idx="170">
                  <c:v>45559.666666666599</c:v>
                </c:pt>
                <c:pt idx="171">
                  <c:v>45560.666666666599</c:v>
                </c:pt>
                <c:pt idx="172">
                  <c:v>45561.666666666599</c:v>
                </c:pt>
                <c:pt idx="173">
                  <c:v>45562.666666666599</c:v>
                </c:pt>
                <c:pt idx="174">
                  <c:v>45565.666666666599</c:v>
                </c:pt>
                <c:pt idx="175">
                  <c:v>45566.666666666599</c:v>
                </c:pt>
                <c:pt idx="176">
                  <c:v>45567.666666666599</c:v>
                </c:pt>
                <c:pt idx="177">
                  <c:v>45568.666666666599</c:v>
                </c:pt>
                <c:pt idx="178">
                  <c:v>45569.666666666599</c:v>
                </c:pt>
                <c:pt idx="179">
                  <c:v>45572.666666666599</c:v>
                </c:pt>
                <c:pt idx="180">
                  <c:v>45573.666666666599</c:v>
                </c:pt>
                <c:pt idx="181">
                  <c:v>45574.666666666599</c:v>
                </c:pt>
                <c:pt idx="182">
                  <c:v>45575.666666666599</c:v>
                </c:pt>
                <c:pt idx="183">
                  <c:v>45576.666666666599</c:v>
                </c:pt>
                <c:pt idx="184">
                  <c:v>45579.666666666599</c:v>
                </c:pt>
                <c:pt idx="185">
                  <c:v>45580.666666666599</c:v>
                </c:pt>
                <c:pt idx="186">
                  <c:v>45581.666666666599</c:v>
                </c:pt>
                <c:pt idx="187">
                  <c:v>45582.666666666599</c:v>
                </c:pt>
                <c:pt idx="188">
                  <c:v>45583.666666666599</c:v>
                </c:pt>
                <c:pt idx="189">
                  <c:v>45586.666666666599</c:v>
                </c:pt>
                <c:pt idx="190">
                  <c:v>45587.666666666599</c:v>
                </c:pt>
                <c:pt idx="191">
                  <c:v>45588.666666666599</c:v>
                </c:pt>
                <c:pt idx="192">
                  <c:v>45589.666666666599</c:v>
                </c:pt>
                <c:pt idx="193">
                  <c:v>45590.666666666599</c:v>
                </c:pt>
                <c:pt idx="194">
                  <c:v>45593.666666666599</c:v>
                </c:pt>
                <c:pt idx="195">
                  <c:v>45594.666666666599</c:v>
                </c:pt>
                <c:pt idx="196">
                  <c:v>45595.666666666599</c:v>
                </c:pt>
                <c:pt idx="197">
                  <c:v>45596.666666666599</c:v>
                </c:pt>
                <c:pt idx="198">
                  <c:v>45597.666666666599</c:v>
                </c:pt>
                <c:pt idx="199">
                  <c:v>45600.666666666599</c:v>
                </c:pt>
                <c:pt idx="200">
                  <c:v>45601.666666666599</c:v>
                </c:pt>
                <c:pt idx="201">
                  <c:v>45602.666666666599</c:v>
                </c:pt>
                <c:pt idx="202">
                  <c:v>45603.666666666599</c:v>
                </c:pt>
                <c:pt idx="203">
                  <c:v>45604.666666666599</c:v>
                </c:pt>
                <c:pt idx="204">
                  <c:v>45607.666666666599</c:v>
                </c:pt>
                <c:pt idx="205">
                  <c:v>45608.666666666599</c:v>
                </c:pt>
                <c:pt idx="206">
                  <c:v>45609.666666666599</c:v>
                </c:pt>
                <c:pt idx="207">
                  <c:v>45610.666666666599</c:v>
                </c:pt>
                <c:pt idx="208">
                  <c:v>45611.666666666599</c:v>
                </c:pt>
                <c:pt idx="209">
                  <c:v>45614.666666666599</c:v>
                </c:pt>
                <c:pt idx="210">
                  <c:v>45615.666666666599</c:v>
                </c:pt>
                <c:pt idx="211">
                  <c:v>45616.666666666599</c:v>
                </c:pt>
                <c:pt idx="212">
                  <c:v>45617.666666666599</c:v>
                </c:pt>
                <c:pt idx="213">
                  <c:v>45618.666666666599</c:v>
                </c:pt>
                <c:pt idx="214">
                  <c:v>45621.666666666599</c:v>
                </c:pt>
                <c:pt idx="215">
                  <c:v>45622.666666666599</c:v>
                </c:pt>
                <c:pt idx="216">
                  <c:v>45624.666666666599</c:v>
                </c:pt>
                <c:pt idx="217">
                  <c:v>45625.666666666599</c:v>
                </c:pt>
                <c:pt idx="218">
                  <c:v>45628.666666666599</c:v>
                </c:pt>
                <c:pt idx="219">
                  <c:v>45629.666666666599</c:v>
                </c:pt>
                <c:pt idx="220">
                  <c:v>45630.666666666599</c:v>
                </c:pt>
                <c:pt idx="221">
                  <c:v>45631.666666666599</c:v>
                </c:pt>
                <c:pt idx="222">
                  <c:v>45632.666666666599</c:v>
                </c:pt>
                <c:pt idx="223">
                  <c:v>45635.666666666599</c:v>
                </c:pt>
                <c:pt idx="224">
                  <c:v>45636.666666666599</c:v>
                </c:pt>
                <c:pt idx="225">
                  <c:v>45637.666666666599</c:v>
                </c:pt>
                <c:pt idx="226">
                  <c:v>45638.666666666599</c:v>
                </c:pt>
                <c:pt idx="227">
                  <c:v>45639.666666666599</c:v>
                </c:pt>
                <c:pt idx="228">
                  <c:v>45642.666666666599</c:v>
                </c:pt>
                <c:pt idx="229">
                  <c:v>45643.666666666599</c:v>
                </c:pt>
                <c:pt idx="230">
                  <c:v>45644.666666666599</c:v>
                </c:pt>
                <c:pt idx="231">
                  <c:v>45645.666666666599</c:v>
                </c:pt>
                <c:pt idx="232">
                  <c:v>45646.666666666599</c:v>
                </c:pt>
                <c:pt idx="233">
                  <c:v>45649.666666666599</c:v>
                </c:pt>
                <c:pt idx="234">
                  <c:v>45650.666666666599</c:v>
                </c:pt>
                <c:pt idx="235">
                  <c:v>45653.666666666599</c:v>
                </c:pt>
                <c:pt idx="236">
                  <c:v>45656.666666666599</c:v>
                </c:pt>
                <c:pt idx="237">
                  <c:v>45659.666666666599</c:v>
                </c:pt>
                <c:pt idx="238">
                  <c:v>45660.666666666599</c:v>
                </c:pt>
                <c:pt idx="239">
                  <c:v>45663.666666666599</c:v>
                </c:pt>
                <c:pt idx="240">
                  <c:v>45664.666666666599</c:v>
                </c:pt>
                <c:pt idx="241">
                  <c:v>45665.666666666599</c:v>
                </c:pt>
                <c:pt idx="242">
                  <c:v>45666.666666666599</c:v>
                </c:pt>
                <c:pt idx="243">
                  <c:v>45667.666666666599</c:v>
                </c:pt>
                <c:pt idx="244">
                  <c:v>45670.666666666599</c:v>
                </c:pt>
                <c:pt idx="245">
                  <c:v>45671.666666666599</c:v>
                </c:pt>
                <c:pt idx="246">
                  <c:v>45672.666666666599</c:v>
                </c:pt>
                <c:pt idx="247">
                  <c:v>45673.666666666599</c:v>
                </c:pt>
                <c:pt idx="248">
                  <c:v>45674.666666666599</c:v>
                </c:pt>
                <c:pt idx="249">
                  <c:v>45677.666666666599</c:v>
                </c:pt>
                <c:pt idx="250">
                  <c:v>45678.666666666599</c:v>
                </c:pt>
                <c:pt idx="251">
                  <c:v>45679.666666666599</c:v>
                </c:pt>
                <c:pt idx="252">
                  <c:v>45680.666666666599</c:v>
                </c:pt>
                <c:pt idx="253">
                  <c:v>45681.666666666599</c:v>
                </c:pt>
                <c:pt idx="254">
                  <c:v>45687.666666666599</c:v>
                </c:pt>
                <c:pt idx="255">
                  <c:v>45688.666666666599</c:v>
                </c:pt>
                <c:pt idx="256">
                  <c:v>45691.666666666599</c:v>
                </c:pt>
                <c:pt idx="257">
                  <c:v>45692.666666666599</c:v>
                </c:pt>
                <c:pt idx="258">
                  <c:v>45693.666666666599</c:v>
                </c:pt>
                <c:pt idx="259">
                  <c:v>45694.666666666599</c:v>
                </c:pt>
                <c:pt idx="260">
                  <c:v>45695.666666666599</c:v>
                </c:pt>
                <c:pt idx="261">
                  <c:v>45698.666666666599</c:v>
                </c:pt>
                <c:pt idx="262">
                  <c:v>45699.666666666599</c:v>
                </c:pt>
                <c:pt idx="263">
                  <c:v>45700.666666666599</c:v>
                </c:pt>
                <c:pt idx="264">
                  <c:v>45701.666666666599</c:v>
                </c:pt>
                <c:pt idx="265">
                  <c:v>45702.666666666599</c:v>
                </c:pt>
                <c:pt idx="266">
                  <c:v>45705.666666666599</c:v>
                </c:pt>
                <c:pt idx="267">
                  <c:v>45706.666666666599</c:v>
                </c:pt>
                <c:pt idx="268">
                  <c:v>45707.666666666599</c:v>
                </c:pt>
                <c:pt idx="269">
                  <c:v>45708.666666666599</c:v>
                </c:pt>
                <c:pt idx="270">
                  <c:v>45709.666666666599</c:v>
                </c:pt>
                <c:pt idx="271">
                  <c:v>45712.666666666599</c:v>
                </c:pt>
                <c:pt idx="272">
                  <c:v>45713.666666666599</c:v>
                </c:pt>
                <c:pt idx="273">
                  <c:v>45714.666666666599</c:v>
                </c:pt>
                <c:pt idx="274">
                  <c:v>45715.666666666599</c:v>
                </c:pt>
                <c:pt idx="275">
                  <c:v>45716.666666666599</c:v>
                </c:pt>
                <c:pt idx="276">
                  <c:v>45719.666666666599</c:v>
                </c:pt>
                <c:pt idx="277">
                  <c:v>45720.666666666599</c:v>
                </c:pt>
                <c:pt idx="278">
                  <c:v>45721.666666666599</c:v>
                </c:pt>
                <c:pt idx="279">
                  <c:v>45722.666666666599</c:v>
                </c:pt>
                <c:pt idx="280">
                  <c:v>45723.666666666599</c:v>
                </c:pt>
                <c:pt idx="281">
                  <c:v>45726.666666666599</c:v>
                </c:pt>
                <c:pt idx="282">
                  <c:v>45727.666666666599</c:v>
                </c:pt>
                <c:pt idx="283">
                  <c:v>45728.666666666599</c:v>
                </c:pt>
                <c:pt idx="284">
                  <c:v>45729.666666666599</c:v>
                </c:pt>
                <c:pt idx="285">
                  <c:v>45730.666666666599</c:v>
                </c:pt>
                <c:pt idx="286">
                  <c:v>45733.666666666599</c:v>
                </c:pt>
                <c:pt idx="287">
                  <c:v>45734.666666666599</c:v>
                </c:pt>
                <c:pt idx="288">
                  <c:v>45735.666666666599</c:v>
                </c:pt>
                <c:pt idx="289">
                  <c:v>45736.666666666599</c:v>
                </c:pt>
                <c:pt idx="290">
                  <c:v>45737.666666666599</c:v>
                </c:pt>
                <c:pt idx="291">
                  <c:v>45740.666666666599</c:v>
                </c:pt>
                <c:pt idx="292">
                  <c:v>45741.666666666599</c:v>
                </c:pt>
                <c:pt idx="293">
                  <c:v>45742.666666666599</c:v>
                </c:pt>
                <c:pt idx="294">
                  <c:v>45743.666666666599</c:v>
                </c:pt>
                <c:pt idx="295">
                  <c:v>45755.666666666599</c:v>
                </c:pt>
                <c:pt idx="296">
                  <c:v>45756.666666666599</c:v>
                </c:pt>
                <c:pt idx="297">
                  <c:v>45757.666666666599</c:v>
                </c:pt>
                <c:pt idx="298">
                  <c:v>45758.666666666599</c:v>
                </c:pt>
                <c:pt idx="299">
                  <c:v>45761.666666666599</c:v>
                </c:pt>
                <c:pt idx="300">
                  <c:v>45762.666666666599</c:v>
                </c:pt>
                <c:pt idx="301">
                  <c:v>45763.666666666599</c:v>
                </c:pt>
                <c:pt idx="302">
                  <c:v>45764.666666666599</c:v>
                </c:pt>
                <c:pt idx="303">
                  <c:v>45768.666666666599</c:v>
                </c:pt>
                <c:pt idx="304">
                  <c:v>45769.666666666599</c:v>
                </c:pt>
                <c:pt idx="305">
                  <c:v>45770.666666666599</c:v>
                </c:pt>
                <c:pt idx="306">
                  <c:v>45771.666666666599</c:v>
                </c:pt>
                <c:pt idx="307">
                  <c:v>45772.666666666599</c:v>
                </c:pt>
                <c:pt idx="308">
                  <c:v>45775.666666666599</c:v>
                </c:pt>
                <c:pt idx="309">
                  <c:v>45776.666666666599</c:v>
                </c:pt>
                <c:pt idx="310">
                  <c:v>45777.666666666599</c:v>
                </c:pt>
                <c:pt idx="311">
                  <c:v>45779.666666666599</c:v>
                </c:pt>
                <c:pt idx="312">
                  <c:v>45782.666666666599</c:v>
                </c:pt>
                <c:pt idx="313">
                  <c:v>45783.666666666599</c:v>
                </c:pt>
                <c:pt idx="314">
                  <c:v>45784.666666666599</c:v>
                </c:pt>
                <c:pt idx="315">
                  <c:v>45785.666666666599</c:v>
                </c:pt>
                <c:pt idx="316">
                  <c:v>45786.666666666599</c:v>
                </c:pt>
                <c:pt idx="317">
                  <c:v>45791.666666666599</c:v>
                </c:pt>
                <c:pt idx="318">
                  <c:v>45792.666666666599</c:v>
                </c:pt>
                <c:pt idx="319">
                  <c:v>45793.666666666599</c:v>
                </c:pt>
                <c:pt idx="320">
                  <c:v>45796.666666666599</c:v>
                </c:pt>
                <c:pt idx="321">
                  <c:v>45797.666666666599</c:v>
                </c:pt>
                <c:pt idx="322">
                  <c:v>45798.666666666599</c:v>
                </c:pt>
                <c:pt idx="323">
                  <c:v>45799.666666666599</c:v>
                </c:pt>
                <c:pt idx="324">
                  <c:v>45800.666666666599</c:v>
                </c:pt>
                <c:pt idx="325">
                  <c:v>45803.666666666599</c:v>
                </c:pt>
                <c:pt idx="326">
                  <c:v>45804.666666666599</c:v>
                </c:pt>
                <c:pt idx="327">
                  <c:v>45805.666666666599</c:v>
                </c:pt>
                <c:pt idx="328">
                  <c:v>45810.666666666599</c:v>
                </c:pt>
                <c:pt idx="329">
                  <c:v>45811.666666666599</c:v>
                </c:pt>
                <c:pt idx="330">
                  <c:v>45812.666666666599</c:v>
                </c:pt>
                <c:pt idx="331">
                  <c:v>45813.666666666599</c:v>
                </c:pt>
                <c:pt idx="332">
                  <c:v>45818.666666666599</c:v>
                </c:pt>
                <c:pt idx="333">
                  <c:v>45819.666666666599</c:v>
                </c:pt>
                <c:pt idx="334">
                  <c:v>45820.666666666599</c:v>
                </c:pt>
                <c:pt idx="335">
                  <c:v>45821.666666666599</c:v>
                </c:pt>
                <c:pt idx="336">
                  <c:v>45824.666666666599</c:v>
                </c:pt>
                <c:pt idx="337">
                  <c:v>45825.666666666599</c:v>
                </c:pt>
                <c:pt idx="338">
                  <c:v>45826.666666666599</c:v>
                </c:pt>
                <c:pt idx="339">
                  <c:v>45827.666666666599</c:v>
                </c:pt>
                <c:pt idx="340">
                  <c:v>45828.666666666599</c:v>
                </c:pt>
                <c:pt idx="341">
                  <c:v>45831.666666666599</c:v>
                </c:pt>
                <c:pt idx="342">
                  <c:v>45832.666666666599</c:v>
                </c:pt>
                <c:pt idx="343">
                  <c:v>45833.666666666599</c:v>
                </c:pt>
                <c:pt idx="344">
                  <c:v>45834.666666666599</c:v>
                </c:pt>
                <c:pt idx="345">
                  <c:v>45838.666666666599</c:v>
                </c:pt>
                <c:pt idx="346">
                  <c:v>45839.666666666599</c:v>
                </c:pt>
                <c:pt idx="347">
                  <c:v>45840.666666666599</c:v>
                </c:pt>
                <c:pt idx="348">
                  <c:v>45841.666666666599</c:v>
                </c:pt>
                <c:pt idx="349">
                  <c:v>45842.666666666599</c:v>
                </c:pt>
                <c:pt idx="350">
                  <c:v>45845.666666666599</c:v>
                </c:pt>
                <c:pt idx="351">
                  <c:v>45846.666666666599</c:v>
                </c:pt>
                <c:pt idx="352">
                  <c:v>45847.666666666599</c:v>
                </c:pt>
                <c:pt idx="353">
                  <c:v>45848.666666666599</c:v>
                </c:pt>
                <c:pt idx="354">
                  <c:v>45849.666666666599</c:v>
                </c:pt>
                <c:pt idx="355">
                  <c:v>45852.666666666599</c:v>
                </c:pt>
                <c:pt idx="356">
                  <c:v>45853.666666666599</c:v>
                </c:pt>
                <c:pt idx="357">
                  <c:v>45854.666666666599</c:v>
                </c:pt>
                <c:pt idx="358">
                  <c:v>45855.666666666599</c:v>
                </c:pt>
                <c:pt idx="359">
                  <c:v>45856.666666666599</c:v>
                </c:pt>
                <c:pt idx="360">
                  <c:v>45859.666666666599</c:v>
                </c:pt>
                <c:pt idx="361">
                  <c:v>45860.666666666599</c:v>
                </c:pt>
                <c:pt idx="362">
                  <c:v>45861.666666666599</c:v>
                </c:pt>
                <c:pt idx="363">
                  <c:v>45862.666666666599</c:v>
                </c:pt>
                <c:pt idx="364">
                  <c:v>45863.666666666599</c:v>
                </c:pt>
                <c:pt idx="365">
                  <c:v>45866.666666666599</c:v>
                </c:pt>
                <c:pt idx="366">
                  <c:v>45867.666666666599</c:v>
                </c:pt>
                <c:pt idx="367">
                  <c:v>45868.666666666599</c:v>
                </c:pt>
                <c:pt idx="368">
                  <c:v>45869.666666666599</c:v>
                </c:pt>
                <c:pt idx="369">
                  <c:v>45870.666666666599</c:v>
                </c:pt>
                <c:pt idx="370">
                  <c:v>45873.666666666599</c:v>
                </c:pt>
                <c:pt idx="371">
                  <c:v>45874.666666666599</c:v>
                </c:pt>
                <c:pt idx="372">
                  <c:v>45875.666666666599</c:v>
                </c:pt>
                <c:pt idx="373">
                  <c:v>45876.666666666599</c:v>
                </c:pt>
                <c:pt idx="374">
                  <c:v>45877.666666666599</c:v>
                </c:pt>
                <c:pt idx="375">
                  <c:v>45880.666666666599</c:v>
                </c:pt>
                <c:pt idx="376">
                  <c:v>45881.666666666599</c:v>
                </c:pt>
                <c:pt idx="377">
                  <c:v>45882.666666666599</c:v>
                </c:pt>
                <c:pt idx="378">
                  <c:v>45883.666666666599</c:v>
                </c:pt>
                <c:pt idx="379">
                  <c:v>45884.666666666599</c:v>
                </c:pt>
                <c:pt idx="380">
                  <c:v>45888.666666666599</c:v>
                </c:pt>
                <c:pt idx="381">
                  <c:v>45889.666666666599</c:v>
                </c:pt>
                <c:pt idx="382">
                  <c:v>45890.666666666599</c:v>
                </c:pt>
                <c:pt idx="383">
                  <c:v>45891.666666666599</c:v>
                </c:pt>
                <c:pt idx="384">
                  <c:v>45894.666666666599</c:v>
                </c:pt>
                <c:pt idx="385">
                  <c:v>45895.666666666599</c:v>
                </c:pt>
                <c:pt idx="386">
                  <c:v>45896.666666666599</c:v>
                </c:pt>
                <c:pt idx="387">
                  <c:v>45897.666666666599</c:v>
                </c:pt>
                <c:pt idx="388">
                  <c:v>45898.666666666599</c:v>
                </c:pt>
                <c:pt idx="389">
                  <c:v>45901.666666666599</c:v>
                </c:pt>
                <c:pt idx="390">
                  <c:v>45902.666666666599</c:v>
                </c:pt>
                <c:pt idx="391">
                  <c:v>45903.666666666599</c:v>
                </c:pt>
                <c:pt idx="392">
                  <c:v>45904.666666666599</c:v>
                </c:pt>
                <c:pt idx="393">
                  <c:v>45908.666666666599</c:v>
                </c:pt>
                <c:pt idx="394">
                  <c:v>45909.666666666599</c:v>
                </c:pt>
                <c:pt idx="395">
                  <c:v>45910.666666666599</c:v>
                </c:pt>
                <c:pt idx="396">
                  <c:v>45911.666666666599</c:v>
                </c:pt>
                <c:pt idx="397">
                  <c:v>45912.666666666599</c:v>
                </c:pt>
                <c:pt idx="398">
                  <c:v>45915.666666666599</c:v>
                </c:pt>
                <c:pt idx="399">
                  <c:v>45916.666666666599</c:v>
                </c:pt>
                <c:pt idx="400">
                  <c:v>45917.666666666599</c:v>
                </c:pt>
                <c:pt idx="401">
                  <c:v>45918.666666666599</c:v>
                </c:pt>
                <c:pt idx="402">
                  <c:v>45919.666666666599</c:v>
                </c:pt>
                <c:pt idx="403">
                  <c:v>45922.666666666599</c:v>
                </c:pt>
                <c:pt idx="404">
                  <c:v>45923.666666666599</c:v>
                </c:pt>
                <c:pt idx="405">
                  <c:v>45924.666666666599</c:v>
                </c:pt>
                <c:pt idx="406">
                  <c:v>45925.666666666599</c:v>
                </c:pt>
                <c:pt idx="407">
                  <c:v>45926.666666666599</c:v>
                </c:pt>
                <c:pt idx="408">
                  <c:v>45929.666666666599</c:v>
                </c:pt>
                <c:pt idx="409">
                  <c:v>45930.666666666599</c:v>
                </c:pt>
                <c:pt idx="410">
                  <c:v>45931.666666666599</c:v>
                </c:pt>
                <c:pt idx="411">
                  <c:v>45932.666666666599</c:v>
                </c:pt>
                <c:pt idx="412">
                  <c:v>45933.666666666599</c:v>
                </c:pt>
                <c:pt idx="413">
                  <c:v>45936.666666666599</c:v>
                </c:pt>
                <c:pt idx="414">
                  <c:v>45937.666666666599</c:v>
                </c:pt>
                <c:pt idx="415">
                  <c:v>45938.666666666599</c:v>
                </c:pt>
                <c:pt idx="416">
                  <c:v>45939.666666666599</c:v>
                </c:pt>
                <c:pt idx="417">
                  <c:v>45940.666666666599</c:v>
                </c:pt>
                <c:pt idx="418">
                  <c:v>45943.666666666599</c:v>
                </c:pt>
                <c:pt idx="419">
                  <c:v>45944.666666666599</c:v>
                </c:pt>
                <c:pt idx="420">
                  <c:v>45945.666666666599</c:v>
                </c:pt>
                <c:pt idx="421">
                  <c:v>45946.666666666599</c:v>
                </c:pt>
                <c:pt idx="422">
                  <c:v>45947.666666666599</c:v>
                </c:pt>
                <c:pt idx="423">
                  <c:v>45950.666666666599</c:v>
                </c:pt>
                <c:pt idx="424">
                  <c:v>45951.666666666599</c:v>
                </c:pt>
                <c:pt idx="425">
                  <c:v>45952.666666666599</c:v>
                </c:pt>
                <c:pt idx="426">
                  <c:v>45953.666666666599</c:v>
                </c:pt>
                <c:pt idx="427">
                  <c:v>45954.666666666599</c:v>
                </c:pt>
                <c:pt idx="428">
                  <c:v>45957.666666666599</c:v>
                </c:pt>
                <c:pt idx="429">
                  <c:v>45958.666666666599</c:v>
                </c:pt>
                <c:pt idx="430">
                  <c:v>45959.666666666599</c:v>
                </c:pt>
                <c:pt idx="431">
                  <c:v>45960.666666666599</c:v>
                </c:pt>
                <c:pt idx="432">
                  <c:v>45961.666666666599</c:v>
                </c:pt>
                <c:pt idx="433">
                  <c:v>45964.666666666599</c:v>
                </c:pt>
                <c:pt idx="434">
                  <c:v>45965.666666666599</c:v>
                </c:pt>
                <c:pt idx="435">
                  <c:v>45966.666666666599</c:v>
                </c:pt>
                <c:pt idx="436">
                  <c:v>45967.666666666599</c:v>
                </c:pt>
                <c:pt idx="437">
                  <c:v>45968.666666666599</c:v>
                </c:pt>
                <c:pt idx="438">
                  <c:v>45971.666666666599</c:v>
                </c:pt>
                <c:pt idx="439">
                  <c:v>45972.666666666599</c:v>
                </c:pt>
                <c:pt idx="440">
                  <c:v>45973.666666666599</c:v>
                </c:pt>
                <c:pt idx="441">
                  <c:v>45974.666666666599</c:v>
                </c:pt>
                <c:pt idx="442">
                  <c:v>45975.666666666599</c:v>
                </c:pt>
                <c:pt idx="443">
                  <c:v>45978.666666666599</c:v>
                </c:pt>
                <c:pt idx="444">
                  <c:v>45979.666666666599</c:v>
                </c:pt>
                <c:pt idx="445">
                  <c:v>45980.666666666599</c:v>
                </c:pt>
                <c:pt idx="446">
                  <c:v>45981.666666666599</c:v>
                </c:pt>
                <c:pt idx="447">
                  <c:v>45982.666666666599</c:v>
                </c:pt>
                <c:pt idx="448">
                  <c:v>45985.666666666599</c:v>
                </c:pt>
                <c:pt idx="449">
                  <c:v>45986.666666666599</c:v>
                </c:pt>
                <c:pt idx="450">
                  <c:v>45987.666666666599</c:v>
                </c:pt>
                <c:pt idx="451">
                  <c:v>45988.666666666599</c:v>
                </c:pt>
                <c:pt idx="452">
                  <c:v>45989.666666666599</c:v>
                </c:pt>
                <c:pt idx="453">
                  <c:v>45992.666666666599</c:v>
                </c:pt>
                <c:pt idx="454">
                  <c:v>45993.666666666599</c:v>
                </c:pt>
                <c:pt idx="455">
                  <c:v>45994.666666666599</c:v>
                </c:pt>
                <c:pt idx="456">
                  <c:v>45995.666666666599</c:v>
                </c:pt>
                <c:pt idx="457">
                  <c:v>45996.666666666599</c:v>
                </c:pt>
                <c:pt idx="458">
                  <c:v>45999.666666666599</c:v>
                </c:pt>
                <c:pt idx="459">
                  <c:v>46000.666666666599</c:v>
                </c:pt>
                <c:pt idx="460">
                  <c:v>46001.666666666599</c:v>
                </c:pt>
                <c:pt idx="461">
                  <c:v>46002.666666666599</c:v>
                </c:pt>
                <c:pt idx="462">
                  <c:v>46003.666666666599</c:v>
                </c:pt>
                <c:pt idx="463">
                  <c:v>46006.666666666599</c:v>
                </c:pt>
                <c:pt idx="464">
                  <c:v>46007.666666666599</c:v>
                </c:pt>
                <c:pt idx="465">
                  <c:v>46008.666666666599</c:v>
                </c:pt>
                <c:pt idx="466">
                  <c:v>46009.666666666599</c:v>
                </c:pt>
                <c:pt idx="467">
                  <c:v>46010.666666666599</c:v>
                </c:pt>
                <c:pt idx="468">
                  <c:v>46013.666666666599</c:v>
                </c:pt>
                <c:pt idx="469">
                  <c:v>46014.666666666599</c:v>
                </c:pt>
                <c:pt idx="470">
                  <c:v>46015.666666666599</c:v>
                </c:pt>
                <c:pt idx="471">
                  <c:v>46020.666666666599</c:v>
                </c:pt>
                <c:pt idx="472">
                  <c:v>46021.666666666599</c:v>
                </c:pt>
              </c:numCache>
            </c:numRef>
          </c:cat>
          <c:val>
            <c:numRef>
              <c:f>BBCA!$F$2:$F$474</c:f>
              <c:numCache>
                <c:formatCode>General</c:formatCode>
                <c:ptCount val="473"/>
                <c:pt idx="0">
                  <c:v>9425</c:v>
                </c:pt>
                <c:pt idx="1">
                  <c:v>9350</c:v>
                </c:pt>
                <c:pt idx="2">
                  <c:v>9475</c:v>
                </c:pt>
                <c:pt idx="3">
                  <c:v>9575</c:v>
                </c:pt>
                <c:pt idx="4">
                  <c:v>9575</c:v>
                </c:pt>
                <c:pt idx="5">
                  <c:v>9625</c:v>
                </c:pt>
                <c:pt idx="6">
                  <c:v>9550</c:v>
                </c:pt>
                <c:pt idx="7">
                  <c:v>9575</c:v>
                </c:pt>
                <c:pt idx="8">
                  <c:v>9700</c:v>
                </c:pt>
                <c:pt idx="9">
                  <c:v>9725</c:v>
                </c:pt>
                <c:pt idx="10">
                  <c:v>9700</c:v>
                </c:pt>
                <c:pt idx="11">
                  <c:v>9750</c:v>
                </c:pt>
                <c:pt idx="12">
                  <c:v>9675</c:v>
                </c:pt>
                <c:pt idx="13">
                  <c:v>9625</c:v>
                </c:pt>
                <c:pt idx="14">
                  <c:v>9625</c:v>
                </c:pt>
                <c:pt idx="15">
                  <c:v>9600</c:v>
                </c:pt>
                <c:pt idx="16">
                  <c:v>9525</c:v>
                </c:pt>
                <c:pt idx="17">
                  <c:v>9500</c:v>
                </c:pt>
                <c:pt idx="18">
                  <c:v>9350</c:v>
                </c:pt>
                <c:pt idx="19">
                  <c:v>9550</c:v>
                </c:pt>
                <c:pt idx="20">
                  <c:v>9650</c:v>
                </c:pt>
                <c:pt idx="21">
                  <c:v>9550</c:v>
                </c:pt>
                <c:pt idx="22">
                  <c:v>9700</c:v>
                </c:pt>
                <c:pt idx="23">
                  <c:v>9700</c:v>
                </c:pt>
                <c:pt idx="24">
                  <c:v>9575</c:v>
                </c:pt>
                <c:pt idx="25">
                  <c:v>9625</c:v>
                </c:pt>
                <c:pt idx="26">
                  <c:v>9700</c:v>
                </c:pt>
                <c:pt idx="27">
                  <c:v>9800</c:v>
                </c:pt>
                <c:pt idx="28">
                  <c:v>9725</c:v>
                </c:pt>
                <c:pt idx="29">
                  <c:v>9850</c:v>
                </c:pt>
                <c:pt idx="30">
                  <c:v>9950</c:v>
                </c:pt>
                <c:pt idx="31">
                  <c:v>9875</c:v>
                </c:pt>
                <c:pt idx="32">
                  <c:v>10025</c:v>
                </c:pt>
                <c:pt idx="33">
                  <c:v>9975</c:v>
                </c:pt>
                <c:pt idx="34">
                  <c:v>9875</c:v>
                </c:pt>
                <c:pt idx="35">
                  <c:v>9825</c:v>
                </c:pt>
                <c:pt idx="36">
                  <c:v>9800</c:v>
                </c:pt>
                <c:pt idx="37">
                  <c:v>9875</c:v>
                </c:pt>
                <c:pt idx="38">
                  <c:v>10000</c:v>
                </c:pt>
                <c:pt idx="39">
                  <c:v>9875</c:v>
                </c:pt>
                <c:pt idx="40">
                  <c:v>9825</c:v>
                </c:pt>
                <c:pt idx="41">
                  <c:v>9750</c:v>
                </c:pt>
                <c:pt idx="42">
                  <c:v>9800</c:v>
                </c:pt>
                <c:pt idx="43">
                  <c:v>9950</c:v>
                </c:pt>
                <c:pt idx="44">
                  <c:v>10125</c:v>
                </c:pt>
                <c:pt idx="45">
                  <c:v>10150</c:v>
                </c:pt>
                <c:pt idx="46">
                  <c:v>10000</c:v>
                </c:pt>
                <c:pt idx="47">
                  <c:v>10325</c:v>
                </c:pt>
                <c:pt idx="48">
                  <c:v>10150</c:v>
                </c:pt>
                <c:pt idx="49">
                  <c:v>10150</c:v>
                </c:pt>
                <c:pt idx="50">
                  <c:v>10175</c:v>
                </c:pt>
                <c:pt idx="51">
                  <c:v>10125</c:v>
                </c:pt>
                <c:pt idx="52">
                  <c:v>10125</c:v>
                </c:pt>
                <c:pt idx="53">
                  <c:v>10100</c:v>
                </c:pt>
                <c:pt idx="54">
                  <c:v>10075</c:v>
                </c:pt>
                <c:pt idx="55">
                  <c:v>10050</c:v>
                </c:pt>
                <c:pt idx="56">
                  <c:v>10075</c:v>
                </c:pt>
                <c:pt idx="57">
                  <c:v>10075</c:v>
                </c:pt>
                <c:pt idx="58">
                  <c:v>9850</c:v>
                </c:pt>
                <c:pt idx="59">
                  <c:v>9900</c:v>
                </c:pt>
                <c:pt idx="60">
                  <c:v>9525</c:v>
                </c:pt>
                <c:pt idx="61">
                  <c:v>9850</c:v>
                </c:pt>
                <c:pt idx="62">
                  <c:v>9825</c:v>
                </c:pt>
                <c:pt idx="63">
                  <c:v>9475</c:v>
                </c:pt>
                <c:pt idx="64">
                  <c:v>9525</c:v>
                </c:pt>
                <c:pt idx="65">
                  <c:v>9475</c:v>
                </c:pt>
                <c:pt idx="66">
                  <c:v>9475</c:v>
                </c:pt>
                <c:pt idx="67">
                  <c:v>9350</c:v>
                </c:pt>
                <c:pt idx="68">
                  <c:v>9725</c:v>
                </c:pt>
                <c:pt idx="69">
                  <c:v>9950</c:v>
                </c:pt>
                <c:pt idx="70">
                  <c:v>9775</c:v>
                </c:pt>
                <c:pt idx="71">
                  <c:v>9625</c:v>
                </c:pt>
                <c:pt idx="72">
                  <c:v>9800</c:v>
                </c:pt>
                <c:pt idx="73">
                  <c:v>9800</c:v>
                </c:pt>
                <c:pt idx="74">
                  <c:v>9550</c:v>
                </c:pt>
                <c:pt idx="75">
                  <c:v>9850</c:v>
                </c:pt>
                <c:pt idx="76">
                  <c:v>9800</c:v>
                </c:pt>
                <c:pt idx="77">
                  <c:v>9700</c:v>
                </c:pt>
                <c:pt idx="78">
                  <c:v>9375</c:v>
                </c:pt>
                <c:pt idx="79">
                  <c:v>9525</c:v>
                </c:pt>
                <c:pt idx="80">
                  <c:v>9550</c:v>
                </c:pt>
                <c:pt idx="81">
                  <c:v>9500</c:v>
                </c:pt>
                <c:pt idx="82">
                  <c:v>9600</c:v>
                </c:pt>
                <c:pt idx="83">
                  <c:v>9750</c:v>
                </c:pt>
                <c:pt idx="84">
                  <c:v>9475</c:v>
                </c:pt>
                <c:pt idx="85">
                  <c:v>9375</c:v>
                </c:pt>
                <c:pt idx="86">
                  <c:v>9425</c:v>
                </c:pt>
                <c:pt idx="87">
                  <c:v>9300</c:v>
                </c:pt>
                <c:pt idx="88">
                  <c:v>9300</c:v>
                </c:pt>
                <c:pt idx="89">
                  <c:v>9150</c:v>
                </c:pt>
                <c:pt idx="90">
                  <c:v>9000</c:v>
                </c:pt>
                <c:pt idx="91">
                  <c:v>9250</c:v>
                </c:pt>
                <c:pt idx="92">
                  <c:v>9275</c:v>
                </c:pt>
                <c:pt idx="93">
                  <c:v>9350</c:v>
                </c:pt>
                <c:pt idx="94">
                  <c:v>9450</c:v>
                </c:pt>
                <c:pt idx="95">
                  <c:v>9475</c:v>
                </c:pt>
                <c:pt idx="96">
                  <c:v>9325</c:v>
                </c:pt>
                <c:pt idx="97">
                  <c:v>9525</c:v>
                </c:pt>
                <c:pt idx="98">
                  <c:v>9300</c:v>
                </c:pt>
                <c:pt idx="99">
                  <c:v>9250</c:v>
                </c:pt>
                <c:pt idx="100">
                  <c:v>9200</c:v>
                </c:pt>
                <c:pt idx="101">
                  <c:v>9200</c:v>
                </c:pt>
                <c:pt idx="102">
                  <c:v>9050</c:v>
                </c:pt>
                <c:pt idx="103">
                  <c:v>9425</c:v>
                </c:pt>
                <c:pt idx="104">
                  <c:v>9600</c:v>
                </c:pt>
                <c:pt idx="105">
                  <c:v>9600</c:v>
                </c:pt>
                <c:pt idx="106">
                  <c:v>9600</c:v>
                </c:pt>
                <c:pt idx="107">
                  <c:v>9500</c:v>
                </c:pt>
                <c:pt idx="108">
                  <c:v>9750</c:v>
                </c:pt>
                <c:pt idx="109">
                  <c:v>9925</c:v>
                </c:pt>
                <c:pt idx="110">
                  <c:v>9875</c:v>
                </c:pt>
                <c:pt idx="111">
                  <c:v>9900</c:v>
                </c:pt>
                <c:pt idx="112">
                  <c:v>10000</c:v>
                </c:pt>
                <c:pt idx="113">
                  <c:v>9825</c:v>
                </c:pt>
                <c:pt idx="114">
                  <c:v>9950</c:v>
                </c:pt>
                <c:pt idx="115">
                  <c:v>10050</c:v>
                </c:pt>
                <c:pt idx="116">
                  <c:v>10075</c:v>
                </c:pt>
                <c:pt idx="117">
                  <c:v>10100</c:v>
                </c:pt>
                <c:pt idx="118">
                  <c:v>10075</c:v>
                </c:pt>
                <c:pt idx="119">
                  <c:v>10075</c:v>
                </c:pt>
                <c:pt idx="120">
                  <c:v>10050</c:v>
                </c:pt>
                <c:pt idx="121">
                  <c:v>9950</c:v>
                </c:pt>
                <c:pt idx="122">
                  <c:v>9800</c:v>
                </c:pt>
                <c:pt idx="123">
                  <c:v>10100</c:v>
                </c:pt>
                <c:pt idx="124">
                  <c:v>10125</c:v>
                </c:pt>
                <c:pt idx="125">
                  <c:v>10100</c:v>
                </c:pt>
                <c:pt idx="126">
                  <c:v>10175</c:v>
                </c:pt>
                <c:pt idx="127">
                  <c:v>10075</c:v>
                </c:pt>
                <c:pt idx="128">
                  <c:v>10300</c:v>
                </c:pt>
                <c:pt idx="129">
                  <c:v>10325</c:v>
                </c:pt>
                <c:pt idx="130">
                  <c:v>10250</c:v>
                </c:pt>
                <c:pt idx="131">
                  <c:v>10175</c:v>
                </c:pt>
                <c:pt idx="132">
                  <c:v>10275</c:v>
                </c:pt>
                <c:pt idx="133">
                  <c:v>10375</c:v>
                </c:pt>
                <c:pt idx="134">
                  <c:v>10200</c:v>
                </c:pt>
                <c:pt idx="135">
                  <c:v>9875</c:v>
                </c:pt>
                <c:pt idx="136">
                  <c:v>10000</c:v>
                </c:pt>
                <c:pt idx="137">
                  <c:v>10100</c:v>
                </c:pt>
                <c:pt idx="138">
                  <c:v>10225</c:v>
                </c:pt>
                <c:pt idx="139">
                  <c:v>10150</c:v>
                </c:pt>
                <c:pt idx="140">
                  <c:v>10200</c:v>
                </c:pt>
                <c:pt idx="141">
                  <c:v>10300</c:v>
                </c:pt>
                <c:pt idx="142">
                  <c:v>10200</c:v>
                </c:pt>
                <c:pt idx="143">
                  <c:v>10225</c:v>
                </c:pt>
                <c:pt idx="144">
                  <c:v>10325</c:v>
                </c:pt>
                <c:pt idx="145">
                  <c:v>10375</c:v>
                </c:pt>
                <c:pt idx="146">
                  <c:v>10425</c:v>
                </c:pt>
                <c:pt idx="147">
                  <c:v>10425</c:v>
                </c:pt>
                <c:pt idx="148">
                  <c:v>10325</c:v>
                </c:pt>
                <c:pt idx="149">
                  <c:v>10325</c:v>
                </c:pt>
                <c:pt idx="150">
                  <c:v>10325</c:v>
                </c:pt>
                <c:pt idx="151">
                  <c:v>10200</c:v>
                </c:pt>
                <c:pt idx="152">
                  <c:v>10350</c:v>
                </c:pt>
                <c:pt idx="153">
                  <c:v>10225</c:v>
                </c:pt>
                <c:pt idx="154">
                  <c:v>10325</c:v>
                </c:pt>
                <c:pt idx="155">
                  <c:v>10275</c:v>
                </c:pt>
                <c:pt idx="156">
                  <c:v>10175</c:v>
                </c:pt>
                <c:pt idx="157">
                  <c:v>10300</c:v>
                </c:pt>
                <c:pt idx="158">
                  <c:v>10250</c:v>
                </c:pt>
                <c:pt idx="159">
                  <c:v>10300</c:v>
                </c:pt>
                <c:pt idx="160">
                  <c:v>10275</c:v>
                </c:pt>
                <c:pt idx="161">
                  <c:v>10350</c:v>
                </c:pt>
                <c:pt idx="162">
                  <c:v>10425</c:v>
                </c:pt>
                <c:pt idx="163">
                  <c:v>10475</c:v>
                </c:pt>
                <c:pt idx="164">
                  <c:v>10425</c:v>
                </c:pt>
                <c:pt idx="165">
                  <c:v>10500</c:v>
                </c:pt>
                <c:pt idx="166">
                  <c:v>10625</c:v>
                </c:pt>
                <c:pt idx="167">
                  <c:v>10900</c:v>
                </c:pt>
                <c:pt idx="168">
                  <c:v>10775</c:v>
                </c:pt>
                <c:pt idx="169">
                  <c:v>10950</c:v>
                </c:pt>
                <c:pt idx="170">
                  <c:v>10800</c:v>
                </c:pt>
                <c:pt idx="171">
                  <c:v>10850</c:v>
                </c:pt>
                <c:pt idx="172">
                  <c:v>10700</c:v>
                </c:pt>
                <c:pt idx="173">
                  <c:v>10650</c:v>
                </c:pt>
                <c:pt idx="174">
                  <c:v>10325</c:v>
                </c:pt>
                <c:pt idx="175">
                  <c:v>10550</c:v>
                </c:pt>
                <c:pt idx="176">
                  <c:v>10500</c:v>
                </c:pt>
                <c:pt idx="177">
                  <c:v>10450</c:v>
                </c:pt>
                <c:pt idx="178">
                  <c:v>10475</c:v>
                </c:pt>
                <c:pt idx="179">
                  <c:v>10300</c:v>
                </c:pt>
                <c:pt idx="180">
                  <c:v>10400</c:v>
                </c:pt>
                <c:pt idx="181">
                  <c:v>10425</c:v>
                </c:pt>
                <c:pt idx="182">
                  <c:v>10500</c:v>
                </c:pt>
                <c:pt idx="183">
                  <c:v>10375</c:v>
                </c:pt>
                <c:pt idx="184">
                  <c:v>10500</c:v>
                </c:pt>
                <c:pt idx="185">
                  <c:v>10625</c:v>
                </c:pt>
                <c:pt idx="186">
                  <c:v>10475</c:v>
                </c:pt>
                <c:pt idx="187">
                  <c:v>10725</c:v>
                </c:pt>
                <c:pt idx="188">
                  <c:v>10750</c:v>
                </c:pt>
                <c:pt idx="189">
                  <c:v>10675</c:v>
                </c:pt>
                <c:pt idx="190">
                  <c:v>10500</c:v>
                </c:pt>
                <c:pt idx="191">
                  <c:v>10650</c:v>
                </c:pt>
                <c:pt idx="192">
                  <c:v>10700</c:v>
                </c:pt>
                <c:pt idx="193">
                  <c:v>10750</c:v>
                </c:pt>
                <c:pt idx="194">
                  <c:v>10600</c:v>
                </c:pt>
                <c:pt idx="195">
                  <c:v>10500</c:v>
                </c:pt>
                <c:pt idx="196">
                  <c:v>10350</c:v>
                </c:pt>
                <c:pt idx="197">
                  <c:v>10250</c:v>
                </c:pt>
                <c:pt idx="198">
                  <c:v>10425</c:v>
                </c:pt>
                <c:pt idx="199">
                  <c:v>10375</c:v>
                </c:pt>
                <c:pt idx="200">
                  <c:v>10500</c:v>
                </c:pt>
                <c:pt idx="201">
                  <c:v>10450</c:v>
                </c:pt>
                <c:pt idx="202">
                  <c:v>10175</c:v>
                </c:pt>
                <c:pt idx="203">
                  <c:v>10075</c:v>
                </c:pt>
                <c:pt idx="204">
                  <c:v>10050</c:v>
                </c:pt>
                <c:pt idx="205">
                  <c:v>10150</c:v>
                </c:pt>
                <c:pt idx="206">
                  <c:v>10150</c:v>
                </c:pt>
                <c:pt idx="207">
                  <c:v>10100</c:v>
                </c:pt>
                <c:pt idx="208">
                  <c:v>10175</c:v>
                </c:pt>
                <c:pt idx="209">
                  <c:v>10000</c:v>
                </c:pt>
                <c:pt idx="210">
                  <c:v>9925</c:v>
                </c:pt>
                <c:pt idx="211">
                  <c:v>10075</c:v>
                </c:pt>
                <c:pt idx="212">
                  <c:v>9850</c:v>
                </c:pt>
                <c:pt idx="213">
                  <c:v>9850</c:v>
                </c:pt>
                <c:pt idx="214">
                  <c:v>10175</c:v>
                </c:pt>
                <c:pt idx="215">
                  <c:v>10000</c:v>
                </c:pt>
                <c:pt idx="216">
                  <c:v>10000</c:v>
                </c:pt>
                <c:pt idx="217">
                  <c:v>10000</c:v>
                </c:pt>
                <c:pt idx="218">
                  <c:v>9750</c:v>
                </c:pt>
                <c:pt idx="219">
                  <c:v>10200</c:v>
                </c:pt>
                <c:pt idx="220">
                  <c:v>10200</c:v>
                </c:pt>
                <c:pt idx="221">
                  <c:v>10250</c:v>
                </c:pt>
                <c:pt idx="222">
                  <c:v>10075</c:v>
                </c:pt>
                <c:pt idx="223">
                  <c:v>10350</c:v>
                </c:pt>
                <c:pt idx="224">
                  <c:v>10350</c:v>
                </c:pt>
                <c:pt idx="225">
                  <c:v>10425</c:v>
                </c:pt>
                <c:pt idx="226">
                  <c:v>10175</c:v>
                </c:pt>
                <c:pt idx="227">
                  <c:v>10050</c:v>
                </c:pt>
                <c:pt idx="228">
                  <c:v>10100</c:v>
                </c:pt>
                <c:pt idx="229">
                  <c:v>9900</c:v>
                </c:pt>
                <c:pt idx="230">
                  <c:v>9800</c:v>
                </c:pt>
                <c:pt idx="231">
                  <c:v>9675</c:v>
                </c:pt>
                <c:pt idx="232">
                  <c:v>9650</c:v>
                </c:pt>
                <c:pt idx="233">
                  <c:v>9775</c:v>
                </c:pt>
                <c:pt idx="234">
                  <c:v>9750</c:v>
                </c:pt>
                <c:pt idx="235">
                  <c:v>9800</c:v>
                </c:pt>
                <c:pt idx="236">
                  <c:v>9675</c:v>
                </c:pt>
                <c:pt idx="237">
                  <c:v>9900</c:v>
                </c:pt>
                <c:pt idx="238">
                  <c:v>9850</c:v>
                </c:pt>
                <c:pt idx="239">
                  <c:v>9675</c:v>
                </c:pt>
                <c:pt idx="240">
                  <c:v>9525</c:v>
                </c:pt>
                <c:pt idx="241">
                  <c:v>9675</c:v>
                </c:pt>
                <c:pt idx="242">
                  <c:v>9850</c:v>
                </c:pt>
                <c:pt idx="243">
                  <c:v>9725</c:v>
                </c:pt>
                <c:pt idx="244">
                  <c:v>9675</c:v>
                </c:pt>
                <c:pt idx="245">
                  <c:v>9525</c:v>
                </c:pt>
                <c:pt idx="246">
                  <c:v>9800</c:v>
                </c:pt>
                <c:pt idx="247">
                  <c:v>9750</c:v>
                </c:pt>
                <c:pt idx="248">
                  <c:v>9900</c:v>
                </c:pt>
                <c:pt idx="249">
                  <c:v>9625</c:v>
                </c:pt>
                <c:pt idx="250">
                  <c:v>9575</c:v>
                </c:pt>
                <c:pt idx="251">
                  <c:v>9600</c:v>
                </c:pt>
                <c:pt idx="252">
                  <c:v>9600</c:v>
                </c:pt>
                <c:pt idx="253">
                  <c:v>9350</c:v>
                </c:pt>
                <c:pt idx="254">
                  <c:v>9150</c:v>
                </c:pt>
                <c:pt idx="255">
                  <c:v>9450</c:v>
                </c:pt>
                <c:pt idx="256">
                  <c:v>9350</c:v>
                </c:pt>
                <c:pt idx="257">
                  <c:v>9175</c:v>
                </c:pt>
                <c:pt idx="258">
                  <c:v>9125</c:v>
                </c:pt>
                <c:pt idx="259">
                  <c:v>8950</c:v>
                </c:pt>
                <c:pt idx="260">
                  <c:v>9350</c:v>
                </c:pt>
                <c:pt idx="261">
                  <c:v>9150</c:v>
                </c:pt>
                <c:pt idx="262">
                  <c:v>9075</c:v>
                </c:pt>
                <c:pt idx="263">
                  <c:v>9150</c:v>
                </c:pt>
                <c:pt idx="264">
                  <c:v>9000</c:v>
                </c:pt>
                <c:pt idx="265">
                  <c:v>8975</c:v>
                </c:pt>
                <c:pt idx="266">
                  <c:v>9325</c:v>
                </c:pt>
                <c:pt idx="267">
                  <c:v>9300</c:v>
                </c:pt>
                <c:pt idx="268">
                  <c:v>8950</c:v>
                </c:pt>
                <c:pt idx="269">
                  <c:v>9000</c:v>
                </c:pt>
                <c:pt idx="270">
                  <c:v>9000</c:v>
                </c:pt>
                <c:pt idx="271">
                  <c:v>8925</c:v>
                </c:pt>
                <c:pt idx="272">
                  <c:v>8825</c:v>
                </c:pt>
                <c:pt idx="273">
                  <c:v>8775</c:v>
                </c:pt>
                <c:pt idx="274">
                  <c:v>8525</c:v>
                </c:pt>
                <c:pt idx="275">
                  <c:v>8425</c:v>
                </c:pt>
                <c:pt idx="276">
                  <c:v>8800</c:v>
                </c:pt>
                <c:pt idx="277">
                  <c:v>8850</c:v>
                </c:pt>
                <c:pt idx="278">
                  <c:v>9000</c:v>
                </c:pt>
                <c:pt idx="279">
                  <c:v>8975</c:v>
                </c:pt>
                <c:pt idx="280">
                  <c:v>8925</c:v>
                </c:pt>
                <c:pt idx="281">
                  <c:v>8925</c:v>
                </c:pt>
                <c:pt idx="282">
                  <c:v>8925</c:v>
                </c:pt>
                <c:pt idx="283">
                  <c:v>9125</c:v>
                </c:pt>
                <c:pt idx="284">
                  <c:v>8975</c:v>
                </c:pt>
                <c:pt idx="285">
                  <c:v>8750</c:v>
                </c:pt>
                <c:pt idx="286">
                  <c:v>8600</c:v>
                </c:pt>
                <c:pt idx="287">
                  <c:v>8300</c:v>
                </c:pt>
                <c:pt idx="288">
                  <c:v>8325</c:v>
                </c:pt>
                <c:pt idx="289">
                  <c:v>8375</c:v>
                </c:pt>
                <c:pt idx="290">
                  <c:v>7900</c:v>
                </c:pt>
                <c:pt idx="291">
                  <c:v>7950</c:v>
                </c:pt>
                <c:pt idx="292">
                  <c:v>8050</c:v>
                </c:pt>
                <c:pt idx="293">
                  <c:v>8525</c:v>
                </c:pt>
                <c:pt idx="294">
                  <c:v>8500</c:v>
                </c:pt>
                <c:pt idx="295">
                  <c:v>7775</c:v>
                </c:pt>
                <c:pt idx="296">
                  <c:v>7925</c:v>
                </c:pt>
                <c:pt idx="297">
                  <c:v>8225</c:v>
                </c:pt>
                <c:pt idx="298">
                  <c:v>8275</c:v>
                </c:pt>
                <c:pt idx="299">
                  <c:v>8400</c:v>
                </c:pt>
                <c:pt idx="300">
                  <c:v>8575</c:v>
                </c:pt>
                <c:pt idx="301">
                  <c:v>8475</c:v>
                </c:pt>
                <c:pt idx="302">
                  <c:v>8500</c:v>
                </c:pt>
                <c:pt idx="303">
                  <c:v>8300</c:v>
                </c:pt>
                <c:pt idx="304">
                  <c:v>8500</c:v>
                </c:pt>
                <c:pt idx="305">
                  <c:v>8725</c:v>
                </c:pt>
                <c:pt idx="306">
                  <c:v>8475</c:v>
                </c:pt>
                <c:pt idx="307">
                  <c:v>8600</c:v>
                </c:pt>
                <c:pt idx="308">
                  <c:v>8775</c:v>
                </c:pt>
                <c:pt idx="309">
                  <c:v>8725</c:v>
                </c:pt>
                <c:pt idx="310">
                  <c:v>8825</c:v>
                </c:pt>
                <c:pt idx="311">
                  <c:v>8975</c:v>
                </c:pt>
                <c:pt idx="312">
                  <c:v>8975</c:v>
                </c:pt>
                <c:pt idx="313">
                  <c:v>9025</c:v>
                </c:pt>
                <c:pt idx="314">
                  <c:v>9075</c:v>
                </c:pt>
                <c:pt idx="315">
                  <c:v>8975</c:v>
                </c:pt>
                <c:pt idx="316">
                  <c:v>9000</c:v>
                </c:pt>
                <c:pt idx="317">
                  <c:v>9275</c:v>
                </c:pt>
                <c:pt idx="318">
                  <c:v>9275</c:v>
                </c:pt>
                <c:pt idx="319">
                  <c:v>9300</c:v>
                </c:pt>
                <c:pt idx="320">
                  <c:v>9500</c:v>
                </c:pt>
                <c:pt idx="321">
                  <c:v>9475</c:v>
                </c:pt>
                <c:pt idx="322">
                  <c:v>9700</c:v>
                </c:pt>
                <c:pt idx="323">
                  <c:v>9650</c:v>
                </c:pt>
                <c:pt idx="324">
                  <c:v>9675</c:v>
                </c:pt>
                <c:pt idx="325">
                  <c:v>9625</c:v>
                </c:pt>
                <c:pt idx="326">
                  <c:v>9450</c:v>
                </c:pt>
                <c:pt idx="327">
                  <c:v>9400</c:v>
                </c:pt>
                <c:pt idx="328">
                  <c:v>9100</c:v>
                </c:pt>
                <c:pt idx="329">
                  <c:v>9050</c:v>
                </c:pt>
                <c:pt idx="330">
                  <c:v>8975</c:v>
                </c:pt>
                <c:pt idx="331">
                  <c:v>8925</c:v>
                </c:pt>
                <c:pt idx="332">
                  <c:v>9100</c:v>
                </c:pt>
                <c:pt idx="333">
                  <c:v>9050</c:v>
                </c:pt>
                <c:pt idx="334">
                  <c:v>9125</c:v>
                </c:pt>
                <c:pt idx="335">
                  <c:v>9025</c:v>
                </c:pt>
                <c:pt idx="336">
                  <c:v>8925</c:v>
                </c:pt>
                <c:pt idx="337">
                  <c:v>9075</c:v>
                </c:pt>
                <c:pt idx="338">
                  <c:v>8900</c:v>
                </c:pt>
                <c:pt idx="339">
                  <c:v>8775</c:v>
                </c:pt>
                <c:pt idx="340">
                  <c:v>8700</c:v>
                </c:pt>
                <c:pt idx="341">
                  <c:v>8625</c:v>
                </c:pt>
                <c:pt idx="342">
                  <c:v>8775</c:v>
                </c:pt>
                <c:pt idx="343">
                  <c:v>8600</c:v>
                </c:pt>
                <c:pt idx="344">
                  <c:v>8650</c:v>
                </c:pt>
                <c:pt idx="345">
                  <c:v>8675</c:v>
                </c:pt>
                <c:pt idx="346">
                  <c:v>8700</c:v>
                </c:pt>
                <c:pt idx="347">
                  <c:v>8675</c:v>
                </c:pt>
                <c:pt idx="348">
                  <c:v>8600</c:v>
                </c:pt>
                <c:pt idx="349">
                  <c:v>8650</c:v>
                </c:pt>
                <c:pt idx="350">
                  <c:v>8625</c:v>
                </c:pt>
                <c:pt idx="351">
                  <c:v>8500</c:v>
                </c:pt>
                <c:pt idx="352">
                  <c:v>8500</c:v>
                </c:pt>
                <c:pt idx="353">
                  <c:v>8600</c:v>
                </c:pt>
                <c:pt idx="354">
                  <c:v>8625</c:v>
                </c:pt>
                <c:pt idx="355">
                  <c:v>8525</c:v>
                </c:pt>
                <c:pt idx="356">
                  <c:v>8550</c:v>
                </c:pt>
                <c:pt idx="357">
                  <c:v>8525</c:v>
                </c:pt>
                <c:pt idx="358">
                  <c:v>8525</c:v>
                </c:pt>
                <c:pt idx="359">
                  <c:v>8425</c:v>
                </c:pt>
                <c:pt idx="360">
                  <c:v>8450</c:v>
                </c:pt>
                <c:pt idx="361">
                  <c:v>8400</c:v>
                </c:pt>
                <c:pt idx="362">
                  <c:v>8425</c:v>
                </c:pt>
                <c:pt idx="363">
                  <c:v>8500</c:v>
                </c:pt>
                <c:pt idx="364">
                  <c:v>8450</c:v>
                </c:pt>
                <c:pt idx="365">
                  <c:v>8500</c:v>
                </c:pt>
                <c:pt idx="366">
                  <c:v>8400</c:v>
                </c:pt>
                <c:pt idx="367">
                  <c:v>8375</c:v>
                </c:pt>
                <c:pt idx="368">
                  <c:v>8275</c:v>
                </c:pt>
                <c:pt idx="369">
                  <c:v>8300</c:v>
                </c:pt>
                <c:pt idx="370">
                  <c:v>8275</c:v>
                </c:pt>
                <c:pt idx="371">
                  <c:v>8425</c:v>
                </c:pt>
                <c:pt idx="372">
                  <c:v>8300</c:v>
                </c:pt>
                <c:pt idx="373">
                  <c:v>8300</c:v>
                </c:pt>
                <c:pt idx="374">
                  <c:v>8300</c:v>
                </c:pt>
                <c:pt idx="375">
                  <c:v>8550</c:v>
                </c:pt>
                <c:pt idx="376">
                  <c:v>8850</c:v>
                </c:pt>
                <c:pt idx="377">
                  <c:v>8925</c:v>
                </c:pt>
                <c:pt idx="378">
                  <c:v>8775</c:v>
                </c:pt>
                <c:pt idx="379">
                  <c:v>8700</c:v>
                </c:pt>
                <c:pt idx="380">
                  <c:v>8500</c:v>
                </c:pt>
                <c:pt idx="381">
                  <c:v>8525</c:v>
                </c:pt>
                <c:pt idx="382">
                  <c:v>8550</c:v>
                </c:pt>
                <c:pt idx="383">
                  <c:v>8450</c:v>
                </c:pt>
                <c:pt idx="384">
                  <c:v>8475</c:v>
                </c:pt>
                <c:pt idx="385">
                  <c:v>8250</c:v>
                </c:pt>
                <c:pt idx="386">
                  <c:v>8300</c:v>
                </c:pt>
                <c:pt idx="387">
                  <c:v>8325</c:v>
                </c:pt>
                <c:pt idx="388">
                  <c:v>8075</c:v>
                </c:pt>
                <c:pt idx="389">
                  <c:v>8000</c:v>
                </c:pt>
                <c:pt idx="390">
                  <c:v>8000</c:v>
                </c:pt>
                <c:pt idx="391">
                  <c:v>7975</c:v>
                </c:pt>
                <c:pt idx="392">
                  <c:v>8000</c:v>
                </c:pt>
                <c:pt idx="393">
                  <c:v>7700</c:v>
                </c:pt>
                <c:pt idx="394">
                  <c:v>7525</c:v>
                </c:pt>
                <c:pt idx="395">
                  <c:v>7800</c:v>
                </c:pt>
                <c:pt idx="396">
                  <c:v>7850</c:v>
                </c:pt>
                <c:pt idx="397">
                  <c:v>7925</c:v>
                </c:pt>
                <c:pt idx="398">
                  <c:v>8025</c:v>
                </c:pt>
                <c:pt idx="399">
                  <c:v>7925</c:v>
                </c:pt>
                <c:pt idx="400">
                  <c:v>7850</c:v>
                </c:pt>
                <c:pt idx="401">
                  <c:v>7700</c:v>
                </c:pt>
                <c:pt idx="402">
                  <c:v>7800</c:v>
                </c:pt>
                <c:pt idx="403">
                  <c:v>7725</c:v>
                </c:pt>
                <c:pt idx="404">
                  <c:v>7875</c:v>
                </c:pt>
                <c:pt idx="405">
                  <c:v>7775</c:v>
                </c:pt>
                <c:pt idx="406">
                  <c:v>7700</c:v>
                </c:pt>
                <c:pt idx="407">
                  <c:v>7625</c:v>
                </c:pt>
                <c:pt idx="408">
                  <c:v>7775</c:v>
                </c:pt>
                <c:pt idx="409">
                  <c:v>7625</c:v>
                </c:pt>
                <c:pt idx="410">
                  <c:v>7500</c:v>
                </c:pt>
                <c:pt idx="411">
                  <c:v>7500</c:v>
                </c:pt>
                <c:pt idx="412">
                  <c:v>7525</c:v>
                </c:pt>
                <c:pt idx="413">
                  <c:v>7500</c:v>
                </c:pt>
                <c:pt idx="414">
                  <c:v>7575</c:v>
                </c:pt>
                <c:pt idx="415">
                  <c:v>7375</c:v>
                </c:pt>
                <c:pt idx="416">
                  <c:v>7550</c:v>
                </c:pt>
                <c:pt idx="417">
                  <c:v>7400</c:v>
                </c:pt>
                <c:pt idx="418">
                  <c:v>7325</c:v>
                </c:pt>
                <c:pt idx="419">
                  <c:v>7250</c:v>
                </c:pt>
                <c:pt idx="420">
                  <c:v>7250</c:v>
                </c:pt>
                <c:pt idx="421">
                  <c:v>7300</c:v>
                </c:pt>
                <c:pt idx="422">
                  <c:v>7500</c:v>
                </c:pt>
                <c:pt idx="423">
                  <c:v>7875</c:v>
                </c:pt>
                <c:pt idx="424">
                  <c:v>8475</c:v>
                </c:pt>
                <c:pt idx="425">
                  <c:v>8200</c:v>
                </c:pt>
                <c:pt idx="426">
                  <c:v>8325</c:v>
                </c:pt>
                <c:pt idx="427">
                  <c:v>8275</c:v>
                </c:pt>
                <c:pt idx="428">
                  <c:v>8350</c:v>
                </c:pt>
                <c:pt idx="429">
                  <c:v>8275</c:v>
                </c:pt>
                <c:pt idx="430">
                  <c:v>8600</c:v>
                </c:pt>
                <c:pt idx="431">
                  <c:v>8525</c:v>
                </c:pt>
                <c:pt idx="432">
                  <c:v>8525</c:v>
                </c:pt>
                <c:pt idx="433">
                  <c:v>8650</c:v>
                </c:pt>
                <c:pt idx="434">
                  <c:v>8650</c:v>
                </c:pt>
                <c:pt idx="435">
                  <c:v>8700</c:v>
                </c:pt>
                <c:pt idx="436">
                  <c:v>8550</c:v>
                </c:pt>
                <c:pt idx="437">
                  <c:v>8675</c:v>
                </c:pt>
                <c:pt idx="438">
                  <c:v>8575</c:v>
                </c:pt>
                <c:pt idx="439">
                  <c:v>8400</c:v>
                </c:pt>
                <c:pt idx="440">
                  <c:v>8500</c:v>
                </c:pt>
                <c:pt idx="441">
                  <c:v>8375</c:v>
                </c:pt>
                <c:pt idx="442">
                  <c:v>8425</c:v>
                </c:pt>
                <c:pt idx="443">
                  <c:v>8575</c:v>
                </c:pt>
                <c:pt idx="444">
                  <c:v>8400</c:v>
                </c:pt>
                <c:pt idx="445">
                  <c:v>8475</c:v>
                </c:pt>
                <c:pt idx="446">
                  <c:v>8425</c:v>
                </c:pt>
                <c:pt idx="447">
                  <c:v>8400</c:v>
                </c:pt>
                <c:pt idx="448">
                  <c:v>8475</c:v>
                </c:pt>
                <c:pt idx="449">
                  <c:v>8500</c:v>
                </c:pt>
                <c:pt idx="450">
                  <c:v>8425</c:v>
                </c:pt>
                <c:pt idx="451">
                  <c:v>8325</c:v>
                </c:pt>
                <c:pt idx="452">
                  <c:v>8275</c:v>
                </c:pt>
                <c:pt idx="453">
                  <c:v>8400</c:v>
                </c:pt>
                <c:pt idx="454">
                  <c:v>8375</c:v>
                </c:pt>
                <c:pt idx="455">
                  <c:v>8300</c:v>
                </c:pt>
                <c:pt idx="456">
                  <c:v>8225</c:v>
                </c:pt>
                <c:pt idx="457">
                  <c:v>8300</c:v>
                </c:pt>
                <c:pt idx="458">
                  <c:v>8300</c:v>
                </c:pt>
                <c:pt idx="459">
                  <c:v>8100</c:v>
                </c:pt>
                <c:pt idx="460">
                  <c:v>8075</c:v>
                </c:pt>
                <c:pt idx="461">
                  <c:v>8000</c:v>
                </c:pt>
                <c:pt idx="462">
                  <c:v>8000</c:v>
                </c:pt>
                <c:pt idx="463">
                  <c:v>8300</c:v>
                </c:pt>
                <c:pt idx="464">
                  <c:v>8075</c:v>
                </c:pt>
                <c:pt idx="465">
                  <c:v>8025</c:v>
                </c:pt>
                <c:pt idx="466">
                  <c:v>8175</c:v>
                </c:pt>
                <c:pt idx="467">
                  <c:v>8050</c:v>
                </c:pt>
                <c:pt idx="468">
                  <c:v>8175</c:v>
                </c:pt>
                <c:pt idx="469">
                  <c:v>8025</c:v>
                </c:pt>
                <c:pt idx="470">
                  <c:v>8025</c:v>
                </c:pt>
                <c:pt idx="471">
                  <c:v>8025</c:v>
                </c:pt>
                <c:pt idx="472">
                  <c:v>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F9-4C4A-BDBF-B5EB47CAF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336655"/>
        <c:axId val="868320335"/>
      </c:lineChart>
      <c:dateAx>
        <c:axId val="868336655"/>
        <c:scaling>
          <c:orientation val="minMax"/>
        </c:scaling>
        <c:delete val="0"/>
        <c:axPos val="b"/>
        <c:numFmt formatCode="m/d/yyyy\ h:mm:ss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320335"/>
        <c:crosses val="autoZero"/>
        <c:auto val="1"/>
        <c:lblOffset val="100"/>
        <c:baseTimeUnit val="days"/>
      </c:dateAx>
      <c:valAx>
        <c:axId val="868320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3366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BMRI!$G$1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BMRI!$A$2:$A$474</c:f>
              <c:numCache>
                <c:formatCode>m/d/yyyy\ h:mm:ss</c:formatCode>
                <c:ptCount val="473"/>
                <c:pt idx="0">
                  <c:v>45293.666666666599</c:v>
                </c:pt>
                <c:pt idx="1">
                  <c:v>45294.666666666599</c:v>
                </c:pt>
                <c:pt idx="2">
                  <c:v>45295.666666666599</c:v>
                </c:pt>
                <c:pt idx="3">
                  <c:v>45296.666666666599</c:v>
                </c:pt>
                <c:pt idx="4">
                  <c:v>45299.666666666599</c:v>
                </c:pt>
                <c:pt idx="5">
                  <c:v>45300.666666666599</c:v>
                </c:pt>
                <c:pt idx="6">
                  <c:v>45301.666666666599</c:v>
                </c:pt>
                <c:pt idx="7">
                  <c:v>45302.666666666599</c:v>
                </c:pt>
                <c:pt idx="8">
                  <c:v>45303.666666666599</c:v>
                </c:pt>
                <c:pt idx="9">
                  <c:v>45306.666666666599</c:v>
                </c:pt>
                <c:pt idx="10">
                  <c:v>45307.666666666599</c:v>
                </c:pt>
                <c:pt idx="11">
                  <c:v>45308.666666666599</c:v>
                </c:pt>
                <c:pt idx="12">
                  <c:v>45309.666666666599</c:v>
                </c:pt>
                <c:pt idx="13">
                  <c:v>45310.666666666599</c:v>
                </c:pt>
                <c:pt idx="14">
                  <c:v>45313.666666666599</c:v>
                </c:pt>
                <c:pt idx="15">
                  <c:v>45314.666666666599</c:v>
                </c:pt>
                <c:pt idx="16">
                  <c:v>45315.666666666599</c:v>
                </c:pt>
                <c:pt idx="17">
                  <c:v>45316.666666666599</c:v>
                </c:pt>
                <c:pt idx="18">
                  <c:v>45317.666666666599</c:v>
                </c:pt>
                <c:pt idx="19">
                  <c:v>45320.666666666599</c:v>
                </c:pt>
                <c:pt idx="20">
                  <c:v>45321.666666666599</c:v>
                </c:pt>
                <c:pt idx="21">
                  <c:v>45322.666666666599</c:v>
                </c:pt>
                <c:pt idx="22">
                  <c:v>45323.666666666599</c:v>
                </c:pt>
                <c:pt idx="23">
                  <c:v>45324.666666666599</c:v>
                </c:pt>
                <c:pt idx="24">
                  <c:v>45327.666666666599</c:v>
                </c:pt>
                <c:pt idx="25">
                  <c:v>45328.666666666599</c:v>
                </c:pt>
                <c:pt idx="26">
                  <c:v>45329.666666666599</c:v>
                </c:pt>
                <c:pt idx="27">
                  <c:v>45334.666666666599</c:v>
                </c:pt>
                <c:pt idx="28">
                  <c:v>45335.666666666599</c:v>
                </c:pt>
                <c:pt idx="29">
                  <c:v>45337.666666666599</c:v>
                </c:pt>
                <c:pt idx="30">
                  <c:v>45338.666666666599</c:v>
                </c:pt>
                <c:pt idx="31">
                  <c:v>45341.666666666599</c:v>
                </c:pt>
                <c:pt idx="32">
                  <c:v>45342.666666666599</c:v>
                </c:pt>
                <c:pt idx="33">
                  <c:v>45343.666666666599</c:v>
                </c:pt>
                <c:pt idx="34">
                  <c:v>45344.666666666599</c:v>
                </c:pt>
                <c:pt idx="35">
                  <c:v>45345.666666666599</c:v>
                </c:pt>
                <c:pt idx="36">
                  <c:v>45348.666666666599</c:v>
                </c:pt>
                <c:pt idx="37">
                  <c:v>45349.666666666599</c:v>
                </c:pt>
                <c:pt idx="38">
                  <c:v>45350.666666666599</c:v>
                </c:pt>
                <c:pt idx="39">
                  <c:v>45351.666666666599</c:v>
                </c:pt>
                <c:pt idx="40">
                  <c:v>45352.666666666599</c:v>
                </c:pt>
                <c:pt idx="41">
                  <c:v>45355.666666666599</c:v>
                </c:pt>
                <c:pt idx="42">
                  <c:v>45356.666666666599</c:v>
                </c:pt>
                <c:pt idx="43">
                  <c:v>45357.666666666599</c:v>
                </c:pt>
                <c:pt idx="44">
                  <c:v>45358.666666666599</c:v>
                </c:pt>
                <c:pt idx="45">
                  <c:v>45359.666666666599</c:v>
                </c:pt>
                <c:pt idx="46">
                  <c:v>45364.666666666599</c:v>
                </c:pt>
                <c:pt idx="47">
                  <c:v>45365.666666666599</c:v>
                </c:pt>
                <c:pt idx="48">
                  <c:v>45366.666666666599</c:v>
                </c:pt>
                <c:pt idx="49">
                  <c:v>45369.666666666599</c:v>
                </c:pt>
                <c:pt idx="50">
                  <c:v>45370.666666666599</c:v>
                </c:pt>
                <c:pt idx="51">
                  <c:v>45371.666666666599</c:v>
                </c:pt>
                <c:pt idx="52">
                  <c:v>45372.666666666599</c:v>
                </c:pt>
                <c:pt idx="53">
                  <c:v>45373.666666666599</c:v>
                </c:pt>
                <c:pt idx="54">
                  <c:v>45376.666666666599</c:v>
                </c:pt>
                <c:pt idx="55">
                  <c:v>45377.666666666599</c:v>
                </c:pt>
                <c:pt idx="56">
                  <c:v>45378.666666666599</c:v>
                </c:pt>
                <c:pt idx="57">
                  <c:v>45379.666666666599</c:v>
                </c:pt>
                <c:pt idx="58">
                  <c:v>45383.666666666599</c:v>
                </c:pt>
                <c:pt idx="59">
                  <c:v>45384.666666666599</c:v>
                </c:pt>
                <c:pt idx="60">
                  <c:v>45385.666666666599</c:v>
                </c:pt>
                <c:pt idx="61">
                  <c:v>45386.666666666599</c:v>
                </c:pt>
                <c:pt idx="62">
                  <c:v>45387.666666666599</c:v>
                </c:pt>
                <c:pt idx="63">
                  <c:v>45398.666666666599</c:v>
                </c:pt>
                <c:pt idx="64">
                  <c:v>45399.666666666599</c:v>
                </c:pt>
                <c:pt idx="65">
                  <c:v>45400.666666666599</c:v>
                </c:pt>
                <c:pt idx="66">
                  <c:v>45401.666666666599</c:v>
                </c:pt>
                <c:pt idx="67">
                  <c:v>45404.666666666599</c:v>
                </c:pt>
                <c:pt idx="68">
                  <c:v>45405.666666666599</c:v>
                </c:pt>
                <c:pt idx="69">
                  <c:v>45406.666666666599</c:v>
                </c:pt>
                <c:pt idx="70">
                  <c:v>45407.666666666599</c:v>
                </c:pt>
                <c:pt idx="71">
                  <c:v>45408.666666666599</c:v>
                </c:pt>
                <c:pt idx="72">
                  <c:v>45411.666666666599</c:v>
                </c:pt>
                <c:pt idx="73">
                  <c:v>45412.666666666599</c:v>
                </c:pt>
                <c:pt idx="74">
                  <c:v>45414.666666666599</c:v>
                </c:pt>
                <c:pt idx="75">
                  <c:v>45415.666666666599</c:v>
                </c:pt>
                <c:pt idx="76">
                  <c:v>45418.666666666599</c:v>
                </c:pt>
                <c:pt idx="77">
                  <c:v>45419.666666666599</c:v>
                </c:pt>
                <c:pt idx="78">
                  <c:v>45420.666666666599</c:v>
                </c:pt>
                <c:pt idx="79">
                  <c:v>45425.666666666599</c:v>
                </c:pt>
                <c:pt idx="80">
                  <c:v>45426.666666666599</c:v>
                </c:pt>
                <c:pt idx="81">
                  <c:v>45427.666666666599</c:v>
                </c:pt>
                <c:pt idx="82">
                  <c:v>45428.666666666599</c:v>
                </c:pt>
                <c:pt idx="83">
                  <c:v>45429.666666666599</c:v>
                </c:pt>
                <c:pt idx="84">
                  <c:v>45432.666666666599</c:v>
                </c:pt>
                <c:pt idx="85">
                  <c:v>45433.666666666599</c:v>
                </c:pt>
                <c:pt idx="86">
                  <c:v>45434.666666666599</c:v>
                </c:pt>
                <c:pt idx="87">
                  <c:v>45439.666666666599</c:v>
                </c:pt>
                <c:pt idx="88">
                  <c:v>45440.666666666599</c:v>
                </c:pt>
                <c:pt idx="89">
                  <c:v>45441.666666666599</c:v>
                </c:pt>
                <c:pt idx="90">
                  <c:v>45442.666666666599</c:v>
                </c:pt>
                <c:pt idx="91">
                  <c:v>45443.666666666599</c:v>
                </c:pt>
                <c:pt idx="92">
                  <c:v>45446.666666666599</c:v>
                </c:pt>
                <c:pt idx="93">
                  <c:v>45447.666666666599</c:v>
                </c:pt>
                <c:pt idx="94">
                  <c:v>45448.666666666599</c:v>
                </c:pt>
                <c:pt idx="95">
                  <c:v>45449.666666666599</c:v>
                </c:pt>
                <c:pt idx="96">
                  <c:v>45450.666666666599</c:v>
                </c:pt>
                <c:pt idx="97">
                  <c:v>45453.666666666599</c:v>
                </c:pt>
                <c:pt idx="98">
                  <c:v>45454.666666666599</c:v>
                </c:pt>
                <c:pt idx="99">
                  <c:v>45455.666666666599</c:v>
                </c:pt>
                <c:pt idx="100">
                  <c:v>45456.666666666599</c:v>
                </c:pt>
                <c:pt idx="101">
                  <c:v>45457.666666666599</c:v>
                </c:pt>
                <c:pt idx="102">
                  <c:v>45462.666666666599</c:v>
                </c:pt>
                <c:pt idx="103">
                  <c:v>45463.666666666599</c:v>
                </c:pt>
                <c:pt idx="104">
                  <c:v>45464.666666666599</c:v>
                </c:pt>
                <c:pt idx="105">
                  <c:v>45467.666666666599</c:v>
                </c:pt>
                <c:pt idx="106">
                  <c:v>45468.666666666599</c:v>
                </c:pt>
                <c:pt idx="107">
                  <c:v>45469.666666666599</c:v>
                </c:pt>
                <c:pt idx="108">
                  <c:v>45470.666666666599</c:v>
                </c:pt>
                <c:pt idx="109">
                  <c:v>45471.666666666599</c:v>
                </c:pt>
                <c:pt idx="110">
                  <c:v>45474.666666666599</c:v>
                </c:pt>
                <c:pt idx="111">
                  <c:v>45475.666666666599</c:v>
                </c:pt>
                <c:pt idx="112">
                  <c:v>45476.666666666599</c:v>
                </c:pt>
                <c:pt idx="113">
                  <c:v>45477.666666666599</c:v>
                </c:pt>
                <c:pt idx="114">
                  <c:v>45478.666666666599</c:v>
                </c:pt>
                <c:pt idx="115">
                  <c:v>45481.666666666599</c:v>
                </c:pt>
                <c:pt idx="116">
                  <c:v>45482.666666666599</c:v>
                </c:pt>
                <c:pt idx="117">
                  <c:v>45483.666666666599</c:v>
                </c:pt>
                <c:pt idx="118">
                  <c:v>45484.666666666599</c:v>
                </c:pt>
                <c:pt idx="119">
                  <c:v>45485.666666666599</c:v>
                </c:pt>
                <c:pt idx="120">
                  <c:v>45488.666666666599</c:v>
                </c:pt>
                <c:pt idx="121">
                  <c:v>45489.666666666599</c:v>
                </c:pt>
                <c:pt idx="122">
                  <c:v>45490.666666666599</c:v>
                </c:pt>
                <c:pt idx="123">
                  <c:v>45491.666666666599</c:v>
                </c:pt>
                <c:pt idx="124">
                  <c:v>45492.666666666599</c:v>
                </c:pt>
                <c:pt idx="125">
                  <c:v>45495.666666666599</c:v>
                </c:pt>
                <c:pt idx="126">
                  <c:v>45496.666666666599</c:v>
                </c:pt>
                <c:pt idx="127">
                  <c:v>45497.666666666599</c:v>
                </c:pt>
                <c:pt idx="128">
                  <c:v>45498.666666666599</c:v>
                </c:pt>
                <c:pt idx="129">
                  <c:v>45499.666666666599</c:v>
                </c:pt>
                <c:pt idx="130">
                  <c:v>45502.666666666599</c:v>
                </c:pt>
                <c:pt idx="131">
                  <c:v>45503.666666666599</c:v>
                </c:pt>
                <c:pt idx="132">
                  <c:v>45504.666666666599</c:v>
                </c:pt>
                <c:pt idx="133">
                  <c:v>45505.666666666599</c:v>
                </c:pt>
                <c:pt idx="134">
                  <c:v>45506.666666666599</c:v>
                </c:pt>
                <c:pt idx="135">
                  <c:v>45509.666666666599</c:v>
                </c:pt>
                <c:pt idx="136">
                  <c:v>45510.666666666599</c:v>
                </c:pt>
                <c:pt idx="137">
                  <c:v>45511.666666666599</c:v>
                </c:pt>
                <c:pt idx="138">
                  <c:v>45512.666666666599</c:v>
                </c:pt>
                <c:pt idx="139">
                  <c:v>45513.666666666599</c:v>
                </c:pt>
                <c:pt idx="140">
                  <c:v>45516.666666666599</c:v>
                </c:pt>
                <c:pt idx="141">
                  <c:v>45517.666666666599</c:v>
                </c:pt>
                <c:pt idx="142">
                  <c:v>45518.666666666599</c:v>
                </c:pt>
                <c:pt idx="143">
                  <c:v>45519.666666666599</c:v>
                </c:pt>
                <c:pt idx="144">
                  <c:v>45520.666666666599</c:v>
                </c:pt>
                <c:pt idx="145">
                  <c:v>45523.666666666599</c:v>
                </c:pt>
                <c:pt idx="146">
                  <c:v>45524.666666666599</c:v>
                </c:pt>
                <c:pt idx="147">
                  <c:v>45525.666666666599</c:v>
                </c:pt>
                <c:pt idx="148">
                  <c:v>45526.666666666599</c:v>
                </c:pt>
                <c:pt idx="149">
                  <c:v>45527.666666666599</c:v>
                </c:pt>
                <c:pt idx="150">
                  <c:v>45530.666666666599</c:v>
                </c:pt>
                <c:pt idx="151">
                  <c:v>45531.666666666599</c:v>
                </c:pt>
                <c:pt idx="152">
                  <c:v>45532.666666666599</c:v>
                </c:pt>
                <c:pt idx="153">
                  <c:v>45533.666666666599</c:v>
                </c:pt>
                <c:pt idx="154">
                  <c:v>45534.666666666599</c:v>
                </c:pt>
                <c:pt idx="155">
                  <c:v>45537.666666666599</c:v>
                </c:pt>
                <c:pt idx="156">
                  <c:v>45538.666666666599</c:v>
                </c:pt>
                <c:pt idx="157">
                  <c:v>45539.666666666599</c:v>
                </c:pt>
                <c:pt idx="158">
                  <c:v>45540.666666666599</c:v>
                </c:pt>
                <c:pt idx="159">
                  <c:v>45541.666666666599</c:v>
                </c:pt>
                <c:pt idx="160">
                  <c:v>45544.666666666599</c:v>
                </c:pt>
                <c:pt idx="161">
                  <c:v>45545.666666666599</c:v>
                </c:pt>
                <c:pt idx="162">
                  <c:v>45546.666666666599</c:v>
                </c:pt>
                <c:pt idx="163">
                  <c:v>45547.666666666599</c:v>
                </c:pt>
                <c:pt idx="164">
                  <c:v>45548.666666666599</c:v>
                </c:pt>
                <c:pt idx="165">
                  <c:v>45552.666666666599</c:v>
                </c:pt>
                <c:pt idx="166">
                  <c:v>45553.666666666599</c:v>
                </c:pt>
                <c:pt idx="167">
                  <c:v>45554.666666666599</c:v>
                </c:pt>
                <c:pt idx="168">
                  <c:v>45555.666666666599</c:v>
                </c:pt>
                <c:pt idx="169">
                  <c:v>45558.666666666599</c:v>
                </c:pt>
                <c:pt idx="170">
                  <c:v>45559.666666666599</c:v>
                </c:pt>
                <c:pt idx="171">
                  <c:v>45560.666666666599</c:v>
                </c:pt>
                <c:pt idx="172">
                  <c:v>45561.666666666599</c:v>
                </c:pt>
                <c:pt idx="173">
                  <c:v>45562.666666666599</c:v>
                </c:pt>
                <c:pt idx="174">
                  <c:v>45565.666666666599</c:v>
                </c:pt>
                <c:pt idx="175">
                  <c:v>45566.666666666599</c:v>
                </c:pt>
                <c:pt idx="176">
                  <c:v>45567.666666666599</c:v>
                </c:pt>
                <c:pt idx="177">
                  <c:v>45568.666666666599</c:v>
                </c:pt>
                <c:pt idx="178">
                  <c:v>45569.666666666599</c:v>
                </c:pt>
                <c:pt idx="179">
                  <c:v>45572.666666666599</c:v>
                </c:pt>
                <c:pt idx="180">
                  <c:v>45573.666666666599</c:v>
                </c:pt>
                <c:pt idx="181">
                  <c:v>45574.666666666599</c:v>
                </c:pt>
                <c:pt idx="182">
                  <c:v>45575.666666666599</c:v>
                </c:pt>
                <c:pt idx="183">
                  <c:v>45576.666666666599</c:v>
                </c:pt>
                <c:pt idx="184">
                  <c:v>45579.666666666599</c:v>
                </c:pt>
                <c:pt idx="185">
                  <c:v>45580.666666666599</c:v>
                </c:pt>
                <c:pt idx="186">
                  <c:v>45581.666666666599</c:v>
                </c:pt>
                <c:pt idx="187">
                  <c:v>45582.666666666599</c:v>
                </c:pt>
                <c:pt idx="188">
                  <c:v>45583.666666666599</c:v>
                </c:pt>
                <c:pt idx="189">
                  <c:v>45586.666666666599</c:v>
                </c:pt>
                <c:pt idx="190">
                  <c:v>45587.666666666599</c:v>
                </c:pt>
                <c:pt idx="191">
                  <c:v>45588.666666666599</c:v>
                </c:pt>
                <c:pt idx="192">
                  <c:v>45589.666666666599</c:v>
                </c:pt>
                <c:pt idx="193">
                  <c:v>45590.666666666599</c:v>
                </c:pt>
                <c:pt idx="194">
                  <c:v>45593.666666666599</c:v>
                </c:pt>
                <c:pt idx="195">
                  <c:v>45594.666666666599</c:v>
                </c:pt>
                <c:pt idx="196">
                  <c:v>45595.666666666599</c:v>
                </c:pt>
                <c:pt idx="197">
                  <c:v>45596.666666666599</c:v>
                </c:pt>
                <c:pt idx="198">
                  <c:v>45597.666666666599</c:v>
                </c:pt>
                <c:pt idx="199">
                  <c:v>45600.666666666599</c:v>
                </c:pt>
                <c:pt idx="200">
                  <c:v>45601.666666666599</c:v>
                </c:pt>
                <c:pt idx="201">
                  <c:v>45602.666666666599</c:v>
                </c:pt>
                <c:pt idx="202">
                  <c:v>45603.666666666599</c:v>
                </c:pt>
                <c:pt idx="203">
                  <c:v>45604.666666666599</c:v>
                </c:pt>
                <c:pt idx="204">
                  <c:v>45607.666666666599</c:v>
                </c:pt>
                <c:pt idx="205">
                  <c:v>45608.666666666599</c:v>
                </c:pt>
                <c:pt idx="206">
                  <c:v>45609.666666666599</c:v>
                </c:pt>
                <c:pt idx="207">
                  <c:v>45610.666666666599</c:v>
                </c:pt>
                <c:pt idx="208">
                  <c:v>45611.666666666599</c:v>
                </c:pt>
                <c:pt idx="209">
                  <c:v>45614.666666666599</c:v>
                </c:pt>
                <c:pt idx="210">
                  <c:v>45615.666666666599</c:v>
                </c:pt>
                <c:pt idx="211">
                  <c:v>45616.666666666599</c:v>
                </c:pt>
                <c:pt idx="212">
                  <c:v>45617.666666666599</c:v>
                </c:pt>
                <c:pt idx="213">
                  <c:v>45618.666666666599</c:v>
                </c:pt>
                <c:pt idx="214">
                  <c:v>45621.666666666599</c:v>
                </c:pt>
                <c:pt idx="215">
                  <c:v>45622.666666666599</c:v>
                </c:pt>
                <c:pt idx="216">
                  <c:v>45624.666666666599</c:v>
                </c:pt>
                <c:pt idx="217">
                  <c:v>45625.666666666599</c:v>
                </c:pt>
                <c:pt idx="218">
                  <c:v>45628.666666666599</c:v>
                </c:pt>
                <c:pt idx="219">
                  <c:v>45629.666666666599</c:v>
                </c:pt>
                <c:pt idx="220">
                  <c:v>45630.666666666599</c:v>
                </c:pt>
                <c:pt idx="221">
                  <c:v>45631.666666666599</c:v>
                </c:pt>
                <c:pt idx="222">
                  <c:v>45632.666666666599</c:v>
                </c:pt>
                <c:pt idx="223">
                  <c:v>45635.666666666599</c:v>
                </c:pt>
                <c:pt idx="224">
                  <c:v>45636.666666666599</c:v>
                </c:pt>
                <c:pt idx="225">
                  <c:v>45637.666666666599</c:v>
                </c:pt>
                <c:pt idx="226">
                  <c:v>45638.666666666599</c:v>
                </c:pt>
                <c:pt idx="227">
                  <c:v>45639.666666666599</c:v>
                </c:pt>
                <c:pt idx="228">
                  <c:v>45642.666666666599</c:v>
                </c:pt>
                <c:pt idx="229">
                  <c:v>45643.666666666599</c:v>
                </c:pt>
                <c:pt idx="230">
                  <c:v>45644.666666666599</c:v>
                </c:pt>
                <c:pt idx="231">
                  <c:v>45645.666666666599</c:v>
                </c:pt>
                <c:pt idx="232">
                  <c:v>45646.666666666599</c:v>
                </c:pt>
                <c:pt idx="233">
                  <c:v>45649.666666666599</c:v>
                </c:pt>
                <c:pt idx="234">
                  <c:v>45650.666666666599</c:v>
                </c:pt>
                <c:pt idx="235">
                  <c:v>45653.666666666599</c:v>
                </c:pt>
                <c:pt idx="236">
                  <c:v>45656.666666666599</c:v>
                </c:pt>
                <c:pt idx="237">
                  <c:v>45659.666666666599</c:v>
                </c:pt>
                <c:pt idx="238">
                  <c:v>45660.666666666599</c:v>
                </c:pt>
                <c:pt idx="239">
                  <c:v>45663.666666666599</c:v>
                </c:pt>
                <c:pt idx="240">
                  <c:v>45664.666666666599</c:v>
                </c:pt>
                <c:pt idx="241">
                  <c:v>45665.666666666599</c:v>
                </c:pt>
                <c:pt idx="242">
                  <c:v>45666.666666666599</c:v>
                </c:pt>
                <c:pt idx="243">
                  <c:v>45667.666666666599</c:v>
                </c:pt>
                <c:pt idx="244">
                  <c:v>45670.666666666599</c:v>
                </c:pt>
                <c:pt idx="245">
                  <c:v>45671.666666666599</c:v>
                </c:pt>
                <c:pt idx="246">
                  <c:v>45672.666666666599</c:v>
                </c:pt>
                <c:pt idx="247">
                  <c:v>45673.666666666599</c:v>
                </c:pt>
                <c:pt idx="248">
                  <c:v>45674.666666666599</c:v>
                </c:pt>
                <c:pt idx="249">
                  <c:v>45677.666666666599</c:v>
                </c:pt>
                <c:pt idx="250">
                  <c:v>45678.666666666599</c:v>
                </c:pt>
                <c:pt idx="251">
                  <c:v>45679.666666666599</c:v>
                </c:pt>
                <c:pt idx="252">
                  <c:v>45680.666666666599</c:v>
                </c:pt>
                <c:pt idx="253">
                  <c:v>45681.666666666599</c:v>
                </c:pt>
                <c:pt idx="254">
                  <c:v>45687.666666666599</c:v>
                </c:pt>
                <c:pt idx="255">
                  <c:v>45688.666666666599</c:v>
                </c:pt>
                <c:pt idx="256">
                  <c:v>45691.666666666599</c:v>
                </c:pt>
                <c:pt idx="257">
                  <c:v>45692.666666666599</c:v>
                </c:pt>
                <c:pt idx="258">
                  <c:v>45693.666666666599</c:v>
                </c:pt>
                <c:pt idx="259">
                  <c:v>45694.666666666599</c:v>
                </c:pt>
                <c:pt idx="260">
                  <c:v>45695.666666666599</c:v>
                </c:pt>
                <c:pt idx="261">
                  <c:v>45698.666666666599</c:v>
                </c:pt>
                <c:pt idx="262">
                  <c:v>45699.666666666599</c:v>
                </c:pt>
                <c:pt idx="263">
                  <c:v>45700.666666666599</c:v>
                </c:pt>
                <c:pt idx="264">
                  <c:v>45701.666666666599</c:v>
                </c:pt>
                <c:pt idx="265">
                  <c:v>45702.666666666599</c:v>
                </c:pt>
                <c:pt idx="266">
                  <c:v>45705.666666666599</c:v>
                </c:pt>
                <c:pt idx="267">
                  <c:v>45706.666666666599</c:v>
                </c:pt>
                <c:pt idx="268">
                  <c:v>45707.666666666599</c:v>
                </c:pt>
                <c:pt idx="269">
                  <c:v>45708.666666666599</c:v>
                </c:pt>
                <c:pt idx="270">
                  <c:v>45709.666666666599</c:v>
                </c:pt>
                <c:pt idx="271">
                  <c:v>45712.666666666599</c:v>
                </c:pt>
                <c:pt idx="272">
                  <c:v>45713.666666666599</c:v>
                </c:pt>
                <c:pt idx="273">
                  <c:v>45714.666666666599</c:v>
                </c:pt>
                <c:pt idx="274">
                  <c:v>45715.666666666599</c:v>
                </c:pt>
                <c:pt idx="275">
                  <c:v>45716.666666666599</c:v>
                </c:pt>
                <c:pt idx="276">
                  <c:v>45719.666666666599</c:v>
                </c:pt>
                <c:pt idx="277">
                  <c:v>45720.666666666599</c:v>
                </c:pt>
                <c:pt idx="278">
                  <c:v>45721.666666666599</c:v>
                </c:pt>
                <c:pt idx="279">
                  <c:v>45722.666666666599</c:v>
                </c:pt>
                <c:pt idx="280">
                  <c:v>45723.666666666599</c:v>
                </c:pt>
                <c:pt idx="281">
                  <c:v>45726.666666666599</c:v>
                </c:pt>
                <c:pt idx="282">
                  <c:v>45727.666666666599</c:v>
                </c:pt>
                <c:pt idx="283">
                  <c:v>45728.666666666599</c:v>
                </c:pt>
                <c:pt idx="284">
                  <c:v>45729.666666666599</c:v>
                </c:pt>
                <c:pt idx="285">
                  <c:v>45730.666666666599</c:v>
                </c:pt>
                <c:pt idx="286">
                  <c:v>45733.666666666599</c:v>
                </c:pt>
                <c:pt idx="287">
                  <c:v>45734.666666666599</c:v>
                </c:pt>
                <c:pt idx="288">
                  <c:v>45735.666666666599</c:v>
                </c:pt>
                <c:pt idx="289">
                  <c:v>45736.666666666599</c:v>
                </c:pt>
                <c:pt idx="290">
                  <c:v>45737.666666666599</c:v>
                </c:pt>
                <c:pt idx="291">
                  <c:v>45740.666666666599</c:v>
                </c:pt>
                <c:pt idx="292">
                  <c:v>45741.666666666599</c:v>
                </c:pt>
                <c:pt idx="293">
                  <c:v>45742.666666666599</c:v>
                </c:pt>
                <c:pt idx="294">
                  <c:v>45743.666666666599</c:v>
                </c:pt>
                <c:pt idx="295">
                  <c:v>45755.666666666599</c:v>
                </c:pt>
                <c:pt idx="296">
                  <c:v>45756.666666666599</c:v>
                </c:pt>
                <c:pt idx="297">
                  <c:v>45757.666666666599</c:v>
                </c:pt>
                <c:pt idx="298">
                  <c:v>45758.666666666599</c:v>
                </c:pt>
                <c:pt idx="299">
                  <c:v>45761.666666666599</c:v>
                </c:pt>
                <c:pt idx="300">
                  <c:v>45762.666666666599</c:v>
                </c:pt>
                <c:pt idx="301">
                  <c:v>45763.666666666599</c:v>
                </c:pt>
                <c:pt idx="302">
                  <c:v>45764.666666666599</c:v>
                </c:pt>
                <c:pt idx="303">
                  <c:v>45768.666666666599</c:v>
                </c:pt>
                <c:pt idx="304">
                  <c:v>45769.666666666599</c:v>
                </c:pt>
                <c:pt idx="305">
                  <c:v>45770.666666666599</c:v>
                </c:pt>
                <c:pt idx="306">
                  <c:v>45771.666666666599</c:v>
                </c:pt>
                <c:pt idx="307">
                  <c:v>45772.666666666599</c:v>
                </c:pt>
                <c:pt idx="308">
                  <c:v>45775.666666666599</c:v>
                </c:pt>
                <c:pt idx="309">
                  <c:v>45776.666666666599</c:v>
                </c:pt>
                <c:pt idx="310">
                  <c:v>45777.666666666599</c:v>
                </c:pt>
                <c:pt idx="311">
                  <c:v>45779.666666666599</c:v>
                </c:pt>
                <c:pt idx="312">
                  <c:v>45782.666666666599</c:v>
                </c:pt>
                <c:pt idx="313">
                  <c:v>45783.666666666599</c:v>
                </c:pt>
                <c:pt idx="314">
                  <c:v>45784.666666666599</c:v>
                </c:pt>
                <c:pt idx="315">
                  <c:v>45785.666666666599</c:v>
                </c:pt>
                <c:pt idx="316">
                  <c:v>45786.666666666599</c:v>
                </c:pt>
                <c:pt idx="317">
                  <c:v>45791.666666666599</c:v>
                </c:pt>
                <c:pt idx="318">
                  <c:v>45792.666666666599</c:v>
                </c:pt>
                <c:pt idx="319">
                  <c:v>45793.666666666599</c:v>
                </c:pt>
                <c:pt idx="320">
                  <c:v>45796.666666666599</c:v>
                </c:pt>
                <c:pt idx="321">
                  <c:v>45797.666666666599</c:v>
                </c:pt>
                <c:pt idx="322">
                  <c:v>45798.666666666599</c:v>
                </c:pt>
                <c:pt idx="323">
                  <c:v>45799.666666666599</c:v>
                </c:pt>
                <c:pt idx="324">
                  <c:v>45800.666666666599</c:v>
                </c:pt>
                <c:pt idx="325">
                  <c:v>45803.666666666599</c:v>
                </c:pt>
                <c:pt idx="326">
                  <c:v>45804.666666666599</c:v>
                </c:pt>
                <c:pt idx="327">
                  <c:v>45805.666666666599</c:v>
                </c:pt>
                <c:pt idx="328">
                  <c:v>45810.666666666599</c:v>
                </c:pt>
                <c:pt idx="329">
                  <c:v>45811.666666666599</c:v>
                </c:pt>
                <c:pt idx="330">
                  <c:v>45812.666666666599</c:v>
                </c:pt>
                <c:pt idx="331">
                  <c:v>45813.666666666599</c:v>
                </c:pt>
                <c:pt idx="332">
                  <c:v>45818.666666666599</c:v>
                </c:pt>
                <c:pt idx="333">
                  <c:v>45819.666666666599</c:v>
                </c:pt>
                <c:pt idx="334">
                  <c:v>45820.666666666599</c:v>
                </c:pt>
                <c:pt idx="335">
                  <c:v>45821.666666666599</c:v>
                </c:pt>
                <c:pt idx="336">
                  <c:v>45824.666666666599</c:v>
                </c:pt>
                <c:pt idx="337">
                  <c:v>45825.666666666599</c:v>
                </c:pt>
                <c:pt idx="338">
                  <c:v>45826.666666666599</c:v>
                </c:pt>
                <c:pt idx="339">
                  <c:v>45827.666666666599</c:v>
                </c:pt>
                <c:pt idx="340">
                  <c:v>45828.666666666599</c:v>
                </c:pt>
                <c:pt idx="341">
                  <c:v>45831.666666666599</c:v>
                </c:pt>
                <c:pt idx="342">
                  <c:v>45832.666666666599</c:v>
                </c:pt>
                <c:pt idx="343">
                  <c:v>45833.666666666599</c:v>
                </c:pt>
                <c:pt idx="344">
                  <c:v>45834.666666666599</c:v>
                </c:pt>
                <c:pt idx="345">
                  <c:v>45838.666666666599</c:v>
                </c:pt>
                <c:pt idx="346">
                  <c:v>45839.666666666599</c:v>
                </c:pt>
                <c:pt idx="347">
                  <c:v>45840.666666666599</c:v>
                </c:pt>
                <c:pt idx="348">
                  <c:v>45841.666666666599</c:v>
                </c:pt>
                <c:pt idx="349">
                  <c:v>45842.666666666599</c:v>
                </c:pt>
                <c:pt idx="350">
                  <c:v>45845.666666666599</c:v>
                </c:pt>
                <c:pt idx="351">
                  <c:v>45846.666666666599</c:v>
                </c:pt>
                <c:pt idx="352">
                  <c:v>45847.666666666599</c:v>
                </c:pt>
                <c:pt idx="353">
                  <c:v>45848.666666666599</c:v>
                </c:pt>
                <c:pt idx="354">
                  <c:v>45849.666666666599</c:v>
                </c:pt>
                <c:pt idx="355">
                  <c:v>45852.666666666599</c:v>
                </c:pt>
                <c:pt idx="356">
                  <c:v>45853.666666666599</c:v>
                </c:pt>
                <c:pt idx="357">
                  <c:v>45854.666666666599</c:v>
                </c:pt>
                <c:pt idx="358">
                  <c:v>45855.666666666599</c:v>
                </c:pt>
                <c:pt idx="359">
                  <c:v>45856.666666666599</c:v>
                </c:pt>
                <c:pt idx="360">
                  <c:v>45859.666666666599</c:v>
                </c:pt>
                <c:pt idx="361">
                  <c:v>45860.666666666599</c:v>
                </c:pt>
                <c:pt idx="362">
                  <c:v>45861.666666666599</c:v>
                </c:pt>
                <c:pt idx="363">
                  <c:v>45862.666666666599</c:v>
                </c:pt>
                <c:pt idx="364">
                  <c:v>45863.666666666599</c:v>
                </c:pt>
                <c:pt idx="365">
                  <c:v>45866.666666666599</c:v>
                </c:pt>
                <c:pt idx="366">
                  <c:v>45867.666666666599</c:v>
                </c:pt>
                <c:pt idx="367">
                  <c:v>45868.666666666599</c:v>
                </c:pt>
                <c:pt idx="368">
                  <c:v>45869.666666666599</c:v>
                </c:pt>
                <c:pt idx="369">
                  <c:v>45870.666666666599</c:v>
                </c:pt>
                <c:pt idx="370">
                  <c:v>45873.666666666599</c:v>
                </c:pt>
                <c:pt idx="371">
                  <c:v>45874.666666666599</c:v>
                </c:pt>
                <c:pt idx="372">
                  <c:v>45875.666666666599</c:v>
                </c:pt>
                <c:pt idx="373">
                  <c:v>45876.666666666599</c:v>
                </c:pt>
                <c:pt idx="374">
                  <c:v>45877.666666666599</c:v>
                </c:pt>
                <c:pt idx="375">
                  <c:v>45880.666666666599</c:v>
                </c:pt>
                <c:pt idx="376">
                  <c:v>45881.666666666599</c:v>
                </c:pt>
                <c:pt idx="377">
                  <c:v>45882.666666666599</c:v>
                </c:pt>
                <c:pt idx="378">
                  <c:v>45883.666666666599</c:v>
                </c:pt>
                <c:pt idx="379">
                  <c:v>45884.666666666599</c:v>
                </c:pt>
                <c:pt idx="380">
                  <c:v>45888.666666666599</c:v>
                </c:pt>
                <c:pt idx="381">
                  <c:v>45889.666666666599</c:v>
                </c:pt>
                <c:pt idx="382">
                  <c:v>45890.666666666599</c:v>
                </c:pt>
                <c:pt idx="383">
                  <c:v>45891.666666666599</c:v>
                </c:pt>
                <c:pt idx="384">
                  <c:v>45894.666666666599</c:v>
                </c:pt>
                <c:pt idx="385">
                  <c:v>45895.666666666599</c:v>
                </c:pt>
                <c:pt idx="386">
                  <c:v>45896.666666666599</c:v>
                </c:pt>
                <c:pt idx="387">
                  <c:v>45897.666666666599</c:v>
                </c:pt>
                <c:pt idx="388">
                  <c:v>45898.666666666599</c:v>
                </c:pt>
                <c:pt idx="389">
                  <c:v>45901.666666666599</c:v>
                </c:pt>
                <c:pt idx="390">
                  <c:v>45902.666666666599</c:v>
                </c:pt>
                <c:pt idx="391">
                  <c:v>45903.666666666599</c:v>
                </c:pt>
                <c:pt idx="392">
                  <c:v>45904.666666666599</c:v>
                </c:pt>
                <c:pt idx="393">
                  <c:v>45908.666666666599</c:v>
                </c:pt>
                <c:pt idx="394">
                  <c:v>45909.666666666599</c:v>
                </c:pt>
                <c:pt idx="395">
                  <c:v>45910.666666666599</c:v>
                </c:pt>
                <c:pt idx="396">
                  <c:v>45911.666666666599</c:v>
                </c:pt>
                <c:pt idx="397">
                  <c:v>45912.666666666599</c:v>
                </c:pt>
                <c:pt idx="398">
                  <c:v>45915.666666666599</c:v>
                </c:pt>
                <c:pt idx="399">
                  <c:v>45916.666666666599</c:v>
                </c:pt>
                <c:pt idx="400">
                  <c:v>45917.666666666599</c:v>
                </c:pt>
                <c:pt idx="401">
                  <c:v>45918.666666666599</c:v>
                </c:pt>
                <c:pt idx="402">
                  <c:v>45919.666666666599</c:v>
                </c:pt>
                <c:pt idx="403">
                  <c:v>45922.666666666599</c:v>
                </c:pt>
                <c:pt idx="404">
                  <c:v>45923.666666666599</c:v>
                </c:pt>
                <c:pt idx="405">
                  <c:v>45924.666666666599</c:v>
                </c:pt>
                <c:pt idx="406">
                  <c:v>45925.666666666599</c:v>
                </c:pt>
                <c:pt idx="407">
                  <c:v>45926.666666666599</c:v>
                </c:pt>
                <c:pt idx="408">
                  <c:v>45929.666666666599</c:v>
                </c:pt>
                <c:pt idx="409">
                  <c:v>45930.666666666599</c:v>
                </c:pt>
                <c:pt idx="410">
                  <c:v>45931.666666666599</c:v>
                </c:pt>
                <c:pt idx="411">
                  <c:v>45932.666666666599</c:v>
                </c:pt>
                <c:pt idx="412">
                  <c:v>45933.666666666599</c:v>
                </c:pt>
                <c:pt idx="413">
                  <c:v>45936.666666666599</c:v>
                </c:pt>
                <c:pt idx="414">
                  <c:v>45937.666666666599</c:v>
                </c:pt>
                <c:pt idx="415">
                  <c:v>45938.666666666599</c:v>
                </c:pt>
                <c:pt idx="416">
                  <c:v>45939.666666666599</c:v>
                </c:pt>
                <c:pt idx="417">
                  <c:v>45940.666666666599</c:v>
                </c:pt>
                <c:pt idx="418">
                  <c:v>45943.666666666599</c:v>
                </c:pt>
                <c:pt idx="419">
                  <c:v>45944.666666666599</c:v>
                </c:pt>
                <c:pt idx="420">
                  <c:v>45945.666666666599</c:v>
                </c:pt>
                <c:pt idx="421">
                  <c:v>45946.666666666599</c:v>
                </c:pt>
                <c:pt idx="422">
                  <c:v>45947.666666666599</c:v>
                </c:pt>
                <c:pt idx="423">
                  <c:v>45950.666666666599</c:v>
                </c:pt>
                <c:pt idx="424">
                  <c:v>45951.666666666599</c:v>
                </c:pt>
                <c:pt idx="425">
                  <c:v>45952.666666666599</c:v>
                </c:pt>
                <c:pt idx="426">
                  <c:v>45953.666666666599</c:v>
                </c:pt>
                <c:pt idx="427">
                  <c:v>45954.666666666599</c:v>
                </c:pt>
                <c:pt idx="428">
                  <c:v>45957.666666666599</c:v>
                </c:pt>
                <c:pt idx="429">
                  <c:v>45958.666666666599</c:v>
                </c:pt>
                <c:pt idx="430">
                  <c:v>45959.666666666599</c:v>
                </c:pt>
                <c:pt idx="431">
                  <c:v>45960.666666666599</c:v>
                </c:pt>
                <c:pt idx="432">
                  <c:v>45961.666666666599</c:v>
                </c:pt>
                <c:pt idx="433">
                  <c:v>45964.666666666599</c:v>
                </c:pt>
                <c:pt idx="434">
                  <c:v>45965.666666666599</c:v>
                </c:pt>
                <c:pt idx="435">
                  <c:v>45966.666666666599</c:v>
                </c:pt>
                <c:pt idx="436">
                  <c:v>45967.666666666599</c:v>
                </c:pt>
                <c:pt idx="437">
                  <c:v>45968.666666666599</c:v>
                </c:pt>
                <c:pt idx="438">
                  <c:v>45971.666666666599</c:v>
                </c:pt>
                <c:pt idx="439">
                  <c:v>45972.666666666599</c:v>
                </c:pt>
                <c:pt idx="440">
                  <c:v>45973.666666666599</c:v>
                </c:pt>
                <c:pt idx="441">
                  <c:v>45974.666666666599</c:v>
                </c:pt>
                <c:pt idx="442">
                  <c:v>45975.666666666599</c:v>
                </c:pt>
                <c:pt idx="443">
                  <c:v>45978.666666666599</c:v>
                </c:pt>
                <c:pt idx="444">
                  <c:v>45979.666666666599</c:v>
                </c:pt>
                <c:pt idx="445">
                  <c:v>45980.666666666599</c:v>
                </c:pt>
                <c:pt idx="446">
                  <c:v>45981.666666666599</c:v>
                </c:pt>
                <c:pt idx="447">
                  <c:v>45982.666666666599</c:v>
                </c:pt>
                <c:pt idx="448">
                  <c:v>45985.666666666599</c:v>
                </c:pt>
                <c:pt idx="449">
                  <c:v>45986.666666666599</c:v>
                </c:pt>
                <c:pt idx="450">
                  <c:v>45987.666666666599</c:v>
                </c:pt>
                <c:pt idx="451">
                  <c:v>45988.666666666599</c:v>
                </c:pt>
                <c:pt idx="452">
                  <c:v>45989.666666666599</c:v>
                </c:pt>
                <c:pt idx="453">
                  <c:v>45992.666666666599</c:v>
                </c:pt>
                <c:pt idx="454">
                  <c:v>45993.666666666599</c:v>
                </c:pt>
                <c:pt idx="455">
                  <c:v>45994.666666666599</c:v>
                </c:pt>
                <c:pt idx="456">
                  <c:v>45995.666666666599</c:v>
                </c:pt>
                <c:pt idx="457">
                  <c:v>45996.666666666599</c:v>
                </c:pt>
                <c:pt idx="458">
                  <c:v>45999.666666666599</c:v>
                </c:pt>
                <c:pt idx="459">
                  <c:v>46000.666666666599</c:v>
                </c:pt>
                <c:pt idx="460">
                  <c:v>46001.666666666599</c:v>
                </c:pt>
                <c:pt idx="461">
                  <c:v>46002.666666666599</c:v>
                </c:pt>
                <c:pt idx="462">
                  <c:v>46003.666666666599</c:v>
                </c:pt>
                <c:pt idx="463">
                  <c:v>46006.666666666599</c:v>
                </c:pt>
                <c:pt idx="464">
                  <c:v>46007.666666666599</c:v>
                </c:pt>
                <c:pt idx="465">
                  <c:v>46008.666666666599</c:v>
                </c:pt>
                <c:pt idx="466">
                  <c:v>46009.666666666599</c:v>
                </c:pt>
                <c:pt idx="467">
                  <c:v>46010.666666666599</c:v>
                </c:pt>
                <c:pt idx="468">
                  <c:v>46013.666666666599</c:v>
                </c:pt>
                <c:pt idx="469">
                  <c:v>46014.666666666599</c:v>
                </c:pt>
                <c:pt idx="470">
                  <c:v>46015.666666666599</c:v>
                </c:pt>
                <c:pt idx="471">
                  <c:v>46020.666666666599</c:v>
                </c:pt>
                <c:pt idx="472">
                  <c:v>46021.666666666599</c:v>
                </c:pt>
              </c:numCache>
            </c:numRef>
          </c:cat>
          <c:val>
            <c:numRef>
              <c:f>BMRI!$G$2:$G$474</c:f>
              <c:numCache>
                <c:formatCode>General</c:formatCode>
                <c:ptCount val="473"/>
                <c:pt idx="0">
                  <c:v>6125</c:v>
                </c:pt>
                <c:pt idx="1">
                  <c:v>6100</c:v>
                </c:pt>
                <c:pt idx="2">
                  <c:v>6350</c:v>
                </c:pt>
                <c:pt idx="3">
                  <c:v>6425</c:v>
                </c:pt>
                <c:pt idx="4">
                  <c:v>6400</c:v>
                </c:pt>
                <c:pt idx="5">
                  <c:v>6375</c:v>
                </c:pt>
                <c:pt idx="6">
                  <c:v>6425</c:v>
                </c:pt>
                <c:pt idx="7">
                  <c:v>6450</c:v>
                </c:pt>
                <c:pt idx="8">
                  <c:v>6575</c:v>
                </c:pt>
                <c:pt idx="9">
                  <c:v>6500</c:v>
                </c:pt>
                <c:pt idx="10">
                  <c:v>6525</c:v>
                </c:pt>
                <c:pt idx="11">
                  <c:v>6525</c:v>
                </c:pt>
                <c:pt idx="12">
                  <c:v>6525</c:v>
                </c:pt>
                <c:pt idx="13">
                  <c:v>6525</c:v>
                </c:pt>
                <c:pt idx="14">
                  <c:v>6500</c:v>
                </c:pt>
                <c:pt idx="15">
                  <c:v>6500</c:v>
                </c:pt>
                <c:pt idx="16">
                  <c:v>6400</c:v>
                </c:pt>
                <c:pt idx="17">
                  <c:v>6275</c:v>
                </c:pt>
                <c:pt idx="18">
                  <c:v>6300</c:v>
                </c:pt>
                <c:pt idx="19">
                  <c:v>6475</c:v>
                </c:pt>
                <c:pt idx="20">
                  <c:v>6650</c:v>
                </c:pt>
                <c:pt idx="21">
                  <c:v>6650</c:v>
                </c:pt>
                <c:pt idx="22">
                  <c:v>6550</c:v>
                </c:pt>
                <c:pt idx="23">
                  <c:v>6675</c:v>
                </c:pt>
                <c:pt idx="24">
                  <c:v>6825</c:v>
                </c:pt>
                <c:pt idx="25">
                  <c:v>6850</c:v>
                </c:pt>
                <c:pt idx="26">
                  <c:v>6950</c:v>
                </c:pt>
                <c:pt idx="27">
                  <c:v>7100</c:v>
                </c:pt>
                <c:pt idx="28">
                  <c:v>7025</c:v>
                </c:pt>
                <c:pt idx="29">
                  <c:v>7200</c:v>
                </c:pt>
                <c:pt idx="30">
                  <c:v>7200</c:v>
                </c:pt>
                <c:pt idx="31">
                  <c:v>7150</c:v>
                </c:pt>
                <c:pt idx="32">
                  <c:v>7150</c:v>
                </c:pt>
                <c:pt idx="33">
                  <c:v>7250</c:v>
                </c:pt>
                <c:pt idx="34">
                  <c:v>7100</c:v>
                </c:pt>
                <c:pt idx="35">
                  <c:v>7050</c:v>
                </c:pt>
                <c:pt idx="36">
                  <c:v>7050</c:v>
                </c:pt>
                <c:pt idx="37">
                  <c:v>7075</c:v>
                </c:pt>
                <c:pt idx="38">
                  <c:v>7125</c:v>
                </c:pt>
                <c:pt idx="39">
                  <c:v>7000</c:v>
                </c:pt>
                <c:pt idx="40">
                  <c:v>7025</c:v>
                </c:pt>
                <c:pt idx="41">
                  <c:v>7025</c:v>
                </c:pt>
                <c:pt idx="42">
                  <c:v>7025</c:v>
                </c:pt>
                <c:pt idx="43">
                  <c:v>7075</c:v>
                </c:pt>
                <c:pt idx="44">
                  <c:v>7100</c:v>
                </c:pt>
                <c:pt idx="45">
                  <c:v>7125</c:v>
                </c:pt>
                <c:pt idx="46">
                  <c:v>7275</c:v>
                </c:pt>
                <c:pt idx="47">
                  <c:v>7400</c:v>
                </c:pt>
                <c:pt idx="48">
                  <c:v>7400</c:v>
                </c:pt>
                <c:pt idx="49">
                  <c:v>7175</c:v>
                </c:pt>
                <c:pt idx="50">
                  <c:v>7275</c:v>
                </c:pt>
                <c:pt idx="51">
                  <c:v>7050</c:v>
                </c:pt>
                <c:pt idx="52">
                  <c:v>7050</c:v>
                </c:pt>
                <c:pt idx="53">
                  <c:v>7050</c:v>
                </c:pt>
                <c:pt idx="54">
                  <c:v>7250</c:v>
                </c:pt>
                <c:pt idx="55">
                  <c:v>7175</c:v>
                </c:pt>
                <c:pt idx="56">
                  <c:v>7175</c:v>
                </c:pt>
                <c:pt idx="57">
                  <c:v>7250</c:v>
                </c:pt>
                <c:pt idx="58">
                  <c:v>6900</c:v>
                </c:pt>
                <c:pt idx="59">
                  <c:v>6900</c:v>
                </c:pt>
                <c:pt idx="60">
                  <c:v>6775</c:v>
                </c:pt>
                <c:pt idx="61">
                  <c:v>6875</c:v>
                </c:pt>
                <c:pt idx="62">
                  <c:v>6825</c:v>
                </c:pt>
                <c:pt idx="63">
                  <c:v>6625</c:v>
                </c:pt>
                <c:pt idx="64">
                  <c:v>6625</c:v>
                </c:pt>
                <c:pt idx="65">
                  <c:v>6800</c:v>
                </c:pt>
                <c:pt idx="66">
                  <c:v>6725</c:v>
                </c:pt>
                <c:pt idx="67">
                  <c:v>6725</c:v>
                </c:pt>
                <c:pt idx="68">
                  <c:v>6825</c:v>
                </c:pt>
                <c:pt idx="69">
                  <c:v>7050</c:v>
                </c:pt>
                <c:pt idx="70">
                  <c:v>6950</c:v>
                </c:pt>
                <c:pt idx="71">
                  <c:v>6750</c:v>
                </c:pt>
                <c:pt idx="72">
                  <c:v>6925</c:v>
                </c:pt>
                <c:pt idx="73">
                  <c:v>6900</c:v>
                </c:pt>
                <c:pt idx="74">
                  <c:v>6325</c:v>
                </c:pt>
                <c:pt idx="75">
                  <c:v>6150</c:v>
                </c:pt>
                <c:pt idx="76">
                  <c:v>6275</c:v>
                </c:pt>
                <c:pt idx="77">
                  <c:v>6275</c:v>
                </c:pt>
                <c:pt idx="78">
                  <c:v>6275</c:v>
                </c:pt>
                <c:pt idx="79">
                  <c:v>6200</c:v>
                </c:pt>
                <c:pt idx="80">
                  <c:v>6200</c:v>
                </c:pt>
                <c:pt idx="81">
                  <c:v>6375</c:v>
                </c:pt>
                <c:pt idx="82">
                  <c:v>6350</c:v>
                </c:pt>
                <c:pt idx="83">
                  <c:v>6575</c:v>
                </c:pt>
                <c:pt idx="84">
                  <c:v>6325</c:v>
                </c:pt>
                <c:pt idx="85">
                  <c:v>6025</c:v>
                </c:pt>
                <c:pt idx="86">
                  <c:v>6050</c:v>
                </c:pt>
                <c:pt idx="87">
                  <c:v>5825</c:v>
                </c:pt>
                <c:pt idx="88">
                  <c:v>5950</c:v>
                </c:pt>
                <c:pt idx="89">
                  <c:v>5800</c:v>
                </c:pt>
                <c:pt idx="90">
                  <c:v>5875</c:v>
                </c:pt>
                <c:pt idx="91">
                  <c:v>5900</c:v>
                </c:pt>
                <c:pt idx="92">
                  <c:v>6100</c:v>
                </c:pt>
                <c:pt idx="93">
                  <c:v>6150</c:v>
                </c:pt>
                <c:pt idx="94">
                  <c:v>6000</c:v>
                </c:pt>
                <c:pt idx="95">
                  <c:v>6175</c:v>
                </c:pt>
                <c:pt idx="96">
                  <c:v>6275</c:v>
                </c:pt>
                <c:pt idx="97">
                  <c:v>6275</c:v>
                </c:pt>
                <c:pt idx="98">
                  <c:v>6125</c:v>
                </c:pt>
                <c:pt idx="99">
                  <c:v>5925</c:v>
                </c:pt>
                <c:pt idx="100">
                  <c:v>5875</c:v>
                </c:pt>
                <c:pt idx="101">
                  <c:v>5750</c:v>
                </c:pt>
                <c:pt idx="102">
                  <c:v>5750</c:v>
                </c:pt>
                <c:pt idx="103">
                  <c:v>5950</c:v>
                </c:pt>
                <c:pt idx="104">
                  <c:v>6125</c:v>
                </c:pt>
                <c:pt idx="105">
                  <c:v>6000</c:v>
                </c:pt>
                <c:pt idx="106">
                  <c:v>5925</c:v>
                </c:pt>
                <c:pt idx="107">
                  <c:v>5850</c:v>
                </c:pt>
                <c:pt idx="108">
                  <c:v>6000</c:v>
                </c:pt>
                <c:pt idx="109">
                  <c:v>6150</c:v>
                </c:pt>
                <c:pt idx="110">
                  <c:v>6250</c:v>
                </c:pt>
                <c:pt idx="111">
                  <c:v>6200</c:v>
                </c:pt>
                <c:pt idx="112">
                  <c:v>6225</c:v>
                </c:pt>
                <c:pt idx="113">
                  <c:v>6250</c:v>
                </c:pt>
                <c:pt idx="114">
                  <c:v>6425</c:v>
                </c:pt>
                <c:pt idx="115">
                  <c:v>6225</c:v>
                </c:pt>
                <c:pt idx="116">
                  <c:v>6375</c:v>
                </c:pt>
                <c:pt idx="117">
                  <c:v>6375</c:v>
                </c:pt>
                <c:pt idx="118">
                  <c:v>6400</c:v>
                </c:pt>
                <c:pt idx="119">
                  <c:v>6425</c:v>
                </c:pt>
                <c:pt idx="120">
                  <c:v>6350</c:v>
                </c:pt>
                <c:pt idx="121">
                  <c:v>6350</c:v>
                </c:pt>
                <c:pt idx="122">
                  <c:v>6450</c:v>
                </c:pt>
                <c:pt idx="123">
                  <c:v>6550</c:v>
                </c:pt>
                <c:pt idx="124">
                  <c:v>6525</c:v>
                </c:pt>
                <c:pt idx="125">
                  <c:v>6700</c:v>
                </c:pt>
                <c:pt idx="126">
                  <c:v>6625</c:v>
                </c:pt>
                <c:pt idx="127">
                  <c:v>6475</c:v>
                </c:pt>
                <c:pt idx="128">
                  <c:v>6575</c:v>
                </c:pt>
                <c:pt idx="129">
                  <c:v>6550</c:v>
                </c:pt>
                <c:pt idx="130">
                  <c:v>6475</c:v>
                </c:pt>
                <c:pt idx="131">
                  <c:v>6475</c:v>
                </c:pt>
                <c:pt idx="132">
                  <c:v>6400</c:v>
                </c:pt>
                <c:pt idx="133">
                  <c:v>6750</c:v>
                </c:pt>
                <c:pt idx="134">
                  <c:v>6800</c:v>
                </c:pt>
                <c:pt idx="135">
                  <c:v>6575</c:v>
                </c:pt>
                <c:pt idx="136">
                  <c:v>6625</c:v>
                </c:pt>
                <c:pt idx="137">
                  <c:v>6775</c:v>
                </c:pt>
                <c:pt idx="138">
                  <c:v>6800</c:v>
                </c:pt>
                <c:pt idx="139">
                  <c:v>6850</c:v>
                </c:pt>
                <c:pt idx="140">
                  <c:v>6900</c:v>
                </c:pt>
                <c:pt idx="141">
                  <c:v>7000</c:v>
                </c:pt>
                <c:pt idx="142">
                  <c:v>7075</c:v>
                </c:pt>
                <c:pt idx="143">
                  <c:v>7025</c:v>
                </c:pt>
                <c:pt idx="144">
                  <c:v>7075</c:v>
                </c:pt>
                <c:pt idx="145">
                  <c:v>7150</c:v>
                </c:pt>
                <c:pt idx="146">
                  <c:v>7200</c:v>
                </c:pt>
                <c:pt idx="147">
                  <c:v>7250</c:v>
                </c:pt>
                <c:pt idx="148">
                  <c:v>7050</c:v>
                </c:pt>
                <c:pt idx="149">
                  <c:v>7050</c:v>
                </c:pt>
                <c:pt idx="150">
                  <c:v>7050</c:v>
                </c:pt>
                <c:pt idx="151">
                  <c:v>7025</c:v>
                </c:pt>
                <c:pt idx="152">
                  <c:v>7225</c:v>
                </c:pt>
                <c:pt idx="153">
                  <c:v>7100</c:v>
                </c:pt>
                <c:pt idx="154">
                  <c:v>7125</c:v>
                </c:pt>
                <c:pt idx="155">
                  <c:v>7200</c:v>
                </c:pt>
                <c:pt idx="156">
                  <c:v>7075</c:v>
                </c:pt>
                <c:pt idx="157">
                  <c:v>7175</c:v>
                </c:pt>
                <c:pt idx="158">
                  <c:v>7175</c:v>
                </c:pt>
                <c:pt idx="159">
                  <c:v>7250</c:v>
                </c:pt>
                <c:pt idx="160">
                  <c:v>7250</c:v>
                </c:pt>
                <c:pt idx="161">
                  <c:v>7250</c:v>
                </c:pt>
                <c:pt idx="162">
                  <c:v>7375</c:v>
                </c:pt>
                <c:pt idx="163">
                  <c:v>7300</c:v>
                </c:pt>
                <c:pt idx="164">
                  <c:v>7275</c:v>
                </c:pt>
                <c:pt idx="165">
                  <c:v>7425</c:v>
                </c:pt>
                <c:pt idx="166">
                  <c:v>7400</c:v>
                </c:pt>
                <c:pt idx="167">
                  <c:v>7400</c:v>
                </c:pt>
                <c:pt idx="168">
                  <c:v>7300</c:v>
                </c:pt>
                <c:pt idx="169">
                  <c:v>7450</c:v>
                </c:pt>
                <c:pt idx="170">
                  <c:v>7425</c:v>
                </c:pt>
                <c:pt idx="171">
                  <c:v>7200</c:v>
                </c:pt>
                <c:pt idx="172">
                  <c:v>7175</c:v>
                </c:pt>
                <c:pt idx="173">
                  <c:v>7050</c:v>
                </c:pt>
                <c:pt idx="174">
                  <c:v>6925</c:v>
                </c:pt>
                <c:pt idx="175">
                  <c:v>7050</c:v>
                </c:pt>
                <c:pt idx="176">
                  <c:v>6975</c:v>
                </c:pt>
                <c:pt idx="177">
                  <c:v>7050</c:v>
                </c:pt>
                <c:pt idx="178">
                  <c:v>6950</c:v>
                </c:pt>
                <c:pt idx="179">
                  <c:v>6875</c:v>
                </c:pt>
                <c:pt idx="180">
                  <c:v>7075</c:v>
                </c:pt>
                <c:pt idx="181">
                  <c:v>6950</c:v>
                </c:pt>
                <c:pt idx="182">
                  <c:v>6950</c:v>
                </c:pt>
                <c:pt idx="183">
                  <c:v>6950</c:v>
                </c:pt>
                <c:pt idx="184">
                  <c:v>6925</c:v>
                </c:pt>
                <c:pt idx="185">
                  <c:v>7050</c:v>
                </c:pt>
                <c:pt idx="186">
                  <c:v>7000</c:v>
                </c:pt>
                <c:pt idx="187">
                  <c:v>7225</c:v>
                </c:pt>
                <c:pt idx="188">
                  <c:v>7175</c:v>
                </c:pt>
                <c:pt idx="189">
                  <c:v>7200</c:v>
                </c:pt>
                <c:pt idx="190">
                  <c:v>7075</c:v>
                </c:pt>
                <c:pt idx="191">
                  <c:v>7075</c:v>
                </c:pt>
                <c:pt idx="192">
                  <c:v>6975</c:v>
                </c:pt>
                <c:pt idx="193">
                  <c:v>7050</c:v>
                </c:pt>
                <c:pt idx="194">
                  <c:v>6825</c:v>
                </c:pt>
                <c:pt idx="195">
                  <c:v>6825</c:v>
                </c:pt>
                <c:pt idx="196">
                  <c:v>6750</c:v>
                </c:pt>
                <c:pt idx="197">
                  <c:v>6700</c:v>
                </c:pt>
                <c:pt idx="198">
                  <c:v>6650</c:v>
                </c:pt>
                <c:pt idx="199">
                  <c:v>6750</c:v>
                </c:pt>
                <c:pt idx="200">
                  <c:v>6925</c:v>
                </c:pt>
                <c:pt idx="201">
                  <c:v>6550</c:v>
                </c:pt>
                <c:pt idx="202">
                  <c:v>6425</c:v>
                </c:pt>
                <c:pt idx="203">
                  <c:v>6325</c:v>
                </c:pt>
                <c:pt idx="204">
                  <c:v>6350</c:v>
                </c:pt>
                <c:pt idx="205">
                  <c:v>6375</c:v>
                </c:pt>
                <c:pt idx="206">
                  <c:v>6425</c:v>
                </c:pt>
                <c:pt idx="207">
                  <c:v>6375</c:v>
                </c:pt>
                <c:pt idx="208">
                  <c:v>6350</c:v>
                </c:pt>
                <c:pt idx="209">
                  <c:v>6325</c:v>
                </c:pt>
                <c:pt idx="210">
                  <c:v>6250</c:v>
                </c:pt>
                <c:pt idx="211">
                  <c:v>6225</c:v>
                </c:pt>
                <c:pt idx="212">
                  <c:v>6150</c:v>
                </c:pt>
                <c:pt idx="213">
                  <c:v>6250</c:v>
                </c:pt>
                <c:pt idx="214">
                  <c:v>6575</c:v>
                </c:pt>
                <c:pt idx="215">
                  <c:v>6400</c:v>
                </c:pt>
                <c:pt idx="216">
                  <c:v>6450</c:v>
                </c:pt>
                <c:pt idx="217">
                  <c:v>6150</c:v>
                </c:pt>
                <c:pt idx="218">
                  <c:v>6000</c:v>
                </c:pt>
                <c:pt idx="219">
                  <c:v>6275</c:v>
                </c:pt>
                <c:pt idx="220">
                  <c:v>6375</c:v>
                </c:pt>
                <c:pt idx="221">
                  <c:v>6150</c:v>
                </c:pt>
                <c:pt idx="222">
                  <c:v>6225</c:v>
                </c:pt>
                <c:pt idx="223">
                  <c:v>6375</c:v>
                </c:pt>
                <c:pt idx="224">
                  <c:v>6300</c:v>
                </c:pt>
                <c:pt idx="225">
                  <c:v>6300</c:v>
                </c:pt>
                <c:pt idx="226">
                  <c:v>6125</c:v>
                </c:pt>
                <c:pt idx="227">
                  <c:v>6025</c:v>
                </c:pt>
                <c:pt idx="228">
                  <c:v>6075</c:v>
                </c:pt>
                <c:pt idx="229">
                  <c:v>5950</c:v>
                </c:pt>
                <c:pt idx="230">
                  <c:v>5825</c:v>
                </c:pt>
                <c:pt idx="231">
                  <c:v>5675</c:v>
                </c:pt>
                <c:pt idx="232">
                  <c:v>5675</c:v>
                </c:pt>
                <c:pt idx="233">
                  <c:v>5825</c:v>
                </c:pt>
                <c:pt idx="234">
                  <c:v>5750</c:v>
                </c:pt>
                <c:pt idx="235">
                  <c:v>5800</c:v>
                </c:pt>
                <c:pt idx="236">
                  <c:v>5700</c:v>
                </c:pt>
                <c:pt idx="237">
                  <c:v>5850</c:v>
                </c:pt>
                <c:pt idx="238">
                  <c:v>5800</c:v>
                </c:pt>
                <c:pt idx="239">
                  <c:v>5675</c:v>
                </c:pt>
                <c:pt idx="240">
                  <c:v>5600</c:v>
                </c:pt>
                <c:pt idx="241">
                  <c:v>5750</c:v>
                </c:pt>
                <c:pt idx="242">
                  <c:v>5750</c:v>
                </c:pt>
                <c:pt idx="243">
                  <c:v>5600</c:v>
                </c:pt>
                <c:pt idx="244">
                  <c:v>5525</c:v>
                </c:pt>
                <c:pt idx="245">
                  <c:v>5400</c:v>
                </c:pt>
                <c:pt idx="246">
                  <c:v>5750</c:v>
                </c:pt>
                <c:pt idx="247">
                  <c:v>5875</c:v>
                </c:pt>
                <c:pt idx="248">
                  <c:v>5875</c:v>
                </c:pt>
                <c:pt idx="249">
                  <c:v>6000</c:v>
                </c:pt>
                <c:pt idx="250">
                  <c:v>6050</c:v>
                </c:pt>
                <c:pt idx="251">
                  <c:v>6150</c:v>
                </c:pt>
                <c:pt idx="252">
                  <c:v>6175</c:v>
                </c:pt>
                <c:pt idx="253">
                  <c:v>6125</c:v>
                </c:pt>
                <c:pt idx="254">
                  <c:v>6100</c:v>
                </c:pt>
                <c:pt idx="255">
                  <c:v>6025</c:v>
                </c:pt>
                <c:pt idx="256">
                  <c:v>5800</c:v>
                </c:pt>
                <c:pt idx="257">
                  <c:v>5675</c:v>
                </c:pt>
                <c:pt idx="258">
                  <c:v>5525</c:v>
                </c:pt>
                <c:pt idx="259">
                  <c:v>5100</c:v>
                </c:pt>
                <c:pt idx="260">
                  <c:v>5150</c:v>
                </c:pt>
                <c:pt idx="261">
                  <c:v>5000</c:v>
                </c:pt>
                <c:pt idx="262">
                  <c:v>4880</c:v>
                </c:pt>
                <c:pt idx="263">
                  <c:v>4940</c:v>
                </c:pt>
                <c:pt idx="264">
                  <c:v>5025</c:v>
                </c:pt>
                <c:pt idx="265">
                  <c:v>5125</c:v>
                </c:pt>
                <c:pt idx="266">
                  <c:v>5425</c:v>
                </c:pt>
                <c:pt idx="267">
                  <c:v>5450</c:v>
                </c:pt>
                <c:pt idx="268">
                  <c:v>5175</c:v>
                </c:pt>
                <c:pt idx="269">
                  <c:v>5150</c:v>
                </c:pt>
                <c:pt idx="270">
                  <c:v>5075</c:v>
                </c:pt>
                <c:pt idx="271">
                  <c:v>5025</c:v>
                </c:pt>
                <c:pt idx="272">
                  <c:v>4870</c:v>
                </c:pt>
                <c:pt idx="273">
                  <c:v>4920</c:v>
                </c:pt>
                <c:pt idx="274">
                  <c:v>4660</c:v>
                </c:pt>
                <c:pt idx="275">
                  <c:v>4600</c:v>
                </c:pt>
                <c:pt idx="276">
                  <c:v>4900</c:v>
                </c:pt>
                <c:pt idx="277">
                  <c:v>4840</c:v>
                </c:pt>
                <c:pt idx="278">
                  <c:v>4860</c:v>
                </c:pt>
                <c:pt idx="279">
                  <c:v>4870</c:v>
                </c:pt>
                <c:pt idx="280">
                  <c:v>4840</c:v>
                </c:pt>
                <c:pt idx="281">
                  <c:v>4710</c:v>
                </c:pt>
                <c:pt idx="282">
                  <c:v>4740</c:v>
                </c:pt>
                <c:pt idx="283">
                  <c:v>4880</c:v>
                </c:pt>
                <c:pt idx="284">
                  <c:v>4740</c:v>
                </c:pt>
                <c:pt idx="285">
                  <c:v>4740</c:v>
                </c:pt>
                <c:pt idx="286">
                  <c:v>4680</c:v>
                </c:pt>
                <c:pt idx="287">
                  <c:v>4530</c:v>
                </c:pt>
                <c:pt idx="288">
                  <c:v>4680</c:v>
                </c:pt>
                <c:pt idx="289">
                  <c:v>4620</c:v>
                </c:pt>
                <c:pt idx="290">
                  <c:v>4410</c:v>
                </c:pt>
                <c:pt idx="291">
                  <c:v>4460</c:v>
                </c:pt>
                <c:pt idx="292">
                  <c:v>4740</c:v>
                </c:pt>
                <c:pt idx="293">
                  <c:v>5150</c:v>
                </c:pt>
                <c:pt idx="294">
                  <c:v>5200</c:v>
                </c:pt>
                <c:pt idx="295">
                  <c:v>4670</c:v>
                </c:pt>
                <c:pt idx="296">
                  <c:v>4710</c:v>
                </c:pt>
                <c:pt idx="297">
                  <c:v>5025</c:v>
                </c:pt>
                <c:pt idx="298">
                  <c:v>5100</c:v>
                </c:pt>
                <c:pt idx="299">
                  <c:v>4750</c:v>
                </c:pt>
                <c:pt idx="300">
                  <c:v>4710</c:v>
                </c:pt>
                <c:pt idx="301">
                  <c:v>4630</c:v>
                </c:pt>
                <c:pt idx="302">
                  <c:v>4600</c:v>
                </c:pt>
                <c:pt idx="303">
                  <c:v>4610</c:v>
                </c:pt>
                <c:pt idx="304">
                  <c:v>4720</c:v>
                </c:pt>
                <c:pt idx="305">
                  <c:v>4900</c:v>
                </c:pt>
                <c:pt idx="306">
                  <c:v>4890</c:v>
                </c:pt>
                <c:pt idx="307">
                  <c:v>4900</c:v>
                </c:pt>
                <c:pt idx="308">
                  <c:v>4920</c:v>
                </c:pt>
                <c:pt idx="309">
                  <c:v>4940</c:v>
                </c:pt>
                <c:pt idx="310">
                  <c:v>4890</c:v>
                </c:pt>
                <c:pt idx="311">
                  <c:v>4960</c:v>
                </c:pt>
                <c:pt idx="312">
                  <c:v>4980</c:v>
                </c:pt>
                <c:pt idx="313">
                  <c:v>4980</c:v>
                </c:pt>
                <c:pt idx="314">
                  <c:v>4950</c:v>
                </c:pt>
                <c:pt idx="315">
                  <c:v>4790</c:v>
                </c:pt>
                <c:pt idx="316">
                  <c:v>4770</c:v>
                </c:pt>
                <c:pt idx="317">
                  <c:v>5050</c:v>
                </c:pt>
                <c:pt idx="318">
                  <c:v>5325</c:v>
                </c:pt>
                <c:pt idx="319">
                  <c:v>5475</c:v>
                </c:pt>
                <c:pt idx="320">
                  <c:v>5525</c:v>
                </c:pt>
                <c:pt idx="321">
                  <c:v>5400</c:v>
                </c:pt>
                <c:pt idx="322">
                  <c:v>5450</c:v>
                </c:pt>
                <c:pt idx="323">
                  <c:v>5450</c:v>
                </c:pt>
                <c:pt idx="324">
                  <c:v>5425</c:v>
                </c:pt>
                <c:pt idx="325">
                  <c:v>5475</c:v>
                </c:pt>
                <c:pt idx="326">
                  <c:v>5400</c:v>
                </c:pt>
                <c:pt idx="327">
                  <c:v>5300</c:v>
                </c:pt>
                <c:pt idx="328">
                  <c:v>5075</c:v>
                </c:pt>
                <c:pt idx="329">
                  <c:v>5050</c:v>
                </c:pt>
                <c:pt idx="330">
                  <c:v>5025</c:v>
                </c:pt>
                <c:pt idx="331">
                  <c:v>5075</c:v>
                </c:pt>
                <c:pt idx="332">
                  <c:v>5250</c:v>
                </c:pt>
                <c:pt idx="333">
                  <c:v>5200</c:v>
                </c:pt>
                <c:pt idx="334">
                  <c:v>5175</c:v>
                </c:pt>
                <c:pt idx="335">
                  <c:v>5150</c:v>
                </c:pt>
                <c:pt idx="336">
                  <c:v>5150</c:v>
                </c:pt>
                <c:pt idx="337">
                  <c:v>5100</c:v>
                </c:pt>
                <c:pt idx="338">
                  <c:v>5075</c:v>
                </c:pt>
                <c:pt idx="339">
                  <c:v>4970</c:v>
                </c:pt>
                <c:pt idx="340">
                  <c:v>4930</c:v>
                </c:pt>
                <c:pt idx="341">
                  <c:v>4920</c:v>
                </c:pt>
                <c:pt idx="342">
                  <c:v>5025</c:v>
                </c:pt>
                <c:pt idx="343">
                  <c:v>4880</c:v>
                </c:pt>
                <c:pt idx="344">
                  <c:v>5025</c:v>
                </c:pt>
                <c:pt idx="345">
                  <c:v>4880</c:v>
                </c:pt>
                <c:pt idx="346">
                  <c:v>4750</c:v>
                </c:pt>
                <c:pt idx="347">
                  <c:v>4770</c:v>
                </c:pt>
                <c:pt idx="348">
                  <c:v>4740</c:v>
                </c:pt>
                <c:pt idx="349">
                  <c:v>4740</c:v>
                </c:pt>
                <c:pt idx="350">
                  <c:v>4740</c:v>
                </c:pt>
                <c:pt idx="351">
                  <c:v>4720</c:v>
                </c:pt>
                <c:pt idx="352">
                  <c:v>4710</c:v>
                </c:pt>
                <c:pt idx="353">
                  <c:v>4820</c:v>
                </c:pt>
                <c:pt idx="354">
                  <c:v>4970</c:v>
                </c:pt>
                <c:pt idx="355">
                  <c:v>4690</c:v>
                </c:pt>
                <c:pt idx="356">
                  <c:v>4700</c:v>
                </c:pt>
                <c:pt idx="357">
                  <c:v>4690</c:v>
                </c:pt>
                <c:pt idx="358">
                  <c:v>4720</c:v>
                </c:pt>
                <c:pt idx="359">
                  <c:v>4740</c:v>
                </c:pt>
                <c:pt idx="360">
                  <c:v>4680</c:v>
                </c:pt>
                <c:pt idx="361">
                  <c:v>4660</c:v>
                </c:pt>
                <c:pt idx="362">
                  <c:v>4680</c:v>
                </c:pt>
                <c:pt idx="363">
                  <c:v>4800</c:v>
                </c:pt>
                <c:pt idx="364">
                  <c:v>4690</c:v>
                </c:pt>
                <c:pt idx="365">
                  <c:v>4700</c:v>
                </c:pt>
                <c:pt idx="366">
                  <c:v>4710</c:v>
                </c:pt>
                <c:pt idx="367">
                  <c:v>4620</c:v>
                </c:pt>
                <c:pt idx="368">
                  <c:v>4510</c:v>
                </c:pt>
                <c:pt idx="369">
                  <c:v>4530</c:v>
                </c:pt>
                <c:pt idx="370">
                  <c:v>4620</c:v>
                </c:pt>
                <c:pt idx="371">
                  <c:v>4750</c:v>
                </c:pt>
                <c:pt idx="372">
                  <c:v>4700</c:v>
                </c:pt>
                <c:pt idx="373">
                  <c:v>4680</c:v>
                </c:pt>
                <c:pt idx="374">
                  <c:v>4670</c:v>
                </c:pt>
                <c:pt idx="375">
                  <c:v>4720</c:v>
                </c:pt>
                <c:pt idx="376">
                  <c:v>4910</c:v>
                </c:pt>
                <c:pt idx="377">
                  <c:v>4870</c:v>
                </c:pt>
                <c:pt idx="378">
                  <c:v>4850</c:v>
                </c:pt>
                <c:pt idx="379">
                  <c:v>4850</c:v>
                </c:pt>
                <c:pt idx="380">
                  <c:v>4800</c:v>
                </c:pt>
                <c:pt idx="381">
                  <c:v>4950</c:v>
                </c:pt>
                <c:pt idx="382">
                  <c:v>4900</c:v>
                </c:pt>
                <c:pt idx="383">
                  <c:v>4890</c:v>
                </c:pt>
                <c:pt idx="384">
                  <c:v>4950</c:v>
                </c:pt>
                <c:pt idx="385">
                  <c:v>4900</c:v>
                </c:pt>
                <c:pt idx="386">
                  <c:v>4800</c:v>
                </c:pt>
                <c:pt idx="387">
                  <c:v>4770</c:v>
                </c:pt>
                <c:pt idx="388">
                  <c:v>4730</c:v>
                </c:pt>
                <c:pt idx="389">
                  <c:v>4600</c:v>
                </c:pt>
                <c:pt idx="390">
                  <c:v>4570</c:v>
                </c:pt>
                <c:pt idx="391">
                  <c:v>4620</c:v>
                </c:pt>
                <c:pt idx="392">
                  <c:v>4680</c:v>
                </c:pt>
                <c:pt idx="393">
                  <c:v>4490</c:v>
                </c:pt>
                <c:pt idx="394">
                  <c:v>4310</c:v>
                </c:pt>
                <c:pt idx="395">
                  <c:v>4400</c:v>
                </c:pt>
                <c:pt idx="396">
                  <c:v>4480</c:v>
                </c:pt>
                <c:pt idx="397">
                  <c:v>4520</c:v>
                </c:pt>
                <c:pt idx="398">
                  <c:v>4530</c:v>
                </c:pt>
                <c:pt idx="399">
                  <c:v>4480</c:v>
                </c:pt>
                <c:pt idx="400">
                  <c:v>4510</c:v>
                </c:pt>
                <c:pt idx="401">
                  <c:v>4420</c:v>
                </c:pt>
                <c:pt idx="402">
                  <c:v>4380</c:v>
                </c:pt>
                <c:pt idx="403">
                  <c:v>4420</c:v>
                </c:pt>
                <c:pt idx="404">
                  <c:v>4410</c:v>
                </c:pt>
                <c:pt idx="405">
                  <c:v>4390</c:v>
                </c:pt>
                <c:pt idx="406">
                  <c:v>4360</c:v>
                </c:pt>
                <c:pt idx="407">
                  <c:v>4420</c:v>
                </c:pt>
                <c:pt idx="408">
                  <c:v>4400</c:v>
                </c:pt>
                <c:pt idx="409">
                  <c:v>4400</c:v>
                </c:pt>
                <c:pt idx="410">
                  <c:v>4380</c:v>
                </c:pt>
                <c:pt idx="411">
                  <c:v>4360</c:v>
                </c:pt>
                <c:pt idx="412">
                  <c:v>4310</c:v>
                </c:pt>
                <c:pt idx="413">
                  <c:v>4260</c:v>
                </c:pt>
                <c:pt idx="414">
                  <c:v>4290</c:v>
                </c:pt>
                <c:pt idx="415">
                  <c:v>4250</c:v>
                </c:pt>
                <c:pt idx="416">
                  <c:v>4390</c:v>
                </c:pt>
                <c:pt idx="417">
                  <c:v>4250</c:v>
                </c:pt>
                <c:pt idx="418">
                  <c:v>4230</c:v>
                </c:pt>
                <c:pt idx="419">
                  <c:v>4090</c:v>
                </c:pt>
                <c:pt idx="420">
                  <c:v>4050</c:v>
                </c:pt>
                <c:pt idx="421">
                  <c:v>4090</c:v>
                </c:pt>
                <c:pt idx="422">
                  <c:v>4050</c:v>
                </c:pt>
                <c:pt idx="423">
                  <c:v>4300</c:v>
                </c:pt>
                <c:pt idx="424">
                  <c:v>4350</c:v>
                </c:pt>
                <c:pt idx="425">
                  <c:v>4330</c:v>
                </c:pt>
                <c:pt idx="426">
                  <c:v>4430</c:v>
                </c:pt>
                <c:pt idx="427">
                  <c:v>4550</c:v>
                </c:pt>
                <c:pt idx="428">
                  <c:v>4470</c:v>
                </c:pt>
                <c:pt idx="429">
                  <c:v>4510</c:v>
                </c:pt>
                <c:pt idx="430">
                  <c:v>4650</c:v>
                </c:pt>
                <c:pt idx="431">
                  <c:v>4800</c:v>
                </c:pt>
                <c:pt idx="432">
                  <c:v>4720</c:v>
                </c:pt>
                <c:pt idx="433">
                  <c:v>4760</c:v>
                </c:pt>
                <c:pt idx="434">
                  <c:v>4730</c:v>
                </c:pt>
                <c:pt idx="435">
                  <c:v>4770</c:v>
                </c:pt>
                <c:pt idx="436">
                  <c:v>4750</c:v>
                </c:pt>
                <c:pt idx="437">
                  <c:v>4750</c:v>
                </c:pt>
                <c:pt idx="438">
                  <c:v>4730</c:v>
                </c:pt>
                <c:pt idx="439">
                  <c:v>4680</c:v>
                </c:pt>
                <c:pt idx="440">
                  <c:v>4760</c:v>
                </c:pt>
                <c:pt idx="441">
                  <c:v>4700</c:v>
                </c:pt>
                <c:pt idx="442">
                  <c:v>4750</c:v>
                </c:pt>
                <c:pt idx="443">
                  <c:v>4820</c:v>
                </c:pt>
                <c:pt idx="444">
                  <c:v>4790</c:v>
                </c:pt>
                <c:pt idx="445">
                  <c:v>4850</c:v>
                </c:pt>
                <c:pt idx="446">
                  <c:v>4940</c:v>
                </c:pt>
                <c:pt idx="447">
                  <c:v>4950</c:v>
                </c:pt>
                <c:pt idx="448">
                  <c:v>5100</c:v>
                </c:pt>
                <c:pt idx="449">
                  <c:v>5025</c:v>
                </c:pt>
                <c:pt idx="450">
                  <c:v>5025</c:v>
                </c:pt>
                <c:pt idx="451">
                  <c:v>4860</c:v>
                </c:pt>
                <c:pt idx="452">
                  <c:v>4830</c:v>
                </c:pt>
                <c:pt idx="453">
                  <c:v>4860</c:v>
                </c:pt>
                <c:pt idx="454">
                  <c:v>4850</c:v>
                </c:pt>
                <c:pt idx="455">
                  <c:v>4880</c:v>
                </c:pt>
                <c:pt idx="456">
                  <c:v>4920</c:v>
                </c:pt>
                <c:pt idx="457">
                  <c:v>4900</c:v>
                </c:pt>
                <c:pt idx="458">
                  <c:v>4950</c:v>
                </c:pt>
                <c:pt idx="459">
                  <c:v>4890</c:v>
                </c:pt>
                <c:pt idx="460">
                  <c:v>4970</c:v>
                </c:pt>
                <c:pt idx="461">
                  <c:v>4950</c:v>
                </c:pt>
                <c:pt idx="462">
                  <c:v>4820</c:v>
                </c:pt>
                <c:pt idx="463">
                  <c:v>4990</c:v>
                </c:pt>
                <c:pt idx="464">
                  <c:v>5000</c:v>
                </c:pt>
                <c:pt idx="465">
                  <c:v>5025</c:v>
                </c:pt>
                <c:pt idx="466">
                  <c:v>5150</c:v>
                </c:pt>
                <c:pt idx="467">
                  <c:v>5175</c:v>
                </c:pt>
                <c:pt idx="468">
                  <c:v>5100</c:v>
                </c:pt>
                <c:pt idx="469">
                  <c:v>5050</c:v>
                </c:pt>
                <c:pt idx="470">
                  <c:v>5050</c:v>
                </c:pt>
                <c:pt idx="471">
                  <c:v>5075</c:v>
                </c:pt>
                <c:pt idx="472">
                  <c:v>5100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A1-4FE4-8C32-C6F0A13AC0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381775"/>
        <c:axId val="868383695"/>
      </c:lineChart>
      <c:dateAx>
        <c:axId val="868381775"/>
        <c:scaling>
          <c:orientation val="minMax"/>
        </c:scaling>
        <c:delete val="0"/>
        <c:axPos val="b"/>
        <c:numFmt formatCode="m/d/yyyy\ h:mm:ss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383695"/>
        <c:crosses val="autoZero"/>
        <c:auto val="1"/>
        <c:lblOffset val="100"/>
        <c:baseTimeUnit val="days"/>
      </c:dateAx>
      <c:valAx>
        <c:axId val="868383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3817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BBNI!$G$1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BBNI!$A$2:$A$474</c:f>
              <c:numCache>
                <c:formatCode>m/d/yyyy\ h:mm:ss</c:formatCode>
                <c:ptCount val="473"/>
                <c:pt idx="0">
                  <c:v>45293.666666666599</c:v>
                </c:pt>
                <c:pt idx="1">
                  <c:v>45294.666666666599</c:v>
                </c:pt>
                <c:pt idx="2">
                  <c:v>45295.666666666599</c:v>
                </c:pt>
                <c:pt idx="3">
                  <c:v>45296.666666666599</c:v>
                </c:pt>
                <c:pt idx="4">
                  <c:v>45299.666666666599</c:v>
                </c:pt>
                <c:pt idx="5">
                  <c:v>45300.666666666599</c:v>
                </c:pt>
                <c:pt idx="6">
                  <c:v>45301.666666666599</c:v>
                </c:pt>
                <c:pt idx="7">
                  <c:v>45302.666666666599</c:v>
                </c:pt>
                <c:pt idx="8">
                  <c:v>45303.666666666599</c:v>
                </c:pt>
                <c:pt idx="9">
                  <c:v>45306.666666666599</c:v>
                </c:pt>
                <c:pt idx="10">
                  <c:v>45307.666666666599</c:v>
                </c:pt>
                <c:pt idx="11">
                  <c:v>45308.666666666599</c:v>
                </c:pt>
                <c:pt idx="12">
                  <c:v>45309.666666666599</c:v>
                </c:pt>
                <c:pt idx="13">
                  <c:v>45310.666666666599</c:v>
                </c:pt>
                <c:pt idx="14">
                  <c:v>45313.666666666599</c:v>
                </c:pt>
                <c:pt idx="15">
                  <c:v>45314.666666666599</c:v>
                </c:pt>
                <c:pt idx="16">
                  <c:v>45315.666666666599</c:v>
                </c:pt>
                <c:pt idx="17">
                  <c:v>45316.666666666599</c:v>
                </c:pt>
                <c:pt idx="18">
                  <c:v>45317.666666666599</c:v>
                </c:pt>
                <c:pt idx="19">
                  <c:v>45320.666666666599</c:v>
                </c:pt>
                <c:pt idx="20">
                  <c:v>45321.666666666599</c:v>
                </c:pt>
                <c:pt idx="21">
                  <c:v>45322.666666666599</c:v>
                </c:pt>
                <c:pt idx="22">
                  <c:v>45323.666666666599</c:v>
                </c:pt>
                <c:pt idx="23">
                  <c:v>45324.666666666599</c:v>
                </c:pt>
                <c:pt idx="24">
                  <c:v>45327.666666666599</c:v>
                </c:pt>
                <c:pt idx="25">
                  <c:v>45328.666666666599</c:v>
                </c:pt>
                <c:pt idx="26">
                  <c:v>45329.666666666599</c:v>
                </c:pt>
                <c:pt idx="27">
                  <c:v>45334.666666666599</c:v>
                </c:pt>
                <c:pt idx="28">
                  <c:v>45335.666666666599</c:v>
                </c:pt>
                <c:pt idx="29">
                  <c:v>45337.666666666599</c:v>
                </c:pt>
                <c:pt idx="30">
                  <c:v>45338.666666666599</c:v>
                </c:pt>
                <c:pt idx="31">
                  <c:v>45341.666666666599</c:v>
                </c:pt>
                <c:pt idx="32">
                  <c:v>45342.666666666599</c:v>
                </c:pt>
                <c:pt idx="33">
                  <c:v>45343.666666666599</c:v>
                </c:pt>
                <c:pt idx="34">
                  <c:v>45344.666666666599</c:v>
                </c:pt>
                <c:pt idx="35">
                  <c:v>45345.666666666599</c:v>
                </c:pt>
                <c:pt idx="36">
                  <c:v>45348.666666666599</c:v>
                </c:pt>
                <c:pt idx="37">
                  <c:v>45349.666666666599</c:v>
                </c:pt>
                <c:pt idx="38">
                  <c:v>45350.666666666599</c:v>
                </c:pt>
                <c:pt idx="39">
                  <c:v>45351.666666666599</c:v>
                </c:pt>
                <c:pt idx="40">
                  <c:v>45352.666666666599</c:v>
                </c:pt>
                <c:pt idx="41">
                  <c:v>45355.666666666599</c:v>
                </c:pt>
                <c:pt idx="42">
                  <c:v>45356.666666666599</c:v>
                </c:pt>
                <c:pt idx="43">
                  <c:v>45357.666666666599</c:v>
                </c:pt>
                <c:pt idx="44">
                  <c:v>45358.666666666599</c:v>
                </c:pt>
                <c:pt idx="45">
                  <c:v>45359.666666666599</c:v>
                </c:pt>
                <c:pt idx="46">
                  <c:v>45364.666666666599</c:v>
                </c:pt>
                <c:pt idx="47">
                  <c:v>45365.666666666599</c:v>
                </c:pt>
                <c:pt idx="48">
                  <c:v>45366.666666666599</c:v>
                </c:pt>
                <c:pt idx="49">
                  <c:v>45369.666666666599</c:v>
                </c:pt>
                <c:pt idx="50">
                  <c:v>45370.666666666599</c:v>
                </c:pt>
                <c:pt idx="51">
                  <c:v>45371.666666666599</c:v>
                </c:pt>
                <c:pt idx="52">
                  <c:v>45372.666666666599</c:v>
                </c:pt>
                <c:pt idx="53">
                  <c:v>45373.666666666599</c:v>
                </c:pt>
                <c:pt idx="54">
                  <c:v>45376.666666666599</c:v>
                </c:pt>
                <c:pt idx="55">
                  <c:v>45377.666666666599</c:v>
                </c:pt>
                <c:pt idx="56">
                  <c:v>45378.666666666599</c:v>
                </c:pt>
                <c:pt idx="57">
                  <c:v>45379.666666666599</c:v>
                </c:pt>
                <c:pt idx="58">
                  <c:v>45383.666666666599</c:v>
                </c:pt>
                <c:pt idx="59">
                  <c:v>45384.666666666599</c:v>
                </c:pt>
                <c:pt idx="60">
                  <c:v>45385.666666666599</c:v>
                </c:pt>
                <c:pt idx="61">
                  <c:v>45386.666666666599</c:v>
                </c:pt>
                <c:pt idx="62">
                  <c:v>45387.666666666599</c:v>
                </c:pt>
                <c:pt idx="63">
                  <c:v>45398.666666666599</c:v>
                </c:pt>
                <c:pt idx="64">
                  <c:v>45399.666666666599</c:v>
                </c:pt>
                <c:pt idx="65">
                  <c:v>45400.666666666599</c:v>
                </c:pt>
                <c:pt idx="66">
                  <c:v>45401.666666666599</c:v>
                </c:pt>
                <c:pt idx="67">
                  <c:v>45404.666666666599</c:v>
                </c:pt>
                <c:pt idx="68">
                  <c:v>45405.666666666599</c:v>
                </c:pt>
                <c:pt idx="69">
                  <c:v>45406.666666666599</c:v>
                </c:pt>
                <c:pt idx="70">
                  <c:v>45407.666666666599</c:v>
                </c:pt>
                <c:pt idx="71">
                  <c:v>45408.666666666599</c:v>
                </c:pt>
                <c:pt idx="72">
                  <c:v>45411.666666666599</c:v>
                </c:pt>
                <c:pt idx="73">
                  <c:v>45412.666666666599</c:v>
                </c:pt>
                <c:pt idx="74">
                  <c:v>45414.666666666599</c:v>
                </c:pt>
                <c:pt idx="75">
                  <c:v>45415.666666666599</c:v>
                </c:pt>
                <c:pt idx="76">
                  <c:v>45418.666666666599</c:v>
                </c:pt>
                <c:pt idx="77">
                  <c:v>45419.666666666599</c:v>
                </c:pt>
                <c:pt idx="78">
                  <c:v>45420.666666666599</c:v>
                </c:pt>
                <c:pt idx="79">
                  <c:v>45425.666666666599</c:v>
                </c:pt>
                <c:pt idx="80">
                  <c:v>45426.666666666599</c:v>
                </c:pt>
                <c:pt idx="81">
                  <c:v>45427.666666666599</c:v>
                </c:pt>
                <c:pt idx="82">
                  <c:v>45428.666666666599</c:v>
                </c:pt>
                <c:pt idx="83">
                  <c:v>45429.666666666599</c:v>
                </c:pt>
                <c:pt idx="84">
                  <c:v>45432.666666666599</c:v>
                </c:pt>
                <c:pt idx="85">
                  <c:v>45433.666666666599</c:v>
                </c:pt>
                <c:pt idx="86">
                  <c:v>45434.666666666599</c:v>
                </c:pt>
                <c:pt idx="87">
                  <c:v>45439.666666666599</c:v>
                </c:pt>
                <c:pt idx="88">
                  <c:v>45440.666666666599</c:v>
                </c:pt>
                <c:pt idx="89">
                  <c:v>45441.666666666599</c:v>
                </c:pt>
                <c:pt idx="90">
                  <c:v>45442.666666666599</c:v>
                </c:pt>
                <c:pt idx="91">
                  <c:v>45443.666666666599</c:v>
                </c:pt>
                <c:pt idx="92">
                  <c:v>45446.666666666599</c:v>
                </c:pt>
                <c:pt idx="93">
                  <c:v>45447.666666666599</c:v>
                </c:pt>
                <c:pt idx="94">
                  <c:v>45448.666666666599</c:v>
                </c:pt>
                <c:pt idx="95">
                  <c:v>45449.666666666599</c:v>
                </c:pt>
                <c:pt idx="96">
                  <c:v>45450.666666666599</c:v>
                </c:pt>
                <c:pt idx="97">
                  <c:v>45453.666666666599</c:v>
                </c:pt>
                <c:pt idx="98">
                  <c:v>45454.666666666599</c:v>
                </c:pt>
                <c:pt idx="99">
                  <c:v>45455.666666666599</c:v>
                </c:pt>
                <c:pt idx="100">
                  <c:v>45456.666666666599</c:v>
                </c:pt>
                <c:pt idx="101">
                  <c:v>45457.666666666599</c:v>
                </c:pt>
                <c:pt idx="102">
                  <c:v>45462.666666666599</c:v>
                </c:pt>
                <c:pt idx="103">
                  <c:v>45463.666666666599</c:v>
                </c:pt>
                <c:pt idx="104">
                  <c:v>45464.666666666599</c:v>
                </c:pt>
                <c:pt idx="105">
                  <c:v>45467.666666666599</c:v>
                </c:pt>
                <c:pt idx="106">
                  <c:v>45468.666666666599</c:v>
                </c:pt>
                <c:pt idx="107">
                  <c:v>45469.666666666599</c:v>
                </c:pt>
                <c:pt idx="108">
                  <c:v>45470.666666666599</c:v>
                </c:pt>
                <c:pt idx="109">
                  <c:v>45471.666666666599</c:v>
                </c:pt>
                <c:pt idx="110">
                  <c:v>45474.666666666599</c:v>
                </c:pt>
                <c:pt idx="111">
                  <c:v>45475.666666666599</c:v>
                </c:pt>
                <c:pt idx="112">
                  <c:v>45476.666666666599</c:v>
                </c:pt>
                <c:pt idx="113">
                  <c:v>45477.666666666599</c:v>
                </c:pt>
                <c:pt idx="114">
                  <c:v>45478.666666666599</c:v>
                </c:pt>
                <c:pt idx="115">
                  <c:v>45481.666666666599</c:v>
                </c:pt>
                <c:pt idx="116">
                  <c:v>45482.666666666599</c:v>
                </c:pt>
                <c:pt idx="117">
                  <c:v>45483.666666666599</c:v>
                </c:pt>
                <c:pt idx="118">
                  <c:v>45484.666666666599</c:v>
                </c:pt>
                <c:pt idx="119">
                  <c:v>45485.666666666599</c:v>
                </c:pt>
                <c:pt idx="120">
                  <c:v>45488.666666666599</c:v>
                </c:pt>
                <c:pt idx="121">
                  <c:v>45489.666666666599</c:v>
                </c:pt>
                <c:pt idx="122">
                  <c:v>45490.666666666599</c:v>
                </c:pt>
                <c:pt idx="123">
                  <c:v>45491.666666666599</c:v>
                </c:pt>
                <c:pt idx="124">
                  <c:v>45492.666666666599</c:v>
                </c:pt>
                <c:pt idx="125">
                  <c:v>45495.666666666599</c:v>
                </c:pt>
                <c:pt idx="126">
                  <c:v>45496.666666666599</c:v>
                </c:pt>
                <c:pt idx="127">
                  <c:v>45497.666666666599</c:v>
                </c:pt>
                <c:pt idx="128">
                  <c:v>45498.666666666599</c:v>
                </c:pt>
                <c:pt idx="129">
                  <c:v>45499.666666666599</c:v>
                </c:pt>
                <c:pt idx="130">
                  <c:v>45502.666666666599</c:v>
                </c:pt>
                <c:pt idx="131">
                  <c:v>45503.666666666599</c:v>
                </c:pt>
                <c:pt idx="132">
                  <c:v>45504.666666666599</c:v>
                </c:pt>
                <c:pt idx="133">
                  <c:v>45505.666666666599</c:v>
                </c:pt>
                <c:pt idx="134">
                  <c:v>45506.666666666599</c:v>
                </c:pt>
                <c:pt idx="135">
                  <c:v>45509.666666666599</c:v>
                </c:pt>
                <c:pt idx="136">
                  <c:v>45510.666666666599</c:v>
                </c:pt>
                <c:pt idx="137">
                  <c:v>45511.666666666599</c:v>
                </c:pt>
                <c:pt idx="138">
                  <c:v>45512.666666666599</c:v>
                </c:pt>
                <c:pt idx="139">
                  <c:v>45513.666666666599</c:v>
                </c:pt>
                <c:pt idx="140">
                  <c:v>45516.666666666599</c:v>
                </c:pt>
                <c:pt idx="141">
                  <c:v>45517.666666666599</c:v>
                </c:pt>
                <c:pt idx="142">
                  <c:v>45518.666666666599</c:v>
                </c:pt>
                <c:pt idx="143">
                  <c:v>45519.666666666599</c:v>
                </c:pt>
                <c:pt idx="144">
                  <c:v>45520.666666666599</c:v>
                </c:pt>
                <c:pt idx="145">
                  <c:v>45523.666666666599</c:v>
                </c:pt>
                <c:pt idx="146">
                  <c:v>45524.666666666599</c:v>
                </c:pt>
                <c:pt idx="147">
                  <c:v>45525.666666666599</c:v>
                </c:pt>
                <c:pt idx="148">
                  <c:v>45526.666666666599</c:v>
                </c:pt>
                <c:pt idx="149">
                  <c:v>45527.666666666599</c:v>
                </c:pt>
                <c:pt idx="150">
                  <c:v>45530.666666666599</c:v>
                </c:pt>
                <c:pt idx="151">
                  <c:v>45531.666666666599</c:v>
                </c:pt>
                <c:pt idx="152">
                  <c:v>45532.666666666599</c:v>
                </c:pt>
                <c:pt idx="153">
                  <c:v>45533.666666666599</c:v>
                </c:pt>
                <c:pt idx="154">
                  <c:v>45534.666666666599</c:v>
                </c:pt>
                <c:pt idx="155">
                  <c:v>45537.666666666599</c:v>
                </c:pt>
                <c:pt idx="156">
                  <c:v>45538.666666666599</c:v>
                </c:pt>
                <c:pt idx="157">
                  <c:v>45539.666666666599</c:v>
                </c:pt>
                <c:pt idx="158">
                  <c:v>45540.666666666599</c:v>
                </c:pt>
                <c:pt idx="159">
                  <c:v>45541.666666666599</c:v>
                </c:pt>
                <c:pt idx="160">
                  <c:v>45544.666666666599</c:v>
                </c:pt>
                <c:pt idx="161">
                  <c:v>45545.666666666599</c:v>
                </c:pt>
                <c:pt idx="162">
                  <c:v>45546.666666666599</c:v>
                </c:pt>
                <c:pt idx="163">
                  <c:v>45547.666666666599</c:v>
                </c:pt>
                <c:pt idx="164">
                  <c:v>45548.666666666599</c:v>
                </c:pt>
                <c:pt idx="165">
                  <c:v>45552.666666666599</c:v>
                </c:pt>
                <c:pt idx="166">
                  <c:v>45553.666666666599</c:v>
                </c:pt>
                <c:pt idx="167">
                  <c:v>45554.666666666599</c:v>
                </c:pt>
                <c:pt idx="168">
                  <c:v>45555.666666666599</c:v>
                </c:pt>
                <c:pt idx="169">
                  <c:v>45558.666666666599</c:v>
                </c:pt>
                <c:pt idx="170">
                  <c:v>45559.666666666599</c:v>
                </c:pt>
                <c:pt idx="171">
                  <c:v>45560.666666666599</c:v>
                </c:pt>
                <c:pt idx="172">
                  <c:v>45561.666666666599</c:v>
                </c:pt>
                <c:pt idx="173">
                  <c:v>45562.666666666599</c:v>
                </c:pt>
                <c:pt idx="174">
                  <c:v>45565.666666666599</c:v>
                </c:pt>
                <c:pt idx="175">
                  <c:v>45566.666666666599</c:v>
                </c:pt>
                <c:pt idx="176">
                  <c:v>45567.666666666599</c:v>
                </c:pt>
                <c:pt idx="177">
                  <c:v>45568.666666666599</c:v>
                </c:pt>
                <c:pt idx="178">
                  <c:v>45569.666666666599</c:v>
                </c:pt>
                <c:pt idx="179">
                  <c:v>45572.666666666599</c:v>
                </c:pt>
                <c:pt idx="180">
                  <c:v>45573.666666666599</c:v>
                </c:pt>
                <c:pt idx="181">
                  <c:v>45574.666666666599</c:v>
                </c:pt>
                <c:pt idx="182">
                  <c:v>45575.666666666599</c:v>
                </c:pt>
                <c:pt idx="183">
                  <c:v>45576.666666666599</c:v>
                </c:pt>
                <c:pt idx="184">
                  <c:v>45579.666666666599</c:v>
                </c:pt>
                <c:pt idx="185">
                  <c:v>45580.666666666599</c:v>
                </c:pt>
                <c:pt idx="186">
                  <c:v>45581.666666666599</c:v>
                </c:pt>
                <c:pt idx="187">
                  <c:v>45582.666666666599</c:v>
                </c:pt>
                <c:pt idx="188">
                  <c:v>45583.666666666599</c:v>
                </c:pt>
                <c:pt idx="189">
                  <c:v>45586.666666666599</c:v>
                </c:pt>
                <c:pt idx="190">
                  <c:v>45587.666666666599</c:v>
                </c:pt>
                <c:pt idx="191">
                  <c:v>45588.666666666599</c:v>
                </c:pt>
                <c:pt idx="192">
                  <c:v>45589.666666666599</c:v>
                </c:pt>
                <c:pt idx="193">
                  <c:v>45590.666666666599</c:v>
                </c:pt>
                <c:pt idx="194">
                  <c:v>45593.666666666599</c:v>
                </c:pt>
                <c:pt idx="195">
                  <c:v>45594.666666666599</c:v>
                </c:pt>
                <c:pt idx="196">
                  <c:v>45595.666666666599</c:v>
                </c:pt>
                <c:pt idx="197">
                  <c:v>45596.666666666599</c:v>
                </c:pt>
                <c:pt idx="198">
                  <c:v>45597.666666666599</c:v>
                </c:pt>
                <c:pt idx="199">
                  <c:v>45600.666666666599</c:v>
                </c:pt>
                <c:pt idx="200">
                  <c:v>45601.666666666599</c:v>
                </c:pt>
                <c:pt idx="201">
                  <c:v>45602.666666666599</c:v>
                </c:pt>
                <c:pt idx="202">
                  <c:v>45603.666666666599</c:v>
                </c:pt>
                <c:pt idx="203">
                  <c:v>45604.666666666599</c:v>
                </c:pt>
                <c:pt idx="204">
                  <c:v>45607.666666666599</c:v>
                </c:pt>
                <c:pt idx="205">
                  <c:v>45608.666666666599</c:v>
                </c:pt>
                <c:pt idx="206">
                  <c:v>45609.666666666599</c:v>
                </c:pt>
                <c:pt idx="207">
                  <c:v>45610.666666666599</c:v>
                </c:pt>
                <c:pt idx="208">
                  <c:v>45611.666666666599</c:v>
                </c:pt>
                <c:pt idx="209">
                  <c:v>45614.666666666599</c:v>
                </c:pt>
                <c:pt idx="210">
                  <c:v>45615.666666666599</c:v>
                </c:pt>
                <c:pt idx="211">
                  <c:v>45616.666666666599</c:v>
                </c:pt>
                <c:pt idx="212">
                  <c:v>45617.666666666599</c:v>
                </c:pt>
                <c:pt idx="213">
                  <c:v>45618.666666666599</c:v>
                </c:pt>
                <c:pt idx="214">
                  <c:v>45621.666666666599</c:v>
                </c:pt>
                <c:pt idx="215">
                  <c:v>45622.666666666599</c:v>
                </c:pt>
                <c:pt idx="216">
                  <c:v>45624.666666666599</c:v>
                </c:pt>
                <c:pt idx="217">
                  <c:v>45625.666666666599</c:v>
                </c:pt>
                <c:pt idx="218">
                  <c:v>45628.666666666599</c:v>
                </c:pt>
                <c:pt idx="219">
                  <c:v>45629.666666666599</c:v>
                </c:pt>
                <c:pt idx="220">
                  <c:v>45630.666666666599</c:v>
                </c:pt>
                <c:pt idx="221">
                  <c:v>45631.666666666599</c:v>
                </c:pt>
                <c:pt idx="222">
                  <c:v>45632.666666666599</c:v>
                </c:pt>
                <c:pt idx="223">
                  <c:v>45635.666666666599</c:v>
                </c:pt>
                <c:pt idx="224">
                  <c:v>45636.666666666599</c:v>
                </c:pt>
                <c:pt idx="225">
                  <c:v>45637.666666666599</c:v>
                </c:pt>
                <c:pt idx="226">
                  <c:v>45638.666666666599</c:v>
                </c:pt>
                <c:pt idx="227">
                  <c:v>45639.666666666599</c:v>
                </c:pt>
                <c:pt idx="228">
                  <c:v>45642.666666666599</c:v>
                </c:pt>
                <c:pt idx="229">
                  <c:v>45643.666666666599</c:v>
                </c:pt>
                <c:pt idx="230">
                  <c:v>45644.666666666599</c:v>
                </c:pt>
                <c:pt idx="231">
                  <c:v>45645.666666666599</c:v>
                </c:pt>
                <c:pt idx="232">
                  <c:v>45646.666666666599</c:v>
                </c:pt>
                <c:pt idx="233">
                  <c:v>45649.666666666599</c:v>
                </c:pt>
                <c:pt idx="234">
                  <c:v>45650.666666666599</c:v>
                </c:pt>
                <c:pt idx="235">
                  <c:v>45653.666666666599</c:v>
                </c:pt>
                <c:pt idx="236">
                  <c:v>45656.666666666599</c:v>
                </c:pt>
                <c:pt idx="237">
                  <c:v>45659.666666666599</c:v>
                </c:pt>
                <c:pt idx="238">
                  <c:v>45660.666666666599</c:v>
                </c:pt>
                <c:pt idx="239">
                  <c:v>45663.666666666599</c:v>
                </c:pt>
                <c:pt idx="240">
                  <c:v>45664.666666666599</c:v>
                </c:pt>
                <c:pt idx="241">
                  <c:v>45665.666666666599</c:v>
                </c:pt>
                <c:pt idx="242">
                  <c:v>45666.666666666599</c:v>
                </c:pt>
                <c:pt idx="243">
                  <c:v>45667.666666666599</c:v>
                </c:pt>
                <c:pt idx="244">
                  <c:v>45670.666666666599</c:v>
                </c:pt>
                <c:pt idx="245">
                  <c:v>45671.666666666599</c:v>
                </c:pt>
                <c:pt idx="246">
                  <c:v>45672.666666666599</c:v>
                </c:pt>
                <c:pt idx="247">
                  <c:v>45673.666666666599</c:v>
                </c:pt>
                <c:pt idx="248">
                  <c:v>45674.666666666599</c:v>
                </c:pt>
                <c:pt idx="249">
                  <c:v>45677.666666666599</c:v>
                </c:pt>
                <c:pt idx="250">
                  <c:v>45678.666666666599</c:v>
                </c:pt>
                <c:pt idx="251">
                  <c:v>45679.666666666599</c:v>
                </c:pt>
                <c:pt idx="252">
                  <c:v>45680.666666666599</c:v>
                </c:pt>
                <c:pt idx="253">
                  <c:v>45681.666666666599</c:v>
                </c:pt>
                <c:pt idx="254">
                  <c:v>45687.666666666599</c:v>
                </c:pt>
                <c:pt idx="255">
                  <c:v>45688.666666666599</c:v>
                </c:pt>
                <c:pt idx="256">
                  <c:v>45691.666666666599</c:v>
                </c:pt>
                <c:pt idx="257">
                  <c:v>45692.666666666599</c:v>
                </c:pt>
                <c:pt idx="258">
                  <c:v>45693.666666666599</c:v>
                </c:pt>
                <c:pt idx="259">
                  <c:v>45694.666666666599</c:v>
                </c:pt>
                <c:pt idx="260">
                  <c:v>45695.666666666599</c:v>
                </c:pt>
                <c:pt idx="261">
                  <c:v>45698.666666666599</c:v>
                </c:pt>
                <c:pt idx="262">
                  <c:v>45699.666666666599</c:v>
                </c:pt>
                <c:pt idx="263">
                  <c:v>45700.666666666599</c:v>
                </c:pt>
                <c:pt idx="264">
                  <c:v>45701.666666666599</c:v>
                </c:pt>
                <c:pt idx="265">
                  <c:v>45702.666666666599</c:v>
                </c:pt>
                <c:pt idx="266">
                  <c:v>45705.666666666599</c:v>
                </c:pt>
                <c:pt idx="267">
                  <c:v>45706.666666666599</c:v>
                </c:pt>
                <c:pt idx="268">
                  <c:v>45707.666666666599</c:v>
                </c:pt>
                <c:pt idx="269">
                  <c:v>45708.666666666599</c:v>
                </c:pt>
                <c:pt idx="270">
                  <c:v>45709.666666666599</c:v>
                </c:pt>
                <c:pt idx="271">
                  <c:v>45712.666666666599</c:v>
                </c:pt>
                <c:pt idx="272">
                  <c:v>45713.666666666599</c:v>
                </c:pt>
                <c:pt idx="273">
                  <c:v>45714.666666666599</c:v>
                </c:pt>
                <c:pt idx="274">
                  <c:v>45715.666666666599</c:v>
                </c:pt>
                <c:pt idx="275">
                  <c:v>45716.666666666599</c:v>
                </c:pt>
                <c:pt idx="276">
                  <c:v>45719.666666666599</c:v>
                </c:pt>
                <c:pt idx="277">
                  <c:v>45720.666666666599</c:v>
                </c:pt>
                <c:pt idx="278">
                  <c:v>45721.666666666599</c:v>
                </c:pt>
                <c:pt idx="279">
                  <c:v>45722.666666666599</c:v>
                </c:pt>
                <c:pt idx="280">
                  <c:v>45723.666666666599</c:v>
                </c:pt>
                <c:pt idx="281">
                  <c:v>45726.666666666599</c:v>
                </c:pt>
                <c:pt idx="282">
                  <c:v>45727.666666666599</c:v>
                </c:pt>
                <c:pt idx="283">
                  <c:v>45728.666666666599</c:v>
                </c:pt>
                <c:pt idx="284">
                  <c:v>45729.666666666599</c:v>
                </c:pt>
                <c:pt idx="285">
                  <c:v>45730.666666666599</c:v>
                </c:pt>
                <c:pt idx="286">
                  <c:v>45733.666666666599</c:v>
                </c:pt>
                <c:pt idx="287">
                  <c:v>45734.666666666599</c:v>
                </c:pt>
                <c:pt idx="288">
                  <c:v>45735.666666666599</c:v>
                </c:pt>
                <c:pt idx="289">
                  <c:v>45736.666666666599</c:v>
                </c:pt>
                <c:pt idx="290">
                  <c:v>45737.666666666599</c:v>
                </c:pt>
                <c:pt idx="291">
                  <c:v>45740.666666666599</c:v>
                </c:pt>
                <c:pt idx="292">
                  <c:v>45741.666666666599</c:v>
                </c:pt>
                <c:pt idx="293">
                  <c:v>45742.666666666599</c:v>
                </c:pt>
                <c:pt idx="294">
                  <c:v>45743.666666666599</c:v>
                </c:pt>
                <c:pt idx="295">
                  <c:v>45755.666666666599</c:v>
                </c:pt>
                <c:pt idx="296">
                  <c:v>45756.666666666599</c:v>
                </c:pt>
                <c:pt idx="297">
                  <c:v>45757.666666666599</c:v>
                </c:pt>
                <c:pt idx="298">
                  <c:v>45758.666666666599</c:v>
                </c:pt>
                <c:pt idx="299">
                  <c:v>45761.666666666599</c:v>
                </c:pt>
                <c:pt idx="300">
                  <c:v>45762.666666666599</c:v>
                </c:pt>
                <c:pt idx="301">
                  <c:v>45763.666666666599</c:v>
                </c:pt>
                <c:pt idx="302">
                  <c:v>45764.666666666599</c:v>
                </c:pt>
                <c:pt idx="303">
                  <c:v>45768.666666666599</c:v>
                </c:pt>
                <c:pt idx="304">
                  <c:v>45769.666666666599</c:v>
                </c:pt>
                <c:pt idx="305">
                  <c:v>45770.666666666599</c:v>
                </c:pt>
                <c:pt idx="306">
                  <c:v>45771.666666666599</c:v>
                </c:pt>
                <c:pt idx="307">
                  <c:v>45772.666666666599</c:v>
                </c:pt>
                <c:pt idx="308">
                  <c:v>45775.666666666599</c:v>
                </c:pt>
                <c:pt idx="309">
                  <c:v>45776.666666666599</c:v>
                </c:pt>
                <c:pt idx="310">
                  <c:v>45777.666666666599</c:v>
                </c:pt>
                <c:pt idx="311">
                  <c:v>45779.666666666599</c:v>
                </c:pt>
                <c:pt idx="312">
                  <c:v>45782.666666666599</c:v>
                </c:pt>
                <c:pt idx="313">
                  <c:v>45783.666666666599</c:v>
                </c:pt>
                <c:pt idx="314">
                  <c:v>45784.666666666599</c:v>
                </c:pt>
                <c:pt idx="315">
                  <c:v>45785.666666666599</c:v>
                </c:pt>
                <c:pt idx="316">
                  <c:v>45786.666666666599</c:v>
                </c:pt>
                <c:pt idx="317">
                  <c:v>45791.666666666599</c:v>
                </c:pt>
                <c:pt idx="318">
                  <c:v>45792.666666666599</c:v>
                </c:pt>
                <c:pt idx="319">
                  <c:v>45793.666666666599</c:v>
                </c:pt>
                <c:pt idx="320">
                  <c:v>45796.666666666599</c:v>
                </c:pt>
                <c:pt idx="321">
                  <c:v>45797.666666666599</c:v>
                </c:pt>
                <c:pt idx="322">
                  <c:v>45798.666666666599</c:v>
                </c:pt>
                <c:pt idx="323">
                  <c:v>45799.666666666599</c:v>
                </c:pt>
                <c:pt idx="324">
                  <c:v>45800.666666666599</c:v>
                </c:pt>
                <c:pt idx="325">
                  <c:v>45803.666666666599</c:v>
                </c:pt>
                <c:pt idx="326">
                  <c:v>45804.666666666599</c:v>
                </c:pt>
                <c:pt idx="327">
                  <c:v>45805.666666666599</c:v>
                </c:pt>
                <c:pt idx="328">
                  <c:v>45810.666666666599</c:v>
                </c:pt>
                <c:pt idx="329">
                  <c:v>45811.666666666599</c:v>
                </c:pt>
                <c:pt idx="330">
                  <c:v>45812.666666666599</c:v>
                </c:pt>
                <c:pt idx="331">
                  <c:v>45813.666666666599</c:v>
                </c:pt>
                <c:pt idx="332">
                  <c:v>45818.666666666599</c:v>
                </c:pt>
                <c:pt idx="333">
                  <c:v>45819.666666666599</c:v>
                </c:pt>
                <c:pt idx="334">
                  <c:v>45820.666666666599</c:v>
                </c:pt>
                <c:pt idx="335">
                  <c:v>45821.666666666599</c:v>
                </c:pt>
                <c:pt idx="336">
                  <c:v>45824.666666666599</c:v>
                </c:pt>
                <c:pt idx="337">
                  <c:v>45825.666666666599</c:v>
                </c:pt>
                <c:pt idx="338">
                  <c:v>45826.666666666599</c:v>
                </c:pt>
                <c:pt idx="339">
                  <c:v>45827.666666666599</c:v>
                </c:pt>
                <c:pt idx="340">
                  <c:v>45828.666666666599</c:v>
                </c:pt>
                <c:pt idx="341">
                  <c:v>45831.666666666599</c:v>
                </c:pt>
                <c:pt idx="342">
                  <c:v>45832.666666666599</c:v>
                </c:pt>
                <c:pt idx="343">
                  <c:v>45833.666666666599</c:v>
                </c:pt>
                <c:pt idx="344">
                  <c:v>45834.666666666599</c:v>
                </c:pt>
                <c:pt idx="345">
                  <c:v>45838.666666666599</c:v>
                </c:pt>
                <c:pt idx="346">
                  <c:v>45839.666666666599</c:v>
                </c:pt>
                <c:pt idx="347">
                  <c:v>45840.666666666599</c:v>
                </c:pt>
                <c:pt idx="348">
                  <c:v>45841.666666666599</c:v>
                </c:pt>
                <c:pt idx="349">
                  <c:v>45842.666666666599</c:v>
                </c:pt>
                <c:pt idx="350">
                  <c:v>45845.666666666599</c:v>
                </c:pt>
                <c:pt idx="351">
                  <c:v>45846.666666666599</c:v>
                </c:pt>
                <c:pt idx="352">
                  <c:v>45847.666666666599</c:v>
                </c:pt>
                <c:pt idx="353">
                  <c:v>45848.666666666599</c:v>
                </c:pt>
                <c:pt idx="354">
                  <c:v>45849.666666666599</c:v>
                </c:pt>
                <c:pt idx="355">
                  <c:v>45852.666666666599</c:v>
                </c:pt>
                <c:pt idx="356">
                  <c:v>45853.666666666599</c:v>
                </c:pt>
                <c:pt idx="357">
                  <c:v>45854.666666666599</c:v>
                </c:pt>
                <c:pt idx="358">
                  <c:v>45855.666666666599</c:v>
                </c:pt>
                <c:pt idx="359">
                  <c:v>45856.666666666599</c:v>
                </c:pt>
                <c:pt idx="360">
                  <c:v>45859.666666666599</c:v>
                </c:pt>
                <c:pt idx="361">
                  <c:v>45860.666666666599</c:v>
                </c:pt>
                <c:pt idx="362">
                  <c:v>45861.666666666599</c:v>
                </c:pt>
                <c:pt idx="363">
                  <c:v>45862.666666666599</c:v>
                </c:pt>
                <c:pt idx="364">
                  <c:v>45863.666666666599</c:v>
                </c:pt>
                <c:pt idx="365">
                  <c:v>45866.666666666599</c:v>
                </c:pt>
                <c:pt idx="366">
                  <c:v>45867.666666666599</c:v>
                </c:pt>
                <c:pt idx="367">
                  <c:v>45868.666666666599</c:v>
                </c:pt>
                <c:pt idx="368">
                  <c:v>45869.666666666599</c:v>
                </c:pt>
                <c:pt idx="369">
                  <c:v>45870.666666666599</c:v>
                </c:pt>
                <c:pt idx="370">
                  <c:v>45873.666666666599</c:v>
                </c:pt>
                <c:pt idx="371">
                  <c:v>45874.666666666599</c:v>
                </c:pt>
                <c:pt idx="372">
                  <c:v>45875.666666666599</c:v>
                </c:pt>
                <c:pt idx="373">
                  <c:v>45876.666666666599</c:v>
                </c:pt>
                <c:pt idx="374">
                  <c:v>45877.666666666599</c:v>
                </c:pt>
                <c:pt idx="375">
                  <c:v>45880.666666666599</c:v>
                </c:pt>
                <c:pt idx="376">
                  <c:v>45881.666666666599</c:v>
                </c:pt>
                <c:pt idx="377">
                  <c:v>45882.666666666599</c:v>
                </c:pt>
                <c:pt idx="378">
                  <c:v>45883.666666666599</c:v>
                </c:pt>
                <c:pt idx="379">
                  <c:v>45884.666666666599</c:v>
                </c:pt>
                <c:pt idx="380">
                  <c:v>45888.666666666599</c:v>
                </c:pt>
                <c:pt idx="381">
                  <c:v>45889.666666666599</c:v>
                </c:pt>
                <c:pt idx="382">
                  <c:v>45890.666666666599</c:v>
                </c:pt>
                <c:pt idx="383">
                  <c:v>45891.666666666599</c:v>
                </c:pt>
                <c:pt idx="384">
                  <c:v>45894.666666666599</c:v>
                </c:pt>
                <c:pt idx="385">
                  <c:v>45895.666666666599</c:v>
                </c:pt>
                <c:pt idx="386">
                  <c:v>45896.666666666599</c:v>
                </c:pt>
                <c:pt idx="387">
                  <c:v>45897.666666666599</c:v>
                </c:pt>
                <c:pt idx="388">
                  <c:v>45898.666666666599</c:v>
                </c:pt>
                <c:pt idx="389">
                  <c:v>45901.666666666599</c:v>
                </c:pt>
                <c:pt idx="390">
                  <c:v>45902.666666666599</c:v>
                </c:pt>
                <c:pt idx="391">
                  <c:v>45903.666666666599</c:v>
                </c:pt>
                <c:pt idx="392">
                  <c:v>45904.666666666599</c:v>
                </c:pt>
                <c:pt idx="393">
                  <c:v>45908.666666666599</c:v>
                </c:pt>
                <c:pt idx="394">
                  <c:v>45909.666666666599</c:v>
                </c:pt>
                <c:pt idx="395">
                  <c:v>45910.666666666599</c:v>
                </c:pt>
                <c:pt idx="396">
                  <c:v>45911.666666666599</c:v>
                </c:pt>
                <c:pt idx="397">
                  <c:v>45912.666666666599</c:v>
                </c:pt>
                <c:pt idx="398">
                  <c:v>45915.666666666599</c:v>
                </c:pt>
                <c:pt idx="399">
                  <c:v>45916.666666666599</c:v>
                </c:pt>
                <c:pt idx="400">
                  <c:v>45917.666666666599</c:v>
                </c:pt>
                <c:pt idx="401">
                  <c:v>45918.666666666599</c:v>
                </c:pt>
                <c:pt idx="402">
                  <c:v>45919.666666666599</c:v>
                </c:pt>
                <c:pt idx="403">
                  <c:v>45922.666666666599</c:v>
                </c:pt>
                <c:pt idx="404">
                  <c:v>45923.666666666599</c:v>
                </c:pt>
                <c:pt idx="405">
                  <c:v>45924.666666666599</c:v>
                </c:pt>
                <c:pt idx="406">
                  <c:v>45925.666666666599</c:v>
                </c:pt>
                <c:pt idx="407">
                  <c:v>45926.666666666599</c:v>
                </c:pt>
                <c:pt idx="408">
                  <c:v>45929.666666666599</c:v>
                </c:pt>
                <c:pt idx="409">
                  <c:v>45930.666666666599</c:v>
                </c:pt>
                <c:pt idx="410">
                  <c:v>45931.666666666599</c:v>
                </c:pt>
                <c:pt idx="411">
                  <c:v>45932.666666666599</c:v>
                </c:pt>
                <c:pt idx="412">
                  <c:v>45933.666666666599</c:v>
                </c:pt>
                <c:pt idx="413">
                  <c:v>45936.666666666599</c:v>
                </c:pt>
                <c:pt idx="414">
                  <c:v>45937.666666666599</c:v>
                </c:pt>
                <c:pt idx="415">
                  <c:v>45938.666666666599</c:v>
                </c:pt>
                <c:pt idx="416">
                  <c:v>45939.666666666599</c:v>
                </c:pt>
                <c:pt idx="417">
                  <c:v>45940.666666666599</c:v>
                </c:pt>
                <c:pt idx="418">
                  <c:v>45943.666666666599</c:v>
                </c:pt>
                <c:pt idx="419">
                  <c:v>45944.666666666599</c:v>
                </c:pt>
                <c:pt idx="420">
                  <c:v>45945.666666666599</c:v>
                </c:pt>
                <c:pt idx="421">
                  <c:v>45946.666666666599</c:v>
                </c:pt>
                <c:pt idx="422">
                  <c:v>45947.666666666599</c:v>
                </c:pt>
                <c:pt idx="423">
                  <c:v>45950.666666666599</c:v>
                </c:pt>
                <c:pt idx="424">
                  <c:v>45951.666666666599</c:v>
                </c:pt>
                <c:pt idx="425">
                  <c:v>45952.666666666599</c:v>
                </c:pt>
                <c:pt idx="426">
                  <c:v>45953.666666666599</c:v>
                </c:pt>
                <c:pt idx="427">
                  <c:v>45954.666666666599</c:v>
                </c:pt>
                <c:pt idx="428">
                  <c:v>45957.666666666599</c:v>
                </c:pt>
                <c:pt idx="429">
                  <c:v>45958.666666666599</c:v>
                </c:pt>
                <c:pt idx="430">
                  <c:v>45959.666666666599</c:v>
                </c:pt>
                <c:pt idx="431">
                  <c:v>45960.666666666599</c:v>
                </c:pt>
                <c:pt idx="432">
                  <c:v>45961.666666666599</c:v>
                </c:pt>
                <c:pt idx="433">
                  <c:v>45964.666666666599</c:v>
                </c:pt>
                <c:pt idx="434">
                  <c:v>45965.666666666599</c:v>
                </c:pt>
                <c:pt idx="435">
                  <c:v>45966.666666666599</c:v>
                </c:pt>
                <c:pt idx="436">
                  <c:v>45967.666666666599</c:v>
                </c:pt>
                <c:pt idx="437">
                  <c:v>45968.666666666599</c:v>
                </c:pt>
                <c:pt idx="438">
                  <c:v>45971.666666666599</c:v>
                </c:pt>
                <c:pt idx="439">
                  <c:v>45972.666666666599</c:v>
                </c:pt>
                <c:pt idx="440">
                  <c:v>45973.666666666599</c:v>
                </c:pt>
                <c:pt idx="441">
                  <c:v>45974.666666666599</c:v>
                </c:pt>
                <c:pt idx="442">
                  <c:v>45975.666666666599</c:v>
                </c:pt>
                <c:pt idx="443">
                  <c:v>45978.666666666599</c:v>
                </c:pt>
                <c:pt idx="444">
                  <c:v>45979.666666666599</c:v>
                </c:pt>
                <c:pt idx="445">
                  <c:v>45980.666666666599</c:v>
                </c:pt>
                <c:pt idx="446">
                  <c:v>45981.666666666599</c:v>
                </c:pt>
                <c:pt idx="447">
                  <c:v>45982.666666666599</c:v>
                </c:pt>
                <c:pt idx="448">
                  <c:v>45985.666666666599</c:v>
                </c:pt>
                <c:pt idx="449">
                  <c:v>45986.666666666599</c:v>
                </c:pt>
                <c:pt idx="450">
                  <c:v>45987.666666666599</c:v>
                </c:pt>
                <c:pt idx="451">
                  <c:v>45988.666666666599</c:v>
                </c:pt>
                <c:pt idx="452">
                  <c:v>45989.666666666599</c:v>
                </c:pt>
                <c:pt idx="453">
                  <c:v>45992.666666666599</c:v>
                </c:pt>
                <c:pt idx="454">
                  <c:v>45993.666666666599</c:v>
                </c:pt>
                <c:pt idx="455">
                  <c:v>45994.666666666599</c:v>
                </c:pt>
                <c:pt idx="456">
                  <c:v>45995.666666666599</c:v>
                </c:pt>
                <c:pt idx="457">
                  <c:v>45996.666666666599</c:v>
                </c:pt>
                <c:pt idx="458">
                  <c:v>45999.666666666599</c:v>
                </c:pt>
                <c:pt idx="459">
                  <c:v>46000.666666666599</c:v>
                </c:pt>
                <c:pt idx="460">
                  <c:v>46001.666666666599</c:v>
                </c:pt>
                <c:pt idx="461">
                  <c:v>46002.666666666599</c:v>
                </c:pt>
                <c:pt idx="462">
                  <c:v>46003.666666666599</c:v>
                </c:pt>
                <c:pt idx="463">
                  <c:v>46006.666666666599</c:v>
                </c:pt>
                <c:pt idx="464">
                  <c:v>46007.666666666599</c:v>
                </c:pt>
                <c:pt idx="465">
                  <c:v>46008.666666666599</c:v>
                </c:pt>
                <c:pt idx="466">
                  <c:v>46009.666666666599</c:v>
                </c:pt>
                <c:pt idx="467">
                  <c:v>46010.666666666599</c:v>
                </c:pt>
                <c:pt idx="468">
                  <c:v>46013.666666666599</c:v>
                </c:pt>
                <c:pt idx="469">
                  <c:v>46014.666666666599</c:v>
                </c:pt>
                <c:pt idx="470">
                  <c:v>46015.666666666599</c:v>
                </c:pt>
                <c:pt idx="471">
                  <c:v>46020.666666666599</c:v>
                </c:pt>
                <c:pt idx="472">
                  <c:v>46021.666666666599</c:v>
                </c:pt>
              </c:numCache>
            </c:numRef>
          </c:cat>
          <c:val>
            <c:numRef>
              <c:f>BBNI!$G$2:$G$474</c:f>
              <c:numCache>
                <c:formatCode>General</c:formatCode>
                <c:ptCount val="473"/>
                <c:pt idx="0">
                  <c:v>5375</c:v>
                </c:pt>
                <c:pt idx="1">
                  <c:v>5350</c:v>
                </c:pt>
                <c:pt idx="2">
                  <c:v>5600</c:v>
                </c:pt>
                <c:pt idx="3">
                  <c:v>5575</c:v>
                </c:pt>
                <c:pt idx="4">
                  <c:v>5575</c:v>
                </c:pt>
                <c:pt idx="5">
                  <c:v>5650</c:v>
                </c:pt>
                <c:pt idx="6">
                  <c:v>5600</c:v>
                </c:pt>
                <c:pt idx="7">
                  <c:v>5600</c:v>
                </c:pt>
                <c:pt idx="8">
                  <c:v>5600</c:v>
                </c:pt>
                <c:pt idx="9">
                  <c:v>5625</c:v>
                </c:pt>
                <c:pt idx="10">
                  <c:v>5600</c:v>
                </c:pt>
                <c:pt idx="11">
                  <c:v>5550</c:v>
                </c:pt>
                <c:pt idx="12">
                  <c:v>5550</c:v>
                </c:pt>
                <c:pt idx="13">
                  <c:v>5500</c:v>
                </c:pt>
                <c:pt idx="14">
                  <c:v>5525</c:v>
                </c:pt>
                <c:pt idx="15">
                  <c:v>5425</c:v>
                </c:pt>
                <c:pt idx="16">
                  <c:v>5475</c:v>
                </c:pt>
                <c:pt idx="17">
                  <c:v>5400</c:v>
                </c:pt>
                <c:pt idx="18">
                  <c:v>5425</c:v>
                </c:pt>
                <c:pt idx="19">
                  <c:v>5575</c:v>
                </c:pt>
                <c:pt idx="20">
                  <c:v>5650</c:v>
                </c:pt>
                <c:pt idx="21">
                  <c:v>5750</c:v>
                </c:pt>
                <c:pt idx="22">
                  <c:v>5725</c:v>
                </c:pt>
                <c:pt idx="23">
                  <c:v>5775</c:v>
                </c:pt>
                <c:pt idx="24">
                  <c:v>5750</c:v>
                </c:pt>
                <c:pt idx="25">
                  <c:v>5775</c:v>
                </c:pt>
                <c:pt idx="26">
                  <c:v>5750</c:v>
                </c:pt>
                <c:pt idx="27">
                  <c:v>5950</c:v>
                </c:pt>
                <c:pt idx="28">
                  <c:v>5875</c:v>
                </c:pt>
                <c:pt idx="29">
                  <c:v>6000</c:v>
                </c:pt>
                <c:pt idx="30">
                  <c:v>6000</c:v>
                </c:pt>
                <c:pt idx="31">
                  <c:v>5875</c:v>
                </c:pt>
                <c:pt idx="32">
                  <c:v>6025</c:v>
                </c:pt>
                <c:pt idx="33">
                  <c:v>6000</c:v>
                </c:pt>
                <c:pt idx="34">
                  <c:v>5950</c:v>
                </c:pt>
                <c:pt idx="35">
                  <c:v>5900</c:v>
                </c:pt>
                <c:pt idx="36">
                  <c:v>5900</c:v>
                </c:pt>
                <c:pt idx="37">
                  <c:v>6000</c:v>
                </c:pt>
                <c:pt idx="38">
                  <c:v>5975</c:v>
                </c:pt>
                <c:pt idx="39">
                  <c:v>6000</c:v>
                </c:pt>
                <c:pt idx="40">
                  <c:v>5900</c:v>
                </c:pt>
                <c:pt idx="41">
                  <c:v>5875</c:v>
                </c:pt>
                <c:pt idx="42">
                  <c:v>5900</c:v>
                </c:pt>
                <c:pt idx="43">
                  <c:v>5950</c:v>
                </c:pt>
                <c:pt idx="44">
                  <c:v>5975</c:v>
                </c:pt>
                <c:pt idx="45">
                  <c:v>6100</c:v>
                </c:pt>
                <c:pt idx="46">
                  <c:v>6225</c:v>
                </c:pt>
                <c:pt idx="47">
                  <c:v>6150</c:v>
                </c:pt>
                <c:pt idx="48">
                  <c:v>5800</c:v>
                </c:pt>
                <c:pt idx="49">
                  <c:v>5800</c:v>
                </c:pt>
                <c:pt idx="50">
                  <c:v>5850</c:v>
                </c:pt>
                <c:pt idx="51">
                  <c:v>5875</c:v>
                </c:pt>
                <c:pt idx="52">
                  <c:v>5800</c:v>
                </c:pt>
                <c:pt idx="53">
                  <c:v>5850</c:v>
                </c:pt>
                <c:pt idx="54">
                  <c:v>5925</c:v>
                </c:pt>
                <c:pt idx="55">
                  <c:v>5950</c:v>
                </c:pt>
                <c:pt idx="56">
                  <c:v>5925</c:v>
                </c:pt>
                <c:pt idx="57">
                  <c:v>5900</c:v>
                </c:pt>
                <c:pt idx="58">
                  <c:v>5650</c:v>
                </c:pt>
                <c:pt idx="59">
                  <c:v>5475</c:v>
                </c:pt>
                <c:pt idx="60">
                  <c:v>5325</c:v>
                </c:pt>
                <c:pt idx="61">
                  <c:v>5350</c:v>
                </c:pt>
                <c:pt idx="62">
                  <c:v>5300</c:v>
                </c:pt>
                <c:pt idx="63">
                  <c:v>5200</c:v>
                </c:pt>
                <c:pt idx="64">
                  <c:v>5250</c:v>
                </c:pt>
                <c:pt idx="65">
                  <c:v>5300</c:v>
                </c:pt>
                <c:pt idx="66">
                  <c:v>5225</c:v>
                </c:pt>
                <c:pt idx="67">
                  <c:v>5350</c:v>
                </c:pt>
                <c:pt idx="68">
                  <c:v>5250</c:v>
                </c:pt>
                <c:pt idx="69">
                  <c:v>5300</c:v>
                </c:pt>
                <c:pt idx="70">
                  <c:v>5300</c:v>
                </c:pt>
                <c:pt idx="71">
                  <c:v>5150</c:v>
                </c:pt>
                <c:pt idx="72">
                  <c:v>5225</c:v>
                </c:pt>
                <c:pt idx="73">
                  <c:v>5250</c:v>
                </c:pt>
                <c:pt idx="74">
                  <c:v>4830</c:v>
                </c:pt>
                <c:pt idx="75">
                  <c:v>4830</c:v>
                </c:pt>
                <c:pt idx="76">
                  <c:v>4810</c:v>
                </c:pt>
                <c:pt idx="77">
                  <c:v>4700</c:v>
                </c:pt>
                <c:pt idx="78">
                  <c:v>4670</c:v>
                </c:pt>
                <c:pt idx="79">
                  <c:v>4780</c:v>
                </c:pt>
                <c:pt idx="80">
                  <c:v>4930</c:v>
                </c:pt>
                <c:pt idx="81">
                  <c:v>5025</c:v>
                </c:pt>
                <c:pt idx="82">
                  <c:v>5200</c:v>
                </c:pt>
                <c:pt idx="83">
                  <c:v>5175</c:v>
                </c:pt>
                <c:pt idx="84">
                  <c:v>4980</c:v>
                </c:pt>
                <c:pt idx="85">
                  <c:v>4770</c:v>
                </c:pt>
                <c:pt idx="86">
                  <c:v>4760</c:v>
                </c:pt>
                <c:pt idx="87">
                  <c:v>4670</c:v>
                </c:pt>
                <c:pt idx="88">
                  <c:v>4710</c:v>
                </c:pt>
                <c:pt idx="89">
                  <c:v>4530</c:v>
                </c:pt>
                <c:pt idx="90">
                  <c:v>4490</c:v>
                </c:pt>
                <c:pt idx="91">
                  <c:v>4400</c:v>
                </c:pt>
                <c:pt idx="92">
                  <c:v>4620</c:v>
                </c:pt>
                <c:pt idx="93">
                  <c:v>4640</c:v>
                </c:pt>
                <c:pt idx="94">
                  <c:v>4610</c:v>
                </c:pt>
                <c:pt idx="95">
                  <c:v>4770</c:v>
                </c:pt>
                <c:pt idx="96">
                  <c:v>4700</c:v>
                </c:pt>
                <c:pt idx="97">
                  <c:v>4610</c:v>
                </c:pt>
                <c:pt idx="98">
                  <c:v>4480</c:v>
                </c:pt>
                <c:pt idx="99">
                  <c:v>4430</c:v>
                </c:pt>
                <c:pt idx="100">
                  <c:v>4480</c:v>
                </c:pt>
                <c:pt idx="101">
                  <c:v>4310</c:v>
                </c:pt>
                <c:pt idx="102">
                  <c:v>4300</c:v>
                </c:pt>
                <c:pt idx="103">
                  <c:v>4400</c:v>
                </c:pt>
                <c:pt idx="104">
                  <c:v>4540</c:v>
                </c:pt>
                <c:pt idx="105">
                  <c:v>4540</c:v>
                </c:pt>
                <c:pt idx="106">
                  <c:v>4480</c:v>
                </c:pt>
                <c:pt idx="107">
                  <c:v>4420</c:v>
                </c:pt>
                <c:pt idx="108">
                  <c:v>4580</c:v>
                </c:pt>
                <c:pt idx="109">
                  <c:v>4660</c:v>
                </c:pt>
                <c:pt idx="110">
                  <c:v>4710</c:v>
                </c:pt>
                <c:pt idx="111">
                  <c:v>4710</c:v>
                </c:pt>
                <c:pt idx="112">
                  <c:v>4650</c:v>
                </c:pt>
                <c:pt idx="113">
                  <c:v>4710</c:v>
                </c:pt>
                <c:pt idx="114">
                  <c:v>4700</c:v>
                </c:pt>
                <c:pt idx="115">
                  <c:v>4670</c:v>
                </c:pt>
                <c:pt idx="116">
                  <c:v>4860</c:v>
                </c:pt>
                <c:pt idx="117">
                  <c:v>4820</c:v>
                </c:pt>
                <c:pt idx="118">
                  <c:v>4870</c:v>
                </c:pt>
                <c:pt idx="119">
                  <c:v>5025</c:v>
                </c:pt>
                <c:pt idx="120">
                  <c:v>5025</c:v>
                </c:pt>
                <c:pt idx="121">
                  <c:v>4980</c:v>
                </c:pt>
                <c:pt idx="122">
                  <c:v>5000</c:v>
                </c:pt>
                <c:pt idx="123">
                  <c:v>5075</c:v>
                </c:pt>
                <c:pt idx="124">
                  <c:v>5100</c:v>
                </c:pt>
                <c:pt idx="125">
                  <c:v>5100</c:v>
                </c:pt>
                <c:pt idx="126">
                  <c:v>5050</c:v>
                </c:pt>
                <c:pt idx="127">
                  <c:v>5100</c:v>
                </c:pt>
                <c:pt idx="128">
                  <c:v>5025</c:v>
                </c:pt>
                <c:pt idx="129">
                  <c:v>5000</c:v>
                </c:pt>
                <c:pt idx="130">
                  <c:v>5025</c:v>
                </c:pt>
                <c:pt idx="131">
                  <c:v>4950</c:v>
                </c:pt>
                <c:pt idx="132">
                  <c:v>4970</c:v>
                </c:pt>
                <c:pt idx="133">
                  <c:v>5075</c:v>
                </c:pt>
                <c:pt idx="134">
                  <c:v>5100</c:v>
                </c:pt>
                <c:pt idx="135">
                  <c:v>4960</c:v>
                </c:pt>
                <c:pt idx="136">
                  <c:v>5025</c:v>
                </c:pt>
                <c:pt idx="137">
                  <c:v>5000</c:v>
                </c:pt>
                <c:pt idx="138">
                  <c:v>5025</c:v>
                </c:pt>
                <c:pt idx="139">
                  <c:v>5125</c:v>
                </c:pt>
                <c:pt idx="140">
                  <c:v>5125</c:v>
                </c:pt>
                <c:pt idx="141">
                  <c:v>5175</c:v>
                </c:pt>
                <c:pt idx="142">
                  <c:v>5275</c:v>
                </c:pt>
                <c:pt idx="143">
                  <c:v>5250</c:v>
                </c:pt>
                <c:pt idx="144">
                  <c:v>5300</c:v>
                </c:pt>
                <c:pt idx="145">
                  <c:v>5350</c:v>
                </c:pt>
                <c:pt idx="146">
                  <c:v>5475</c:v>
                </c:pt>
                <c:pt idx="147">
                  <c:v>5450</c:v>
                </c:pt>
                <c:pt idx="148">
                  <c:v>5275</c:v>
                </c:pt>
                <c:pt idx="149">
                  <c:v>5450</c:v>
                </c:pt>
                <c:pt idx="150">
                  <c:v>5525</c:v>
                </c:pt>
                <c:pt idx="151">
                  <c:v>5400</c:v>
                </c:pt>
                <c:pt idx="152">
                  <c:v>5375</c:v>
                </c:pt>
                <c:pt idx="153">
                  <c:v>5300</c:v>
                </c:pt>
                <c:pt idx="154">
                  <c:v>5350</c:v>
                </c:pt>
                <c:pt idx="155">
                  <c:v>5350</c:v>
                </c:pt>
                <c:pt idx="156">
                  <c:v>5375</c:v>
                </c:pt>
                <c:pt idx="157">
                  <c:v>5350</c:v>
                </c:pt>
                <c:pt idx="158">
                  <c:v>5450</c:v>
                </c:pt>
                <c:pt idx="159">
                  <c:v>5650</c:v>
                </c:pt>
                <c:pt idx="160">
                  <c:v>5725</c:v>
                </c:pt>
                <c:pt idx="161">
                  <c:v>5700</c:v>
                </c:pt>
                <c:pt idx="162">
                  <c:v>5650</c:v>
                </c:pt>
                <c:pt idx="163">
                  <c:v>5600</c:v>
                </c:pt>
                <c:pt idx="164">
                  <c:v>5625</c:v>
                </c:pt>
                <c:pt idx="165">
                  <c:v>5650</c:v>
                </c:pt>
                <c:pt idx="166">
                  <c:v>5700</c:v>
                </c:pt>
                <c:pt idx="167">
                  <c:v>5825</c:v>
                </c:pt>
                <c:pt idx="168">
                  <c:v>5750</c:v>
                </c:pt>
                <c:pt idx="169">
                  <c:v>5800</c:v>
                </c:pt>
                <c:pt idx="170">
                  <c:v>5800</c:v>
                </c:pt>
                <c:pt idx="171">
                  <c:v>5600</c:v>
                </c:pt>
                <c:pt idx="172">
                  <c:v>5600</c:v>
                </c:pt>
                <c:pt idx="173">
                  <c:v>5450</c:v>
                </c:pt>
                <c:pt idx="174">
                  <c:v>5350</c:v>
                </c:pt>
                <c:pt idx="175">
                  <c:v>5375</c:v>
                </c:pt>
                <c:pt idx="176">
                  <c:v>5350</c:v>
                </c:pt>
                <c:pt idx="177">
                  <c:v>5375</c:v>
                </c:pt>
                <c:pt idx="178">
                  <c:v>5325</c:v>
                </c:pt>
                <c:pt idx="179">
                  <c:v>5200</c:v>
                </c:pt>
                <c:pt idx="180">
                  <c:v>5350</c:v>
                </c:pt>
                <c:pt idx="181">
                  <c:v>5325</c:v>
                </c:pt>
                <c:pt idx="182">
                  <c:v>5325</c:v>
                </c:pt>
                <c:pt idx="183">
                  <c:v>5375</c:v>
                </c:pt>
                <c:pt idx="184">
                  <c:v>5425</c:v>
                </c:pt>
                <c:pt idx="185">
                  <c:v>5500</c:v>
                </c:pt>
                <c:pt idx="186">
                  <c:v>5475</c:v>
                </c:pt>
                <c:pt idx="187">
                  <c:v>5500</c:v>
                </c:pt>
                <c:pt idx="188">
                  <c:v>5650</c:v>
                </c:pt>
                <c:pt idx="189">
                  <c:v>5625</c:v>
                </c:pt>
                <c:pt idx="190">
                  <c:v>5650</c:v>
                </c:pt>
                <c:pt idx="191">
                  <c:v>5675</c:v>
                </c:pt>
                <c:pt idx="192">
                  <c:v>5625</c:v>
                </c:pt>
                <c:pt idx="193">
                  <c:v>5650</c:v>
                </c:pt>
                <c:pt idx="194">
                  <c:v>5500</c:v>
                </c:pt>
                <c:pt idx="195">
                  <c:v>5300</c:v>
                </c:pt>
                <c:pt idx="196">
                  <c:v>5225</c:v>
                </c:pt>
                <c:pt idx="197">
                  <c:v>5250</c:v>
                </c:pt>
                <c:pt idx="198">
                  <c:v>5200</c:v>
                </c:pt>
                <c:pt idx="199">
                  <c:v>5300</c:v>
                </c:pt>
                <c:pt idx="200">
                  <c:v>5400</c:v>
                </c:pt>
                <c:pt idx="201">
                  <c:v>5125</c:v>
                </c:pt>
                <c:pt idx="202">
                  <c:v>5025</c:v>
                </c:pt>
                <c:pt idx="203">
                  <c:v>4980</c:v>
                </c:pt>
                <c:pt idx="204">
                  <c:v>4990</c:v>
                </c:pt>
                <c:pt idx="205">
                  <c:v>4930</c:v>
                </c:pt>
                <c:pt idx="206">
                  <c:v>4960</c:v>
                </c:pt>
                <c:pt idx="207">
                  <c:v>4950</c:v>
                </c:pt>
                <c:pt idx="208">
                  <c:v>4910</c:v>
                </c:pt>
                <c:pt idx="209">
                  <c:v>4870</c:v>
                </c:pt>
                <c:pt idx="210">
                  <c:v>4850</c:v>
                </c:pt>
                <c:pt idx="211">
                  <c:v>4850</c:v>
                </c:pt>
                <c:pt idx="212">
                  <c:v>4720</c:v>
                </c:pt>
                <c:pt idx="213">
                  <c:v>4840</c:v>
                </c:pt>
                <c:pt idx="214">
                  <c:v>4990</c:v>
                </c:pt>
                <c:pt idx="215">
                  <c:v>4950</c:v>
                </c:pt>
                <c:pt idx="216">
                  <c:v>5025</c:v>
                </c:pt>
                <c:pt idx="217">
                  <c:v>4980</c:v>
                </c:pt>
                <c:pt idx="218">
                  <c:v>4710</c:v>
                </c:pt>
                <c:pt idx="219">
                  <c:v>4780</c:v>
                </c:pt>
                <c:pt idx="220">
                  <c:v>4950</c:v>
                </c:pt>
                <c:pt idx="221">
                  <c:v>4820</c:v>
                </c:pt>
                <c:pt idx="222">
                  <c:v>4860</c:v>
                </c:pt>
                <c:pt idx="223">
                  <c:v>5000</c:v>
                </c:pt>
                <c:pt idx="224">
                  <c:v>5100</c:v>
                </c:pt>
                <c:pt idx="225">
                  <c:v>5075</c:v>
                </c:pt>
                <c:pt idx="226">
                  <c:v>4880</c:v>
                </c:pt>
                <c:pt idx="227">
                  <c:v>4730</c:v>
                </c:pt>
                <c:pt idx="228">
                  <c:v>4640</c:v>
                </c:pt>
                <c:pt idx="229">
                  <c:v>4470</c:v>
                </c:pt>
                <c:pt idx="230">
                  <c:v>4430</c:v>
                </c:pt>
                <c:pt idx="231">
                  <c:v>4310</c:v>
                </c:pt>
                <c:pt idx="232">
                  <c:v>4260</c:v>
                </c:pt>
                <c:pt idx="233">
                  <c:v>4380</c:v>
                </c:pt>
                <c:pt idx="234">
                  <c:v>4380</c:v>
                </c:pt>
                <c:pt idx="235">
                  <c:v>4360</c:v>
                </c:pt>
                <c:pt idx="236">
                  <c:v>4350</c:v>
                </c:pt>
                <c:pt idx="237">
                  <c:v>4590</c:v>
                </c:pt>
                <c:pt idx="238">
                  <c:v>4540</c:v>
                </c:pt>
                <c:pt idx="239">
                  <c:v>4430</c:v>
                </c:pt>
                <c:pt idx="240">
                  <c:v>4360</c:v>
                </c:pt>
                <c:pt idx="241">
                  <c:v>4370</c:v>
                </c:pt>
                <c:pt idx="242">
                  <c:v>4380</c:v>
                </c:pt>
                <c:pt idx="243">
                  <c:v>4350</c:v>
                </c:pt>
                <c:pt idx="244">
                  <c:v>4210</c:v>
                </c:pt>
                <c:pt idx="245">
                  <c:v>4130</c:v>
                </c:pt>
                <c:pt idx="246">
                  <c:v>4410</c:v>
                </c:pt>
                <c:pt idx="247">
                  <c:v>4500</c:v>
                </c:pt>
                <c:pt idx="248">
                  <c:v>4470</c:v>
                </c:pt>
                <c:pt idx="249">
                  <c:v>4620</c:v>
                </c:pt>
                <c:pt idx="250">
                  <c:v>4740</c:v>
                </c:pt>
                <c:pt idx="251">
                  <c:v>4790</c:v>
                </c:pt>
                <c:pt idx="252">
                  <c:v>4650</c:v>
                </c:pt>
                <c:pt idx="253">
                  <c:v>4610</c:v>
                </c:pt>
                <c:pt idx="254">
                  <c:v>4640</c:v>
                </c:pt>
                <c:pt idx="255">
                  <c:v>4770</c:v>
                </c:pt>
                <c:pt idx="256">
                  <c:v>4780</c:v>
                </c:pt>
                <c:pt idx="257">
                  <c:v>4700</c:v>
                </c:pt>
                <c:pt idx="258">
                  <c:v>4500</c:v>
                </c:pt>
                <c:pt idx="259">
                  <c:v>4290</c:v>
                </c:pt>
                <c:pt idx="260">
                  <c:v>4270</c:v>
                </c:pt>
                <c:pt idx="261">
                  <c:v>4150</c:v>
                </c:pt>
                <c:pt idx="262">
                  <c:v>4070</c:v>
                </c:pt>
                <c:pt idx="263">
                  <c:v>4300</c:v>
                </c:pt>
                <c:pt idx="264">
                  <c:v>4250</c:v>
                </c:pt>
                <c:pt idx="265">
                  <c:v>4370</c:v>
                </c:pt>
                <c:pt idx="266">
                  <c:v>4570</c:v>
                </c:pt>
                <c:pt idx="267">
                  <c:v>4750</c:v>
                </c:pt>
                <c:pt idx="268">
                  <c:v>4520</c:v>
                </c:pt>
                <c:pt idx="269">
                  <c:v>4460</c:v>
                </c:pt>
                <c:pt idx="270">
                  <c:v>4300</c:v>
                </c:pt>
                <c:pt idx="271">
                  <c:v>4200</c:v>
                </c:pt>
                <c:pt idx="272">
                  <c:v>4230</c:v>
                </c:pt>
                <c:pt idx="273">
                  <c:v>4350</c:v>
                </c:pt>
                <c:pt idx="274">
                  <c:v>4340</c:v>
                </c:pt>
                <c:pt idx="275">
                  <c:v>4030</c:v>
                </c:pt>
                <c:pt idx="276">
                  <c:v>4260</c:v>
                </c:pt>
                <c:pt idx="277">
                  <c:v>4220</c:v>
                </c:pt>
                <c:pt idx="278">
                  <c:v>4460</c:v>
                </c:pt>
                <c:pt idx="279">
                  <c:v>4590</c:v>
                </c:pt>
                <c:pt idx="280">
                  <c:v>4540</c:v>
                </c:pt>
                <c:pt idx="281">
                  <c:v>4450</c:v>
                </c:pt>
                <c:pt idx="282">
                  <c:v>4450</c:v>
                </c:pt>
                <c:pt idx="283">
                  <c:v>4530</c:v>
                </c:pt>
                <c:pt idx="284">
                  <c:v>4530</c:v>
                </c:pt>
                <c:pt idx="285">
                  <c:v>4430</c:v>
                </c:pt>
                <c:pt idx="286">
                  <c:v>4330</c:v>
                </c:pt>
                <c:pt idx="287">
                  <c:v>4190</c:v>
                </c:pt>
                <c:pt idx="288">
                  <c:v>4170</c:v>
                </c:pt>
                <c:pt idx="289">
                  <c:v>4080</c:v>
                </c:pt>
                <c:pt idx="290">
                  <c:v>3770</c:v>
                </c:pt>
                <c:pt idx="291">
                  <c:v>3720</c:v>
                </c:pt>
                <c:pt idx="292">
                  <c:v>3900</c:v>
                </c:pt>
                <c:pt idx="293">
                  <c:v>4250</c:v>
                </c:pt>
                <c:pt idx="294">
                  <c:v>4240</c:v>
                </c:pt>
                <c:pt idx="295">
                  <c:v>4030</c:v>
                </c:pt>
                <c:pt idx="296">
                  <c:v>4040</c:v>
                </c:pt>
                <c:pt idx="297">
                  <c:v>4260</c:v>
                </c:pt>
                <c:pt idx="298">
                  <c:v>4390</c:v>
                </c:pt>
                <c:pt idx="299">
                  <c:v>4550</c:v>
                </c:pt>
                <c:pt idx="300">
                  <c:v>4280</c:v>
                </c:pt>
                <c:pt idx="301">
                  <c:v>4100</c:v>
                </c:pt>
                <c:pt idx="302">
                  <c:v>4040</c:v>
                </c:pt>
                <c:pt idx="303">
                  <c:v>3990</c:v>
                </c:pt>
                <c:pt idx="304">
                  <c:v>4010</c:v>
                </c:pt>
                <c:pt idx="305">
                  <c:v>4150</c:v>
                </c:pt>
                <c:pt idx="306">
                  <c:v>4170</c:v>
                </c:pt>
                <c:pt idx="307">
                  <c:v>4200</c:v>
                </c:pt>
                <c:pt idx="308">
                  <c:v>4190</c:v>
                </c:pt>
                <c:pt idx="309">
                  <c:v>4140</c:v>
                </c:pt>
                <c:pt idx="310">
                  <c:v>4180</c:v>
                </c:pt>
                <c:pt idx="311">
                  <c:v>4200</c:v>
                </c:pt>
                <c:pt idx="312">
                  <c:v>4210</c:v>
                </c:pt>
                <c:pt idx="313">
                  <c:v>4180</c:v>
                </c:pt>
                <c:pt idx="314">
                  <c:v>4160</c:v>
                </c:pt>
                <c:pt idx="315">
                  <c:v>4120</c:v>
                </c:pt>
                <c:pt idx="316">
                  <c:v>4100</c:v>
                </c:pt>
                <c:pt idx="317">
                  <c:v>4370</c:v>
                </c:pt>
                <c:pt idx="318">
                  <c:v>4500</c:v>
                </c:pt>
                <c:pt idx="319">
                  <c:v>4500</c:v>
                </c:pt>
                <c:pt idx="320">
                  <c:v>4460</c:v>
                </c:pt>
                <c:pt idx="321">
                  <c:v>4450</c:v>
                </c:pt>
                <c:pt idx="322">
                  <c:v>4520</c:v>
                </c:pt>
                <c:pt idx="323">
                  <c:v>4470</c:v>
                </c:pt>
                <c:pt idx="324">
                  <c:v>4510</c:v>
                </c:pt>
                <c:pt idx="325">
                  <c:v>4500</c:v>
                </c:pt>
                <c:pt idx="326">
                  <c:v>4530</c:v>
                </c:pt>
                <c:pt idx="327">
                  <c:v>4490</c:v>
                </c:pt>
                <c:pt idx="328">
                  <c:v>4370</c:v>
                </c:pt>
                <c:pt idx="329">
                  <c:v>4370</c:v>
                </c:pt>
                <c:pt idx="330">
                  <c:v>4300</c:v>
                </c:pt>
                <c:pt idx="331">
                  <c:v>4420</c:v>
                </c:pt>
                <c:pt idx="332">
                  <c:v>4520</c:v>
                </c:pt>
                <c:pt idx="333">
                  <c:v>4540</c:v>
                </c:pt>
                <c:pt idx="334">
                  <c:v>4540</c:v>
                </c:pt>
                <c:pt idx="335">
                  <c:v>4540</c:v>
                </c:pt>
                <c:pt idx="336">
                  <c:v>4400</c:v>
                </c:pt>
                <c:pt idx="337">
                  <c:v>4360</c:v>
                </c:pt>
                <c:pt idx="338">
                  <c:v>4300</c:v>
                </c:pt>
                <c:pt idx="339">
                  <c:v>4130</c:v>
                </c:pt>
                <c:pt idx="340">
                  <c:v>4110</c:v>
                </c:pt>
                <c:pt idx="341">
                  <c:v>4060</c:v>
                </c:pt>
                <c:pt idx="342">
                  <c:v>4140</c:v>
                </c:pt>
                <c:pt idx="343">
                  <c:v>4110</c:v>
                </c:pt>
                <c:pt idx="344">
                  <c:v>4120</c:v>
                </c:pt>
                <c:pt idx="345">
                  <c:v>4120</c:v>
                </c:pt>
                <c:pt idx="346">
                  <c:v>4010</c:v>
                </c:pt>
                <c:pt idx="347">
                  <c:v>4020</c:v>
                </c:pt>
                <c:pt idx="348">
                  <c:v>3970</c:v>
                </c:pt>
                <c:pt idx="349">
                  <c:v>4000</c:v>
                </c:pt>
                <c:pt idx="350">
                  <c:v>4000</c:v>
                </c:pt>
                <c:pt idx="351">
                  <c:v>3970</c:v>
                </c:pt>
                <c:pt idx="352">
                  <c:v>4000</c:v>
                </c:pt>
                <c:pt idx="353">
                  <c:v>4110</c:v>
                </c:pt>
                <c:pt idx="354">
                  <c:v>4180</c:v>
                </c:pt>
                <c:pt idx="355">
                  <c:v>4040</c:v>
                </c:pt>
                <c:pt idx="356">
                  <c:v>4050</c:v>
                </c:pt>
                <c:pt idx="357">
                  <c:v>4130</c:v>
                </c:pt>
                <c:pt idx="358">
                  <c:v>4110</c:v>
                </c:pt>
                <c:pt idx="359">
                  <c:v>4120</c:v>
                </c:pt>
                <c:pt idx="360">
                  <c:v>4070</c:v>
                </c:pt>
                <c:pt idx="361">
                  <c:v>4050</c:v>
                </c:pt>
                <c:pt idx="362">
                  <c:v>4100</c:v>
                </c:pt>
                <c:pt idx="363">
                  <c:v>4220</c:v>
                </c:pt>
                <c:pt idx="364">
                  <c:v>4090</c:v>
                </c:pt>
                <c:pt idx="365">
                  <c:v>4210</c:v>
                </c:pt>
                <c:pt idx="366">
                  <c:v>4150</c:v>
                </c:pt>
                <c:pt idx="367">
                  <c:v>4120</c:v>
                </c:pt>
                <c:pt idx="368">
                  <c:v>4010</c:v>
                </c:pt>
                <c:pt idx="369">
                  <c:v>4010</c:v>
                </c:pt>
                <c:pt idx="370">
                  <c:v>4010</c:v>
                </c:pt>
                <c:pt idx="371">
                  <c:v>4220</c:v>
                </c:pt>
                <c:pt idx="372">
                  <c:v>4100</c:v>
                </c:pt>
                <c:pt idx="373">
                  <c:v>4120</c:v>
                </c:pt>
                <c:pt idx="374">
                  <c:v>4070</c:v>
                </c:pt>
                <c:pt idx="375">
                  <c:v>4200</c:v>
                </c:pt>
                <c:pt idx="376">
                  <c:v>4360</c:v>
                </c:pt>
                <c:pt idx="377">
                  <c:v>4370</c:v>
                </c:pt>
                <c:pt idx="378">
                  <c:v>4390</c:v>
                </c:pt>
                <c:pt idx="379">
                  <c:v>4370</c:v>
                </c:pt>
                <c:pt idx="380">
                  <c:v>4330</c:v>
                </c:pt>
                <c:pt idx="381">
                  <c:v>4430</c:v>
                </c:pt>
                <c:pt idx="382">
                  <c:v>4490</c:v>
                </c:pt>
                <c:pt idx="383">
                  <c:v>4390</c:v>
                </c:pt>
                <c:pt idx="384">
                  <c:v>4450</c:v>
                </c:pt>
                <c:pt idx="385">
                  <c:v>4540</c:v>
                </c:pt>
                <c:pt idx="386">
                  <c:v>4450</c:v>
                </c:pt>
                <c:pt idx="387">
                  <c:v>4460</c:v>
                </c:pt>
                <c:pt idx="388">
                  <c:v>4380</c:v>
                </c:pt>
                <c:pt idx="389">
                  <c:v>4320</c:v>
                </c:pt>
                <c:pt idx="390">
                  <c:v>4310</c:v>
                </c:pt>
                <c:pt idx="391">
                  <c:v>4410</c:v>
                </c:pt>
                <c:pt idx="392">
                  <c:v>4370</c:v>
                </c:pt>
                <c:pt idx="393">
                  <c:v>4180</c:v>
                </c:pt>
                <c:pt idx="394">
                  <c:v>4080</c:v>
                </c:pt>
                <c:pt idx="395">
                  <c:v>4100</c:v>
                </c:pt>
                <c:pt idx="396">
                  <c:v>4420</c:v>
                </c:pt>
                <c:pt idx="397">
                  <c:v>4520</c:v>
                </c:pt>
                <c:pt idx="398">
                  <c:v>4410</c:v>
                </c:pt>
                <c:pt idx="399">
                  <c:v>4370</c:v>
                </c:pt>
                <c:pt idx="400">
                  <c:v>4450</c:v>
                </c:pt>
                <c:pt idx="401">
                  <c:v>4340</c:v>
                </c:pt>
                <c:pt idx="402">
                  <c:v>4270</c:v>
                </c:pt>
                <c:pt idx="403">
                  <c:v>4210</c:v>
                </c:pt>
                <c:pt idx="404">
                  <c:v>4200</c:v>
                </c:pt>
                <c:pt idx="405">
                  <c:v>4190</c:v>
                </c:pt>
                <c:pt idx="406">
                  <c:v>4190</c:v>
                </c:pt>
                <c:pt idx="407">
                  <c:v>4180</c:v>
                </c:pt>
                <c:pt idx="408">
                  <c:v>4170</c:v>
                </c:pt>
                <c:pt idx="409">
                  <c:v>4100</c:v>
                </c:pt>
                <c:pt idx="410">
                  <c:v>4050</c:v>
                </c:pt>
                <c:pt idx="411">
                  <c:v>4040</c:v>
                </c:pt>
                <c:pt idx="412">
                  <c:v>4040</c:v>
                </c:pt>
                <c:pt idx="413">
                  <c:v>4000</c:v>
                </c:pt>
                <c:pt idx="414">
                  <c:v>3990</c:v>
                </c:pt>
                <c:pt idx="415">
                  <c:v>3940</c:v>
                </c:pt>
                <c:pt idx="416">
                  <c:v>4100</c:v>
                </c:pt>
                <c:pt idx="417">
                  <c:v>3970</c:v>
                </c:pt>
                <c:pt idx="418">
                  <c:v>3900</c:v>
                </c:pt>
                <c:pt idx="419">
                  <c:v>3800</c:v>
                </c:pt>
                <c:pt idx="420">
                  <c:v>3770</c:v>
                </c:pt>
                <c:pt idx="421">
                  <c:v>3850</c:v>
                </c:pt>
                <c:pt idx="422">
                  <c:v>3800</c:v>
                </c:pt>
                <c:pt idx="423">
                  <c:v>4040</c:v>
                </c:pt>
                <c:pt idx="424">
                  <c:v>4050</c:v>
                </c:pt>
                <c:pt idx="425">
                  <c:v>4030</c:v>
                </c:pt>
                <c:pt idx="426">
                  <c:v>4240</c:v>
                </c:pt>
                <c:pt idx="427">
                  <c:v>4370</c:v>
                </c:pt>
                <c:pt idx="428">
                  <c:v>4370</c:v>
                </c:pt>
                <c:pt idx="429">
                  <c:v>4370</c:v>
                </c:pt>
                <c:pt idx="430">
                  <c:v>4440</c:v>
                </c:pt>
                <c:pt idx="431">
                  <c:v>4410</c:v>
                </c:pt>
                <c:pt idx="432">
                  <c:v>4380</c:v>
                </c:pt>
                <c:pt idx="433">
                  <c:v>4430</c:v>
                </c:pt>
                <c:pt idx="434">
                  <c:v>4450</c:v>
                </c:pt>
                <c:pt idx="435">
                  <c:v>4460</c:v>
                </c:pt>
                <c:pt idx="436">
                  <c:v>4440</c:v>
                </c:pt>
                <c:pt idx="437">
                  <c:v>4500</c:v>
                </c:pt>
                <c:pt idx="438">
                  <c:v>4420</c:v>
                </c:pt>
                <c:pt idx="439">
                  <c:v>4420</c:v>
                </c:pt>
                <c:pt idx="440">
                  <c:v>4460</c:v>
                </c:pt>
                <c:pt idx="441">
                  <c:v>4420</c:v>
                </c:pt>
                <c:pt idx="442">
                  <c:v>4390</c:v>
                </c:pt>
                <c:pt idx="443">
                  <c:v>4390</c:v>
                </c:pt>
                <c:pt idx="444">
                  <c:v>4460</c:v>
                </c:pt>
                <c:pt idx="445">
                  <c:v>4460</c:v>
                </c:pt>
                <c:pt idx="446">
                  <c:v>4460</c:v>
                </c:pt>
                <c:pt idx="447">
                  <c:v>4390</c:v>
                </c:pt>
                <c:pt idx="448">
                  <c:v>4390</c:v>
                </c:pt>
                <c:pt idx="449">
                  <c:v>4420</c:v>
                </c:pt>
                <c:pt idx="450">
                  <c:v>4410</c:v>
                </c:pt>
                <c:pt idx="451">
                  <c:v>4350</c:v>
                </c:pt>
                <c:pt idx="452">
                  <c:v>4260</c:v>
                </c:pt>
                <c:pt idx="453">
                  <c:v>4310</c:v>
                </c:pt>
                <c:pt idx="454">
                  <c:v>4270</c:v>
                </c:pt>
                <c:pt idx="455">
                  <c:v>4260</c:v>
                </c:pt>
                <c:pt idx="456">
                  <c:v>4310</c:v>
                </c:pt>
                <c:pt idx="457">
                  <c:v>4290</c:v>
                </c:pt>
                <c:pt idx="458">
                  <c:v>4310</c:v>
                </c:pt>
                <c:pt idx="459">
                  <c:v>4320</c:v>
                </c:pt>
                <c:pt idx="460">
                  <c:v>4310</c:v>
                </c:pt>
                <c:pt idx="461">
                  <c:v>4230</c:v>
                </c:pt>
                <c:pt idx="462">
                  <c:v>4240</c:v>
                </c:pt>
                <c:pt idx="463">
                  <c:v>4440</c:v>
                </c:pt>
                <c:pt idx="464">
                  <c:v>4400</c:v>
                </c:pt>
                <c:pt idx="465">
                  <c:v>4370</c:v>
                </c:pt>
                <c:pt idx="466">
                  <c:v>4380</c:v>
                </c:pt>
                <c:pt idx="467">
                  <c:v>4340</c:v>
                </c:pt>
                <c:pt idx="468">
                  <c:v>4330</c:v>
                </c:pt>
                <c:pt idx="469">
                  <c:v>4290</c:v>
                </c:pt>
                <c:pt idx="470">
                  <c:v>4270</c:v>
                </c:pt>
                <c:pt idx="471">
                  <c:v>4260</c:v>
                </c:pt>
                <c:pt idx="472">
                  <c:v>4370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8B-45BE-985C-81A27E81B5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364495"/>
        <c:axId val="868366415"/>
      </c:lineChart>
      <c:dateAx>
        <c:axId val="868364495"/>
        <c:scaling>
          <c:orientation val="minMax"/>
        </c:scaling>
        <c:delete val="0"/>
        <c:axPos val="b"/>
        <c:numFmt formatCode="m/d/yyyy\ h:mm:ss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366415"/>
        <c:crosses val="autoZero"/>
        <c:auto val="1"/>
        <c:lblOffset val="100"/>
        <c:baseTimeUnit val="days"/>
      </c:dateAx>
      <c:valAx>
        <c:axId val="868366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3644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Kurs Dollar ke Rupiah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'Kurs USD ke IDR'!$A$2:$A$720</c:f>
              <c:numCache>
                <c:formatCode>m/d/yyyy\ h:mm:ss</c:formatCode>
                <c:ptCount val="719"/>
                <c:pt idx="0">
                  <c:v>45292.998611111099</c:v>
                </c:pt>
                <c:pt idx="1">
                  <c:v>45293.998611111099</c:v>
                </c:pt>
                <c:pt idx="2">
                  <c:v>45294.998611111099</c:v>
                </c:pt>
                <c:pt idx="3">
                  <c:v>45295.998611111099</c:v>
                </c:pt>
                <c:pt idx="4">
                  <c:v>45296.998611111099</c:v>
                </c:pt>
                <c:pt idx="5">
                  <c:v>45297.998611111099</c:v>
                </c:pt>
                <c:pt idx="6">
                  <c:v>45298.998611111099</c:v>
                </c:pt>
                <c:pt idx="7">
                  <c:v>45299.998611111099</c:v>
                </c:pt>
                <c:pt idx="8">
                  <c:v>45300.998611111099</c:v>
                </c:pt>
                <c:pt idx="9">
                  <c:v>45301.998611111099</c:v>
                </c:pt>
                <c:pt idx="10">
                  <c:v>45302.998611111099</c:v>
                </c:pt>
                <c:pt idx="11">
                  <c:v>45303.998611111099</c:v>
                </c:pt>
                <c:pt idx="12">
                  <c:v>45304.998611111099</c:v>
                </c:pt>
                <c:pt idx="13">
                  <c:v>45305.998611111099</c:v>
                </c:pt>
                <c:pt idx="14">
                  <c:v>45306.998611111099</c:v>
                </c:pt>
                <c:pt idx="15">
                  <c:v>45307.998611111099</c:v>
                </c:pt>
                <c:pt idx="16">
                  <c:v>45308.998611111099</c:v>
                </c:pt>
                <c:pt idx="17">
                  <c:v>45309.998611111099</c:v>
                </c:pt>
                <c:pt idx="18">
                  <c:v>45310.998611111099</c:v>
                </c:pt>
                <c:pt idx="19">
                  <c:v>45311.998611111099</c:v>
                </c:pt>
                <c:pt idx="20">
                  <c:v>45312.998611111099</c:v>
                </c:pt>
                <c:pt idx="21">
                  <c:v>45313.998611111099</c:v>
                </c:pt>
                <c:pt idx="22">
                  <c:v>45314.998611111099</c:v>
                </c:pt>
                <c:pt idx="23">
                  <c:v>45315.998611111099</c:v>
                </c:pt>
                <c:pt idx="24">
                  <c:v>45316.998611111099</c:v>
                </c:pt>
                <c:pt idx="25">
                  <c:v>45317.998611111099</c:v>
                </c:pt>
                <c:pt idx="26">
                  <c:v>45318.998611111099</c:v>
                </c:pt>
                <c:pt idx="27">
                  <c:v>45319.998611111099</c:v>
                </c:pt>
                <c:pt idx="28">
                  <c:v>45320.998611111099</c:v>
                </c:pt>
                <c:pt idx="29">
                  <c:v>45321.998611111099</c:v>
                </c:pt>
                <c:pt idx="30">
                  <c:v>45322.998611111099</c:v>
                </c:pt>
                <c:pt idx="31">
                  <c:v>45323.998611111099</c:v>
                </c:pt>
                <c:pt idx="32">
                  <c:v>45324.998611111099</c:v>
                </c:pt>
                <c:pt idx="33">
                  <c:v>45325.998611111099</c:v>
                </c:pt>
                <c:pt idx="34">
                  <c:v>45326.998611111099</c:v>
                </c:pt>
                <c:pt idx="35">
                  <c:v>45327.998611111099</c:v>
                </c:pt>
                <c:pt idx="36">
                  <c:v>45328.998611111099</c:v>
                </c:pt>
                <c:pt idx="37">
                  <c:v>45329.998611111099</c:v>
                </c:pt>
                <c:pt idx="38">
                  <c:v>45330.998611111099</c:v>
                </c:pt>
                <c:pt idx="39">
                  <c:v>45331.998611111099</c:v>
                </c:pt>
                <c:pt idx="40">
                  <c:v>45332.998611111099</c:v>
                </c:pt>
                <c:pt idx="41">
                  <c:v>45333.998611111099</c:v>
                </c:pt>
                <c:pt idx="42">
                  <c:v>45334.998611111099</c:v>
                </c:pt>
                <c:pt idx="43">
                  <c:v>45335.998611111099</c:v>
                </c:pt>
                <c:pt idx="44">
                  <c:v>45336.998611111099</c:v>
                </c:pt>
                <c:pt idx="45">
                  <c:v>45337.998611111099</c:v>
                </c:pt>
                <c:pt idx="46">
                  <c:v>45338.998611111099</c:v>
                </c:pt>
                <c:pt idx="47">
                  <c:v>45339.998611111099</c:v>
                </c:pt>
                <c:pt idx="48">
                  <c:v>45340.998611111099</c:v>
                </c:pt>
                <c:pt idx="49">
                  <c:v>45341.998611111099</c:v>
                </c:pt>
                <c:pt idx="50">
                  <c:v>45342.998611111099</c:v>
                </c:pt>
                <c:pt idx="51">
                  <c:v>45343.998611111099</c:v>
                </c:pt>
                <c:pt idx="52">
                  <c:v>45344.998611111099</c:v>
                </c:pt>
                <c:pt idx="53">
                  <c:v>45345.998611111099</c:v>
                </c:pt>
                <c:pt idx="54">
                  <c:v>45346.998611111099</c:v>
                </c:pt>
                <c:pt idx="55">
                  <c:v>45347.998611111099</c:v>
                </c:pt>
                <c:pt idx="56">
                  <c:v>45348.998611111099</c:v>
                </c:pt>
                <c:pt idx="57">
                  <c:v>45349.998611111099</c:v>
                </c:pt>
                <c:pt idx="58">
                  <c:v>45350.998611111099</c:v>
                </c:pt>
                <c:pt idx="59">
                  <c:v>45351.998611111099</c:v>
                </c:pt>
                <c:pt idx="60">
                  <c:v>45352.998611111099</c:v>
                </c:pt>
                <c:pt idx="61">
                  <c:v>45353.998611111099</c:v>
                </c:pt>
                <c:pt idx="62">
                  <c:v>45354.998611111099</c:v>
                </c:pt>
                <c:pt idx="63">
                  <c:v>45355.998611111099</c:v>
                </c:pt>
                <c:pt idx="64">
                  <c:v>45356.998611111099</c:v>
                </c:pt>
                <c:pt idx="65">
                  <c:v>45357.998611111099</c:v>
                </c:pt>
                <c:pt idx="66">
                  <c:v>45358.998611111099</c:v>
                </c:pt>
                <c:pt idx="67">
                  <c:v>45359.998611111099</c:v>
                </c:pt>
                <c:pt idx="68">
                  <c:v>45360.998611111099</c:v>
                </c:pt>
                <c:pt idx="69">
                  <c:v>45361.998611111099</c:v>
                </c:pt>
                <c:pt idx="70">
                  <c:v>45362.998611111099</c:v>
                </c:pt>
                <c:pt idx="71">
                  <c:v>45363.998611111099</c:v>
                </c:pt>
                <c:pt idx="72">
                  <c:v>45364.998611111099</c:v>
                </c:pt>
                <c:pt idx="73">
                  <c:v>45365.998611111099</c:v>
                </c:pt>
                <c:pt idx="74">
                  <c:v>45366.998611111099</c:v>
                </c:pt>
                <c:pt idx="75">
                  <c:v>45367.998611111099</c:v>
                </c:pt>
                <c:pt idx="76">
                  <c:v>45368.998611111099</c:v>
                </c:pt>
                <c:pt idx="77">
                  <c:v>45369.998611111099</c:v>
                </c:pt>
                <c:pt idx="78">
                  <c:v>45370.998611111099</c:v>
                </c:pt>
                <c:pt idx="79">
                  <c:v>45371.998611111099</c:v>
                </c:pt>
                <c:pt idx="80">
                  <c:v>45372.998611111099</c:v>
                </c:pt>
                <c:pt idx="81">
                  <c:v>45373.998611111099</c:v>
                </c:pt>
                <c:pt idx="82">
                  <c:v>45374.998611111099</c:v>
                </c:pt>
                <c:pt idx="83">
                  <c:v>45375.998611111099</c:v>
                </c:pt>
                <c:pt idx="84">
                  <c:v>45376.998611111099</c:v>
                </c:pt>
                <c:pt idx="85">
                  <c:v>45377.998611111099</c:v>
                </c:pt>
                <c:pt idx="86">
                  <c:v>45378.998611111099</c:v>
                </c:pt>
                <c:pt idx="87">
                  <c:v>45379.998611111099</c:v>
                </c:pt>
                <c:pt idx="88">
                  <c:v>45380.998611111099</c:v>
                </c:pt>
                <c:pt idx="89">
                  <c:v>45381.998611111099</c:v>
                </c:pt>
                <c:pt idx="90">
                  <c:v>45382.998611111099</c:v>
                </c:pt>
                <c:pt idx="91">
                  <c:v>45383.998611111099</c:v>
                </c:pt>
                <c:pt idx="92">
                  <c:v>45384.998611111099</c:v>
                </c:pt>
                <c:pt idx="93">
                  <c:v>45385.998611111099</c:v>
                </c:pt>
                <c:pt idx="94">
                  <c:v>45386.998611111099</c:v>
                </c:pt>
                <c:pt idx="95">
                  <c:v>45387.998611111099</c:v>
                </c:pt>
                <c:pt idx="96">
                  <c:v>45388.998611111099</c:v>
                </c:pt>
                <c:pt idx="97">
                  <c:v>45389.998611111099</c:v>
                </c:pt>
                <c:pt idx="98">
                  <c:v>45390.998611111099</c:v>
                </c:pt>
                <c:pt idx="99">
                  <c:v>45391.998611111099</c:v>
                </c:pt>
                <c:pt idx="100">
                  <c:v>45392.998611111099</c:v>
                </c:pt>
                <c:pt idx="101">
                  <c:v>45393.998611111099</c:v>
                </c:pt>
                <c:pt idx="102">
                  <c:v>45394.998611111099</c:v>
                </c:pt>
                <c:pt idx="103">
                  <c:v>45395.998611111099</c:v>
                </c:pt>
                <c:pt idx="104">
                  <c:v>45396.998611111099</c:v>
                </c:pt>
                <c:pt idx="105">
                  <c:v>45397.998611111099</c:v>
                </c:pt>
                <c:pt idx="106">
                  <c:v>45398.998611111099</c:v>
                </c:pt>
                <c:pt idx="107">
                  <c:v>45399.998611111099</c:v>
                </c:pt>
                <c:pt idx="108">
                  <c:v>45400.998611111099</c:v>
                </c:pt>
                <c:pt idx="109">
                  <c:v>45401.998611111099</c:v>
                </c:pt>
                <c:pt idx="110">
                  <c:v>45402.998611111099</c:v>
                </c:pt>
                <c:pt idx="111">
                  <c:v>45403.998611111099</c:v>
                </c:pt>
                <c:pt idx="112">
                  <c:v>45404.998611111099</c:v>
                </c:pt>
                <c:pt idx="113">
                  <c:v>45405.998611111099</c:v>
                </c:pt>
                <c:pt idx="114">
                  <c:v>45406.998611111099</c:v>
                </c:pt>
                <c:pt idx="115">
                  <c:v>45407.998611111099</c:v>
                </c:pt>
                <c:pt idx="116">
                  <c:v>45408.998611111099</c:v>
                </c:pt>
                <c:pt idx="117">
                  <c:v>45409.998611111099</c:v>
                </c:pt>
                <c:pt idx="118">
                  <c:v>45410.998611111099</c:v>
                </c:pt>
                <c:pt idx="119">
                  <c:v>45411.998611111099</c:v>
                </c:pt>
                <c:pt idx="120">
                  <c:v>45412.998611111099</c:v>
                </c:pt>
                <c:pt idx="121">
                  <c:v>45413.998611111099</c:v>
                </c:pt>
                <c:pt idx="122">
                  <c:v>45414.998611111099</c:v>
                </c:pt>
                <c:pt idx="123">
                  <c:v>45415.998611111099</c:v>
                </c:pt>
                <c:pt idx="124">
                  <c:v>45416.998611111099</c:v>
                </c:pt>
                <c:pt idx="125">
                  <c:v>45417.998611111099</c:v>
                </c:pt>
                <c:pt idx="126">
                  <c:v>45418.998611111099</c:v>
                </c:pt>
                <c:pt idx="127">
                  <c:v>45419.998611111099</c:v>
                </c:pt>
                <c:pt idx="128">
                  <c:v>45420.998611111099</c:v>
                </c:pt>
                <c:pt idx="129">
                  <c:v>45421.998611111099</c:v>
                </c:pt>
                <c:pt idx="130">
                  <c:v>45422.998611111099</c:v>
                </c:pt>
                <c:pt idx="131">
                  <c:v>45423.998611111099</c:v>
                </c:pt>
                <c:pt idx="132">
                  <c:v>45424.998611111099</c:v>
                </c:pt>
                <c:pt idx="133">
                  <c:v>45425.998611111099</c:v>
                </c:pt>
                <c:pt idx="134">
                  <c:v>45426.998611111099</c:v>
                </c:pt>
                <c:pt idx="135">
                  <c:v>45427.998611111099</c:v>
                </c:pt>
                <c:pt idx="136">
                  <c:v>45428.998611111099</c:v>
                </c:pt>
                <c:pt idx="137">
                  <c:v>45429.998611111099</c:v>
                </c:pt>
                <c:pt idx="138">
                  <c:v>45430.998611111099</c:v>
                </c:pt>
                <c:pt idx="139">
                  <c:v>45431.998611111099</c:v>
                </c:pt>
                <c:pt idx="140">
                  <c:v>45432.998611111099</c:v>
                </c:pt>
                <c:pt idx="141">
                  <c:v>45433.998611111099</c:v>
                </c:pt>
                <c:pt idx="142">
                  <c:v>45434.998611111099</c:v>
                </c:pt>
                <c:pt idx="143">
                  <c:v>45435.998611111099</c:v>
                </c:pt>
                <c:pt idx="144">
                  <c:v>45436.998611111099</c:v>
                </c:pt>
                <c:pt idx="145">
                  <c:v>45437.998611111099</c:v>
                </c:pt>
                <c:pt idx="146">
                  <c:v>45438.998611111099</c:v>
                </c:pt>
                <c:pt idx="147">
                  <c:v>45439.998611111099</c:v>
                </c:pt>
                <c:pt idx="148">
                  <c:v>45440.998611111099</c:v>
                </c:pt>
                <c:pt idx="149">
                  <c:v>45441.998611111099</c:v>
                </c:pt>
                <c:pt idx="150">
                  <c:v>45442.998611111099</c:v>
                </c:pt>
                <c:pt idx="151">
                  <c:v>45443.998611111099</c:v>
                </c:pt>
                <c:pt idx="152">
                  <c:v>45444.998611111099</c:v>
                </c:pt>
                <c:pt idx="153">
                  <c:v>45445.998611111099</c:v>
                </c:pt>
                <c:pt idx="154">
                  <c:v>45446.998611111099</c:v>
                </c:pt>
                <c:pt idx="155">
                  <c:v>45447.998611111099</c:v>
                </c:pt>
                <c:pt idx="156">
                  <c:v>45448.998611111099</c:v>
                </c:pt>
                <c:pt idx="157">
                  <c:v>45449.998611111099</c:v>
                </c:pt>
                <c:pt idx="158">
                  <c:v>45450.998611111099</c:v>
                </c:pt>
                <c:pt idx="159">
                  <c:v>45451.998611111099</c:v>
                </c:pt>
                <c:pt idx="160">
                  <c:v>45452.998611111099</c:v>
                </c:pt>
                <c:pt idx="161">
                  <c:v>45453.998611111099</c:v>
                </c:pt>
                <c:pt idx="162">
                  <c:v>45454.998611111099</c:v>
                </c:pt>
                <c:pt idx="163">
                  <c:v>45455.998611111099</c:v>
                </c:pt>
                <c:pt idx="164">
                  <c:v>45456.998611111099</c:v>
                </c:pt>
                <c:pt idx="165">
                  <c:v>45457.998611111099</c:v>
                </c:pt>
                <c:pt idx="166">
                  <c:v>45458.998611111099</c:v>
                </c:pt>
                <c:pt idx="167">
                  <c:v>45459.998611111099</c:v>
                </c:pt>
                <c:pt idx="168">
                  <c:v>45460.998611111099</c:v>
                </c:pt>
                <c:pt idx="169">
                  <c:v>45461.998611111099</c:v>
                </c:pt>
                <c:pt idx="170">
                  <c:v>45462.998611111099</c:v>
                </c:pt>
                <c:pt idx="171">
                  <c:v>45463.998611111099</c:v>
                </c:pt>
                <c:pt idx="172">
                  <c:v>45464.998611111099</c:v>
                </c:pt>
                <c:pt idx="173">
                  <c:v>45465.998611111099</c:v>
                </c:pt>
                <c:pt idx="174">
                  <c:v>45466.998611111099</c:v>
                </c:pt>
                <c:pt idx="175">
                  <c:v>45467.998611111099</c:v>
                </c:pt>
                <c:pt idx="176">
                  <c:v>45469.998611111099</c:v>
                </c:pt>
                <c:pt idx="177">
                  <c:v>45470.998611111099</c:v>
                </c:pt>
                <c:pt idx="178">
                  <c:v>45471.998611111099</c:v>
                </c:pt>
                <c:pt idx="179">
                  <c:v>45472.998611111099</c:v>
                </c:pt>
                <c:pt idx="180">
                  <c:v>45473.998611111099</c:v>
                </c:pt>
                <c:pt idx="181">
                  <c:v>45474.998611111099</c:v>
                </c:pt>
                <c:pt idx="182">
                  <c:v>45475.998611111099</c:v>
                </c:pt>
                <c:pt idx="183">
                  <c:v>45476.998611111099</c:v>
                </c:pt>
                <c:pt idx="184">
                  <c:v>45477.998611111099</c:v>
                </c:pt>
                <c:pt idx="185">
                  <c:v>45478.998611111099</c:v>
                </c:pt>
                <c:pt idx="186">
                  <c:v>45479.998611111099</c:v>
                </c:pt>
                <c:pt idx="187">
                  <c:v>45480.998611111099</c:v>
                </c:pt>
                <c:pt idx="188">
                  <c:v>45481.998611111099</c:v>
                </c:pt>
                <c:pt idx="189">
                  <c:v>45482.998611111099</c:v>
                </c:pt>
                <c:pt idx="190">
                  <c:v>45483.998611111099</c:v>
                </c:pt>
                <c:pt idx="191">
                  <c:v>45484.998611111099</c:v>
                </c:pt>
                <c:pt idx="192">
                  <c:v>45485.998611111099</c:v>
                </c:pt>
                <c:pt idx="193">
                  <c:v>45486.998611111099</c:v>
                </c:pt>
                <c:pt idx="194">
                  <c:v>45487.998611111099</c:v>
                </c:pt>
                <c:pt idx="195">
                  <c:v>45488.998611111099</c:v>
                </c:pt>
                <c:pt idx="196">
                  <c:v>45489.998611111099</c:v>
                </c:pt>
                <c:pt idx="197">
                  <c:v>45490.998611111099</c:v>
                </c:pt>
                <c:pt idx="198">
                  <c:v>45491.998611111099</c:v>
                </c:pt>
                <c:pt idx="199">
                  <c:v>45492.998611111099</c:v>
                </c:pt>
                <c:pt idx="200">
                  <c:v>45493.998611111099</c:v>
                </c:pt>
                <c:pt idx="201">
                  <c:v>45494.998611111099</c:v>
                </c:pt>
                <c:pt idx="202">
                  <c:v>45495.998611111099</c:v>
                </c:pt>
                <c:pt idx="203">
                  <c:v>45496.998611111099</c:v>
                </c:pt>
                <c:pt idx="204">
                  <c:v>45497.998611111099</c:v>
                </c:pt>
                <c:pt idx="205">
                  <c:v>45498.998611111099</c:v>
                </c:pt>
                <c:pt idx="206">
                  <c:v>45499.998611111099</c:v>
                </c:pt>
                <c:pt idx="207">
                  <c:v>45500.998611111099</c:v>
                </c:pt>
                <c:pt idx="208">
                  <c:v>45501.998611111099</c:v>
                </c:pt>
                <c:pt idx="209">
                  <c:v>45502.998611111099</c:v>
                </c:pt>
                <c:pt idx="210">
                  <c:v>45503.998611111099</c:v>
                </c:pt>
                <c:pt idx="211">
                  <c:v>45504.998611111099</c:v>
                </c:pt>
                <c:pt idx="212">
                  <c:v>45505.998611111099</c:v>
                </c:pt>
                <c:pt idx="213">
                  <c:v>45506.998611111099</c:v>
                </c:pt>
                <c:pt idx="214">
                  <c:v>45507.998611111099</c:v>
                </c:pt>
                <c:pt idx="215">
                  <c:v>45508.998611111099</c:v>
                </c:pt>
                <c:pt idx="216">
                  <c:v>45509.998611111099</c:v>
                </c:pt>
                <c:pt idx="217">
                  <c:v>45510.998611111099</c:v>
                </c:pt>
                <c:pt idx="218">
                  <c:v>45511.998611111099</c:v>
                </c:pt>
                <c:pt idx="219">
                  <c:v>45512.998611111099</c:v>
                </c:pt>
                <c:pt idx="220">
                  <c:v>45513.998611111099</c:v>
                </c:pt>
                <c:pt idx="221">
                  <c:v>45514.998611111099</c:v>
                </c:pt>
                <c:pt idx="222">
                  <c:v>45515.998611111099</c:v>
                </c:pt>
                <c:pt idx="223">
                  <c:v>45516.998611111099</c:v>
                </c:pt>
                <c:pt idx="224">
                  <c:v>45517.998611111099</c:v>
                </c:pt>
                <c:pt idx="225">
                  <c:v>45518.998611111099</c:v>
                </c:pt>
                <c:pt idx="226">
                  <c:v>45519.998611111099</c:v>
                </c:pt>
                <c:pt idx="227">
                  <c:v>45520.998611111099</c:v>
                </c:pt>
                <c:pt idx="228">
                  <c:v>45521.998611111099</c:v>
                </c:pt>
                <c:pt idx="229">
                  <c:v>45522.998611111099</c:v>
                </c:pt>
                <c:pt idx="230">
                  <c:v>45523.998611111099</c:v>
                </c:pt>
                <c:pt idx="231">
                  <c:v>45524.998611111099</c:v>
                </c:pt>
                <c:pt idx="232">
                  <c:v>45525.998611111099</c:v>
                </c:pt>
                <c:pt idx="233">
                  <c:v>45526.998611111099</c:v>
                </c:pt>
                <c:pt idx="234">
                  <c:v>45527.998611111099</c:v>
                </c:pt>
                <c:pt idx="235">
                  <c:v>45528.998611111099</c:v>
                </c:pt>
                <c:pt idx="236">
                  <c:v>45529.998611111099</c:v>
                </c:pt>
                <c:pt idx="237">
                  <c:v>45530.998611111099</c:v>
                </c:pt>
                <c:pt idx="238">
                  <c:v>45531.998611111099</c:v>
                </c:pt>
                <c:pt idx="239">
                  <c:v>45532.998611111099</c:v>
                </c:pt>
                <c:pt idx="240">
                  <c:v>45533.998611111099</c:v>
                </c:pt>
                <c:pt idx="241">
                  <c:v>45534.998611111099</c:v>
                </c:pt>
                <c:pt idx="242">
                  <c:v>45535.998611111099</c:v>
                </c:pt>
                <c:pt idx="243">
                  <c:v>45536.998611111099</c:v>
                </c:pt>
                <c:pt idx="244">
                  <c:v>45537.998611111099</c:v>
                </c:pt>
                <c:pt idx="245">
                  <c:v>45538.998611111099</c:v>
                </c:pt>
                <c:pt idx="246">
                  <c:v>45539.998611111099</c:v>
                </c:pt>
                <c:pt idx="247">
                  <c:v>45540.998611111099</c:v>
                </c:pt>
                <c:pt idx="248">
                  <c:v>45541.998611111099</c:v>
                </c:pt>
                <c:pt idx="249">
                  <c:v>45542.998611111099</c:v>
                </c:pt>
                <c:pt idx="250">
                  <c:v>45543.998611111099</c:v>
                </c:pt>
                <c:pt idx="251">
                  <c:v>45544.998611111099</c:v>
                </c:pt>
                <c:pt idx="252">
                  <c:v>45545.998611111099</c:v>
                </c:pt>
                <c:pt idx="253">
                  <c:v>45546.998611111099</c:v>
                </c:pt>
                <c:pt idx="254">
                  <c:v>45547.998611111099</c:v>
                </c:pt>
                <c:pt idx="255">
                  <c:v>45548.998611111099</c:v>
                </c:pt>
                <c:pt idx="256">
                  <c:v>45549.998611111099</c:v>
                </c:pt>
                <c:pt idx="257">
                  <c:v>45550.998611111099</c:v>
                </c:pt>
                <c:pt idx="258">
                  <c:v>45551.998611111099</c:v>
                </c:pt>
                <c:pt idx="259">
                  <c:v>45552.998611111099</c:v>
                </c:pt>
                <c:pt idx="260">
                  <c:v>45553.998611111099</c:v>
                </c:pt>
                <c:pt idx="261">
                  <c:v>45554.998611111099</c:v>
                </c:pt>
                <c:pt idx="262">
                  <c:v>45555.998611111099</c:v>
                </c:pt>
                <c:pt idx="263">
                  <c:v>45556.998611111099</c:v>
                </c:pt>
                <c:pt idx="264">
                  <c:v>45557.998611111099</c:v>
                </c:pt>
                <c:pt idx="265">
                  <c:v>45558.998611111099</c:v>
                </c:pt>
                <c:pt idx="266">
                  <c:v>45559.998611111099</c:v>
                </c:pt>
                <c:pt idx="267">
                  <c:v>45560.998611111099</c:v>
                </c:pt>
                <c:pt idx="268">
                  <c:v>45561.998611111099</c:v>
                </c:pt>
                <c:pt idx="269">
                  <c:v>45562.998611111099</c:v>
                </c:pt>
                <c:pt idx="270">
                  <c:v>45563.998611111099</c:v>
                </c:pt>
                <c:pt idx="271">
                  <c:v>45564.998611111099</c:v>
                </c:pt>
                <c:pt idx="272">
                  <c:v>45565.998611111099</c:v>
                </c:pt>
                <c:pt idx="273">
                  <c:v>45566.998611111099</c:v>
                </c:pt>
                <c:pt idx="274">
                  <c:v>45567.998611111099</c:v>
                </c:pt>
                <c:pt idx="275">
                  <c:v>45568.998611111099</c:v>
                </c:pt>
                <c:pt idx="276">
                  <c:v>45569.998611111099</c:v>
                </c:pt>
                <c:pt idx="277">
                  <c:v>45570.998611111099</c:v>
                </c:pt>
                <c:pt idx="278">
                  <c:v>45571.998611111099</c:v>
                </c:pt>
                <c:pt idx="279">
                  <c:v>45572.998611111099</c:v>
                </c:pt>
                <c:pt idx="280">
                  <c:v>45573.998611111099</c:v>
                </c:pt>
                <c:pt idx="281">
                  <c:v>45574.998611111099</c:v>
                </c:pt>
                <c:pt idx="282">
                  <c:v>45575.998611111099</c:v>
                </c:pt>
                <c:pt idx="283">
                  <c:v>45576.998611111099</c:v>
                </c:pt>
                <c:pt idx="284">
                  <c:v>45577.998611111099</c:v>
                </c:pt>
                <c:pt idx="285">
                  <c:v>45578.998611111099</c:v>
                </c:pt>
                <c:pt idx="286">
                  <c:v>45579.998611111099</c:v>
                </c:pt>
                <c:pt idx="287">
                  <c:v>45580.998611111099</c:v>
                </c:pt>
                <c:pt idx="288">
                  <c:v>45581.998611111099</c:v>
                </c:pt>
                <c:pt idx="289">
                  <c:v>45582.998611111099</c:v>
                </c:pt>
                <c:pt idx="290">
                  <c:v>45583.998611111099</c:v>
                </c:pt>
                <c:pt idx="291">
                  <c:v>45584.998611111099</c:v>
                </c:pt>
                <c:pt idx="292">
                  <c:v>45585.998611111099</c:v>
                </c:pt>
                <c:pt idx="293">
                  <c:v>45586.998611111099</c:v>
                </c:pt>
                <c:pt idx="294">
                  <c:v>45587.998611111099</c:v>
                </c:pt>
                <c:pt idx="295">
                  <c:v>45588.998611111099</c:v>
                </c:pt>
                <c:pt idx="296">
                  <c:v>45589.998611111099</c:v>
                </c:pt>
                <c:pt idx="297">
                  <c:v>45590.998611111099</c:v>
                </c:pt>
                <c:pt idx="298">
                  <c:v>45591.998611111099</c:v>
                </c:pt>
                <c:pt idx="299">
                  <c:v>45592.998611111099</c:v>
                </c:pt>
                <c:pt idx="300">
                  <c:v>45593.998611111099</c:v>
                </c:pt>
                <c:pt idx="301">
                  <c:v>45595.998611111099</c:v>
                </c:pt>
                <c:pt idx="302">
                  <c:v>45596.998611111099</c:v>
                </c:pt>
                <c:pt idx="303">
                  <c:v>45597.998611111099</c:v>
                </c:pt>
                <c:pt idx="304">
                  <c:v>45598.998611111099</c:v>
                </c:pt>
                <c:pt idx="305">
                  <c:v>45599.998611111099</c:v>
                </c:pt>
                <c:pt idx="306">
                  <c:v>45600.998611111099</c:v>
                </c:pt>
                <c:pt idx="307">
                  <c:v>45601.998611111099</c:v>
                </c:pt>
                <c:pt idx="308">
                  <c:v>45602.998611111099</c:v>
                </c:pt>
                <c:pt idx="309">
                  <c:v>45603.998611111099</c:v>
                </c:pt>
                <c:pt idx="310">
                  <c:v>45604.998611111099</c:v>
                </c:pt>
                <c:pt idx="311">
                  <c:v>45605.998611111099</c:v>
                </c:pt>
                <c:pt idx="312">
                  <c:v>45606.998611111099</c:v>
                </c:pt>
                <c:pt idx="313">
                  <c:v>45607.998611111099</c:v>
                </c:pt>
                <c:pt idx="314">
                  <c:v>45608.998611111099</c:v>
                </c:pt>
                <c:pt idx="315">
                  <c:v>45609.998611111099</c:v>
                </c:pt>
                <c:pt idx="316">
                  <c:v>45610.998611111099</c:v>
                </c:pt>
                <c:pt idx="317">
                  <c:v>45611.998611111099</c:v>
                </c:pt>
                <c:pt idx="318">
                  <c:v>45612.998611111099</c:v>
                </c:pt>
                <c:pt idx="319">
                  <c:v>45613.998611111099</c:v>
                </c:pt>
                <c:pt idx="320">
                  <c:v>45614.998611111099</c:v>
                </c:pt>
                <c:pt idx="321">
                  <c:v>45615.998611111099</c:v>
                </c:pt>
                <c:pt idx="322">
                  <c:v>45616.998611111099</c:v>
                </c:pt>
                <c:pt idx="323">
                  <c:v>45617.998611111099</c:v>
                </c:pt>
                <c:pt idx="324">
                  <c:v>45618.998611111099</c:v>
                </c:pt>
                <c:pt idx="325">
                  <c:v>45619.998611111099</c:v>
                </c:pt>
                <c:pt idx="326">
                  <c:v>45620.998611111099</c:v>
                </c:pt>
                <c:pt idx="327">
                  <c:v>45621.998611111099</c:v>
                </c:pt>
                <c:pt idx="328">
                  <c:v>45622.998611111099</c:v>
                </c:pt>
                <c:pt idx="329">
                  <c:v>45623.998611111099</c:v>
                </c:pt>
                <c:pt idx="330">
                  <c:v>45624.998611111099</c:v>
                </c:pt>
                <c:pt idx="331">
                  <c:v>45625.998611111099</c:v>
                </c:pt>
                <c:pt idx="332">
                  <c:v>45626.998611111099</c:v>
                </c:pt>
                <c:pt idx="333">
                  <c:v>45627.998611111099</c:v>
                </c:pt>
                <c:pt idx="334">
                  <c:v>45628.998611111099</c:v>
                </c:pt>
                <c:pt idx="335">
                  <c:v>45629.998611111099</c:v>
                </c:pt>
                <c:pt idx="336">
                  <c:v>45630.998611111099</c:v>
                </c:pt>
                <c:pt idx="337">
                  <c:v>45631.998611111099</c:v>
                </c:pt>
                <c:pt idx="338">
                  <c:v>45632.998611111099</c:v>
                </c:pt>
                <c:pt idx="339">
                  <c:v>45633.998611111099</c:v>
                </c:pt>
                <c:pt idx="340">
                  <c:v>45634.998611111099</c:v>
                </c:pt>
                <c:pt idx="341">
                  <c:v>45635.998611111099</c:v>
                </c:pt>
                <c:pt idx="342">
                  <c:v>45636.998611111099</c:v>
                </c:pt>
                <c:pt idx="343">
                  <c:v>45637.998611111099</c:v>
                </c:pt>
                <c:pt idx="344">
                  <c:v>45638.998611111099</c:v>
                </c:pt>
                <c:pt idx="345">
                  <c:v>45639.998611111099</c:v>
                </c:pt>
                <c:pt idx="346">
                  <c:v>45640.998611111099</c:v>
                </c:pt>
                <c:pt idx="347">
                  <c:v>45641.998611111099</c:v>
                </c:pt>
                <c:pt idx="348">
                  <c:v>45642.998611111099</c:v>
                </c:pt>
                <c:pt idx="349">
                  <c:v>45643.998611111099</c:v>
                </c:pt>
                <c:pt idx="350">
                  <c:v>45644.998611111099</c:v>
                </c:pt>
                <c:pt idx="351">
                  <c:v>45645.998611111099</c:v>
                </c:pt>
                <c:pt idx="352">
                  <c:v>45646.998611111099</c:v>
                </c:pt>
                <c:pt idx="353">
                  <c:v>45647.998611111099</c:v>
                </c:pt>
                <c:pt idx="354">
                  <c:v>45648.998611111099</c:v>
                </c:pt>
                <c:pt idx="355">
                  <c:v>45649.998611111099</c:v>
                </c:pt>
                <c:pt idx="356">
                  <c:v>45650.998611111099</c:v>
                </c:pt>
                <c:pt idx="357">
                  <c:v>45651.998611111099</c:v>
                </c:pt>
                <c:pt idx="358">
                  <c:v>45652.998611111099</c:v>
                </c:pt>
                <c:pt idx="359">
                  <c:v>45653.998611111099</c:v>
                </c:pt>
                <c:pt idx="360">
                  <c:v>45654.998611111099</c:v>
                </c:pt>
                <c:pt idx="361">
                  <c:v>45655.998611111099</c:v>
                </c:pt>
                <c:pt idx="362">
                  <c:v>45656.998611111099</c:v>
                </c:pt>
                <c:pt idx="363">
                  <c:v>45657.998611111099</c:v>
                </c:pt>
                <c:pt idx="364">
                  <c:v>45658.998611111099</c:v>
                </c:pt>
                <c:pt idx="365">
                  <c:v>45659.998611111099</c:v>
                </c:pt>
                <c:pt idx="366">
                  <c:v>45660.998611111099</c:v>
                </c:pt>
                <c:pt idx="367">
                  <c:v>45661.998611111099</c:v>
                </c:pt>
                <c:pt idx="368">
                  <c:v>45662.998611111099</c:v>
                </c:pt>
                <c:pt idx="369">
                  <c:v>45663.998611111099</c:v>
                </c:pt>
                <c:pt idx="370">
                  <c:v>45664.998611111099</c:v>
                </c:pt>
                <c:pt idx="371">
                  <c:v>45665.998611111099</c:v>
                </c:pt>
                <c:pt idx="372">
                  <c:v>45666.998611111099</c:v>
                </c:pt>
                <c:pt idx="373">
                  <c:v>45667.998611111099</c:v>
                </c:pt>
                <c:pt idx="374">
                  <c:v>45668.998611111099</c:v>
                </c:pt>
                <c:pt idx="375">
                  <c:v>45669.998611111099</c:v>
                </c:pt>
                <c:pt idx="376">
                  <c:v>45670.998611111099</c:v>
                </c:pt>
                <c:pt idx="377">
                  <c:v>45671.998611111099</c:v>
                </c:pt>
                <c:pt idx="378">
                  <c:v>45672.998611111099</c:v>
                </c:pt>
                <c:pt idx="379">
                  <c:v>45673.998611111099</c:v>
                </c:pt>
                <c:pt idx="380">
                  <c:v>45674.998611111099</c:v>
                </c:pt>
                <c:pt idx="381">
                  <c:v>45675.998611111099</c:v>
                </c:pt>
                <c:pt idx="382">
                  <c:v>45677.998611111099</c:v>
                </c:pt>
                <c:pt idx="383">
                  <c:v>45678.998611111099</c:v>
                </c:pt>
                <c:pt idx="384">
                  <c:v>45679.998611111099</c:v>
                </c:pt>
                <c:pt idx="385">
                  <c:v>45680.998611111099</c:v>
                </c:pt>
                <c:pt idx="386">
                  <c:v>45681.998611111099</c:v>
                </c:pt>
                <c:pt idx="387">
                  <c:v>45682.998611111099</c:v>
                </c:pt>
                <c:pt idx="388">
                  <c:v>45683.998611111099</c:v>
                </c:pt>
                <c:pt idx="389">
                  <c:v>45684.998611111099</c:v>
                </c:pt>
                <c:pt idx="390">
                  <c:v>45685.998611111099</c:v>
                </c:pt>
                <c:pt idx="391">
                  <c:v>45686.998611111099</c:v>
                </c:pt>
                <c:pt idx="392">
                  <c:v>45687.998611111099</c:v>
                </c:pt>
                <c:pt idx="393">
                  <c:v>45688.998611111099</c:v>
                </c:pt>
                <c:pt idx="394">
                  <c:v>45689.998611111099</c:v>
                </c:pt>
                <c:pt idx="395">
                  <c:v>45690.998611111099</c:v>
                </c:pt>
                <c:pt idx="396">
                  <c:v>45691.998611111099</c:v>
                </c:pt>
                <c:pt idx="397">
                  <c:v>45692.998611111099</c:v>
                </c:pt>
                <c:pt idx="398">
                  <c:v>45693.998611111099</c:v>
                </c:pt>
                <c:pt idx="399">
                  <c:v>45694.998611111099</c:v>
                </c:pt>
                <c:pt idx="400">
                  <c:v>45695.998611111099</c:v>
                </c:pt>
                <c:pt idx="401">
                  <c:v>45696.998611111099</c:v>
                </c:pt>
                <c:pt idx="402">
                  <c:v>45697.998611111099</c:v>
                </c:pt>
                <c:pt idx="403">
                  <c:v>45698.998611111099</c:v>
                </c:pt>
                <c:pt idx="404">
                  <c:v>45699.998611111099</c:v>
                </c:pt>
                <c:pt idx="405">
                  <c:v>45700.998611111099</c:v>
                </c:pt>
                <c:pt idx="406">
                  <c:v>45701.998611111099</c:v>
                </c:pt>
                <c:pt idx="407">
                  <c:v>45702.998611111099</c:v>
                </c:pt>
                <c:pt idx="408">
                  <c:v>45703.998611111099</c:v>
                </c:pt>
                <c:pt idx="409">
                  <c:v>45704.998611111099</c:v>
                </c:pt>
                <c:pt idx="410">
                  <c:v>45705.998611111099</c:v>
                </c:pt>
                <c:pt idx="411">
                  <c:v>45706.998611111099</c:v>
                </c:pt>
                <c:pt idx="412">
                  <c:v>45707.998611111099</c:v>
                </c:pt>
                <c:pt idx="413">
                  <c:v>45708.998611111099</c:v>
                </c:pt>
                <c:pt idx="414">
                  <c:v>45709.998611111099</c:v>
                </c:pt>
                <c:pt idx="415">
                  <c:v>45710.998611111099</c:v>
                </c:pt>
                <c:pt idx="416">
                  <c:v>45711.998611111099</c:v>
                </c:pt>
                <c:pt idx="417">
                  <c:v>45712.998611111099</c:v>
                </c:pt>
                <c:pt idx="418">
                  <c:v>45713.998611111099</c:v>
                </c:pt>
                <c:pt idx="419">
                  <c:v>45714.998611111099</c:v>
                </c:pt>
                <c:pt idx="420">
                  <c:v>45715.998611111099</c:v>
                </c:pt>
                <c:pt idx="421">
                  <c:v>45716.998611111099</c:v>
                </c:pt>
                <c:pt idx="422">
                  <c:v>45717.998611111099</c:v>
                </c:pt>
                <c:pt idx="423">
                  <c:v>45718.998611111099</c:v>
                </c:pt>
                <c:pt idx="424">
                  <c:v>45719.998611111099</c:v>
                </c:pt>
                <c:pt idx="425">
                  <c:v>45720.998611111099</c:v>
                </c:pt>
                <c:pt idx="426">
                  <c:v>45721.998611111099</c:v>
                </c:pt>
                <c:pt idx="427">
                  <c:v>45722.998611111099</c:v>
                </c:pt>
                <c:pt idx="428">
                  <c:v>45723.998611111099</c:v>
                </c:pt>
                <c:pt idx="429">
                  <c:v>45724.998611111099</c:v>
                </c:pt>
                <c:pt idx="430">
                  <c:v>45725.998611111099</c:v>
                </c:pt>
                <c:pt idx="431">
                  <c:v>45726.998611111099</c:v>
                </c:pt>
                <c:pt idx="432">
                  <c:v>45727.998611111099</c:v>
                </c:pt>
                <c:pt idx="433">
                  <c:v>45728.998611111099</c:v>
                </c:pt>
                <c:pt idx="434">
                  <c:v>45729.998611111099</c:v>
                </c:pt>
                <c:pt idx="435">
                  <c:v>45730.998611111099</c:v>
                </c:pt>
                <c:pt idx="436">
                  <c:v>45731.998611111099</c:v>
                </c:pt>
                <c:pt idx="437">
                  <c:v>45732.998611111099</c:v>
                </c:pt>
                <c:pt idx="438">
                  <c:v>45733.998611111099</c:v>
                </c:pt>
                <c:pt idx="439">
                  <c:v>45734.998611111099</c:v>
                </c:pt>
                <c:pt idx="440">
                  <c:v>45735.998611111099</c:v>
                </c:pt>
                <c:pt idx="441">
                  <c:v>45736.998611111099</c:v>
                </c:pt>
                <c:pt idx="442">
                  <c:v>45737.998611111099</c:v>
                </c:pt>
                <c:pt idx="443">
                  <c:v>45738.998611111099</c:v>
                </c:pt>
                <c:pt idx="444">
                  <c:v>45739.998611111099</c:v>
                </c:pt>
                <c:pt idx="445">
                  <c:v>45740.998611111099</c:v>
                </c:pt>
                <c:pt idx="446">
                  <c:v>45741.998611111099</c:v>
                </c:pt>
                <c:pt idx="447">
                  <c:v>45742.998611111099</c:v>
                </c:pt>
                <c:pt idx="448">
                  <c:v>45743.998611111099</c:v>
                </c:pt>
                <c:pt idx="449">
                  <c:v>45744.998611111099</c:v>
                </c:pt>
                <c:pt idx="450">
                  <c:v>45745.998611111099</c:v>
                </c:pt>
                <c:pt idx="451">
                  <c:v>45746.998611111099</c:v>
                </c:pt>
                <c:pt idx="452">
                  <c:v>45747.998611111099</c:v>
                </c:pt>
                <c:pt idx="453">
                  <c:v>45748.998611111099</c:v>
                </c:pt>
                <c:pt idx="454">
                  <c:v>45749.998611111099</c:v>
                </c:pt>
                <c:pt idx="455">
                  <c:v>45750.998611111099</c:v>
                </c:pt>
                <c:pt idx="456">
                  <c:v>45751.998611111099</c:v>
                </c:pt>
                <c:pt idx="457">
                  <c:v>45752.998611111099</c:v>
                </c:pt>
                <c:pt idx="458">
                  <c:v>45753.998611111099</c:v>
                </c:pt>
                <c:pt idx="459">
                  <c:v>45754.998611111099</c:v>
                </c:pt>
                <c:pt idx="460">
                  <c:v>45755.998611111099</c:v>
                </c:pt>
                <c:pt idx="461">
                  <c:v>45756.998611111099</c:v>
                </c:pt>
                <c:pt idx="462">
                  <c:v>45757.998611111099</c:v>
                </c:pt>
                <c:pt idx="463">
                  <c:v>45758.998611111099</c:v>
                </c:pt>
                <c:pt idx="464">
                  <c:v>45759.998611111099</c:v>
                </c:pt>
                <c:pt idx="465">
                  <c:v>45760.998611111099</c:v>
                </c:pt>
                <c:pt idx="466">
                  <c:v>45761.998611111099</c:v>
                </c:pt>
                <c:pt idx="467">
                  <c:v>45762.998611111099</c:v>
                </c:pt>
                <c:pt idx="468">
                  <c:v>45763.998611111099</c:v>
                </c:pt>
                <c:pt idx="469">
                  <c:v>45764.998611111099</c:v>
                </c:pt>
                <c:pt idx="470">
                  <c:v>45768.998611111099</c:v>
                </c:pt>
                <c:pt idx="471">
                  <c:v>45769.998611111099</c:v>
                </c:pt>
                <c:pt idx="472">
                  <c:v>45770.998611111099</c:v>
                </c:pt>
                <c:pt idx="473">
                  <c:v>45771.998611111099</c:v>
                </c:pt>
                <c:pt idx="474">
                  <c:v>45772.998611111099</c:v>
                </c:pt>
                <c:pt idx="475">
                  <c:v>45773.998611111099</c:v>
                </c:pt>
                <c:pt idx="476">
                  <c:v>45774.998611111099</c:v>
                </c:pt>
                <c:pt idx="477">
                  <c:v>45775.998611111099</c:v>
                </c:pt>
                <c:pt idx="478">
                  <c:v>45776.998611111099</c:v>
                </c:pt>
                <c:pt idx="479">
                  <c:v>45777.998611111099</c:v>
                </c:pt>
                <c:pt idx="480">
                  <c:v>45778.998611111099</c:v>
                </c:pt>
                <c:pt idx="481">
                  <c:v>45779.998611111099</c:v>
                </c:pt>
                <c:pt idx="482">
                  <c:v>45780.998611111099</c:v>
                </c:pt>
                <c:pt idx="483">
                  <c:v>45781.998611111099</c:v>
                </c:pt>
                <c:pt idx="484">
                  <c:v>45782.998611111099</c:v>
                </c:pt>
                <c:pt idx="485">
                  <c:v>45783.998611111099</c:v>
                </c:pt>
                <c:pt idx="486">
                  <c:v>45784.998611111099</c:v>
                </c:pt>
                <c:pt idx="487">
                  <c:v>45785.998611111099</c:v>
                </c:pt>
                <c:pt idx="488">
                  <c:v>45786.998611111099</c:v>
                </c:pt>
                <c:pt idx="489">
                  <c:v>45787.998611111099</c:v>
                </c:pt>
                <c:pt idx="490">
                  <c:v>45788.998611111099</c:v>
                </c:pt>
                <c:pt idx="491">
                  <c:v>45789.998611111099</c:v>
                </c:pt>
                <c:pt idx="492">
                  <c:v>45790.998611111099</c:v>
                </c:pt>
                <c:pt idx="493">
                  <c:v>45791.998611111099</c:v>
                </c:pt>
                <c:pt idx="494">
                  <c:v>45792.998611111099</c:v>
                </c:pt>
                <c:pt idx="495">
                  <c:v>45793.998611111099</c:v>
                </c:pt>
                <c:pt idx="496">
                  <c:v>45794.998611111099</c:v>
                </c:pt>
                <c:pt idx="497">
                  <c:v>45795.998611111099</c:v>
                </c:pt>
                <c:pt idx="498">
                  <c:v>45796.998611111099</c:v>
                </c:pt>
                <c:pt idx="499">
                  <c:v>45797.998611111099</c:v>
                </c:pt>
                <c:pt idx="500">
                  <c:v>45798.998611111099</c:v>
                </c:pt>
                <c:pt idx="501">
                  <c:v>45799.998611111099</c:v>
                </c:pt>
                <c:pt idx="502">
                  <c:v>45800.998611111099</c:v>
                </c:pt>
                <c:pt idx="503">
                  <c:v>45801.998611111099</c:v>
                </c:pt>
                <c:pt idx="504">
                  <c:v>45802.998611111099</c:v>
                </c:pt>
                <c:pt idx="505">
                  <c:v>45803.998611111099</c:v>
                </c:pt>
                <c:pt idx="506">
                  <c:v>45804.998611111099</c:v>
                </c:pt>
                <c:pt idx="507">
                  <c:v>45805.998611111099</c:v>
                </c:pt>
                <c:pt idx="508">
                  <c:v>45806.998611111099</c:v>
                </c:pt>
                <c:pt idx="509">
                  <c:v>45807.998611111099</c:v>
                </c:pt>
                <c:pt idx="510">
                  <c:v>45808.998611111099</c:v>
                </c:pt>
                <c:pt idx="511">
                  <c:v>45809.998611111099</c:v>
                </c:pt>
                <c:pt idx="512">
                  <c:v>45810.998611111099</c:v>
                </c:pt>
                <c:pt idx="513">
                  <c:v>45811.998611111099</c:v>
                </c:pt>
                <c:pt idx="514">
                  <c:v>45812.998611111099</c:v>
                </c:pt>
                <c:pt idx="515">
                  <c:v>45813.998611111099</c:v>
                </c:pt>
                <c:pt idx="516">
                  <c:v>45814.998611111099</c:v>
                </c:pt>
                <c:pt idx="517">
                  <c:v>45816.998611111099</c:v>
                </c:pt>
                <c:pt idx="518">
                  <c:v>45817.998611111099</c:v>
                </c:pt>
                <c:pt idx="519">
                  <c:v>45818.998611111099</c:v>
                </c:pt>
                <c:pt idx="520">
                  <c:v>45819.998611111099</c:v>
                </c:pt>
                <c:pt idx="521">
                  <c:v>45820.998611111099</c:v>
                </c:pt>
                <c:pt idx="522">
                  <c:v>45821.998611111099</c:v>
                </c:pt>
                <c:pt idx="523">
                  <c:v>45822.998611111099</c:v>
                </c:pt>
                <c:pt idx="524">
                  <c:v>45824.998611111099</c:v>
                </c:pt>
                <c:pt idx="525">
                  <c:v>45825.998611111099</c:v>
                </c:pt>
                <c:pt idx="526">
                  <c:v>45826.998611111099</c:v>
                </c:pt>
                <c:pt idx="527">
                  <c:v>45827.998611111099</c:v>
                </c:pt>
                <c:pt idx="528">
                  <c:v>45828.998611111099</c:v>
                </c:pt>
                <c:pt idx="529">
                  <c:v>45829.998611111099</c:v>
                </c:pt>
                <c:pt idx="530">
                  <c:v>45830.998611111099</c:v>
                </c:pt>
                <c:pt idx="531">
                  <c:v>45831.998611111099</c:v>
                </c:pt>
                <c:pt idx="532">
                  <c:v>45832.998611111099</c:v>
                </c:pt>
                <c:pt idx="533">
                  <c:v>45833.998611111099</c:v>
                </c:pt>
                <c:pt idx="534">
                  <c:v>45834.998611111099</c:v>
                </c:pt>
                <c:pt idx="535">
                  <c:v>45835.998611111099</c:v>
                </c:pt>
                <c:pt idx="536">
                  <c:v>45836.998611111099</c:v>
                </c:pt>
                <c:pt idx="537">
                  <c:v>45837.998611111099</c:v>
                </c:pt>
                <c:pt idx="538">
                  <c:v>45838.998611111099</c:v>
                </c:pt>
                <c:pt idx="539">
                  <c:v>45839.998611111099</c:v>
                </c:pt>
                <c:pt idx="540">
                  <c:v>45840.998611111099</c:v>
                </c:pt>
                <c:pt idx="541">
                  <c:v>45841.998611111099</c:v>
                </c:pt>
                <c:pt idx="542">
                  <c:v>45842.998611111099</c:v>
                </c:pt>
                <c:pt idx="543">
                  <c:v>45843.998611111099</c:v>
                </c:pt>
                <c:pt idx="544">
                  <c:v>45844.998611111099</c:v>
                </c:pt>
                <c:pt idx="545">
                  <c:v>45845.998611111099</c:v>
                </c:pt>
                <c:pt idx="546">
                  <c:v>45846.998611111099</c:v>
                </c:pt>
                <c:pt idx="547">
                  <c:v>45847.998611111099</c:v>
                </c:pt>
                <c:pt idx="548">
                  <c:v>45848.998611111099</c:v>
                </c:pt>
                <c:pt idx="549">
                  <c:v>45849.998611111099</c:v>
                </c:pt>
                <c:pt idx="550">
                  <c:v>45850.998611111099</c:v>
                </c:pt>
                <c:pt idx="551">
                  <c:v>45851.998611111099</c:v>
                </c:pt>
                <c:pt idx="552">
                  <c:v>45852.998611111099</c:v>
                </c:pt>
                <c:pt idx="553">
                  <c:v>45853.998611111099</c:v>
                </c:pt>
                <c:pt idx="554">
                  <c:v>45854.998611111099</c:v>
                </c:pt>
                <c:pt idx="555">
                  <c:v>45855.998611111099</c:v>
                </c:pt>
                <c:pt idx="556">
                  <c:v>45856.998611111099</c:v>
                </c:pt>
                <c:pt idx="557">
                  <c:v>45857.998611111099</c:v>
                </c:pt>
                <c:pt idx="558">
                  <c:v>45858.998611111099</c:v>
                </c:pt>
                <c:pt idx="559">
                  <c:v>45859.998611111099</c:v>
                </c:pt>
                <c:pt idx="560">
                  <c:v>45860.998611111099</c:v>
                </c:pt>
                <c:pt idx="561">
                  <c:v>45861.998611111099</c:v>
                </c:pt>
                <c:pt idx="562">
                  <c:v>45862.998611111099</c:v>
                </c:pt>
                <c:pt idx="563">
                  <c:v>45863.998611111099</c:v>
                </c:pt>
                <c:pt idx="564">
                  <c:v>45864.998611111099</c:v>
                </c:pt>
                <c:pt idx="565">
                  <c:v>45865.998611111099</c:v>
                </c:pt>
                <c:pt idx="566">
                  <c:v>45866.998611111099</c:v>
                </c:pt>
                <c:pt idx="567">
                  <c:v>45867.998611111099</c:v>
                </c:pt>
                <c:pt idx="568">
                  <c:v>45868.998611111099</c:v>
                </c:pt>
                <c:pt idx="569">
                  <c:v>45869.998611111099</c:v>
                </c:pt>
                <c:pt idx="570">
                  <c:v>45870.998611111099</c:v>
                </c:pt>
                <c:pt idx="571">
                  <c:v>45871.998611111099</c:v>
                </c:pt>
                <c:pt idx="572">
                  <c:v>45872.998611111099</c:v>
                </c:pt>
                <c:pt idx="573">
                  <c:v>45873.998611111099</c:v>
                </c:pt>
                <c:pt idx="574">
                  <c:v>45874.998611111099</c:v>
                </c:pt>
                <c:pt idx="575">
                  <c:v>45875.998611111099</c:v>
                </c:pt>
                <c:pt idx="576">
                  <c:v>45876.998611111099</c:v>
                </c:pt>
                <c:pt idx="577">
                  <c:v>45877.998611111099</c:v>
                </c:pt>
                <c:pt idx="578">
                  <c:v>45878.998611111099</c:v>
                </c:pt>
                <c:pt idx="579">
                  <c:v>45879.998611111099</c:v>
                </c:pt>
                <c:pt idx="580">
                  <c:v>45880.998611111099</c:v>
                </c:pt>
                <c:pt idx="581">
                  <c:v>45881.998611111099</c:v>
                </c:pt>
                <c:pt idx="582">
                  <c:v>45882.998611111099</c:v>
                </c:pt>
                <c:pt idx="583">
                  <c:v>45883.998611111099</c:v>
                </c:pt>
                <c:pt idx="584">
                  <c:v>45884.998611111099</c:v>
                </c:pt>
                <c:pt idx="585">
                  <c:v>45885.998611111099</c:v>
                </c:pt>
                <c:pt idx="586">
                  <c:v>45886.998611111099</c:v>
                </c:pt>
                <c:pt idx="587">
                  <c:v>45887.998611111099</c:v>
                </c:pt>
                <c:pt idx="588">
                  <c:v>45888.998611111099</c:v>
                </c:pt>
                <c:pt idx="589">
                  <c:v>45889.998611111099</c:v>
                </c:pt>
                <c:pt idx="590">
                  <c:v>45890.998611111099</c:v>
                </c:pt>
                <c:pt idx="591">
                  <c:v>45891.998611111099</c:v>
                </c:pt>
                <c:pt idx="592">
                  <c:v>45893.998611111099</c:v>
                </c:pt>
                <c:pt idx="593">
                  <c:v>45894.998611111099</c:v>
                </c:pt>
                <c:pt idx="594">
                  <c:v>45895.998611111099</c:v>
                </c:pt>
                <c:pt idx="595">
                  <c:v>45896.998611111099</c:v>
                </c:pt>
                <c:pt idx="596">
                  <c:v>45897.998611111099</c:v>
                </c:pt>
                <c:pt idx="597">
                  <c:v>45898.998611111099</c:v>
                </c:pt>
                <c:pt idx="598">
                  <c:v>45899.998611111099</c:v>
                </c:pt>
                <c:pt idx="599">
                  <c:v>45900.998611111099</c:v>
                </c:pt>
                <c:pt idx="600">
                  <c:v>45901.998611111099</c:v>
                </c:pt>
                <c:pt idx="601">
                  <c:v>45902.998611111099</c:v>
                </c:pt>
                <c:pt idx="602">
                  <c:v>45903.998611111099</c:v>
                </c:pt>
                <c:pt idx="603">
                  <c:v>45904.998611111099</c:v>
                </c:pt>
                <c:pt idx="604">
                  <c:v>45905.998611111099</c:v>
                </c:pt>
                <c:pt idx="605">
                  <c:v>45906.998611111099</c:v>
                </c:pt>
                <c:pt idx="606">
                  <c:v>45907.998611111099</c:v>
                </c:pt>
                <c:pt idx="607">
                  <c:v>45908.998611111099</c:v>
                </c:pt>
                <c:pt idx="608">
                  <c:v>45909.998611111099</c:v>
                </c:pt>
                <c:pt idx="609">
                  <c:v>45910.998611111099</c:v>
                </c:pt>
                <c:pt idx="610">
                  <c:v>45911.998611111099</c:v>
                </c:pt>
                <c:pt idx="611">
                  <c:v>45912.998611111099</c:v>
                </c:pt>
                <c:pt idx="612">
                  <c:v>45913.998611111099</c:v>
                </c:pt>
                <c:pt idx="613">
                  <c:v>45914.998611111099</c:v>
                </c:pt>
                <c:pt idx="614">
                  <c:v>45915.998611111099</c:v>
                </c:pt>
                <c:pt idx="615">
                  <c:v>45916.998611111099</c:v>
                </c:pt>
                <c:pt idx="616">
                  <c:v>45917.998611111099</c:v>
                </c:pt>
                <c:pt idx="617">
                  <c:v>45918.998611111099</c:v>
                </c:pt>
                <c:pt idx="618">
                  <c:v>45919.998611111099</c:v>
                </c:pt>
                <c:pt idx="619">
                  <c:v>45920.998611111099</c:v>
                </c:pt>
                <c:pt idx="620">
                  <c:v>45921.998611111099</c:v>
                </c:pt>
                <c:pt idx="621">
                  <c:v>45922.998611111099</c:v>
                </c:pt>
                <c:pt idx="622">
                  <c:v>45923.998611111099</c:v>
                </c:pt>
                <c:pt idx="623">
                  <c:v>45924.998611111099</c:v>
                </c:pt>
                <c:pt idx="624">
                  <c:v>45926.998611111099</c:v>
                </c:pt>
                <c:pt idx="625">
                  <c:v>45927.998611111099</c:v>
                </c:pt>
                <c:pt idx="626">
                  <c:v>45928.998611111099</c:v>
                </c:pt>
                <c:pt idx="627">
                  <c:v>45929.998611111099</c:v>
                </c:pt>
                <c:pt idx="628">
                  <c:v>45930.998611111099</c:v>
                </c:pt>
                <c:pt idx="629">
                  <c:v>45931.998611111099</c:v>
                </c:pt>
                <c:pt idx="630">
                  <c:v>45932.998611111099</c:v>
                </c:pt>
                <c:pt idx="631">
                  <c:v>45933.998611111099</c:v>
                </c:pt>
                <c:pt idx="632">
                  <c:v>45934.998611111099</c:v>
                </c:pt>
                <c:pt idx="633">
                  <c:v>45935.998611111099</c:v>
                </c:pt>
                <c:pt idx="634">
                  <c:v>45936.998611111099</c:v>
                </c:pt>
                <c:pt idx="635">
                  <c:v>45937.998611111099</c:v>
                </c:pt>
                <c:pt idx="636">
                  <c:v>45938.998611111099</c:v>
                </c:pt>
                <c:pt idx="637">
                  <c:v>45939.998611111099</c:v>
                </c:pt>
                <c:pt idx="638">
                  <c:v>45940.998611111099</c:v>
                </c:pt>
                <c:pt idx="639">
                  <c:v>45941.998611111099</c:v>
                </c:pt>
                <c:pt idx="640">
                  <c:v>45942.998611111099</c:v>
                </c:pt>
                <c:pt idx="641">
                  <c:v>45943.998611111099</c:v>
                </c:pt>
                <c:pt idx="642">
                  <c:v>45944.998611111099</c:v>
                </c:pt>
                <c:pt idx="643">
                  <c:v>45945.998611111099</c:v>
                </c:pt>
                <c:pt idx="644">
                  <c:v>45946.998611111099</c:v>
                </c:pt>
                <c:pt idx="645">
                  <c:v>45947.998611111099</c:v>
                </c:pt>
                <c:pt idx="646">
                  <c:v>45948.998611111099</c:v>
                </c:pt>
                <c:pt idx="647">
                  <c:v>45949.998611111099</c:v>
                </c:pt>
                <c:pt idx="648">
                  <c:v>45950.998611111099</c:v>
                </c:pt>
                <c:pt idx="649">
                  <c:v>45951.998611111099</c:v>
                </c:pt>
                <c:pt idx="650">
                  <c:v>45952.998611111099</c:v>
                </c:pt>
                <c:pt idx="651">
                  <c:v>45953.998611111099</c:v>
                </c:pt>
                <c:pt idx="652">
                  <c:v>45954.998611111099</c:v>
                </c:pt>
                <c:pt idx="653">
                  <c:v>45955.998611111099</c:v>
                </c:pt>
                <c:pt idx="654">
                  <c:v>45956.998611111099</c:v>
                </c:pt>
                <c:pt idx="655">
                  <c:v>45957.998611111099</c:v>
                </c:pt>
                <c:pt idx="656">
                  <c:v>45958.998611111099</c:v>
                </c:pt>
                <c:pt idx="657">
                  <c:v>45959.998611111099</c:v>
                </c:pt>
                <c:pt idx="658">
                  <c:v>45960.998611111099</c:v>
                </c:pt>
                <c:pt idx="659">
                  <c:v>45961.998611111099</c:v>
                </c:pt>
                <c:pt idx="660">
                  <c:v>45962.998611111099</c:v>
                </c:pt>
                <c:pt idx="661">
                  <c:v>45963.998611111099</c:v>
                </c:pt>
                <c:pt idx="662">
                  <c:v>45964.998611111099</c:v>
                </c:pt>
                <c:pt idx="663">
                  <c:v>45965.998611111099</c:v>
                </c:pt>
                <c:pt idx="664">
                  <c:v>45966.998611111099</c:v>
                </c:pt>
                <c:pt idx="665">
                  <c:v>45967.998611111099</c:v>
                </c:pt>
                <c:pt idx="666">
                  <c:v>45968.998611111099</c:v>
                </c:pt>
                <c:pt idx="667">
                  <c:v>45969.998611111099</c:v>
                </c:pt>
                <c:pt idx="668">
                  <c:v>45970.998611111099</c:v>
                </c:pt>
                <c:pt idx="669">
                  <c:v>45971.998611111099</c:v>
                </c:pt>
                <c:pt idx="670">
                  <c:v>45972.998611111099</c:v>
                </c:pt>
                <c:pt idx="671">
                  <c:v>45973.998611111099</c:v>
                </c:pt>
                <c:pt idx="672">
                  <c:v>45974.998611111099</c:v>
                </c:pt>
                <c:pt idx="673">
                  <c:v>45975.998611111099</c:v>
                </c:pt>
                <c:pt idx="674">
                  <c:v>45976.998611111099</c:v>
                </c:pt>
                <c:pt idx="675">
                  <c:v>45978.998611111099</c:v>
                </c:pt>
                <c:pt idx="676">
                  <c:v>45979.998611111099</c:v>
                </c:pt>
                <c:pt idx="677">
                  <c:v>45980.998611111099</c:v>
                </c:pt>
                <c:pt idx="678">
                  <c:v>45981.998611111099</c:v>
                </c:pt>
                <c:pt idx="679">
                  <c:v>45982.998611111099</c:v>
                </c:pt>
                <c:pt idx="680">
                  <c:v>45983.998611111099</c:v>
                </c:pt>
                <c:pt idx="681">
                  <c:v>45984.998611111099</c:v>
                </c:pt>
                <c:pt idx="682">
                  <c:v>45985.998611111099</c:v>
                </c:pt>
                <c:pt idx="683">
                  <c:v>45986.998611111099</c:v>
                </c:pt>
                <c:pt idx="684">
                  <c:v>45987.998611111099</c:v>
                </c:pt>
                <c:pt idx="685">
                  <c:v>45988.998611111099</c:v>
                </c:pt>
                <c:pt idx="686">
                  <c:v>45989.998611111099</c:v>
                </c:pt>
                <c:pt idx="687">
                  <c:v>45990.998611111099</c:v>
                </c:pt>
                <c:pt idx="688">
                  <c:v>45991.998611111099</c:v>
                </c:pt>
                <c:pt idx="689">
                  <c:v>45992.998611111099</c:v>
                </c:pt>
                <c:pt idx="690">
                  <c:v>45993.998611111099</c:v>
                </c:pt>
                <c:pt idx="691">
                  <c:v>45994.998611111099</c:v>
                </c:pt>
                <c:pt idx="692">
                  <c:v>45995.998611111099</c:v>
                </c:pt>
                <c:pt idx="693">
                  <c:v>45996.998611111099</c:v>
                </c:pt>
                <c:pt idx="694">
                  <c:v>45997.998611111099</c:v>
                </c:pt>
                <c:pt idx="695">
                  <c:v>45998.998611111099</c:v>
                </c:pt>
                <c:pt idx="696">
                  <c:v>45999.998611111099</c:v>
                </c:pt>
                <c:pt idx="697">
                  <c:v>46000.998611111099</c:v>
                </c:pt>
                <c:pt idx="698">
                  <c:v>46001.998611111099</c:v>
                </c:pt>
                <c:pt idx="699">
                  <c:v>46002.998611111099</c:v>
                </c:pt>
                <c:pt idx="700">
                  <c:v>46003.998611111099</c:v>
                </c:pt>
                <c:pt idx="701">
                  <c:v>46004.998611111099</c:v>
                </c:pt>
                <c:pt idx="702">
                  <c:v>46005.998611111099</c:v>
                </c:pt>
                <c:pt idx="703">
                  <c:v>46006.998611111099</c:v>
                </c:pt>
                <c:pt idx="704">
                  <c:v>46007.998611111099</c:v>
                </c:pt>
                <c:pt idx="705">
                  <c:v>46008.998611111099</c:v>
                </c:pt>
                <c:pt idx="706">
                  <c:v>46009.998611111099</c:v>
                </c:pt>
                <c:pt idx="707">
                  <c:v>46010.998611111099</c:v>
                </c:pt>
                <c:pt idx="708">
                  <c:v>46011.998611111099</c:v>
                </c:pt>
                <c:pt idx="709">
                  <c:v>46012.998611111099</c:v>
                </c:pt>
                <c:pt idx="710">
                  <c:v>46013.998611111099</c:v>
                </c:pt>
                <c:pt idx="711">
                  <c:v>46014.998611111099</c:v>
                </c:pt>
                <c:pt idx="712">
                  <c:v>46015.998611111099</c:v>
                </c:pt>
                <c:pt idx="713">
                  <c:v>46016.998611111099</c:v>
                </c:pt>
                <c:pt idx="714">
                  <c:v>46017.998611111099</c:v>
                </c:pt>
                <c:pt idx="715">
                  <c:v>46018.998611111099</c:v>
                </c:pt>
                <c:pt idx="716">
                  <c:v>46019.998611111099</c:v>
                </c:pt>
                <c:pt idx="717">
                  <c:v>46020.998611111099</c:v>
                </c:pt>
                <c:pt idx="718">
                  <c:v>46021.998611111099</c:v>
                </c:pt>
              </c:numCache>
            </c:numRef>
          </c:cat>
          <c:val>
            <c:numRef>
              <c:f>'Kurs USD ke IDR'!$B$2:$B$720</c:f>
              <c:numCache>
                <c:formatCode>0</c:formatCode>
                <c:ptCount val="719"/>
                <c:pt idx="0">
                  <c:v>15383</c:v>
                </c:pt>
                <c:pt idx="1">
                  <c:v>15498</c:v>
                </c:pt>
                <c:pt idx="2">
                  <c:v>15555</c:v>
                </c:pt>
                <c:pt idx="3">
                  <c:v>15511</c:v>
                </c:pt>
                <c:pt idx="4">
                  <c:v>15477.5</c:v>
                </c:pt>
                <c:pt idx="5">
                  <c:v>15477.5</c:v>
                </c:pt>
                <c:pt idx="6">
                  <c:v>15477.5</c:v>
                </c:pt>
                <c:pt idx="7">
                  <c:v>15495.5</c:v>
                </c:pt>
                <c:pt idx="8">
                  <c:v>15534.5</c:v>
                </c:pt>
                <c:pt idx="9">
                  <c:v>15555</c:v>
                </c:pt>
                <c:pt idx="10">
                  <c:v>15556.5</c:v>
                </c:pt>
                <c:pt idx="11">
                  <c:v>15503.2</c:v>
                </c:pt>
                <c:pt idx="12">
                  <c:v>15503.2</c:v>
                </c:pt>
                <c:pt idx="13">
                  <c:v>15503.2</c:v>
                </c:pt>
                <c:pt idx="14">
                  <c:v>15546</c:v>
                </c:pt>
                <c:pt idx="15">
                  <c:v>15625</c:v>
                </c:pt>
                <c:pt idx="16">
                  <c:v>15624</c:v>
                </c:pt>
                <c:pt idx="17">
                  <c:v>15613.1</c:v>
                </c:pt>
                <c:pt idx="18">
                  <c:v>15601</c:v>
                </c:pt>
                <c:pt idx="19">
                  <c:v>15601</c:v>
                </c:pt>
                <c:pt idx="20">
                  <c:v>15601</c:v>
                </c:pt>
                <c:pt idx="21">
                  <c:v>15655.5</c:v>
                </c:pt>
                <c:pt idx="22">
                  <c:v>15715</c:v>
                </c:pt>
                <c:pt idx="23">
                  <c:v>15714.5</c:v>
                </c:pt>
                <c:pt idx="24">
                  <c:v>15808</c:v>
                </c:pt>
                <c:pt idx="25">
                  <c:v>15767.6</c:v>
                </c:pt>
                <c:pt idx="26">
                  <c:v>15767.6</c:v>
                </c:pt>
                <c:pt idx="27">
                  <c:v>15767.6</c:v>
                </c:pt>
                <c:pt idx="28">
                  <c:v>15828</c:v>
                </c:pt>
                <c:pt idx="29">
                  <c:v>15785</c:v>
                </c:pt>
                <c:pt idx="30">
                  <c:v>15769</c:v>
                </c:pt>
                <c:pt idx="31">
                  <c:v>15726</c:v>
                </c:pt>
                <c:pt idx="32">
                  <c:v>15727.2</c:v>
                </c:pt>
                <c:pt idx="33">
                  <c:v>15727.2</c:v>
                </c:pt>
                <c:pt idx="34">
                  <c:v>15727.2</c:v>
                </c:pt>
                <c:pt idx="35">
                  <c:v>15711.5</c:v>
                </c:pt>
                <c:pt idx="36">
                  <c:v>15733</c:v>
                </c:pt>
                <c:pt idx="37">
                  <c:v>15647</c:v>
                </c:pt>
                <c:pt idx="38">
                  <c:v>15660.3</c:v>
                </c:pt>
                <c:pt idx="39">
                  <c:v>15598</c:v>
                </c:pt>
                <c:pt idx="40">
                  <c:v>15598</c:v>
                </c:pt>
                <c:pt idx="41">
                  <c:v>15598</c:v>
                </c:pt>
                <c:pt idx="42">
                  <c:v>15579.5</c:v>
                </c:pt>
                <c:pt idx="43">
                  <c:v>15661.5</c:v>
                </c:pt>
                <c:pt idx="44">
                  <c:v>15553.1</c:v>
                </c:pt>
                <c:pt idx="45">
                  <c:v>15672</c:v>
                </c:pt>
                <c:pt idx="46">
                  <c:v>15628.6</c:v>
                </c:pt>
                <c:pt idx="47">
                  <c:v>15628.6</c:v>
                </c:pt>
                <c:pt idx="48">
                  <c:v>15628.6</c:v>
                </c:pt>
                <c:pt idx="49">
                  <c:v>15634</c:v>
                </c:pt>
                <c:pt idx="50">
                  <c:v>15661</c:v>
                </c:pt>
                <c:pt idx="51">
                  <c:v>15642</c:v>
                </c:pt>
                <c:pt idx="52">
                  <c:v>15588</c:v>
                </c:pt>
                <c:pt idx="53">
                  <c:v>15586.1</c:v>
                </c:pt>
                <c:pt idx="54">
                  <c:v>15586.1</c:v>
                </c:pt>
                <c:pt idx="55">
                  <c:v>15586.1</c:v>
                </c:pt>
                <c:pt idx="56">
                  <c:v>15638.5</c:v>
                </c:pt>
                <c:pt idx="57">
                  <c:v>15653</c:v>
                </c:pt>
                <c:pt idx="58">
                  <c:v>15712.2</c:v>
                </c:pt>
                <c:pt idx="59">
                  <c:v>15704</c:v>
                </c:pt>
                <c:pt idx="60">
                  <c:v>15691.9</c:v>
                </c:pt>
                <c:pt idx="61">
                  <c:v>15691.9</c:v>
                </c:pt>
                <c:pt idx="62">
                  <c:v>15691.9</c:v>
                </c:pt>
                <c:pt idx="63">
                  <c:v>15766</c:v>
                </c:pt>
                <c:pt idx="64">
                  <c:v>15751.5</c:v>
                </c:pt>
                <c:pt idx="65">
                  <c:v>15668</c:v>
                </c:pt>
                <c:pt idx="66">
                  <c:v>15621</c:v>
                </c:pt>
                <c:pt idx="67">
                  <c:v>15536.3</c:v>
                </c:pt>
                <c:pt idx="68">
                  <c:v>15536.3</c:v>
                </c:pt>
                <c:pt idx="69">
                  <c:v>15536.3</c:v>
                </c:pt>
                <c:pt idx="70">
                  <c:v>15518</c:v>
                </c:pt>
                <c:pt idx="71">
                  <c:v>15546</c:v>
                </c:pt>
                <c:pt idx="72">
                  <c:v>15574</c:v>
                </c:pt>
                <c:pt idx="73">
                  <c:v>15630</c:v>
                </c:pt>
                <c:pt idx="74">
                  <c:v>15639.3</c:v>
                </c:pt>
                <c:pt idx="75">
                  <c:v>15639.3</c:v>
                </c:pt>
                <c:pt idx="76">
                  <c:v>15639.3</c:v>
                </c:pt>
                <c:pt idx="77">
                  <c:v>15743</c:v>
                </c:pt>
                <c:pt idx="78">
                  <c:v>15718</c:v>
                </c:pt>
                <c:pt idx="79">
                  <c:v>15687</c:v>
                </c:pt>
                <c:pt idx="80">
                  <c:v>15723.5</c:v>
                </c:pt>
                <c:pt idx="81">
                  <c:v>15802.6</c:v>
                </c:pt>
                <c:pt idx="82">
                  <c:v>15802.6</c:v>
                </c:pt>
                <c:pt idx="83">
                  <c:v>15802.6</c:v>
                </c:pt>
                <c:pt idx="84">
                  <c:v>15784</c:v>
                </c:pt>
                <c:pt idx="85">
                  <c:v>15828</c:v>
                </c:pt>
                <c:pt idx="86">
                  <c:v>15877</c:v>
                </c:pt>
                <c:pt idx="87">
                  <c:v>15877</c:v>
                </c:pt>
                <c:pt idx="88">
                  <c:v>15873.1</c:v>
                </c:pt>
                <c:pt idx="89">
                  <c:v>15873.1</c:v>
                </c:pt>
                <c:pt idx="90">
                  <c:v>15848</c:v>
                </c:pt>
                <c:pt idx="91">
                  <c:v>15945.8</c:v>
                </c:pt>
                <c:pt idx="92">
                  <c:v>15955</c:v>
                </c:pt>
                <c:pt idx="93">
                  <c:v>15936</c:v>
                </c:pt>
                <c:pt idx="94">
                  <c:v>15904.5</c:v>
                </c:pt>
                <c:pt idx="95">
                  <c:v>15882.5</c:v>
                </c:pt>
                <c:pt idx="96">
                  <c:v>15882.5</c:v>
                </c:pt>
                <c:pt idx="97">
                  <c:v>15881</c:v>
                </c:pt>
                <c:pt idx="98">
                  <c:v>15918</c:v>
                </c:pt>
                <c:pt idx="99">
                  <c:v>15892.3</c:v>
                </c:pt>
                <c:pt idx="100">
                  <c:v>15998.2</c:v>
                </c:pt>
                <c:pt idx="101">
                  <c:v>16007</c:v>
                </c:pt>
                <c:pt idx="102">
                  <c:v>16112.3</c:v>
                </c:pt>
                <c:pt idx="103">
                  <c:v>16112.3</c:v>
                </c:pt>
                <c:pt idx="104">
                  <c:v>16111</c:v>
                </c:pt>
                <c:pt idx="105">
                  <c:v>16075</c:v>
                </c:pt>
                <c:pt idx="106">
                  <c:v>16312.2</c:v>
                </c:pt>
                <c:pt idx="107">
                  <c:v>16246</c:v>
                </c:pt>
                <c:pt idx="108">
                  <c:v>16220</c:v>
                </c:pt>
                <c:pt idx="109">
                  <c:v>16210.3</c:v>
                </c:pt>
                <c:pt idx="110">
                  <c:v>16210.3</c:v>
                </c:pt>
                <c:pt idx="111">
                  <c:v>16210.3</c:v>
                </c:pt>
                <c:pt idx="112">
                  <c:v>16246</c:v>
                </c:pt>
                <c:pt idx="113">
                  <c:v>16140.2</c:v>
                </c:pt>
                <c:pt idx="114">
                  <c:v>16220</c:v>
                </c:pt>
                <c:pt idx="115">
                  <c:v>16202</c:v>
                </c:pt>
                <c:pt idx="116">
                  <c:v>16232.2</c:v>
                </c:pt>
                <c:pt idx="117">
                  <c:v>16232.2</c:v>
                </c:pt>
                <c:pt idx="118">
                  <c:v>16203</c:v>
                </c:pt>
                <c:pt idx="119">
                  <c:v>16246</c:v>
                </c:pt>
                <c:pt idx="120">
                  <c:v>16273</c:v>
                </c:pt>
                <c:pt idx="121">
                  <c:v>16190.4</c:v>
                </c:pt>
                <c:pt idx="122">
                  <c:v>16097</c:v>
                </c:pt>
                <c:pt idx="123">
                  <c:v>15951.2</c:v>
                </c:pt>
                <c:pt idx="124">
                  <c:v>15951.2</c:v>
                </c:pt>
                <c:pt idx="125">
                  <c:v>16077</c:v>
                </c:pt>
                <c:pt idx="126">
                  <c:v>16034</c:v>
                </c:pt>
                <c:pt idx="127">
                  <c:v>16073</c:v>
                </c:pt>
                <c:pt idx="128">
                  <c:v>16074</c:v>
                </c:pt>
                <c:pt idx="129">
                  <c:v>16030</c:v>
                </c:pt>
                <c:pt idx="130">
                  <c:v>16047</c:v>
                </c:pt>
                <c:pt idx="131">
                  <c:v>16047</c:v>
                </c:pt>
                <c:pt idx="132">
                  <c:v>16038</c:v>
                </c:pt>
                <c:pt idx="133">
                  <c:v>16121</c:v>
                </c:pt>
                <c:pt idx="134">
                  <c:v>16102</c:v>
                </c:pt>
                <c:pt idx="135">
                  <c:v>15914</c:v>
                </c:pt>
                <c:pt idx="136">
                  <c:v>15930.8</c:v>
                </c:pt>
                <c:pt idx="137">
                  <c:v>15920.3</c:v>
                </c:pt>
                <c:pt idx="138">
                  <c:v>15920.3</c:v>
                </c:pt>
                <c:pt idx="139">
                  <c:v>15958</c:v>
                </c:pt>
                <c:pt idx="140">
                  <c:v>16031</c:v>
                </c:pt>
                <c:pt idx="141">
                  <c:v>16005</c:v>
                </c:pt>
                <c:pt idx="142">
                  <c:v>16040.7</c:v>
                </c:pt>
                <c:pt idx="143">
                  <c:v>16095</c:v>
                </c:pt>
                <c:pt idx="144">
                  <c:v>16038</c:v>
                </c:pt>
                <c:pt idx="145">
                  <c:v>16038</c:v>
                </c:pt>
                <c:pt idx="146">
                  <c:v>16038</c:v>
                </c:pt>
                <c:pt idx="147">
                  <c:v>16071</c:v>
                </c:pt>
                <c:pt idx="148">
                  <c:v>16117</c:v>
                </c:pt>
                <c:pt idx="149">
                  <c:v>16232.1</c:v>
                </c:pt>
                <c:pt idx="150">
                  <c:v>16228</c:v>
                </c:pt>
                <c:pt idx="151">
                  <c:v>16244.2</c:v>
                </c:pt>
                <c:pt idx="152">
                  <c:v>16244.2</c:v>
                </c:pt>
                <c:pt idx="153">
                  <c:v>16243</c:v>
                </c:pt>
                <c:pt idx="154">
                  <c:v>16203</c:v>
                </c:pt>
                <c:pt idx="155">
                  <c:v>16276</c:v>
                </c:pt>
                <c:pt idx="156">
                  <c:v>16315</c:v>
                </c:pt>
                <c:pt idx="157">
                  <c:v>16241.7</c:v>
                </c:pt>
                <c:pt idx="158">
                  <c:v>16268.2</c:v>
                </c:pt>
                <c:pt idx="159">
                  <c:v>16268.2</c:v>
                </c:pt>
                <c:pt idx="160">
                  <c:v>16270</c:v>
                </c:pt>
                <c:pt idx="161">
                  <c:v>16312</c:v>
                </c:pt>
                <c:pt idx="162">
                  <c:v>16305.4</c:v>
                </c:pt>
                <c:pt idx="163">
                  <c:v>16230</c:v>
                </c:pt>
                <c:pt idx="164">
                  <c:v>16286</c:v>
                </c:pt>
                <c:pt idx="165">
                  <c:v>16479.900000000001</c:v>
                </c:pt>
                <c:pt idx="166">
                  <c:v>16479.900000000001</c:v>
                </c:pt>
                <c:pt idx="167">
                  <c:v>16479.900000000001</c:v>
                </c:pt>
                <c:pt idx="168">
                  <c:v>16479</c:v>
                </c:pt>
                <c:pt idx="169">
                  <c:v>16379</c:v>
                </c:pt>
                <c:pt idx="170">
                  <c:v>16380.9</c:v>
                </c:pt>
                <c:pt idx="171">
                  <c:v>16491.900000000001</c:v>
                </c:pt>
                <c:pt idx="172">
                  <c:v>16470.2</c:v>
                </c:pt>
                <c:pt idx="173">
                  <c:v>16470.2</c:v>
                </c:pt>
                <c:pt idx="174">
                  <c:v>16443</c:v>
                </c:pt>
                <c:pt idx="175">
                  <c:v>16394.099999999999</c:v>
                </c:pt>
                <c:pt idx="176">
                  <c:v>16434</c:v>
                </c:pt>
                <c:pt idx="177">
                  <c:v>16374.4</c:v>
                </c:pt>
                <c:pt idx="178">
                  <c:v>16342.8</c:v>
                </c:pt>
                <c:pt idx="179">
                  <c:v>16342.8</c:v>
                </c:pt>
                <c:pt idx="180">
                  <c:v>16343</c:v>
                </c:pt>
                <c:pt idx="181">
                  <c:v>16390</c:v>
                </c:pt>
                <c:pt idx="182">
                  <c:v>16391</c:v>
                </c:pt>
                <c:pt idx="183">
                  <c:v>16340</c:v>
                </c:pt>
                <c:pt idx="184">
                  <c:v>16328.5</c:v>
                </c:pt>
                <c:pt idx="185">
                  <c:v>16239.3</c:v>
                </c:pt>
                <c:pt idx="186">
                  <c:v>16239.3</c:v>
                </c:pt>
                <c:pt idx="187">
                  <c:v>16245</c:v>
                </c:pt>
                <c:pt idx="188">
                  <c:v>16277.2</c:v>
                </c:pt>
                <c:pt idx="189">
                  <c:v>16277</c:v>
                </c:pt>
                <c:pt idx="190">
                  <c:v>16198</c:v>
                </c:pt>
                <c:pt idx="191">
                  <c:v>16104</c:v>
                </c:pt>
                <c:pt idx="192">
                  <c:v>16067.3</c:v>
                </c:pt>
                <c:pt idx="193">
                  <c:v>16067.3</c:v>
                </c:pt>
                <c:pt idx="194">
                  <c:v>16108</c:v>
                </c:pt>
                <c:pt idx="195">
                  <c:v>16195</c:v>
                </c:pt>
                <c:pt idx="196">
                  <c:v>16173</c:v>
                </c:pt>
                <c:pt idx="197">
                  <c:v>16138</c:v>
                </c:pt>
                <c:pt idx="198">
                  <c:v>16185</c:v>
                </c:pt>
                <c:pt idx="199">
                  <c:v>16207.8</c:v>
                </c:pt>
                <c:pt idx="200">
                  <c:v>16207.8</c:v>
                </c:pt>
                <c:pt idx="201">
                  <c:v>16206</c:v>
                </c:pt>
                <c:pt idx="202">
                  <c:v>16220.2</c:v>
                </c:pt>
                <c:pt idx="203">
                  <c:v>16222</c:v>
                </c:pt>
                <c:pt idx="204">
                  <c:v>16246</c:v>
                </c:pt>
                <c:pt idx="205">
                  <c:v>16337.8</c:v>
                </c:pt>
                <c:pt idx="206">
                  <c:v>16284.1</c:v>
                </c:pt>
                <c:pt idx="207">
                  <c:v>16284.1</c:v>
                </c:pt>
                <c:pt idx="208">
                  <c:v>16283</c:v>
                </c:pt>
                <c:pt idx="209">
                  <c:v>16301.7</c:v>
                </c:pt>
                <c:pt idx="210">
                  <c:v>16328.5</c:v>
                </c:pt>
                <c:pt idx="211">
                  <c:v>16255</c:v>
                </c:pt>
                <c:pt idx="212">
                  <c:v>16281</c:v>
                </c:pt>
                <c:pt idx="213">
                  <c:v>16134.6</c:v>
                </c:pt>
                <c:pt idx="214">
                  <c:v>16134.6</c:v>
                </c:pt>
                <c:pt idx="215">
                  <c:v>16012</c:v>
                </c:pt>
                <c:pt idx="216">
                  <c:v>16208</c:v>
                </c:pt>
                <c:pt idx="217">
                  <c:v>16152.3</c:v>
                </c:pt>
                <c:pt idx="218">
                  <c:v>16023</c:v>
                </c:pt>
                <c:pt idx="219">
                  <c:v>15979</c:v>
                </c:pt>
                <c:pt idx="220">
                  <c:v>15934</c:v>
                </c:pt>
                <c:pt idx="221">
                  <c:v>15934</c:v>
                </c:pt>
                <c:pt idx="222">
                  <c:v>15918</c:v>
                </c:pt>
                <c:pt idx="223">
                  <c:v>15949.1</c:v>
                </c:pt>
                <c:pt idx="224">
                  <c:v>15749</c:v>
                </c:pt>
                <c:pt idx="225">
                  <c:v>15619.5</c:v>
                </c:pt>
                <c:pt idx="226">
                  <c:v>15755</c:v>
                </c:pt>
                <c:pt idx="227">
                  <c:v>15672</c:v>
                </c:pt>
                <c:pt idx="228">
                  <c:v>15672</c:v>
                </c:pt>
                <c:pt idx="229">
                  <c:v>15683</c:v>
                </c:pt>
                <c:pt idx="230">
                  <c:v>15523</c:v>
                </c:pt>
                <c:pt idx="231">
                  <c:v>15442</c:v>
                </c:pt>
                <c:pt idx="232">
                  <c:v>15484</c:v>
                </c:pt>
                <c:pt idx="233">
                  <c:v>15728.5</c:v>
                </c:pt>
                <c:pt idx="234">
                  <c:v>15377.2</c:v>
                </c:pt>
                <c:pt idx="235">
                  <c:v>15377.2</c:v>
                </c:pt>
                <c:pt idx="236">
                  <c:v>15377.2</c:v>
                </c:pt>
                <c:pt idx="237">
                  <c:v>15462.6</c:v>
                </c:pt>
                <c:pt idx="238">
                  <c:v>15467.1</c:v>
                </c:pt>
                <c:pt idx="239">
                  <c:v>15440</c:v>
                </c:pt>
                <c:pt idx="240">
                  <c:v>15444.8</c:v>
                </c:pt>
                <c:pt idx="241">
                  <c:v>15521.4</c:v>
                </c:pt>
                <c:pt idx="242">
                  <c:v>15521.4</c:v>
                </c:pt>
                <c:pt idx="243">
                  <c:v>15525</c:v>
                </c:pt>
                <c:pt idx="244">
                  <c:v>15520.1</c:v>
                </c:pt>
                <c:pt idx="245">
                  <c:v>15532.9</c:v>
                </c:pt>
                <c:pt idx="246">
                  <c:v>15444.4</c:v>
                </c:pt>
                <c:pt idx="247">
                  <c:v>15417</c:v>
                </c:pt>
                <c:pt idx="248">
                  <c:v>15404.6</c:v>
                </c:pt>
                <c:pt idx="249">
                  <c:v>15404.6</c:v>
                </c:pt>
                <c:pt idx="250">
                  <c:v>15405</c:v>
                </c:pt>
                <c:pt idx="251">
                  <c:v>15456.8</c:v>
                </c:pt>
                <c:pt idx="252">
                  <c:v>15489</c:v>
                </c:pt>
                <c:pt idx="253">
                  <c:v>15437</c:v>
                </c:pt>
                <c:pt idx="254">
                  <c:v>15418.7</c:v>
                </c:pt>
                <c:pt idx="255">
                  <c:v>15397.8</c:v>
                </c:pt>
                <c:pt idx="256">
                  <c:v>15397.8</c:v>
                </c:pt>
                <c:pt idx="257">
                  <c:v>15393</c:v>
                </c:pt>
                <c:pt idx="258">
                  <c:v>15385</c:v>
                </c:pt>
                <c:pt idx="259">
                  <c:v>15345</c:v>
                </c:pt>
                <c:pt idx="260">
                  <c:v>15300.2</c:v>
                </c:pt>
                <c:pt idx="261">
                  <c:v>15197.6</c:v>
                </c:pt>
                <c:pt idx="262">
                  <c:v>15143.2</c:v>
                </c:pt>
                <c:pt idx="263">
                  <c:v>15143.2</c:v>
                </c:pt>
                <c:pt idx="264">
                  <c:v>15154</c:v>
                </c:pt>
                <c:pt idx="265">
                  <c:v>15174.1</c:v>
                </c:pt>
                <c:pt idx="266">
                  <c:v>15121.1</c:v>
                </c:pt>
                <c:pt idx="267">
                  <c:v>15201.5</c:v>
                </c:pt>
                <c:pt idx="268">
                  <c:v>15070</c:v>
                </c:pt>
                <c:pt idx="269">
                  <c:v>15101.9</c:v>
                </c:pt>
                <c:pt idx="270">
                  <c:v>15101.9</c:v>
                </c:pt>
                <c:pt idx="271">
                  <c:v>15118</c:v>
                </c:pt>
                <c:pt idx="272">
                  <c:v>15170.6</c:v>
                </c:pt>
                <c:pt idx="273">
                  <c:v>15260.6</c:v>
                </c:pt>
                <c:pt idx="274">
                  <c:v>15324</c:v>
                </c:pt>
                <c:pt idx="275">
                  <c:v>15457</c:v>
                </c:pt>
                <c:pt idx="276">
                  <c:v>15650</c:v>
                </c:pt>
                <c:pt idx="277">
                  <c:v>15650</c:v>
                </c:pt>
                <c:pt idx="278">
                  <c:v>15650</c:v>
                </c:pt>
                <c:pt idx="279">
                  <c:v>15744</c:v>
                </c:pt>
                <c:pt idx="280">
                  <c:v>15682.4</c:v>
                </c:pt>
                <c:pt idx="281">
                  <c:v>15664.6</c:v>
                </c:pt>
                <c:pt idx="282">
                  <c:v>15670.9</c:v>
                </c:pt>
                <c:pt idx="283">
                  <c:v>15557.9</c:v>
                </c:pt>
                <c:pt idx="284">
                  <c:v>15557.9</c:v>
                </c:pt>
                <c:pt idx="285">
                  <c:v>15562</c:v>
                </c:pt>
                <c:pt idx="286">
                  <c:v>15573</c:v>
                </c:pt>
                <c:pt idx="287">
                  <c:v>15578.6</c:v>
                </c:pt>
                <c:pt idx="288">
                  <c:v>15583.9</c:v>
                </c:pt>
                <c:pt idx="289">
                  <c:v>15493</c:v>
                </c:pt>
                <c:pt idx="290">
                  <c:v>15465</c:v>
                </c:pt>
                <c:pt idx="291">
                  <c:v>15465</c:v>
                </c:pt>
                <c:pt idx="292">
                  <c:v>15467</c:v>
                </c:pt>
                <c:pt idx="293">
                  <c:v>15556</c:v>
                </c:pt>
                <c:pt idx="294">
                  <c:v>15586</c:v>
                </c:pt>
                <c:pt idx="295">
                  <c:v>15663</c:v>
                </c:pt>
                <c:pt idx="296">
                  <c:v>15621.5</c:v>
                </c:pt>
                <c:pt idx="297">
                  <c:v>15688.1</c:v>
                </c:pt>
                <c:pt idx="298">
                  <c:v>15688.1</c:v>
                </c:pt>
                <c:pt idx="299">
                  <c:v>15688.1</c:v>
                </c:pt>
                <c:pt idx="300">
                  <c:v>15747</c:v>
                </c:pt>
                <c:pt idx="301">
                  <c:v>15695.5</c:v>
                </c:pt>
                <c:pt idx="302">
                  <c:v>15713</c:v>
                </c:pt>
                <c:pt idx="303">
                  <c:v>15842</c:v>
                </c:pt>
                <c:pt idx="304">
                  <c:v>15842</c:v>
                </c:pt>
                <c:pt idx="305">
                  <c:v>15842</c:v>
                </c:pt>
                <c:pt idx="306">
                  <c:v>15790</c:v>
                </c:pt>
                <c:pt idx="307">
                  <c:v>15665</c:v>
                </c:pt>
                <c:pt idx="308">
                  <c:v>15818.2</c:v>
                </c:pt>
                <c:pt idx="309">
                  <c:v>15558</c:v>
                </c:pt>
                <c:pt idx="310">
                  <c:v>15647.2</c:v>
                </c:pt>
                <c:pt idx="311">
                  <c:v>15647.2</c:v>
                </c:pt>
                <c:pt idx="312">
                  <c:v>15647.2</c:v>
                </c:pt>
                <c:pt idx="313">
                  <c:v>15765</c:v>
                </c:pt>
                <c:pt idx="314">
                  <c:v>15788.9</c:v>
                </c:pt>
                <c:pt idx="315">
                  <c:v>15847.2</c:v>
                </c:pt>
                <c:pt idx="316">
                  <c:v>15933.3</c:v>
                </c:pt>
                <c:pt idx="317">
                  <c:v>15891.3</c:v>
                </c:pt>
                <c:pt idx="318">
                  <c:v>15891.3</c:v>
                </c:pt>
                <c:pt idx="319">
                  <c:v>15891.3</c:v>
                </c:pt>
                <c:pt idx="320">
                  <c:v>15806.1</c:v>
                </c:pt>
                <c:pt idx="321">
                  <c:v>15817.1</c:v>
                </c:pt>
                <c:pt idx="322">
                  <c:v>15913</c:v>
                </c:pt>
                <c:pt idx="323">
                  <c:v>15816.9</c:v>
                </c:pt>
                <c:pt idx="324">
                  <c:v>15940</c:v>
                </c:pt>
                <c:pt idx="325">
                  <c:v>15940</c:v>
                </c:pt>
                <c:pt idx="326">
                  <c:v>15940</c:v>
                </c:pt>
                <c:pt idx="327">
                  <c:v>15901.2</c:v>
                </c:pt>
                <c:pt idx="328">
                  <c:v>15930</c:v>
                </c:pt>
                <c:pt idx="329">
                  <c:v>15863.5</c:v>
                </c:pt>
                <c:pt idx="330">
                  <c:v>15878</c:v>
                </c:pt>
                <c:pt idx="331">
                  <c:v>15829</c:v>
                </c:pt>
                <c:pt idx="332">
                  <c:v>15829</c:v>
                </c:pt>
                <c:pt idx="333">
                  <c:v>15829</c:v>
                </c:pt>
                <c:pt idx="334">
                  <c:v>15910</c:v>
                </c:pt>
                <c:pt idx="335">
                  <c:v>15940</c:v>
                </c:pt>
                <c:pt idx="336">
                  <c:v>15906.6</c:v>
                </c:pt>
                <c:pt idx="337">
                  <c:v>15839.8</c:v>
                </c:pt>
                <c:pt idx="338">
                  <c:v>15825.8</c:v>
                </c:pt>
                <c:pt idx="339">
                  <c:v>15825.8</c:v>
                </c:pt>
                <c:pt idx="340">
                  <c:v>15825.8</c:v>
                </c:pt>
                <c:pt idx="341">
                  <c:v>15864</c:v>
                </c:pt>
                <c:pt idx="342">
                  <c:v>15908</c:v>
                </c:pt>
                <c:pt idx="343">
                  <c:v>15963</c:v>
                </c:pt>
                <c:pt idx="344">
                  <c:v>15967.4</c:v>
                </c:pt>
                <c:pt idx="345">
                  <c:v>16025.8</c:v>
                </c:pt>
                <c:pt idx="346">
                  <c:v>16025.8</c:v>
                </c:pt>
                <c:pt idx="347">
                  <c:v>16025.8</c:v>
                </c:pt>
                <c:pt idx="348">
                  <c:v>15955</c:v>
                </c:pt>
                <c:pt idx="349">
                  <c:v>15926.2</c:v>
                </c:pt>
                <c:pt idx="350">
                  <c:v>16145.3</c:v>
                </c:pt>
                <c:pt idx="351">
                  <c:v>15981.3</c:v>
                </c:pt>
                <c:pt idx="352">
                  <c:v>16159.3</c:v>
                </c:pt>
                <c:pt idx="353">
                  <c:v>16159.3</c:v>
                </c:pt>
                <c:pt idx="354">
                  <c:v>16159.3</c:v>
                </c:pt>
                <c:pt idx="355">
                  <c:v>16217.6</c:v>
                </c:pt>
                <c:pt idx="356">
                  <c:v>15970.8</c:v>
                </c:pt>
                <c:pt idx="357">
                  <c:v>15069.4</c:v>
                </c:pt>
                <c:pt idx="358">
                  <c:v>16189</c:v>
                </c:pt>
                <c:pt idx="359">
                  <c:v>16178</c:v>
                </c:pt>
                <c:pt idx="360">
                  <c:v>16178</c:v>
                </c:pt>
                <c:pt idx="361">
                  <c:v>16178</c:v>
                </c:pt>
                <c:pt idx="362">
                  <c:v>16085.6</c:v>
                </c:pt>
                <c:pt idx="363">
                  <c:v>16244.8</c:v>
                </c:pt>
                <c:pt idx="364">
                  <c:v>16230.5</c:v>
                </c:pt>
                <c:pt idx="365">
                  <c:v>16201.1</c:v>
                </c:pt>
                <c:pt idx="366">
                  <c:v>16178.8</c:v>
                </c:pt>
                <c:pt idx="367">
                  <c:v>16178.8</c:v>
                </c:pt>
                <c:pt idx="368">
                  <c:v>16178.8</c:v>
                </c:pt>
                <c:pt idx="369">
                  <c:v>16179.1</c:v>
                </c:pt>
                <c:pt idx="370">
                  <c:v>16157.7</c:v>
                </c:pt>
                <c:pt idx="371">
                  <c:v>16187.6</c:v>
                </c:pt>
                <c:pt idx="372">
                  <c:v>16237</c:v>
                </c:pt>
                <c:pt idx="373">
                  <c:v>16268</c:v>
                </c:pt>
                <c:pt idx="374">
                  <c:v>16268</c:v>
                </c:pt>
                <c:pt idx="375">
                  <c:v>16268</c:v>
                </c:pt>
                <c:pt idx="376">
                  <c:v>16295.2</c:v>
                </c:pt>
                <c:pt idx="377">
                  <c:v>16320</c:v>
                </c:pt>
                <c:pt idx="378">
                  <c:v>16360.8</c:v>
                </c:pt>
                <c:pt idx="379">
                  <c:v>16368.8</c:v>
                </c:pt>
                <c:pt idx="380">
                  <c:v>16367.1</c:v>
                </c:pt>
                <c:pt idx="381">
                  <c:v>16367.1</c:v>
                </c:pt>
                <c:pt idx="382">
                  <c:v>16245</c:v>
                </c:pt>
                <c:pt idx="383">
                  <c:v>16330.8</c:v>
                </c:pt>
                <c:pt idx="384">
                  <c:v>16232.8</c:v>
                </c:pt>
                <c:pt idx="385">
                  <c:v>16230.9</c:v>
                </c:pt>
                <c:pt idx="386">
                  <c:v>16164.9</c:v>
                </c:pt>
                <c:pt idx="387">
                  <c:v>16164.9</c:v>
                </c:pt>
                <c:pt idx="388">
                  <c:v>16164.9</c:v>
                </c:pt>
                <c:pt idx="389">
                  <c:v>16155.6</c:v>
                </c:pt>
                <c:pt idx="390">
                  <c:v>15881.2</c:v>
                </c:pt>
                <c:pt idx="391">
                  <c:v>16238</c:v>
                </c:pt>
                <c:pt idx="392">
                  <c:v>16274.5</c:v>
                </c:pt>
                <c:pt idx="393">
                  <c:v>16341.3</c:v>
                </c:pt>
                <c:pt idx="394">
                  <c:v>16341.3</c:v>
                </c:pt>
                <c:pt idx="395">
                  <c:v>16341.3</c:v>
                </c:pt>
                <c:pt idx="396">
                  <c:v>16320.5</c:v>
                </c:pt>
                <c:pt idx="397">
                  <c:v>16299.1</c:v>
                </c:pt>
                <c:pt idx="398">
                  <c:v>16298.1</c:v>
                </c:pt>
                <c:pt idx="399">
                  <c:v>16327</c:v>
                </c:pt>
                <c:pt idx="400">
                  <c:v>16314.7</c:v>
                </c:pt>
                <c:pt idx="401">
                  <c:v>16314.7</c:v>
                </c:pt>
                <c:pt idx="402">
                  <c:v>16314.7</c:v>
                </c:pt>
                <c:pt idx="403">
                  <c:v>16330.1</c:v>
                </c:pt>
                <c:pt idx="404">
                  <c:v>16343.3</c:v>
                </c:pt>
                <c:pt idx="405">
                  <c:v>16375</c:v>
                </c:pt>
                <c:pt idx="406">
                  <c:v>16219</c:v>
                </c:pt>
                <c:pt idx="407">
                  <c:v>16173</c:v>
                </c:pt>
                <c:pt idx="408">
                  <c:v>16173</c:v>
                </c:pt>
                <c:pt idx="409">
                  <c:v>16173</c:v>
                </c:pt>
                <c:pt idx="410">
                  <c:v>16220</c:v>
                </c:pt>
                <c:pt idx="411">
                  <c:v>16317</c:v>
                </c:pt>
                <c:pt idx="412">
                  <c:v>16346.4</c:v>
                </c:pt>
                <c:pt idx="413">
                  <c:v>16245.1</c:v>
                </c:pt>
                <c:pt idx="414">
                  <c:v>16278</c:v>
                </c:pt>
                <c:pt idx="415">
                  <c:v>16278</c:v>
                </c:pt>
                <c:pt idx="416">
                  <c:v>16278</c:v>
                </c:pt>
                <c:pt idx="417">
                  <c:v>16279.3</c:v>
                </c:pt>
                <c:pt idx="418">
                  <c:v>16314</c:v>
                </c:pt>
                <c:pt idx="419">
                  <c:v>16367.4</c:v>
                </c:pt>
                <c:pt idx="420">
                  <c:v>16553.7</c:v>
                </c:pt>
                <c:pt idx="421">
                  <c:v>16522</c:v>
                </c:pt>
                <c:pt idx="422">
                  <c:v>16522</c:v>
                </c:pt>
                <c:pt idx="423">
                  <c:v>16522</c:v>
                </c:pt>
                <c:pt idx="424">
                  <c:v>16451.2</c:v>
                </c:pt>
                <c:pt idx="425">
                  <c:v>16379</c:v>
                </c:pt>
                <c:pt idx="426">
                  <c:v>16268.9</c:v>
                </c:pt>
                <c:pt idx="427">
                  <c:v>16322.1</c:v>
                </c:pt>
                <c:pt idx="428">
                  <c:v>16292.6</c:v>
                </c:pt>
                <c:pt idx="429">
                  <c:v>16292.6</c:v>
                </c:pt>
                <c:pt idx="430">
                  <c:v>16292.6</c:v>
                </c:pt>
                <c:pt idx="431">
                  <c:v>16323</c:v>
                </c:pt>
                <c:pt idx="432">
                  <c:v>16433.900000000001</c:v>
                </c:pt>
                <c:pt idx="433">
                  <c:v>16305.6</c:v>
                </c:pt>
                <c:pt idx="434">
                  <c:v>16259.3</c:v>
                </c:pt>
                <c:pt idx="435">
                  <c:v>16321</c:v>
                </c:pt>
                <c:pt idx="436">
                  <c:v>16321</c:v>
                </c:pt>
                <c:pt idx="437">
                  <c:v>16321</c:v>
                </c:pt>
                <c:pt idx="438">
                  <c:v>16370</c:v>
                </c:pt>
                <c:pt idx="439">
                  <c:v>16514.5</c:v>
                </c:pt>
                <c:pt idx="440">
                  <c:v>16330.3</c:v>
                </c:pt>
                <c:pt idx="441">
                  <c:v>16428.5</c:v>
                </c:pt>
                <c:pt idx="442">
                  <c:v>16519</c:v>
                </c:pt>
                <c:pt idx="443">
                  <c:v>16519</c:v>
                </c:pt>
                <c:pt idx="444">
                  <c:v>16519</c:v>
                </c:pt>
                <c:pt idx="445">
                  <c:v>16575.8</c:v>
                </c:pt>
                <c:pt idx="446">
                  <c:v>16621</c:v>
                </c:pt>
                <c:pt idx="447">
                  <c:v>16629</c:v>
                </c:pt>
                <c:pt idx="448">
                  <c:v>16560.900000000001</c:v>
                </c:pt>
                <c:pt idx="449">
                  <c:v>16597</c:v>
                </c:pt>
                <c:pt idx="450">
                  <c:v>16597</c:v>
                </c:pt>
                <c:pt idx="451">
                  <c:v>16575</c:v>
                </c:pt>
                <c:pt idx="452">
                  <c:v>16652</c:v>
                </c:pt>
                <c:pt idx="453">
                  <c:v>16731.400000000001</c:v>
                </c:pt>
                <c:pt idx="454">
                  <c:v>16739</c:v>
                </c:pt>
                <c:pt idx="455">
                  <c:v>16739.8</c:v>
                </c:pt>
                <c:pt idx="456">
                  <c:v>16738</c:v>
                </c:pt>
                <c:pt idx="457">
                  <c:v>16738</c:v>
                </c:pt>
                <c:pt idx="458">
                  <c:v>16738</c:v>
                </c:pt>
                <c:pt idx="459">
                  <c:v>16855.7</c:v>
                </c:pt>
                <c:pt idx="460">
                  <c:v>17051.900000000001</c:v>
                </c:pt>
                <c:pt idx="461">
                  <c:v>16805.5</c:v>
                </c:pt>
                <c:pt idx="462">
                  <c:v>16833.8</c:v>
                </c:pt>
                <c:pt idx="463">
                  <c:v>16779.8</c:v>
                </c:pt>
                <c:pt idx="464">
                  <c:v>16779.8</c:v>
                </c:pt>
                <c:pt idx="465">
                  <c:v>16788</c:v>
                </c:pt>
                <c:pt idx="466">
                  <c:v>16780</c:v>
                </c:pt>
                <c:pt idx="467">
                  <c:v>16813.5</c:v>
                </c:pt>
                <c:pt idx="468">
                  <c:v>16794.599999999999</c:v>
                </c:pt>
                <c:pt idx="469">
                  <c:v>16856.8</c:v>
                </c:pt>
                <c:pt idx="470">
                  <c:v>16814.900000000001</c:v>
                </c:pt>
                <c:pt idx="471">
                  <c:v>16858.099999999999</c:v>
                </c:pt>
                <c:pt idx="472">
                  <c:v>16846</c:v>
                </c:pt>
                <c:pt idx="473">
                  <c:v>16778.5</c:v>
                </c:pt>
                <c:pt idx="474">
                  <c:v>16789.7</c:v>
                </c:pt>
                <c:pt idx="475">
                  <c:v>16796.599999999999</c:v>
                </c:pt>
                <c:pt idx="476">
                  <c:v>16823</c:v>
                </c:pt>
                <c:pt idx="477">
                  <c:v>16795</c:v>
                </c:pt>
                <c:pt idx="478">
                  <c:v>16711.900000000001</c:v>
                </c:pt>
                <c:pt idx="479">
                  <c:v>16545.900000000001</c:v>
                </c:pt>
                <c:pt idx="480">
                  <c:v>16606</c:v>
                </c:pt>
                <c:pt idx="481">
                  <c:v>16453.2</c:v>
                </c:pt>
                <c:pt idx="482">
                  <c:v>16453.2</c:v>
                </c:pt>
                <c:pt idx="483">
                  <c:v>16460</c:v>
                </c:pt>
                <c:pt idx="484">
                  <c:v>16421.5</c:v>
                </c:pt>
                <c:pt idx="485">
                  <c:v>16432</c:v>
                </c:pt>
                <c:pt idx="486">
                  <c:v>16492.599999999999</c:v>
                </c:pt>
                <c:pt idx="487">
                  <c:v>16538.3</c:v>
                </c:pt>
                <c:pt idx="488">
                  <c:v>16536.8</c:v>
                </c:pt>
                <c:pt idx="489">
                  <c:v>16536.8</c:v>
                </c:pt>
                <c:pt idx="490">
                  <c:v>16543</c:v>
                </c:pt>
                <c:pt idx="491">
                  <c:v>16688.8</c:v>
                </c:pt>
                <c:pt idx="492">
                  <c:v>16599.400000000001</c:v>
                </c:pt>
                <c:pt idx="493">
                  <c:v>16558.2</c:v>
                </c:pt>
                <c:pt idx="494">
                  <c:v>16511.8</c:v>
                </c:pt>
                <c:pt idx="495">
                  <c:v>16485</c:v>
                </c:pt>
                <c:pt idx="496">
                  <c:v>16485</c:v>
                </c:pt>
                <c:pt idx="497">
                  <c:v>16487</c:v>
                </c:pt>
                <c:pt idx="498">
                  <c:v>16428</c:v>
                </c:pt>
                <c:pt idx="499">
                  <c:v>16403</c:v>
                </c:pt>
                <c:pt idx="500">
                  <c:v>16347.6</c:v>
                </c:pt>
                <c:pt idx="501">
                  <c:v>16356.9</c:v>
                </c:pt>
                <c:pt idx="502">
                  <c:v>16232.6</c:v>
                </c:pt>
                <c:pt idx="503">
                  <c:v>16232.6</c:v>
                </c:pt>
                <c:pt idx="504">
                  <c:v>16211</c:v>
                </c:pt>
                <c:pt idx="505">
                  <c:v>16243.5</c:v>
                </c:pt>
                <c:pt idx="506">
                  <c:v>16279</c:v>
                </c:pt>
                <c:pt idx="507">
                  <c:v>16286</c:v>
                </c:pt>
                <c:pt idx="508">
                  <c:v>16293</c:v>
                </c:pt>
                <c:pt idx="509">
                  <c:v>16359.7</c:v>
                </c:pt>
                <c:pt idx="510">
                  <c:v>16359.7</c:v>
                </c:pt>
                <c:pt idx="511">
                  <c:v>16322</c:v>
                </c:pt>
                <c:pt idx="512">
                  <c:v>16288.5</c:v>
                </c:pt>
                <c:pt idx="513">
                  <c:v>16332.4</c:v>
                </c:pt>
                <c:pt idx="514">
                  <c:v>16291.5</c:v>
                </c:pt>
                <c:pt idx="515">
                  <c:v>16246.4</c:v>
                </c:pt>
                <c:pt idx="516">
                  <c:v>16305.3</c:v>
                </c:pt>
                <c:pt idx="517">
                  <c:v>16309</c:v>
                </c:pt>
                <c:pt idx="518">
                  <c:v>15550.5</c:v>
                </c:pt>
                <c:pt idx="519">
                  <c:v>15714.3</c:v>
                </c:pt>
                <c:pt idx="520">
                  <c:v>16793.78</c:v>
                </c:pt>
                <c:pt idx="521">
                  <c:v>16164.5</c:v>
                </c:pt>
                <c:pt idx="522">
                  <c:v>16282.6</c:v>
                </c:pt>
                <c:pt idx="523">
                  <c:v>16282.6</c:v>
                </c:pt>
                <c:pt idx="524">
                  <c:v>15801</c:v>
                </c:pt>
                <c:pt idx="525">
                  <c:v>15604.9</c:v>
                </c:pt>
                <c:pt idx="526">
                  <c:v>15598.5</c:v>
                </c:pt>
                <c:pt idx="527">
                  <c:v>14871</c:v>
                </c:pt>
                <c:pt idx="528">
                  <c:v>16410</c:v>
                </c:pt>
                <c:pt idx="529">
                  <c:v>16410</c:v>
                </c:pt>
                <c:pt idx="530">
                  <c:v>16431</c:v>
                </c:pt>
                <c:pt idx="531">
                  <c:v>15943.3</c:v>
                </c:pt>
                <c:pt idx="532">
                  <c:v>14701</c:v>
                </c:pt>
                <c:pt idx="533">
                  <c:v>15560.7</c:v>
                </c:pt>
                <c:pt idx="534">
                  <c:v>15488.3</c:v>
                </c:pt>
                <c:pt idx="535">
                  <c:v>16226</c:v>
                </c:pt>
                <c:pt idx="536">
                  <c:v>16226</c:v>
                </c:pt>
                <c:pt idx="537">
                  <c:v>16229</c:v>
                </c:pt>
                <c:pt idx="538">
                  <c:v>16316.18</c:v>
                </c:pt>
                <c:pt idx="539">
                  <c:v>16185</c:v>
                </c:pt>
                <c:pt idx="540">
                  <c:v>16235</c:v>
                </c:pt>
                <c:pt idx="541">
                  <c:v>14728</c:v>
                </c:pt>
                <c:pt idx="542">
                  <c:v>16162.6</c:v>
                </c:pt>
                <c:pt idx="543">
                  <c:v>16162.6</c:v>
                </c:pt>
                <c:pt idx="544">
                  <c:v>16178</c:v>
                </c:pt>
                <c:pt idx="545">
                  <c:v>16318.9</c:v>
                </c:pt>
                <c:pt idx="546">
                  <c:v>16261</c:v>
                </c:pt>
                <c:pt idx="547">
                  <c:v>16235</c:v>
                </c:pt>
                <c:pt idx="548">
                  <c:v>16209.1</c:v>
                </c:pt>
                <c:pt idx="549">
                  <c:v>16209.9</c:v>
                </c:pt>
                <c:pt idx="550">
                  <c:v>16209.9</c:v>
                </c:pt>
                <c:pt idx="551">
                  <c:v>16222</c:v>
                </c:pt>
                <c:pt idx="552">
                  <c:v>16256.2</c:v>
                </c:pt>
                <c:pt idx="553">
                  <c:v>16252.1</c:v>
                </c:pt>
                <c:pt idx="554">
                  <c:v>16271.2</c:v>
                </c:pt>
                <c:pt idx="555">
                  <c:v>16329.7</c:v>
                </c:pt>
                <c:pt idx="556">
                  <c:v>16318.5</c:v>
                </c:pt>
                <c:pt idx="557">
                  <c:v>16318.5</c:v>
                </c:pt>
                <c:pt idx="558">
                  <c:v>16321</c:v>
                </c:pt>
                <c:pt idx="559">
                  <c:v>16329.5</c:v>
                </c:pt>
                <c:pt idx="560">
                  <c:v>16245.3</c:v>
                </c:pt>
                <c:pt idx="561">
                  <c:v>16266.1</c:v>
                </c:pt>
                <c:pt idx="562">
                  <c:v>16307</c:v>
                </c:pt>
                <c:pt idx="563">
                  <c:v>16340.1</c:v>
                </c:pt>
                <c:pt idx="564">
                  <c:v>16340.1</c:v>
                </c:pt>
                <c:pt idx="565">
                  <c:v>16353</c:v>
                </c:pt>
                <c:pt idx="566">
                  <c:v>16398.8</c:v>
                </c:pt>
                <c:pt idx="567">
                  <c:v>16367.9</c:v>
                </c:pt>
                <c:pt idx="568">
                  <c:v>16426.8</c:v>
                </c:pt>
                <c:pt idx="569">
                  <c:v>16483</c:v>
                </c:pt>
                <c:pt idx="570">
                  <c:v>16358.2</c:v>
                </c:pt>
                <c:pt idx="571">
                  <c:v>16358.2</c:v>
                </c:pt>
                <c:pt idx="572">
                  <c:v>16483</c:v>
                </c:pt>
                <c:pt idx="573">
                  <c:v>16362</c:v>
                </c:pt>
                <c:pt idx="574">
                  <c:v>16377.5</c:v>
                </c:pt>
                <c:pt idx="575">
                  <c:v>16334.7</c:v>
                </c:pt>
                <c:pt idx="576">
                  <c:v>16300</c:v>
                </c:pt>
                <c:pt idx="577">
                  <c:v>16236.6</c:v>
                </c:pt>
                <c:pt idx="578">
                  <c:v>16236.6</c:v>
                </c:pt>
                <c:pt idx="579">
                  <c:v>16249</c:v>
                </c:pt>
                <c:pt idx="580">
                  <c:v>16298</c:v>
                </c:pt>
                <c:pt idx="581">
                  <c:v>16248.2</c:v>
                </c:pt>
                <c:pt idx="582">
                  <c:v>16109</c:v>
                </c:pt>
                <c:pt idx="583">
                  <c:v>16169</c:v>
                </c:pt>
                <c:pt idx="584">
                  <c:v>16182.7</c:v>
                </c:pt>
                <c:pt idx="585">
                  <c:v>16182.7</c:v>
                </c:pt>
                <c:pt idx="586">
                  <c:v>16196</c:v>
                </c:pt>
                <c:pt idx="587">
                  <c:v>16205.4</c:v>
                </c:pt>
                <c:pt idx="588">
                  <c:v>16275.2</c:v>
                </c:pt>
                <c:pt idx="589">
                  <c:v>16263.6</c:v>
                </c:pt>
                <c:pt idx="590">
                  <c:v>16339.7</c:v>
                </c:pt>
                <c:pt idx="591">
                  <c:v>16214.5</c:v>
                </c:pt>
                <c:pt idx="592">
                  <c:v>16227</c:v>
                </c:pt>
                <c:pt idx="593">
                  <c:v>16267</c:v>
                </c:pt>
                <c:pt idx="594">
                  <c:v>16299.2</c:v>
                </c:pt>
                <c:pt idx="595">
                  <c:v>16314</c:v>
                </c:pt>
                <c:pt idx="596">
                  <c:v>16344.3</c:v>
                </c:pt>
                <c:pt idx="597">
                  <c:v>16409</c:v>
                </c:pt>
                <c:pt idx="598">
                  <c:v>16409</c:v>
                </c:pt>
                <c:pt idx="599">
                  <c:v>16409</c:v>
                </c:pt>
                <c:pt idx="600">
                  <c:v>16405.2</c:v>
                </c:pt>
                <c:pt idx="601">
                  <c:v>16443.900000000001</c:v>
                </c:pt>
                <c:pt idx="602">
                  <c:v>16463</c:v>
                </c:pt>
                <c:pt idx="603">
                  <c:v>16452.099999999999</c:v>
                </c:pt>
                <c:pt idx="604">
                  <c:v>16346.2</c:v>
                </c:pt>
                <c:pt idx="605">
                  <c:v>16346.2</c:v>
                </c:pt>
                <c:pt idx="606">
                  <c:v>16392</c:v>
                </c:pt>
                <c:pt idx="607">
                  <c:v>16446.099999999999</c:v>
                </c:pt>
                <c:pt idx="608">
                  <c:v>16449.900000000001</c:v>
                </c:pt>
                <c:pt idx="609">
                  <c:v>16439</c:v>
                </c:pt>
                <c:pt idx="610">
                  <c:v>16413.599999999999</c:v>
                </c:pt>
                <c:pt idx="611">
                  <c:v>16388.400000000001</c:v>
                </c:pt>
                <c:pt idx="612">
                  <c:v>16388.400000000001</c:v>
                </c:pt>
                <c:pt idx="613">
                  <c:v>16401</c:v>
                </c:pt>
                <c:pt idx="614">
                  <c:v>16364.6</c:v>
                </c:pt>
                <c:pt idx="615">
                  <c:v>16398.099999999999</c:v>
                </c:pt>
                <c:pt idx="616">
                  <c:v>16418.599999999999</c:v>
                </c:pt>
                <c:pt idx="617">
                  <c:v>16569.099999999999</c:v>
                </c:pt>
                <c:pt idx="618">
                  <c:v>16634</c:v>
                </c:pt>
                <c:pt idx="619">
                  <c:v>16634</c:v>
                </c:pt>
                <c:pt idx="620">
                  <c:v>16637</c:v>
                </c:pt>
                <c:pt idx="621">
                  <c:v>16582</c:v>
                </c:pt>
                <c:pt idx="622">
                  <c:v>16633</c:v>
                </c:pt>
                <c:pt idx="623">
                  <c:v>16695.099999999999</c:v>
                </c:pt>
                <c:pt idx="624">
                  <c:v>16671</c:v>
                </c:pt>
                <c:pt idx="625">
                  <c:v>16671</c:v>
                </c:pt>
                <c:pt idx="626">
                  <c:v>16723</c:v>
                </c:pt>
                <c:pt idx="627">
                  <c:v>16628</c:v>
                </c:pt>
                <c:pt idx="628">
                  <c:v>16683</c:v>
                </c:pt>
                <c:pt idx="629">
                  <c:v>16644.099999999999</c:v>
                </c:pt>
                <c:pt idx="630">
                  <c:v>16601.5</c:v>
                </c:pt>
                <c:pt idx="631">
                  <c:v>16552.3</c:v>
                </c:pt>
                <c:pt idx="632">
                  <c:v>16552.3</c:v>
                </c:pt>
                <c:pt idx="633">
                  <c:v>16558</c:v>
                </c:pt>
                <c:pt idx="634">
                  <c:v>16596.5</c:v>
                </c:pt>
                <c:pt idx="635">
                  <c:v>16587</c:v>
                </c:pt>
                <c:pt idx="636">
                  <c:v>16556</c:v>
                </c:pt>
                <c:pt idx="637">
                  <c:v>16577.7</c:v>
                </c:pt>
                <c:pt idx="638">
                  <c:v>16598.099999999999</c:v>
                </c:pt>
                <c:pt idx="639">
                  <c:v>16598.099999999999</c:v>
                </c:pt>
                <c:pt idx="640">
                  <c:v>16598</c:v>
                </c:pt>
                <c:pt idx="641">
                  <c:v>16548</c:v>
                </c:pt>
                <c:pt idx="642">
                  <c:v>16585.900000000001</c:v>
                </c:pt>
                <c:pt idx="643">
                  <c:v>16575</c:v>
                </c:pt>
                <c:pt idx="644">
                  <c:v>16561.900000000001</c:v>
                </c:pt>
                <c:pt idx="645">
                  <c:v>16565.400000000001</c:v>
                </c:pt>
                <c:pt idx="646">
                  <c:v>16565.400000000001</c:v>
                </c:pt>
                <c:pt idx="647">
                  <c:v>16566</c:v>
                </c:pt>
                <c:pt idx="648">
                  <c:v>16542</c:v>
                </c:pt>
                <c:pt idx="649">
                  <c:v>16598.900000000001</c:v>
                </c:pt>
                <c:pt idx="650">
                  <c:v>16596.599999999999</c:v>
                </c:pt>
                <c:pt idx="651">
                  <c:v>16593.8</c:v>
                </c:pt>
                <c:pt idx="652">
                  <c:v>16597.8</c:v>
                </c:pt>
                <c:pt idx="653">
                  <c:v>16597.8</c:v>
                </c:pt>
                <c:pt idx="654">
                  <c:v>16597.8</c:v>
                </c:pt>
                <c:pt idx="655">
                  <c:v>16158.2</c:v>
                </c:pt>
                <c:pt idx="656">
                  <c:v>15833.9</c:v>
                </c:pt>
                <c:pt idx="657">
                  <c:v>16562</c:v>
                </c:pt>
                <c:pt idx="658">
                  <c:v>15935</c:v>
                </c:pt>
                <c:pt idx="659">
                  <c:v>16630</c:v>
                </c:pt>
                <c:pt idx="660">
                  <c:v>16630</c:v>
                </c:pt>
                <c:pt idx="661">
                  <c:v>16630</c:v>
                </c:pt>
                <c:pt idx="662">
                  <c:v>16640.900000000001</c:v>
                </c:pt>
                <c:pt idx="663">
                  <c:v>16707</c:v>
                </c:pt>
                <c:pt idx="664">
                  <c:v>16669</c:v>
                </c:pt>
                <c:pt idx="665">
                  <c:v>16694.099999999999</c:v>
                </c:pt>
                <c:pt idx="666">
                  <c:v>16653</c:v>
                </c:pt>
                <c:pt idx="667">
                  <c:v>16653</c:v>
                </c:pt>
                <c:pt idx="668">
                  <c:v>16653</c:v>
                </c:pt>
                <c:pt idx="669">
                  <c:v>16690</c:v>
                </c:pt>
                <c:pt idx="670">
                  <c:v>16694.900000000001</c:v>
                </c:pt>
                <c:pt idx="671">
                  <c:v>16729</c:v>
                </c:pt>
                <c:pt idx="672">
                  <c:v>16719</c:v>
                </c:pt>
                <c:pt idx="673">
                  <c:v>16679.5</c:v>
                </c:pt>
                <c:pt idx="674">
                  <c:v>16679.5</c:v>
                </c:pt>
                <c:pt idx="675">
                  <c:v>16738.900000000001</c:v>
                </c:pt>
                <c:pt idx="676">
                  <c:v>16727.7</c:v>
                </c:pt>
                <c:pt idx="677">
                  <c:v>16686.7</c:v>
                </c:pt>
                <c:pt idx="678">
                  <c:v>16731</c:v>
                </c:pt>
                <c:pt idx="679">
                  <c:v>16639</c:v>
                </c:pt>
                <c:pt idx="680">
                  <c:v>16639</c:v>
                </c:pt>
                <c:pt idx="681">
                  <c:v>16639</c:v>
                </c:pt>
                <c:pt idx="682">
                  <c:v>16645</c:v>
                </c:pt>
                <c:pt idx="683">
                  <c:v>16633.5</c:v>
                </c:pt>
                <c:pt idx="684">
                  <c:v>16614.7</c:v>
                </c:pt>
                <c:pt idx="685">
                  <c:v>16603.900000000001</c:v>
                </c:pt>
                <c:pt idx="686">
                  <c:v>16635</c:v>
                </c:pt>
                <c:pt idx="687">
                  <c:v>16635</c:v>
                </c:pt>
                <c:pt idx="688">
                  <c:v>16635</c:v>
                </c:pt>
                <c:pt idx="689">
                  <c:v>16609</c:v>
                </c:pt>
                <c:pt idx="690">
                  <c:v>16609.900000000001</c:v>
                </c:pt>
                <c:pt idx="691">
                  <c:v>16594</c:v>
                </c:pt>
                <c:pt idx="692">
                  <c:v>16654.400000000001</c:v>
                </c:pt>
                <c:pt idx="693">
                  <c:v>16683</c:v>
                </c:pt>
                <c:pt idx="694">
                  <c:v>16683</c:v>
                </c:pt>
                <c:pt idx="695">
                  <c:v>16683</c:v>
                </c:pt>
                <c:pt idx="696">
                  <c:v>16686</c:v>
                </c:pt>
                <c:pt idx="697">
                  <c:v>16662</c:v>
                </c:pt>
                <c:pt idx="698">
                  <c:v>16639</c:v>
                </c:pt>
                <c:pt idx="699">
                  <c:v>16649</c:v>
                </c:pt>
                <c:pt idx="700">
                  <c:v>16623.099999999999</c:v>
                </c:pt>
                <c:pt idx="701">
                  <c:v>16623.099999999999</c:v>
                </c:pt>
                <c:pt idx="702">
                  <c:v>16623.099999999999</c:v>
                </c:pt>
                <c:pt idx="703">
                  <c:v>16645.8</c:v>
                </c:pt>
                <c:pt idx="704">
                  <c:v>16644.599999999999</c:v>
                </c:pt>
                <c:pt idx="705">
                  <c:v>16657</c:v>
                </c:pt>
                <c:pt idx="706">
                  <c:v>16685.2</c:v>
                </c:pt>
                <c:pt idx="707">
                  <c:v>16678.5</c:v>
                </c:pt>
                <c:pt idx="708">
                  <c:v>16678.5</c:v>
                </c:pt>
                <c:pt idx="709">
                  <c:v>16678.5</c:v>
                </c:pt>
                <c:pt idx="710">
                  <c:v>16756.400000000001</c:v>
                </c:pt>
                <c:pt idx="711">
                  <c:v>16735</c:v>
                </c:pt>
                <c:pt idx="712">
                  <c:v>16697.3</c:v>
                </c:pt>
                <c:pt idx="713">
                  <c:v>16753.099999999999</c:v>
                </c:pt>
                <c:pt idx="714">
                  <c:v>16741.099999999999</c:v>
                </c:pt>
                <c:pt idx="715">
                  <c:v>16741.099999999999</c:v>
                </c:pt>
                <c:pt idx="716">
                  <c:v>16741.099999999999</c:v>
                </c:pt>
                <c:pt idx="717">
                  <c:v>16770</c:v>
                </c:pt>
                <c:pt idx="718">
                  <c:v>16709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9A-4CAD-AF16-E414B421D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322735"/>
        <c:axId val="868348655"/>
      </c:lineChart>
      <c:dateAx>
        <c:axId val="868322735"/>
        <c:scaling>
          <c:orientation val="minMax"/>
        </c:scaling>
        <c:delete val="0"/>
        <c:axPos val="b"/>
        <c:numFmt formatCode="m/d/yyyy\ h:mm:ss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348655"/>
        <c:crosses val="autoZero"/>
        <c:auto val="1"/>
        <c:lblOffset val="100"/>
        <c:baseTimeUnit val="days"/>
      </c:dateAx>
      <c:valAx>
        <c:axId val="868348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3227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IHSG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IHSG!$A$2:$A$472</c:f>
              <c:numCache>
                <c:formatCode>m/d/yyyy\ h:mm:ss</c:formatCode>
                <c:ptCount val="471"/>
                <c:pt idx="0">
                  <c:v>45293.666666666599</c:v>
                </c:pt>
                <c:pt idx="1">
                  <c:v>45294.666666666599</c:v>
                </c:pt>
                <c:pt idx="2">
                  <c:v>45295.666666666599</c:v>
                </c:pt>
                <c:pt idx="3">
                  <c:v>45296.666666666599</c:v>
                </c:pt>
                <c:pt idx="4">
                  <c:v>45299.666666666599</c:v>
                </c:pt>
                <c:pt idx="5">
                  <c:v>45300.666666666599</c:v>
                </c:pt>
                <c:pt idx="6">
                  <c:v>45301.666666666599</c:v>
                </c:pt>
                <c:pt idx="7">
                  <c:v>45302.666666666599</c:v>
                </c:pt>
                <c:pt idx="8">
                  <c:v>45303.666666666599</c:v>
                </c:pt>
                <c:pt idx="9">
                  <c:v>45306.666666666599</c:v>
                </c:pt>
                <c:pt idx="10">
                  <c:v>45307.666666666599</c:v>
                </c:pt>
                <c:pt idx="11">
                  <c:v>45308.666666666599</c:v>
                </c:pt>
                <c:pt idx="12">
                  <c:v>45309.666666666599</c:v>
                </c:pt>
                <c:pt idx="13">
                  <c:v>45310.666666666599</c:v>
                </c:pt>
                <c:pt idx="14">
                  <c:v>45313.666666666599</c:v>
                </c:pt>
                <c:pt idx="15">
                  <c:v>45314.666666666599</c:v>
                </c:pt>
                <c:pt idx="16">
                  <c:v>45315.666666666599</c:v>
                </c:pt>
                <c:pt idx="17">
                  <c:v>45316.666666666599</c:v>
                </c:pt>
                <c:pt idx="18">
                  <c:v>45317.666666666599</c:v>
                </c:pt>
                <c:pt idx="19">
                  <c:v>45320.666666666599</c:v>
                </c:pt>
                <c:pt idx="20">
                  <c:v>45321.666666666599</c:v>
                </c:pt>
                <c:pt idx="21">
                  <c:v>45322.666666666599</c:v>
                </c:pt>
                <c:pt idx="22">
                  <c:v>45323.666666666599</c:v>
                </c:pt>
                <c:pt idx="23">
                  <c:v>45324.666666666599</c:v>
                </c:pt>
                <c:pt idx="24">
                  <c:v>45327.666666666599</c:v>
                </c:pt>
                <c:pt idx="25">
                  <c:v>45328.666666666599</c:v>
                </c:pt>
                <c:pt idx="26">
                  <c:v>45329.666666666599</c:v>
                </c:pt>
                <c:pt idx="27">
                  <c:v>45334.666666666599</c:v>
                </c:pt>
                <c:pt idx="28">
                  <c:v>45335.666666666599</c:v>
                </c:pt>
                <c:pt idx="29">
                  <c:v>45337.666666666599</c:v>
                </c:pt>
                <c:pt idx="30">
                  <c:v>45338.666666666599</c:v>
                </c:pt>
                <c:pt idx="31">
                  <c:v>45341.666666666599</c:v>
                </c:pt>
                <c:pt idx="32">
                  <c:v>45342.666666666599</c:v>
                </c:pt>
                <c:pt idx="33">
                  <c:v>45343.666666666599</c:v>
                </c:pt>
                <c:pt idx="34">
                  <c:v>45344.666666666599</c:v>
                </c:pt>
                <c:pt idx="35">
                  <c:v>45345.666666666599</c:v>
                </c:pt>
                <c:pt idx="36">
                  <c:v>45348.666666666599</c:v>
                </c:pt>
                <c:pt idx="37">
                  <c:v>45349.666666666599</c:v>
                </c:pt>
                <c:pt idx="38">
                  <c:v>45350.666666666599</c:v>
                </c:pt>
                <c:pt idx="39">
                  <c:v>45351.666666666599</c:v>
                </c:pt>
                <c:pt idx="40">
                  <c:v>45352.666666666599</c:v>
                </c:pt>
                <c:pt idx="41">
                  <c:v>45355.666666666599</c:v>
                </c:pt>
                <c:pt idx="42">
                  <c:v>45356.666666666599</c:v>
                </c:pt>
                <c:pt idx="43">
                  <c:v>45357.666666666599</c:v>
                </c:pt>
                <c:pt idx="44">
                  <c:v>45358.666666666599</c:v>
                </c:pt>
                <c:pt idx="45">
                  <c:v>45359.666666666599</c:v>
                </c:pt>
                <c:pt idx="46">
                  <c:v>45364.666666666599</c:v>
                </c:pt>
                <c:pt idx="47">
                  <c:v>45365.666666666599</c:v>
                </c:pt>
                <c:pt idx="48">
                  <c:v>45366.666666666599</c:v>
                </c:pt>
                <c:pt idx="49">
                  <c:v>45369.666666666599</c:v>
                </c:pt>
                <c:pt idx="50">
                  <c:v>45370.666666666599</c:v>
                </c:pt>
                <c:pt idx="51">
                  <c:v>45371.666666666599</c:v>
                </c:pt>
                <c:pt idx="52">
                  <c:v>45372.666666666599</c:v>
                </c:pt>
                <c:pt idx="53">
                  <c:v>45373.666666666599</c:v>
                </c:pt>
                <c:pt idx="54">
                  <c:v>45378.666666666599</c:v>
                </c:pt>
                <c:pt idx="55">
                  <c:v>45379.666666666599</c:v>
                </c:pt>
                <c:pt idx="56">
                  <c:v>45383.666666666599</c:v>
                </c:pt>
                <c:pt idx="57">
                  <c:v>45384.666666666599</c:v>
                </c:pt>
                <c:pt idx="58">
                  <c:v>45385.666666666599</c:v>
                </c:pt>
                <c:pt idx="59">
                  <c:v>45386.666666666599</c:v>
                </c:pt>
                <c:pt idx="60">
                  <c:v>45387.666666666599</c:v>
                </c:pt>
                <c:pt idx="61">
                  <c:v>45398.666666666599</c:v>
                </c:pt>
                <c:pt idx="62">
                  <c:v>45399.666666666599</c:v>
                </c:pt>
                <c:pt idx="63">
                  <c:v>45400.666666666599</c:v>
                </c:pt>
                <c:pt idx="64">
                  <c:v>45401.666666666599</c:v>
                </c:pt>
                <c:pt idx="65">
                  <c:v>45404.666666666599</c:v>
                </c:pt>
                <c:pt idx="66">
                  <c:v>45405.666666666599</c:v>
                </c:pt>
                <c:pt idx="67">
                  <c:v>45406.666666666599</c:v>
                </c:pt>
                <c:pt idx="68">
                  <c:v>45407.666666666599</c:v>
                </c:pt>
                <c:pt idx="69">
                  <c:v>45408.666666666599</c:v>
                </c:pt>
                <c:pt idx="70">
                  <c:v>45411.666666666599</c:v>
                </c:pt>
                <c:pt idx="71">
                  <c:v>45412.666666666599</c:v>
                </c:pt>
                <c:pt idx="72">
                  <c:v>45414.666666666599</c:v>
                </c:pt>
                <c:pt idx="73">
                  <c:v>45415.666666666599</c:v>
                </c:pt>
                <c:pt idx="74">
                  <c:v>45418.666666666599</c:v>
                </c:pt>
                <c:pt idx="75">
                  <c:v>45419.666666666599</c:v>
                </c:pt>
                <c:pt idx="76">
                  <c:v>45420.666666666599</c:v>
                </c:pt>
                <c:pt idx="77">
                  <c:v>45425.666666666599</c:v>
                </c:pt>
                <c:pt idx="78">
                  <c:v>45426.666666666599</c:v>
                </c:pt>
                <c:pt idx="79">
                  <c:v>45427.666666666599</c:v>
                </c:pt>
                <c:pt idx="80">
                  <c:v>45428.666666666599</c:v>
                </c:pt>
                <c:pt idx="81">
                  <c:v>45429.666666666599</c:v>
                </c:pt>
                <c:pt idx="82">
                  <c:v>45432.666666666599</c:v>
                </c:pt>
                <c:pt idx="83">
                  <c:v>45433.666666666599</c:v>
                </c:pt>
                <c:pt idx="84">
                  <c:v>45434.666666666599</c:v>
                </c:pt>
                <c:pt idx="85">
                  <c:v>45439.666666666599</c:v>
                </c:pt>
                <c:pt idx="86">
                  <c:v>45440.666666666599</c:v>
                </c:pt>
                <c:pt idx="87">
                  <c:v>45441.666666666599</c:v>
                </c:pt>
                <c:pt idx="88">
                  <c:v>45442.666666666599</c:v>
                </c:pt>
                <c:pt idx="89">
                  <c:v>45443.666666666599</c:v>
                </c:pt>
                <c:pt idx="90">
                  <c:v>45446.666666666599</c:v>
                </c:pt>
                <c:pt idx="91">
                  <c:v>45447.666666666599</c:v>
                </c:pt>
                <c:pt idx="92">
                  <c:v>45448.666666666599</c:v>
                </c:pt>
                <c:pt idx="93">
                  <c:v>45449.666666666599</c:v>
                </c:pt>
                <c:pt idx="94">
                  <c:v>45450.666666666599</c:v>
                </c:pt>
                <c:pt idx="95">
                  <c:v>45453.666666666599</c:v>
                </c:pt>
                <c:pt idx="96">
                  <c:v>45454.666666666599</c:v>
                </c:pt>
                <c:pt idx="97">
                  <c:v>45455.666666666599</c:v>
                </c:pt>
                <c:pt idx="98">
                  <c:v>45456.666666666599</c:v>
                </c:pt>
                <c:pt idx="99">
                  <c:v>45457.666666666599</c:v>
                </c:pt>
                <c:pt idx="100">
                  <c:v>45462.666666666599</c:v>
                </c:pt>
                <c:pt idx="101">
                  <c:v>45463.666666666599</c:v>
                </c:pt>
                <c:pt idx="102">
                  <c:v>45464.666666666599</c:v>
                </c:pt>
                <c:pt idx="103">
                  <c:v>45467.666666666599</c:v>
                </c:pt>
                <c:pt idx="104">
                  <c:v>45468.666666666599</c:v>
                </c:pt>
                <c:pt idx="105">
                  <c:v>45469.666666666599</c:v>
                </c:pt>
                <c:pt idx="106">
                  <c:v>45470.666666666599</c:v>
                </c:pt>
                <c:pt idx="107">
                  <c:v>45471.666666666599</c:v>
                </c:pt>
                <c:pt idx="108">
                  <c:v>45474.666666666599</c:v>
                </c:pt>
                <c:pt idx="109">
                  <c:v>45475.666666666599</c:v>
                </c:pt>
                <c:pt idx="110">
                  <c:v>45476.666666666599</c:v>
                </c:pt>
                <c:pt idx="111">
                  <c:v>45477.666666666599</c:v>
                </c:pt>
                <c:pt idx="112">
                  <c:v>45478.666666666599</c:v>
                </c:pt>
                <c:pt idx="113">
                  <c:v>45481.666666666599</c:v>
                </c:pt>
                <c:pt idx="114">
                  <c:v>45482.666666666599</c:v>
                </c:pt>
                <c:pt idx="115">
                  <c:v>45483.666666666599</c:v>
                </c:pt>
                <c:pt idx="116">
                  <c:v>45484.666666666599</c:v>
                </c:pt>
                <c:pt idx="117">
                  <c:v>45485.666666666599</c:v>
                </c:pt>
                <c:pt idx="118">
                  <c:v>45488.666666666599</c:v>
                </c:pt>
                <c:pt idx="119">
                  <c:v>45489.666666666599</c:v>
                </c:pt>
                <c:pt idx="120">
                  <c:v>45490.666666666599</c:v>
                </c:pt>
                <c:pt idx="121">
                  <c:v>45491.666666666599</c:v>
                </c:pt>
                <c:pt idx="122">
                  <c:v>45492.666666666599</c:v>
                </c:pt>
                <c:pt idx="123">
                  <c:v>45495.666666666599</c:v>
                </c:pt>
                <c:pt idx="124">
                  <c:v>45496.666666666599</c:v>
                </c:pt>
                <c:pt idx="125">
                  <c:v>45497.666666666599</c:v>
                </c:pt>
                <c:pt idx="126">
                  <c:v>45498.666666666599</c:v>
                </c:pt>
                <c:pt idx="127">
                  <c:v>45499.666666666599</c:v>
                </c:pt>
                <c:pt idx="128">
                  <c:v>45502.666666666599</c:v>
                </c:pt>
                <c:pt idx="129">
                  <c:v>45503.666666666599</c:v>
                </c:pt>
                <c:pt idx="130">
                  <c:v>45504.666666666599</c:v>
                </c:pt>
                <c:pt idx="131">
                  <c:v>45505.666666666599</c:v>
                </c:pt>
                <c:pt idx="132">
                  <c:v>45506.666666666599</c:v>
                </c:pt>
                <c:pt idx="133">
                  <c:v>45509.666666666599</c:v>
                </c:pt>
                <c:pt idx="134">
                  <c:v>45510.666666666599</c:v>
                </c:pt>
                <c:pt idx="135">
                  <c:v>45511.666666666599</c:v>
                </c:pt>
                <c:pt idx="136">
                  <c:v>45512.666666666599</c:v>
                </c:pt>
                <c:pt idx="137">
                  <c:v>45513.666666666599</c:v>
                </c:pt>
                <c:pt idx="138">
                  <c:v>45516.666666666599</c:v>
                </c:pt>
                <c:pt idx="139">
                  <c:v>45517.666666666599</c:v>
                </c:pt>
                <c:pt idx="140">
                  <c:v>45518.666666666599</c:v>
                </c:pt>
                <c:pt idx="141">
                  <c:v>45519.666666666599</c:v>
                </c:pt>
                <c:pt idx="142">
                  <c:v>45520.666666666599</c:v>
                </c:pt>
                <c:pt idx="143">
                  <c:v>45523.666666666599</c:v>
                </c:pt>
                <c:pt idx="144">
                  <c:v>45524.666666666599</c:v>
                </c:pt>
                <c:pt idx="145">
                  <c:v>45525.666666666599</c:v>
                </c:pt>
                <c:pt idx="146">
                  <c:v>45526.666666666599</c:v>
                </c:pt>
                <c:pt idx="147">
                  <c:v>45527.666666666599</c:v>
                </c:pt>
                <c:pt idx="148">
                  <c:v>45530.666666666599</c:v>
                </c:pt>
                <c:pt idx="149">
                  <c:v>45531.666666666599</c:v>
                </c:pt>
                <c:pt idx="150">
                  <c:v>45532.666666666599</c:v>
                </c:pt>
                <c:pt idx="151">
                  <c:v>45533.666666666599</c:v>
                </c:pt>
                <c:pt idx="152">
                  <c:v>45534.666666666599</c:v>
                </c:pt>
                <c:pt idx="153">
                  <c:v>45537.666666666599</c:v>
                </c:pt>
                <c:pt idx="154">
                  <c:v>45538.666666666599</c:v>
                </c:pt>
                <c:pt idx="155">
                  <c:v>45539.666666666599</c:v>
                </c:pt>
                <c:pt idx="156">
                  <c:v>45540.666666666599</c:v>
                </c:pt>
                <c:pt idx="157">
                  <c:v>45541.666666666599</c:v>
                </c:pt>
                <c:pt idx="158">
                  <c:v>45544.666666666599</c:v>
                </c:pt>
                <c:pt idx="159">
                  <c:v>45545.666666666599</c:v>
                </c:pt>
                <c:pt idx="160">
                  <c:v>45546.666666666599</c:v>
                </c:pt>
                <c:pt idx="161">
                  <c:v>45547.666666666599</c:v>
                </c:pt>
                <c:pt idx="162">
                  <c:v>45548.666666666599</c:v>
                </c:pt>
                <c:pt idx="163">
                  <c:v>45552.666666666599</c:v>
                </c:pt>
                <c:pt idx="164">
                  <c:v>45553.666666666599</c:v>
                </c:pt>
                <c:pt idx="165">
                  <c:v>45554.666666666599</c:v>
                </c:pt>
                <c:pt idx="166">
                  <c:v>45555.666666666599</c:v>
                </c:pt>
                <c:pt idx="167">
                  <c:v>45558.666666666599</c:v>
                </c:pt>
                <c:pt idx="168">
                  <c:v>45559.666666666599</c:v>
                </c:pt>
                <c:pt idx="169">
                  <c:v>45560.666666666599</c:v>
                </c:pt>
                <c:pt idx="170">
                  <c:v>45561.666666666599</c:v>
                </c:pt>
                <c:pt idx="171">
                  <c:v>45562.666666666599</c:v>
                </c:pt>
                <c:pt idx="172">
                  <c:v>45565.666666666599</c:v>
                </c:pt>
                <c:pt idx="173">
                  <c:v>45566.666666666599</c:v>
                </c:pt>
                <c:pt idx="174">
                  <c:v>45567.666666666599</c:v>
                </c:pt>
                <c:pt idx="175">
                  <c:v>45568.666666666599</c:v>
                </c:pt>
                <c:pt idx="176">
                  <c:v>45569.666666666599</c:v>
                </c:pt>
                <c:pt idx="177">
                  <c:v>45572.666666666599</c:v>
                </c:pt>
                <c:pt idx="178">
                  <c:v>45573.666666666599</c:v>
                </c:pt>
                <c:pt idx="179">
                  <c:v>45574.666666666599</c:v>
                </c:pt>
                <c:pt idx="180">
                  <c:v>45575.666666666599</c:v>
                </c:pt>
                <c:pt idx="181">
                  <c:v>45576.666666666599</c:v>
                </c:pt>
                <c:pt idx="182">
                  <c:v>45579.666666666599</c:v>
                </c:pt>
                <c:pt idx="183">
                  <c:v>45580.666666666599</c:v>
                </c:pt>
                <c:pt idx="184">
                  <c:v>45581.666666666599</c:v>
                </c:pt>
                <c:pt idx="185">
                  <c:v>45582.666666666599</c:v>
                </c:pt>
                <c:pt idx="186">
                  <c:v>45583.666666666599</c:v>
                </c:pt>
                <c:pt idx="187">
                  <c:v>45586.666666666599</c:v>
                </c:pt>
                <c:pt idx="188">
                  <c:v>45587.666666666599</c:v>
                </c:pt>
                <c:pt idx="189">
                  <c:v>45588.666666666599</c:v>
                </c:pt>
                <c:pt idx="190">
                  <c:v>45589.666666666599</c:v>
                </c:pt>
                <c:pt idx="191">
                  <c:v>45590.666666666599</c:v>
                </c:pt>
                <c:pt idx="192">
                  <c:v>45593.666666666599</c:v>
                </c:pt>
                <c:pt idx="193">
                  <c:v>45594.666666666599</c:v>
                </c:pt>
                <c:pt idx="194">
                  <c:v>45595.666666666599</c:v>
                </c:pt>
                <c:pt idx="195">
                  <c:v>45596.666666666599</c:v>
                </c:pt>
                <c:pt idx="196">
                  <c:v>45597.666666666599</c:v>
                </c:pt>
                <c:pt idx="197">
                  <c:v>45600.666666666599</c:v>
                </c:pt>
                <c:pt idx="198">
                  <c:v>45601.666666666599</c:v>
                </c:pt>
                <c:pt idx="199">
                  <c:v>45602.666666666599</c:v>
                </c:pt>
                <c:pt idx="200">
                  <c:v>45603.666666666599</c:v>
                </c:pt>
                <c:pt idx="201">
                  <c:v>45604.666666666599</c:v>
                </c:pt>
                <c:pt idx="202">
                  <c:v>45607.666666666599</c:v>
                </c:pt>
                <c:pt idx="203">
                  <c:v>45608.666666666599</c:v>
                </c:pt>
                <c:pt idx="204">
                  <c:v>45609.666666666599</c:v>
                </c:pt>
                <c:pt idx="205">
                  <c:v>45610.666666666599</c:v>
                </c:pt>
                <c:pt idx="206">
                  <c:v>45611.666666666599</c:v>
                </c:pt>
                <c:pt idx="207">
                  <c:v>45614.666666666599</c:v>
                </c:pt>
                <c:pt idx="208">
                  <c:v>45615.666666666599</c:v>
                </c:pt>
                <c:pt idx="209">
                  <c:v>45616.666666666599</c:v>
                </c:pt>
                <c:pt idx="210">
                  <c:v>45617.666666666599</c:v>
                </c:pt>
                <c:pt idx="211">
                  <c:v>45618.666666666599</c:v>
                </c:pt>
                <c:pt idx="212">
                  <c:v>45621.666666666599</c:v>
                </c:pt>
                <c:pt idx="213">
                  <c:v>45622.666666666599</c:v>
                </c:pt>
                <c:pt idx="214">
                  <c:v>45624.666666666599</c:v>
                </c:pt>
                <c:pt idx="215">
                  <c:v>45625.666666666599</c:v>
                </c:pt>
                <c:pt idx="216">
                  <c:v>45628.666666666599</c:v>
                </c:pt>
                <c:pt idx="217">
                  <c:v>45629.666666666599</c:v>
                </c:pt>
                <c:pt idx="218">
                  <c:v>45630.666666666599</c:v>
                </c:pt>
                <c:pt idx="219">
                  <c:v>45631.666666666599</c:v>
                </c:pt>
                <c:pt idx="220">
                  <c:v>45632.666666666599</c:v>
                </c:pt>
                <c:pt idx="221">
                  <c:v>45635.666666666599</c:v>
                </c:pt>
                <c:pt idx="222">
                  <c:v>45636.666666666599</c:v>
                </c:pt>
                <c:pt idx="223">
                  <c:v>45637.666666666599</c:v>
                </c:pt>
                <c:pt idx="224">
                  <c:v>45638.666666666599</c:v>
                </c:pt>
                <c:pt idx="225">
                  <c:v>45639.666666666599</c:v>
                </c:pt>
                <c:pt idx="226">
                  <c:v>45642.666666666599</c:v>
                </c:pt>
                <c:pt idx="227">
                  <c:v>45643.666666666599</c:v>
                </c:pt>
                <c:pt idx="228">
                  <c:v>45644.666666666599</c:v>
                </c:pt>
                <c:pt idx="229">
                  <c:v>45645.666666666599</c:v>
                </c:pt>
                <c:pt idx="230">
                  <c:v>45646.666666666599</c:v>
                </c:pt>
                <c:pt idx="231">
                  <c:v>45649.666666666599</c:v>
                </c:pt>
                <c:pt idx="232">
                  <c:v>45650.666666666599</c:v>
                </c:pt>
                <c:pt idx="233">
                  <c:v>45653.666666666599</c:v>
                </c:pt>
                <c:pt idx="234">
                  <c:v>45656.666666666599</c:v>
                </c:pt>
                <c:pt idx="235">
                  <c:v>45659.666666666599</c:v>
                </c:pt>
                <c:pt idx="236">
                  <c:v>45660.666666666599</c:v>
                </c:pt>
                <c:pt idx="237">
                  <c:v>45663.666666666599</c:v>
                </c:pt>
                <c:pt idx="238">
                  <c:v>45664.666666666599</c:v>
                </c:pt>
                <c:pt idx="239">
                  <c:v>45665.666666666599</c:v>
                </c:pt>
                <c:pt idx="240">
                  <c:v>45666.666666666599</c:v>
                </c:pt>
                <c:pt idx="241">
                  <c:v>45667.666666666599</c:v>
                </c:pt>
                <c:pt idx="242">
                  <c:v>45670.666666666599</c:v>
                </c:pt>
                <c:pt idx="243">
                  <c:v>45671.666666666599</c:v>
                </c:pt>
                <c:pt idx="244">
                  <c:v>45672.666666666599</c:v>
                </c:pt>
                <c:pt idx="245">
                  <c:v>45673.666666666599</c:v>
                </c:pt>
                <c:pt idx="246">
                  <c:v>45674.666666666599</c:v>
                </c:pt>
                <c:pt idx="247">
                  <c:v>45677.666666666599</c:v>
                </c:pt>
                <c:pt idx="248">
                  <c:v>45678.666666666599</c:v>
                </c:pt>
                <c:pt idx="249">
                  <c:v>45679.666666666599</c:v>
                </c:pt>
                <c:pt idx="250">
                  <c:v>45680.666666666599</c:v>
                </c:pt>
                <c:pt idx="251">
                  <c:v>45681.666666666599</c:v>
                </c:pt>
                <c:pt idx="252">
                  <c:v>45687.666666666599</c:v>
                </c:pt>
                <c:pt idx="253">
                  <c:v>45688.666666666599</c:v>
                </c:pt>
                <c:pt idx="254">
                  <c:v>45691.666666666599</c:v>
                </c:pt>
                <c:pt idx="255">
                  <c:v>45692.666666666599</c:v>
                </c:pt>
                <c:pt idx="256">
                  <c:v>45693.666666666599</c:v>
                </c:pt>
                <c:pt idx="257">
                  <c:v>45694.666666666599</c:v>
                </c:pt>
                <c:pt idx="258">
                  <c:v>45695.666666666599</c:v>
                </c:pt>
                <c:pt idx="259">
                  <c:v>45698.666666666599</c:v>
                </c:pt>
                <c:pt idx="260">
                  <c:v>45699.666666666599</c:v>
                </c:pt>
                <c:pt idx="261">
                  <c:v>45700.666666666599</c:v>
                </c:pt>
                <c:pt idx="262">
                  <c:v>45701.666666666599</c:v>
                </c:pt>
                <c:pt idx="263">
                  <c:v>45702.666666666599</c:v>
                </c:pt>
                <c:pt idx="264">
                  <c:v>45705.666666666599</c:v>
                </c:pt>
                <c:pt idx="265">
                  <c:v>45706.666666666599</c:v>
                </c:pt>
                <c:pt idx="266">
                  <c:v>45707.666666666599</c:v>
                </c:pt>
                <c:pt idx="267">
                  <c:v>45708.666666666599</c:v>
                </c:pt>
                <c:pt idx="268">
                  <c:v>45709.666666666599</c:v>
                </c:pt>
                <c:pt idx="269">
                  <c:v>45712.666666666599</c:v>
                </c:pt>
                <c:pt idx="270">
                  <c:v>45713.666666666599</c:v>
                </c:pt>
                <c:pt idx="271">
                  <c:v>45714.666666666599</c:v>
                </c:pt>
                <c:pt idx="272">
                  <c:v>45715.666666666599</c:v>
                </c:pt>
                <c:pt idx="273">
                  <c:v>45716.666666666599</c:v>
                </c:pt>
                <c:pt idx="274">
                  <c:v>45719.666666666599</c:v>
                </c:pt>
                <c:pt idx="275">
                  <c:v>45720.666666666599</c:v>
                </c:pt>
                <c:pt idx="276">
                  <c:v>45721.666666666599</c:v>
                </c:pt>
                <c:pt idx="277">
                  <c:v>45722.666666666599</c:v>
                </c:pt>
                <c:pt idx="278">
                  <c:v>45723.666666666599</c:v>
                </c:pt>
                <c:pt idx="279">
                  <c:v>45726.666666666599</c:v>
                </c:pt>
                <c:pt idx="280">
                  <c:v>45727.666666666599</c:v>
                </c:pt>
                <c:pt idx="281">
                  <c:v>45728.666666666599</c:v>
                </c:pt>
                <c:pt idx="282">
                  <c:v>45729.666666666599</c:v>
                </c:pt>
                <c:pt idx="283">
                  <c:v>45730.666666666599</c:v>
                </c:pt>
                <c:pt idx="284">
                  <c:v>45733.666666666599</c:v>
                </c:pt>
                <c:pt idx="285">
                  <c:v>45734.666666666599</c:v>
                </c:pt>
                <c:pt idx="286">
                  <c:v>45735.666666666599</c:v>
                </c:pt>
                <c:pt idx="287">
                  <c:v>45736.666666666599</c:v>
                </c:pt>
                <c:pt idx="288">
                  <c:v>45737.666666666599</c:v>
                </c:pt>
                <c:pt idx="289">
                  <c:v>45740.666666666599</c:v>
                </c:pt>
                <c:pt idx="290">
                  <c:v>45741.666666666599</c:v>
                </c:pt>
                <c:pt idx="291">
                  <c:v>45742.666666666599</c:v>
                </c:pt>
                <c:pt idx="292">
                  <c:v>45743.666666666599</c:v>
                </c:pt>
                <c:pt idx="293">
                  <c:v>45755.666666666599</c:v>
                </c:pt>
                <c:pt idx="294">
                  <c:v>45756.666666666599</c:v>
                </c:pt>
                <c:pt idx="295">
                  <c:v>45757.666666666599</c:v>
                </c:pt>
                <c:pt idx="296">
                  <c:v>45758.666666666599</c:v>
                </c:pt>
                <c:pt idx="297">
                  <c:v>45761.666666666599</c:v>
                </c:pt>
                <c:pt idx="298">
                  <c:v>45762.666666666599</c:v>
                </c:pt>
                <c:pt idx="299">
                  <c:v>45763.666666666599</c:v>
                </c:pt>
                <c:pt idx="300">
                  <c:v>45764.666666666599</c:v>
                </c:pt>
                <c:pt idx="301">
                  <c:v>45768.666666666599</c:v>
                </c:pt>
                <c:pt idx="302">
                  <c:v>45769.666666666599</c:v>
                </c:pt>
                <c:pt idx="303">
                  <c:v>45770.666666666599</c:v>
                </c:pt>
                <c:pt idx="304">
                  <c:v>45771.666666666599</c:v>
                </c:pt>
                <c:pt idx="305">
                  <c:v>45772.666666666599</c:v>
                </c:pt>
                <c:pt idx="306">
                  <c:v>45775.666666666599</c:v>
                </c:pt>
                <c:pt idx="307">
                  <c:v>45776.666666666599</c:v>
                </c:pt>
                <c:pt idx="308">
                  <c:v>45777.666666666599</c:v>
                </c:pt>
                <c:pt idx="309">
                  <c:v>45779.666666666599</c:v>
                </c:pt>
                <c:pt idx="310">
                  <c:v>45782.666666666599</c:v>
                </c:pt>
                <c:pt idx="311">
                  <c:v>45783.666666666599</c:v>
                </c:pt>
                <c:pt idx="312">
                  <c:v>45784.666666666599</c:v>
                </c:pt>
                <c:pt idx="313">
                  <c:v>45785.666666666599</c:v>
                </c:pt>
                <c:pt idx="314">
                  <c:v>45786.666666666599</c:v>
                </c:pt>
                <c:pt idx="315">
                  <c:v>45791.666666666599</c:v>
                </c:pt>
                <c:pt idx="316">
                  <c:v>45792.666666666599</c:v>
                </c:pt>
                <c:pt idx="317">
                  <c:v>45793.666666666599</c:v>
                </c:pt>
                <c:pt idx="318">
                  <c:v>45796.666666666599</c:v>
                </c:pt>
                <c:pt idx="319">
                  <c:v>45797.666666666599</c:v>
                </c:pt>
                <c:pt idx="320">
                  <c:v>45798.666666666599</c:v>
                </c:pt>
                <c:pt idx="321">
                  <c:v>45799.666666666599</c:v>
                </c:pt>
                <c:pt idx="322">
                  <c:v>45800.666666666599</c:v>
                </c:pt>
                <c:pt idx="323">
                  <c:v>45803.666666666599</c:v>
                </c:pt>
                <c:pt idx="324">
                  <c:v>45804.666666666599</c:v>
                </c:pt>
                <c:pt idx="325">
                  <c:v>45805.666666666599</c:v>
                </c:pt>
                <c:pt idx="326">
                  <c:v>45810.666666666599</c:v>
                </c:pt>
                <c:pt idx="327">
                  <c:v>45811.666666666599</c:v>
                </c:pt>
                <c:pt idx="328">
                  <c:v>45812.666666666599</c:v>
                </c:pt>
                <c:pt idx="329">
                  <c:v>45813.666666666599</c:v>
                </c:pt>
                <c:pt idx="330">
                  <c:v>45818.666666666599</c:v>
                </c:pt>
                <c:pt idx="331">
                  <c:v>45819.666666666599</c:v>
                </c:pt>
                <c:pt idx="332">
                  <c:v>45820.666666666599</c:v>
                </c:pt>
                <c:pt idx="333">
                  <c:v>45821.666666666599</c:v>
                </c:pt>
                <c:pt idx="334">
                  <c:v>45824.666666666599</c:v>
                </c:pt>
                <c:pt idx="335">
                  <c:v>45825.666666666599</c:v>
                </c:pt>
                <c:pt idx="336">
                  <c:v>45826.666666666599</c:v>
                </c:pt>
                <c:pt idx="337">
                  <c:v>45827.666666666599</c:v>
                </c:pt>
                <c:pt idx="338">
                  <c:v>45828.666666666599</c:v>
                </c:pt>
                <c:pt idx="339">
                  <c:v>45831.666666666599</c:v>
                </c:pt>
                <c:pt idx="340">
                  <c:v>45832.666666666599</c:v>
                </c:pt>
                <c:pt idx="341">
                  <c:v>45833.666666666599</c:v>
                </c:pt>
                <c:pt idx="342">
                  <c:v>45834.666666666599</c:v>
                </c:pt>
                <c:pt idx="343">
                  <c:v>45838.666666666599</c:v>
                </c:pt>
                <c:pt idx="344">
                  <c:v>45839.666666666599</c:v>
                </c:pt>
                <c:pt idx="345">
                  <c:v>45840.666666666599</c:v>
                </c:pt>
                <c:pt idx="346">
                  <c:v>45841.666666666599</c:v>
                </c:pt>
                <c:pt idx="347">
                  <c:v>45842.666666666599</c:v>
                </c:pt>
                <c:pt idx="348">
                  <c:v>45845.666666666599</c:v>
                </c:pt>
                <c:pt idx="349">
                  <c:v>45846.666666666599</c:v>
                </c:pt>
                <c:pt idx="350">
                  <c:v>45847.666666666599</c:v>
                </c:pt>
                <c:pt idx="351">
                  <c:v>45848.666666666599</c:v>
                </c:pt>
                <c:pt idx="352">
                  <c:v>45849.666666666599</c:v>
                </c:pt>
                <c:pt idx="353">
                  <c:v>45852.666666666599</c:v>
                </c:pt>
                <c:pt idx="354">
                  <c:v>45853.666666666599</c:v>
                </c:pt>
                <c:pt idx="355">
                  <c:v>45854.666666666599</c:v>
                </c:pt>
                <c:pt idx="356">
                  <c:v>45855.666666666599</c:v>
                </c:pt>
                <c:pt idx="357">
                  <c:v>45856.666666666599</c:v>
                </c:pt>
                <c:pt idx="358">
                  <c:v>45859.666666666599</c:v>
                </c:pt>
                <c:pt idx="359">
                  <c:v>45860.666666666599</c:v>
                </c:pt>
                <c:pt idx="360">
                  <c:v>45861.666666666599</c:v>
                </c:pt>
                <c:pt idx="361">
                  <c:v>45862.666666666599</c:v>
                </c:pt>
                <c:pt idx="362">
                  <c:v>45863.666666666599</c:v>
                </c:pt>
                <c:pt idx="363">
                  <c:v>45866.666666666599</c:v>
                </c:pt>
                <c:pt idx="364">
                  <c:v>45867.666666666599</c:v>
                </c:pt>
                <c:pt idx="365">
                  <c:v>45868.666666666599</c:v>
                </c:pt>
                <c:pt idx="366">
                  <c:v>45869.666666666599</c:v>
                </c:pt>
                <c:pt idx="367">
                  <c:v>45870.666666666599</c:v>
                </c:pt>
                <c:pt idx="368">
                  <c:v>45873.666666666599</c:v>
                </c:pt>
                <c:pt idx="369">
                  <c:v>45874.666666666599</c:v>
                </c:pt>
                <c:pt idx="370">
                  <c:v>45875.666666666599</c:v>
                </c:pt>
                <c:pt idx="371">
                  <c:v>45876.666666666599</c:v>
                </c:pt>
                <c:pt idx="372">
                  <c:v>45877.666666666599</c:v>
                </c:pt>
                <c:pt idx="373">
                  <c:v>45880.666666666599</c:v>
                </c:pt>
                <c:pt idx="374">
                  <c:v>45881.666666666599</c:v>
                </c:pt>
                <c:pt idx="375">
                  <c:v>45882.666666666599</c:v>
                </c:pt>
                <c:pt idx="376">
                  <c:v>45883.666666666599</c:v>
                </c:pt>
                <c:pt idx="377">
                  <c:v>45884.666666666599</c:v>
                </c:pt>
                <c:pt idx="378">
                  <c:v>45888.666666666599</c:v>
                </c:pt>
                <c:pt idx="379">
                  <c:v>45889.666666666599</c:v>
                </c:pt>
                <c:pt idx="380">
                  <c:v>45890.666666666599</c:v>
                </c:pt>
                <c:pt idx="381">
                  <c:v>45891.666666666599</c:v>
                </c:pt>
                <c:pt idx="382">
                  <c:v>45894.666666666599</c:v>
                </c:pt>
                <c:pt idx="383">
                  <c:v>45895.666666666599</c:v>
                </c:pt>
                <c:pt idx="384">
                  <c:v>45896.666666666599</c:v>
                </c:pt>
                <c:pt idx="385">
                  <c:v>45897.666666666599</c:v>
                </c:pt>
                <c:pt idx="386">
                  <c:v>45898.666666666599</c:v>
                </c:pt>
                <c:pt idx="387">
                  <c:v>45901.666666666599</c:v>
                </c:pt>
                <c:pt idx="388">
                  <c:v>45902.666666666599</c:v>
                </c:pt>
                <c:pt idx="389">
                  <c:v>45903.666666666599</c:v>
                </c:pt>
                <c:pt idx="390">
                  <c:v>45904.666666666599</c:v>
                </c:pt>
                <c:pt idx="391">
                  <c:v>45908.666666666599</c:v>
                </c:pt>
                <c:pt idx="392">
                  <c:v>45909.666666666599</c:v>
                </c:pt>
                <c:pt idx="393">
                  <c:v>45910.666666666599</c:v>
                </c:pt>
                <c:pt idx="394">
                  <c:v>45911.666666666599</c:v>
                </c:pt>
                <c:pt idx="395">
                  <c:v>45912.666666666599</c:v>
                </c:pt>
                <c:pt idx="396">
                  <c:v>45915.666666666599</c:v>
                </c:pt>
                <c:pt idx="397">
                  <c:v>45916.666666666599</c:v>
                </c:pt>
                <c:pt idx="398">
                  <c:v>45917.666666666599</c:v>
                </c:pt>
                <c:pt idx="399">
                  <c:v>45918.666666666599</c:v>
                </c:pt>
                <c:pt idx="400">
                  <c:v>45919.666666666599</c:v>
                </c:pt>
                <c:pt idx="401">
                  <c:v>45922.666666666599</c:v>
                </c:pt>
                <c:pt idx="402">
                  <c:v>45923.666666666599</c:v>
                </c:pt>
                <c:pt idx="403">
                  <c:v>45924.666666666599</c:v>
                </c:pt>
                <c:pt idx="404">
                  <c:v>45925.666666666599</c:v>
                </c:pt>
                <c:pt idx="405">
                  <c:v>45926.666666666599</c:v>
                </c:pt>
                <c:pt idx="406">
                  <c:v>45929.666666666599</c:v>
                </c:pt>
                <c:pt idx="407">
                  <c:v>45930.666666666599</c:v>
                </c:pt>
                <c:pt idx="408">
                  <c:v>45931.666666666599</c:v>
                </c:pt>
                <c:pt idx="409">
                  <c:v>45932.666666666599</c:v>
                </c:pt>
                <c:pt idx="410">
                  <c:v>45933.666666666599</c:v>
                </c:pt>
                <c:pt idx="411">
                  <c:v>45936.666666666599</c:v>
                </c:pt>
                <c:pt idx="412">
                  <c:v>45937.666666666599</c:v>
                </c:pt>
                <c:pt idx="413">
                  <c:v>45938.666666666599</c:v>
                </c:pt>
                <c:pt idx="414">
                  <c:v>45939.666666666599</c:v>
                </c:pt>
                <c:pt idx="415">
                  <c:v>45940.666666666599</c:v>
                </c:pt>
                <c:pt idx="416">
                  <c:v>45943.666666666599</c:v>
                </c:pt>
                <c:pt idx="417">
                  <c:v>45944.666666666599</c:v>
                </c:pt>
                <c:pt idx="418">
                  <c:v>45945.666666666599</c:v>
                </c:pt>
                <c:pt idx="419">
                  <c:v>45946.666666666599</c:v>
                </c:pt>
                <c:pt idx="420">
                  <c:v>45947.666666666599</c:v>
                </c:pt>
                <c:pt idx="421">
                  <c:v>45950.666666666599</c:v>
                </c:pt>
                <c:pt idx="422">
                  <c:v>45951.666666666599</c:v>
                </c:pt>
                <c:pt idx="423">
                  <c:v>45952.666666666599</c:v>
                </c:pt>
                <c:pt idx="424">
                  <c:v>45953.666666666599</c:v>
                </c:pt>
                <c:pt idx="425">
                  <c:v>45954.666666666599</c:v>
                </c:pt>
                <c:pt idx="426">
                  <c:v>45957.666666666599</c:v>
                </c:pt>
                <c:pt idx="427">
                  <c:v>45958.666666666599</c:v>
                </c:pt>
                <c:pt idx="428">
                  <c:v>45959.666666666599</c:v>
                </c:pt>
                <c:pt idx="429">
                  <c:v>45960.666666666599</c:v>
                </c:pt>
                <c:pt idx="430">
                  <c:v>45961.666666666599</c:v>
                </c:pt>
                <c:pt idx="431">
                  <c:v>45964.666666666599</c:v>
                </c:pt>
                <c:pt idx="432">
                  <c:v>45965.666666666599</c:v>
                </c:pt>
                <c:pt idx="433">
                  <c:v>45966.666666666599</c:v>
                </c:pt>
                <c:pt idx="434">
                  <c:v>45967.666666666599</c:v>
                </c:pt>
                <c:pt idx="435">
                  <c:v>45968.666666666599</c:v>
                </c:pt>
                <c:pt idx="436">
                  <c:v>45971.666666666599</c:v>
                </c:pt>
                <c:pt idx="437">
                  <c:v>45972.666666666599</c:v>
                </c:pt>
                <c:pt idx="438">
                  <c:v>45973.666666666599</c:v>
                </c:pt>
                <c:pt idx="439">
                  <c:v>45974.666666666599</c:v>
                </c:pt>
                <c:pt idx="440">
                  <c:v>45975.666666666599</c:v>
                </c:pt>
                <c:pt idx="441">
                  <c:v>45978.666666666599</c:v>
                </c:pt>
                <c:pt idx="442">
                  <c:v>45979.666666666599</c:v>
                </c:pt>
                <c:pt idx="443">
                  <c:v>45980.666666666599</c:v>
                </c:pt>
                <c:pt idx="444">
                  <c:v>45981.666666666599</c:v>
                </c:pt>
                <c:pt idx="445">
                  <c:v>45982.666666666599</c:v>
                </c:pt>
                <c:pt idx="446">
                  <c:v>45985.666666666599</c:v>
                </c:pt>
                <c:pt idx="447">
                  <c:v>45986.666666666599</c:v>
                </c:pt>
                <c:pt idx="448">
                  <c:v>45987.666666666599</c:v>
                </c:pt>
                <c:pt idx="449">
                  <c:v>45988.666666666599</c:v>
                </c:pt>
                <c:pt idx="450">
                  <c:v>45989.666666666599</c:v>
                </c:pt>
                <c:pt idx="451">
                  <c:v>45992.666666666599</c:v>
                </c:pt>
                <c:pt idx="452">
                  <c:v>45993.666666666599</c:v>
                </c:pt>
                <c:pt idx="453">
                  <c:v>45994.666666666599</c:v>
                </c:pt>
                <c:pt idx="454">
                  <c:v>45995.666666666599</c:v>
                </c:pt>
                <c:pt idx="455">
                  <c:v>45996.666666666599</c:v>
                </c:pt>
                <c:pt idx="456">
                  <c:v>45999.666666666599</c:v>
                </c:pt>
                <c:pt idx="457">
                  <c:v>46000.666666666599</c:v>
                </c:pt>
                <c:pt idx="458">
                  <c:v>46001.666666666599</c:v>
                </c:pt>
                <c:pt idx="459">
                  <c:v>46002.666666666599</c:v>
                </c:pt>
                <c:pt idx="460">
                  <c:v>46003.666666666599</c:v>
                </c:pt>
                <c:pt idx="461">
                  <c:v>46006.666666666599</c:v>
                </c:pt>
                <c:pt idx="462">
                  <c:v>46007.666666666599</c:v>
                </c:pt>
                <c:pt idx="463">
                  <c:v>46008.666666666599</c:v>
                </c:pt>
                <c:pt idx="464">
                  <c:v>46009.666666666599</c:v>
                </c:pt>
                <c:pt idx="465">
                  <c:v>46010.666666666599</c:v>
                </c:pt>
                <c:pt idx="466">
                  <c:v>46013.666666666599</c:v>
                </c:pt>
                <c:pt idx="467">
                  <c:v>46014.666666666599</c:v>
                </c:pt>
                <c:pt idx="468">
                  <c:v>46015.666666666599</c:v>
                </c:pt>
                <c:pt idx="469">
                  <c:v>46020.666666666599</c:v>
                </c:pt>
                <c:pt idx="470">
                  <c:v>46021.666666666599</c:v>
                </c:pt>
              </c:numCache>
            </c:numRef>
          </c:cat>
          <c:val>
            <c:numRef>
              <c:f>IHSG!$B$2:$B$472</c:f>
              <c:numCache>
                <c:formatCode>0</c:formatCode>
                <c:ptCount val="471"/>
                <c:pt idx="0">
                  <c:v>7323.59</c:v>
                </c:pt>
                <c:pt idx="1">
                  <c:v>7279.09</c:v>
                </c:pt>
                <c:pt idx="2">
                  <c:v>7359.76</c:v>
                </c:pt>
                <c:pt idx="3">
                  <c:v>7350.62</c:v>
                </c:pt>
                <c:pt idx="4">
                  <c:v>7283.58</c:v>
                </c:pt>
                <c:pt idx="5">
                  <c:v>7200.2</c:v>
                </c:pt>
                <c:pt idx="6">
                  <c:v>7227.3</c:v>
                </c:pt>
                <c:pt idx="7">
                  <c:v>7219.96</c:v>
                </c:pt>
                <c:pt idx="8">
                  <c:v>7241.14</c:v>
                </c:pt>
                <c:pt idx="9">
                  <c:v>7224</c:v>
                </c:pt>
                <c:pt idx="10">
                  <c:v>7242.79</c:v>
                </c:pt>
                <c:pt idx="11">
                  <c:v>7200.64</c:v>
                </c:pt>
                <c:pt idx="12">
                  <c:v>7252.97</c:v>
                </c:pt>
                <c:pt idx="13">
                  <c:v>7227.4</c:v>
                </c:pt>
                <c:pt idx="14">
                  <c:v>7247.93</c:v>
                </c:pt>
                <c:pt idx="15">
                  <c:v>7256.23</c:v>
                </c:pt>
                <c:pt idx="16">
                  <c:v>7227.82</c:v>
                </c:pt>
                <c:pt idx="17">
                  <c:v>7178.04</c:v>
                </c:pt>
                <c:pt idx="18">
                  <c:v>7137.09</c:v>
                </c:pt>
                <c:pt idx="19">
                  <c:v>7157.18</c:v>
                </c:pt>
                <c:pt idx="20">
                  <c:v>7192.22</c:v>
                </c:pt>
                <c:pt idx="21">
                  <c:v>7207.94</c:v>
                </c:pt>
                <c:pt idx="22">
                  <c:v>7201.7</c:v>
                </c:pt>
                <c:pt idx="23">
                  <c:v>7238.79</c:v>
                </c:pt>
                <c:pt idx="24">
                  <c:v>7198.62</c:v>
                </c:pt>
                <c:pt idx="25">
                  <c:v>7247.41</c:v>
                </c:pt>
                <c:pt idx="26">
                  <c:v>7235.15</c:v>
                </c:pt>
                <c:pt idx="27">
                  <c:v>7297.67</c:v>
                </c:pt>
                <c:pt idx="28">
                  <c:v>7209.74</c:v>
                </c:pt>
                <c:pt idx="29">
                  <c:v>7303.28</c:v>
                </c:pt>
                <c:pt idx="30">
                  <c:v>7335.55</c:v>
                </c:pt>
                <c:pt idx="31">
                  <c:v>7296.7</c:v>
                </c:pt>
                <c:pt idx="32">
                  <c:v>7352.6</c:v>
                </c:pt>
                <c:pt idx="33">
                  <c:v>7349.02</c:v>
                </c:pt>
                <c:pt idx="34">
                  <c:v>7339.64</c:v>
                </c:pt>
                <c:pt idx="35">
                  <c:v>7295.1</c:v>
                </c:pt>
                <c:pt idx="36">
                  <c:v>7283.82</c:v>
                </c:pt>
                <c:pt idx="37">
                  <c:v>7285.32</c:v>
                </c:pt>
                <c:pt idx="38">
                  <c:v>7328.64</c:v>
                </c:pt>
                <c:pt idx="39">
                  <c:v>7316.11</c:v>
                </c:pt>
                <c:pt idx="40">
                  <c:v>7311.91</c:v>
                </c:pt>
                <c:pt idx="41">
                  <c:v>7276.75</c:v>
                </c:pt>
                <c:pt idx="42">
                  <c:v>7247.46</c:v>
                </c:pt>
                <c:pt idx="43">
                  <c:v>7329.8</c:v>
                </c:pt>
                <c:pt idx="44">
                  <c:v>7373.96</c:v>
                </c:pt>
                <c:pt idx="45">
                  <c:v>7381.91</c:v>
                </c:pt>
                <c:pt idx="46">
                  <c:v>7421.21</c:v>
                </c:pt>
                <c:pt idx="47">
                  <c:v>7433.32</c:v>
                </c:pt>
                <c:pt idx="48">
                  <c:v>7328.05</c:v>
                </c:pt>
                <c:pt idx="49">
                  <c:v>7302.45</c:v>
                </c:pt>
                <c:pt idx="50">
                  <c:v>7336.75</c:v>
                </c:pt>
                <c:pt idx="51">
                  <c:v>7331.13</c:v>
                </c:pt>
                <c:pt idx="52">
                  <c:v>7338.35</c:v>
                </c:pt>
                <c:pt idx="53">
                  <c:v>7350.15</c:v>
                </c:pt>
                <c:pt idx="54">
                  <c:v>7310.09</c:v>
                </c:pt>
                <c:pt idx="55">
                  <c:v>7288.81</c:v>
                </c:pt>
                <c:pt idx="56">
                  <c:v>7205.06</c:v>
                </c:pt>
                <c:pt idx="57">
                  <c:v>7236.98</c:v>
                </c:pt>
                <c:pt idx="58">
                  <c:v>7166.84</c:v>
                </c:pt>
                <c:pt idx="59">
                  <c:v>7254.4</c:v>
                </c:pt>
                <c:pt idx="60">
                  <c:v>7286.88</c:v>
                </c:pt>
                <c:pt idx="61">
                  <c:v>7164.81</c:v>
                </c:pt>
                <c:pt idx="62">
                  <c:v>7130.84</c:v>
                </c:pt>
                <c:pt idx="63">
                  <c:v>7166.81</c:v>
                </c:pt>
                <c:pt idx="64">
                  <c:v>7087.32</c:v>
                </c:pt>
                <c:pt idx="65">
                  <c:v>7073.82</c:v>
                </c:pt>
                <c:pt idx="66">
                  <c:v>7110.81</c:v>
                </c:pt>
                <c:pt idx="67">
                  <c:v>7174.53</c:v>
                </c:pt>
                <c:pt idx="68">
                  <c:v>7155.29</c:v>
                </c:pt>
                <c:pt idx="69">
                  <c:v>7036.08</c:v>
                </c:pt>
                <c:pt idx="70">
                  <c:v>7155.78</c:v>
                </c:pt>
                <c:pt idx="71">
                  <c:v>7234.2</c:v>
                </c:pt>
                <c:pt idx="72">
                  <c:v>7117.43</c:v>
                </c:pt>
                <c:pt idx="73">
                  <c:v>7134.72</c:v>
                </c:pt>
                <c:pt idx="74">
                  <c:v>7135.89</c:v>
                </c:pt>
                <c:pt idx="75">
                  <c:v>7123.61</c:v>
                </c:pt>
                <c:pt idx="76">
                  <c:v>7088.8</c:v>
                </c:pt>
                <c:pt idx="77">
                  <c:v>7099.26</c:v>
                </c:pt>
                <c:pt idx="78">
                  <c:v>7083.76</c:v>
                </c:pt>
                <c:pt idx="79">
                  <c:v>7179.83</c:v>
                </c:pt>
                <c:pt idx="80">
                  <c:v>7246.7</c:v>
                </c:pt>
                <c:pt idx="81">
                  <c:v>7317.24</c:v>
                </c:pt>
                <c:pt idx="82">
                  <c:v>7266.69</c:v>
                </c:pt>
                <c:pt idx="83">
                  <c:v>7186.04</c:v>
                </c:pt>
                <c:pt idx="84">
                  <c:v>7222.38</c:v>
                </c:pt>
                <c:pt idx="85">
                  <c:v>7176.42</c:v>
                </c:pt>
                <c:pt idx="86">
                  <c:v>7253.63</c:v>
                </c:pt>
                <c:pt idx="87">
                  <c:v>7140.23</c:v>
                </c:pt>
                <c:pt idx="88">
                  <c:v>7034.14</c:v>
                </c:pt>
                <c:pt idx="89">
                  <c:v>6970.74</c:v>
                </c:pt>
                <c:pt idx="90">
                  <c:v>7036.19</c:v>
                </c:pt>
                <c:pt idx="91">
                  <c:v>7099.31</c:v>
                </c:pt>
                <c:pt idx="92">
                  <c:v>6947.67</c:v>
                </c:pt>
                <c:pt idx="93">
                  <c:v>6974.9</c:v>
                </c:pt>
                <c:pt idx="94">
                  <c:v>6897.95</c:v>
                </c:pt>
                <c:pt idx="95">
                  <c:v>6921.55</c:v>
                </c:pt>
                <c:pt idx="96">
                  <c:v>6855.69</c:v>
                </c:pt>
                <c:pt idx="97">
                  <c:v>6850.1</c:v>
                </c:pt>
                <c:pt idx="98">
                  <c:v>6831.56</c:v>
                </c:pt>
                <c:pt idx="99">
                  <c:v>6734.83</c:v>
                </c:pt>
                <c:pt idx="100">
                  <c:v>6726.92</c:v>
                </c:pt>
                <c:pt idx="101">
                  <c:v>6819.32</c:v>
                </c:pt>
                <c:pt idx="102">
                  <c:v>6879.98</c:v>
                </c:pt>
                <c:pt idx="103">
                  <c:v>6889.17</c:v>
                </c:pt>
                <c:pt idx="104">
                  <c:v>6882.7</c:v>
                </c:pt>
                <c:pt idx="105">
                  <c:v>6905.64</c:v>
                </c:pt>
                <c:pt idx="106">
                  <c:v>6967.95</c:v>
                </c:pt>
                <c:pt idx="107">
                  <c:v>7063.58</c:v>
                </c:pt>
                <c:pt idx="108">
                  <c:v>7139.63</c:v>
                </c:pt>
                <c:pt idx="109">
                  <c:v>7125.14</c:v>
                </c:pt>
                <c:pt idx="110">
                  <c:v>7196.76</c:v>
                </c:pt>
                <c:pt idx="111">
                  <c:v>7220.89</c:v>
                </c:pt>
                <c:pt idx="112">
                  <c:v>7253.37</c:v>
                </c:pt>
                <c:pt idx="113">
                  <c:v>7250.98</c:v>
                </c:pt>
                <c:pt idx="114">
                  <c:v>7269.8</c:v>
                </c:pt>
                <c:pt idx="115">
                  <c:v>7287.04</c:v>
                </c:pt>
                <c:pt idx="116">
                  <c:v>7300.41</c:v>
                </c:pt>
                <c:pt idx="117">
                  <c:v>7327.58</c:v>
                </c:pt>
                <c:pt idx="118">
                  <c:v>7278.86</c:v>
                </c:pt>
                <c:pt idx="119">
                  <c:v>7224.29</c:v>
                </c:pt>
                <c:pt idx="120">
                  <c:v>7224.22</c:v>
                </c:pt>
                <c:pt idx="121">
                  <c:v>7321.07</c:v>
                </c:pt>
                <c:pt idx="122">
                  <c:v>7294.5</c:v>
                </c:pt>
                <c:pt idx="123">
                  <c:v>7321.98</c:v>
                </c:pt>
                <c:pt idx="124">
                  <c:v>7313.86</c:v>
                </c:pt>
                <c:pt idx="125">
                  <c:v>7262.76</c:v>
                </c:pt>
                <c:pt idx="126">
                  <c:v>7240.28</c:v>
                </c:pt>
                <c:pt idx="127">
                  <c:v>7288.17</c:v>
                </c:pt>
                <c:pt idx="128">
                  <c:v>7288.9</c:v>
                </c:pt>
                <c:pt idx="129">
                  <c:v>7241.86</c:v>
                </c:pt>
                <c:pt idx="130">
                  <c:v>7255.76</c:v>
                </c:pt>
                <c:pt idx="131">
                  <c:v>7325.99</c:v>
                </c:pt>
                <c:pt idx="132">
                  <c:v>7308.12</c:v>
                </c:pt>
                <c:pt idx="133">
                  <c:v>7059.65</c:v>
                </c:pt>
                <c:pt idx="134">
                  <c:v>7129.22</c:v>
                </c:pt>
                <c:pt idx="135">
                  <c:v>7212.13</c:v>
                </c:pt>
                <c:pt idx="136">
                  <c:v>7195.12</c:v>
                </c:pt>
                <c:pt idx="137">
                  <c:v>7257</c:v>
                </c:pt>
                <c:pt idx="138">
                  <c:v>7297.63</c:v>
                </c:pt>
                <c:pt idx="139">
                  <c:v>7356.64</c:v>
                </c:pt>
                <c:pt idx="140">
                  <c:v>7436.04</c:v>
                </c:pt>
                <c:pt idx="141">
                  <c:v>7409.5</c:v>
                </c:pt>
                <c:pt idx="142">
                  <c:v>7432.09</c:v>
                </c:pt>
                <c:pt idx="143">
                  <c:v>7466.83</c:v>
                </c:pt>
                <c:pt idx="144">
                  <c:v>7533.99</c:v>
                </c:pt>
                <c:pt idx="145">
                  <c:v>7554.59</c:v>
                </c:pt>
                <c:pt idx="146">
                  <c:v>7488.68</c:v>
                </c:pt>
                <c:pt idx="147">
                  <c:v>7544.3</c:v>
                </c:pt>
                <c:pt idx="148">
                  <c:v>7606.2</c:v>
                </c:pt>
                <c:pt idx="149">
                  <c:v>7597.88</c:v>
                </c:pt>
                <c:pt idx="150">
                  <c:v>7658.88</c:v>
                </c:pt>
                <c:pt idx="151">
                  <c:v>7627.6</c:v>
                </c:pt>
                <c:pt idx="152">
                  <c:v>7670.73</c:v>
                </c:pt>
                <c:pt idx="153">
                  <c:v>7694.53</c:v>
                </c:pt>
                <c:pt idx="154">
                  <c:v>7616.52</c:v>
                </c:pt>
                <c:pt idx="155">
                  <c:v>7672.9</c:v>
                </c:pt>
                <c:pt idx="156">
                  <c:v>7681.04</c:v>
                </c:pt>
                <c:pt idx="157">
                  <c:v>7721.85</c:v>
                </c:pt>
                <c:pt idx="158">
                  <c:v>7702.74</c:v>
                </c:pt>
                <c:pt idx="159">
                  <c:v>7761.39</c:v>
                </c:pt>
                <c:pt idx="160">
                  <c:v>7760.96</c:v>
                </c:pt>
                <c:pt idx="161">
                  <c:v>7798.15</c:v>
                </c:pt>
                <c:pt idx="162">
                  <c:v>7812.13</c:v>
                </c:pt>
                <c:pt idx="163">
                  <c:v>7831.78</c:v>
                </c:pt>
                <c:pt idx="164">
                  <c:v>7829.14</c:v>
                </c:pt>
                <c:pt idx="165">
                  <c:v>7905.39</c:v>
                </c:pt>
                <c:pt idx="166">
                  <c:v>7743</c:v>
                </c:pt>
                <c:pt idx="167">
                  <c:v>7775.73</c:v>
                </c:pt>
                <c:pt idx="168">
                  <c:v>7778.49</c:v>
                </c:pt>
                <c:pt idx="169">
                  <c:v>7740.9</c:v>
                </c:pt>
                <c:pt idx="170">
                  <c:v>7744.52</c:v>
                </c:pt>
                <c:pt idx="171">
                  <c:v>7696.92</c:v>
                </c:pt>
                <c:pt idx="172">
                  <c:v>7527.93</c:v>
                </c:pt>
                <c:pt idx="173">
                  <c:v>7642.13</c:v>
                </c:pt>
                <c:pt idx="174">
                  <c:v>7563.26</c:v>
                </c:pt>
                <c:pt idx="175">
                  <c:v>7543.83</c:v>
                </c:pt>
                <c:pt idx="176">
                  <c:v>7496.09</c:v>
                </c:pt>
                <c:pt idx="177">
                  <c:v>7504.14</c:v>
                </c:pt>
                <c:pt idx="178">
                  <c:v>7557.14</c:v>
                </c:pt>
                <c:pt idx="179">
                  <c:v>7501.29</c:v>
                </c:pt>
                <c:pt idx="180">
                  <c:v>7480.08</c:v>
                </c:pt>
                <c:pt idx="181">
                  <c:v>7520.6</c:v>
                </c:pt>
                <c:pt idx="182">
                  <c:v>7559.66</c:v>
                </c:pt>
                <c:pt idx="183">
                  <c:v>7626.95</c:v>
                </c:pt>
                <c:pt idx="184">
                  <c:v>7648.94</c:v>
                </c:pt>
                <c:pt idx="185">
                  <c:v>7735.04</c:v>
                </c:pt>
                <c:pt idx="186">
                  <c:v>7760.06</c:v>
                </c:pt>
                <c:pt idx="187">
                  <c:v>7772.6</c:v>
                </c:pt>
                <c:pt idx="188">
                  <c:v>7788.98</c:v>
                </c:pt>
                <c:pt idx="189">
                  <c:v>7787.57</c:v>
                </c:pt>
                <c:pt idx="190">
                  <c:v>7716.55</c:v>
                </c:pt>
                <c:pt idx="191">
                  <c:v>7694.66</c:v>
                </c:pt>
                <c:pt idx="192">
                  <c:v>7634.63</c:v>
                </c:pt>
                <c:pt idx="193">
                  <c:v>7606.6</c:v>
                </c:pt>
                <c:pt idx="194">
                  <c:v>7569.85</c:v>
                </c:pt>
                <c:pt idx="195">
                  <c:v>7574.02</c:v>
                </c:pt>
                <c:pt idx="196">
                  <c:v>7505.26</c:v>
                </c:pt>
                <c:pt idx="197">
                  <c:v>7479.5</c:v>
                </c:pt>
                <c:pt idx="198">
                  <c:v>7491.93</c:v>
                </c:pt>
                <c:pt idx="199">
                  <c:v>7383.87</c:v>
                </c:pt>
                <c:pt idx="200">
                  <c:v>7243.86</c:v>
                </c:pt>
                <c:pt idx="201">
                  <c:v>7287.19</c:v>
                </c:pt>
                <c:pt idx="202">
                  <c:v>7266.46</c:v>
                </c:pt>
                <c:pt idx="203">
                  <c:v>7321.99</c:v>
                </c:pt>
                <c:pt idx="204">
                  <c:v>7308.67</c:v>
                </c:pt>
                <c:pt idx="205">
                  <c:v>7214.56</c:v>
                </c:pt>
                <c:pt idx="206">
                  <c:v>7161.26</c:v>
                </c:pt>
                <c:pt idx="207">
                  <c:v>7134.28</c:v>
                </c:pt>
                <c:pt idx="208">
                  <c:v>7195.72</c:v>
                </c:pt>
                <c:pt idx="209">
                  <c:v>7180.34</c:v>
                </c:pt>
                <c:pt idx="210">
                  <c:v>7140.91</c:v>
                </c:pt>
                <c:pt idx="211">
                  <c:v>7195.57</c:v>
                </c:pt>
                <c:pt idx="212">
                  <c:v>7314.11</c:v>
                </c:pt>
                <c:pt idx="213">
                  <c:v>7245.89</c:v>
                </c:pt>
                <c:pt idx="214">
                  <c:v>7200.16</c:v>
                </c:pt>
                <c:pt idx="215">
                  <c:v>7114.27</c:v>
                </c:pt>
                <c:pt idx="216">
                  <c:v>7046.99</c:v>
                </c:pt>
                <c:pt idx="217">
                  <c:v>7196.02</c:v>
                </c:pt>
                <c:pt idx="218">
                  <c:v>7326.76</c:v>
                </c:pt>
                <c:pt idx="219">
                  <c:v>7313.31</c:v>
                </c:pt>
                <c:pt idx="220">
                  <c:v>7382.79</c:v>
                </c:pt>
                <c:pt idx="221">
                  <c:v>7437.73</c:v>
                </c:pt>
                <c:pt idx="222">
                  <c:v>7453.29</c:v>
                </c:pt>
                <c:pt idx="223">
                  <c:v>7464.75</c:v>
                </c:pt>
                <c:pt idx="224">
                  <c:v>7394.24</c:v>
                </c:pt>
                <c:pt idx="225">
                  <c:v>7324.79</c:v>
                </c:pt>
                <c:pt idx="226">
                  <c:v>7258.63</c:v>
                </c:pt>
                <c:pt idx="227">
                  <c:v>7157.73</c:v>
                </c:pt>
                <c:pt idx="228">
                  <c:v>7107.88</c:v>
                </c:pt>
                <c:pt idx="229">
                  <c:v>6977.24</c:v>
                </c:pt>
                <c:pt idx="230">
                  <c:v>6983.87</c:v>
                </c:pt>
                <c:pt idx="231">
                  <c:v>7096.45</c:v>
                </c:pt>
                <c:pt idx="232">
                  <c:v>7065.75</c:v>
                </c:pt>
                <c:pt idx="233">
                  <c:v>7036.57</c:v>
                </c:pt>
                <c:pt idx="234">
                  <c:v>7079.91</c:v>
                </c:pt>
                <c:pt idx="235">
                  <c:v>7163.21</c:v>
                </c:pt>
                <c:pt idx="236">
                  <c:v>7164.43</c:v>
                </c:pt>
                <c:pt idx="237">
                  <c:v>7080.47</c:v>
                </c:pt>
                <c:pt idx="238">
                  <c:v>7083.28</c:v>
                </c:pt>
                <c:pt idx="239">
                  <c:v>7080.35</c:v>
                </c:pt>
                <c:pt idx="240">
                  <c:v>7064.59</c:v>
                </c:pt>
                <c:pt idx="241">
                  <c:v>7088.87</c:v>
                </c:pt>
                <c:pt idx="242">
                  <c:v>7016.88</c:v>
                </c:pt>
                <c:pt idx="243">
                  <c:v>6956.67</c:v>
                </c:pt>
                <c:pt idx="244">
                  <c:v>7079.56</c:v>
                </c:pt>
                <c:pt idx="245">
                  <c:v>7107.52</c:v>
                </c:pt>
                <c:pt idx="246">
                  <c:v>7154.66</c:v>
                </c:pt>
                <c:pt idx="247">
                  <c:v>7170.74</c:v>
                </c:pt>
                <c:pt idx="248">
                  <c:v>7181.82</c:v>
                </c:pt>
                <c:pt idx="249">
                  <c:v>7257.13</c:v>
                </c:pt>
                <c:pt idx="250">
                  <c:v>7232.64</c:v>
                </c:pt>
                <c:pt idx="251">
                  <c:v>7166.06</c:v>
                </c:pt>
                <c:pt idx="252">
                  <c:v>7073.48</c:v>
                </c:pt>
                <c:pt idx="253">
                  <c:v>7109.2</c:v>
                </c:pt>
                <c:pt idx="254">
                  <c:v>7030.06</c:v>
                </c:pt>
                <c:pt idx="255">
                  <c:v>7073.46</c:v>
                </c:pt>
                <c:pt idx="256">
                  <c:v>7024.23</c:v>
                </c:pt>
                <c:pt idx="257">
                  <c:v>6875.54</c:v>
                </c:pt>
                <c:pt idx="258">
                  <c:v>6742.58</c:v>
                </c:pt>
                <c:pt idx="259">
                  <c:v>6648.14</c:v>
                </c:pt>
                <c:pt idx="260">
                  <c:v>6531.99</c:v>
                </c:pt>
                <c:pt idx="261">
                  <c:v>6645.78</c:v>
                </c:pt>
                <c:pt idx="262">
                  <c:v>6613.57</c:v>
                </c:pt>
                <c:pt idx="263">
                  <c:v>6638.46</c:v>
                </c:pt>
                <c:pt idx="264">
                  <c:v>6830.88</c:v>
                </c:pt>
                <c:pt idx="265">
                  <c:v>6873.55</c:v>
                </c:pt>
                <c:pt idx="266">
                  <c:v>6794.87</c:v>
                </c:pt>
                <c:pt idx="267">
                  <c:v>6788.04</c:v>
                </c:pt>
                <c:pt idx="268">
                  <c:v>6803</c:v>
                </c:pt>
                <c:pt idx="269">
                  <c:v>6749.6</c:v>
                </c:pt>
                <c:pt idx="270">
                  <c:v>6587.09</c:v>
                </c:pt>
                <c:pt idx="271">
                  <c:v>6606.18</c:v>
                </c:pt>
                <c:pt idx="272">
                  <c:v>6485.45</c:v>
                </c:pt>
                <c:pt idx="273">
                  <c:v>6270.6</c:v>
                </c:pt>
                <c:pt idx="274">
                  <c:v>6519.66</c:v>
                </c:pt>
                <c:pt idx="275">
                  <c:v>6380.4</c:v>
                </c:pt>
                <c:pt idx="276">
                  <c:v>6531.4</c:v>
                </c:pt>
                <c:pt idx="277">
                  <c:v>6617.85</c:v>
                </c:pt>
                <c:pt idx="278">
                  <c:v>6636</c:v>
                </c:pt>
                <c:pt idx="279">
                  <c:v>6598.21</c:v>
                </c:pt>
                <c:pt idx="280">
                  <c:v>6545.85</c:v>
                </c:pt>
                <c:pt idx="281">
                  <c:v>6665.05</c:v>
                </c:pt>
                <c:pt idx="282">
                  <c:v>6647.42</c:v>
                </c:pt>
                <c:pt idx="283">
                  <c:v>6515.63</c:v>
                </c:pt>
                <c:pt idx="284">
                  <c:v>6471.95</c:v>
                </c:pt>
                <c:pt idx="285">
                  <c:v>6223.39</c:v>
                </c:pt>
                <c:pt idx="286">
                  <c:v>6311.66</c:v>
                </c:pt>
                <c:pt idx="287">
                  <c:v>6381.67</c:v>
                </c:pt>
                <c:pt idx="288">
                  <c:v>6258.18</c:v>
                </c:pt>
                <c:pt idx="289">
                  <c:v>6161.22</c:v>
                </c:pt>
                <c:pt idx="290">
                  <c:v>6235.62</c:v>
                </c:pt>
                <c:pt idx="291">
                  <c:v>6472.36</c:v>
                </c:pt>
                <c:pt idx="292">
                  <c:v>6510.62</c:v>
                </c:pt>
                <c:pt idx="293">
                  <c:v>5996.14</c:v>
                </c:pt>
                <c:pt idx="294">
                  <c:v>5967.99</c:v>
                </c:pt>
                <c:pt idx="295">
                  <c:v>6254.02</c:v>
                </c:pt>
                <c:pt idx="296">
                  <c:v>6262.23</c:v>
                </c:pt>
                <c:pt idx="297">
                  <c:v>6368.52</c:v>
                </c:pt>
                <c:pt idx="298">
                  <c:v>6441.68</c:v>
                </c:pt>
                <c:pt idx="299">
                  <c:v>6400.05</c:v>
                </c:pt>
                <c:pt idx="300">
                  <c:v>6438.27</c:v>
                </c:pt>
                <c:pt idx="301">
                  <c:v>6445.97</c:v>
                </c:pt>
                <c:pt idx="302">
                  <c:v>6538.27</c:v>
                </c:pt>
                <c:pt idx="303">
                  <c:v>6634.38</c:v>
                </c:pt>
                <c:pt idx="304">
                  <c:v>6613.48</c:v>
                </c:pt>
                <c:pt idx="305">
                  <c:v>6678.92</c:v>
                </c:pt>
                <c:pt idx="306">
                  <c:v>6722.97</c:v>
                </c:pt>
                <c:pt idx="307">
                  <c:v>6749.08</c:v>
                </c:pt>
                <c:pt idx="308">
                  <c:v>6766.8</c:v>
                </c:pt>
                <c:pt idx="309">
                  <c:v>6815.73</c:v>
                </c:pt>
                <c:pt idx="310">
                  <c:v>6831.95</c:v>
                </c:pt>
                <c:pt idx="311">
                  <c:v>6898.2</c:v>
                </c:pt>
                <c:pt idx="312">
                  <c:v>6926.23</c:v>
                </c:pt>
                <c:pt idx="313">
                  <c:v>6827.75</c:v>
                </c:pt>
                <c:pt idx="314">
                  <c:v>6832.8</c:v>
                </c:pt>
                <c:pt idx="315">
                  <c:v>6979.88</c:v>
                </c:pt>
                <c:pt idx="316">
                  <c:v>7040.16</c:v>
                </c:pt>
                <c:pt idx="317">
                  <c:v>7106.53</c:v>
                </c:pt>
                <c:pt idx="318">
                  <c:v>7141.09</c:v>
                </c:pt>
                <c:pt idx="319">
                  <c:v>7094.6</c:v>
                </c:pt>
                <c:pt idx="320">
                  <c:v>7142.46</c:v>
                </c:pt>
                <c:pt idx="321">
                  <c:v>7166.98</c:v>
                </c:pt>
                <c:pt idx="322">
                  <c:v>7214.16</c:v>
                </c:pt>
                <c:pt idx="323">
                  <c:v>7188.35</c:v>
                </c:pt>
                <c:pt idx="324">
                  <c:v>7198.97</c:v>
                </c:pt>
                <c:pt idx="325">
                  <c:v>7175.82</c:v>
                </c:pt>
                <c:pt idx="326">
                  <c:v>7065.07</c:v>
                </c:pt>
                <c:pt idx="327">
                  <c:v>7044.82</c:v>
                </c:pt>
                <c:pt idx="328">
                  <c:v>7069.04</c:v>
                </c:pt>
                <c:pt idx="329">
                  <c:v>7113.43</c:v>
                </c:pt>
                <c:pt idx="330">
                  <c:v>7230.75</c:v>
                </c:pt>
                <c:pt idx="331">
                  <c:v>7222.46</c:v>
                </c:pt>
                <c:pt idx="332">
                  <c:v>7204.37</c:v>
                </c:pt>
                <c:pt idx="333">
                  <c:v>7166.07</c:v>
                </c:pt>
                <c:pt idx="334">
                  <c:v>7117.59</c:v>
                </c:pt>
                <c:pt idx="335">
                  <c:v>7155.85</c:v>
                </c:pt>
                <c:pt idx="336">
                  <c:v>7107.79</c:v>
                </c:pt>
                <c:pt idx="337">
                  <c:v>6968.64</c:v>
                </c:pt>
                <c:pt idx="338">
                  <c:v>6907.14</c:v>
                </c:pt>
                <c:pt idx="339">
                  <c:v>6787.14</c:v>
                </c:pt>
                <c:pt idx="340">
                  <c:v>6869.17</c:v>
                </c:pt>
                <c:pt idx="341">
                  <c:v>6832.14</c:v>
                </c:pt>
                <c:pt idx="342">
                  <c:v>6897.4</c:v>
                </c:pt>
                <c:pt idx="343">
                  <c:v>6927.68</c:v>
                </c:pt>
                <c:pt idx="344">
                  <c:v>6915.36</c:v>
                </c:pt>
                <c:pt idx="345">
                  <c:v>6881.25</c:v>
                </c:pt>
                <c:pt idx="346">
                  <c:v>6878.05</c:v>
                </c:pt>
                <c:pt idx="347">
                  <c:v>6865.19</c:v>
                </c:pt>
                <c:pt idx="348">
                  <c:v>6900.93</c:v>
                </c:pt>
                <c:pt idx="349">
                  <c:v>6904.39</c:v>
                </c:pt>
                <c:pt idx="350">
                  <c:v>6943.92</c:v>
                </c:pt>
                <c:pt idx="351">
                  <c:v>7005.37</c:v>
                </c:pt>
                <c:pt idx="352">
                  <c:v>7047.44</c:v>
                </c:pt>
                <c:pt idx="353">
                  <c:v>7097.15</c:v>
                </c:pt>
                <c:pt idx="354">
                  <c:v>7140.47</c:v>
                </c:pt>
                <c:pt idx="355">
                  <c:v>7192.02</c:v>
                </c:pt>
                <c:pt idx="356">
                  <c:v>7287.02</c:v>
                </c:pt>
                <c:pt idx="357">
                  <c:v>7311.92</c:v>
                </c:pt>
                <c:pt idx="358">
                  <c:v>7398.19</c:v>
                </c:pt>
                <c:pt idx="359">
                  <c:v>7344.74</c:v>
                </c:pt>
                <c:pt idx="360">
                  <c:v>7469.23</c:v>
                </c:pt>
                <c:pt idx="361">
                  <c:v>7530.9</c:v>
                </c:pt>
                <c:pt idx="362">
                  <c:v>7543.5</c:v>
                </c:pt>
                <c:pt idx="363">
                  <c:v>7614.77</c:v>
                </c:pt>
                <c:pt idx="364">
                  <c:v>7617.91</c:v>
                </c:pt>
                <c:pt idx="365">
                  <c:v>7549.89</c:v>
                </c:pt>
                <c:pt idx="366">
                  <c:v>7484.34</c:v>
                </c:pt>
                <c:pt idx="367">
                  <c:v>7537.77</c:v>
                </c:pt>
                <c:pt idx="368">
                  <c:v>7464.65</c:v>
                </c:pt>
                <c:pt idx="369">
                  <c:v>7515.19</c:v>
                </c:pt>
                <c:pt idx="370">
                  <c:v>7503.75</c:v>
                </c:pt>
                <c:pt idx="371">
                  <c:v>7490.18</c:v>
                </c:pt>
                <c:pt idx="372">
                  <c:v>7533.39</c:v>
                </c:pt>
                <c:pt idx="373">
                  <c:v>7605.93</c:v>
                </c:pt>
                <c:pt idx="374">
                  <c:v>7791.7</c:v>
                </c:pt>
                <c:pt idx="375">
                  <c:v>7892.91</c:v>
                </c:pt>
                <c:pt idx="376">
                  <c:v>7931.25</c:v>
                </c:pt>
                <c:pt idx="377">
                  <c:v>7898.38</c:v>
                </c:pt>
                <c:pt idx="378">
                  <c:v>7862.95</c:v>
                </c:pt>
                <c:pt idx="379">
                  <c:v>7943.83</c:v>
                </c:pt>
                <c:pt idx="380">
                  <c:v>7890.72</c:v>
                </c:pt>
                <c:pt idx="381">
                  <c:v>7858.85</c:v>
                </c:pt>
                <c:pt idx="382">
                  <c:v>7926.91</c:v>
                </c:pt>
                <c:pt idx="383">
                  <c:v>7905.76</c:v>
                </c:pt>
                <c:pt idx="384">
                  <c:v>7936.18</c:v>
                </c:pt>
                <c:pt idx="385">
                  <c:v>7952.09</c:v>
                </c:pt>
                <c:pt idx="386">
                  <c:v>7830.49</c:v>
                </c:pt>
                <c:pt idx="387">
                  <c:v>7736.07</c:v>
                </c:pt>
                <c:pt idx="388">
                  <c:v>7801.59</c:v>
                </c:pt>
                <c:pt idx="389">
                  <c:v>7885.86</c:v>
                </c:pt>
                <c:pt idx="390">
                  <c:v>7867.35</c:v>
                </c:pt>
                <c:pt idx="391">
                  <c:v>7766.85</c:v>
                </c:pt>
                <c:pt idx="392">
                  <c:v>7628.61</c:v>
                </c:pt>
                <c:pt idx="393">
                  <c:v>7699.01</c:v>
                </c:pt>
                <c:pt idx="394">
                  <c:v>7747.91</c:v>
                </c:pt>
                <c:pt idx="395">
                  <c:v>7854.06</c:v>
                </c:pt>
                <c:pt idx="396">
                  <c:v>7937.12</c:v>
                </c:pt>
                <c:pt idx="397">
                  <c:v>7957.7</c:v>
                </c:pt>
                <c:pt idx="398">
                  <c:v>8025.18</c:v>
                </c:pt>
                <c:pt idx="399">
                  <c:v>8008.43</c:v>
                </c:pt>
                <c:pt idx="400">
                  <c:v>8051.12</c:v>
                </c:pt>
                <c:pt idx="401">
                  <c:v>8040.04</c:v>
                </c:pt>
                <c:pt idx="402">
                  <c:v>8125.2</c:v>
                </c:pt>
                <c:pt idx="403">
                  <c:v>8126.56</c:v>
                </c:pt>
                <c:pt idx="404">
                  <c:v>8040.67</c:v>
                </c:pt>
                <c:pt idx="405">
                  <c:v>8099.33</c:v>
                </c:pt>
                <c:pt idx="406">
                  <c:v>8123.25</c:v>
                </c:pt>
                <c:pt idx="407">
                  <c:v>8061.06</c:v>
                </c:pt>
                <c:pt idx="408">
                  <c:v>8043.82</c:v>
                </c:pt>
                <c:pt idx="409">
                  <c:v>8071.08</c:v>
                </c:pt>
                <c:pt idx="410">
                  <c:v>8118.3</c:v>
                </c:pt>
                <c:pt idx="411">
                  <c:v>8139.89</c:v>
                </c:pt>
                <c:pt idx="412">
                  <c:v>8169.28</c:v>
                </c:pt>
                <c:pt idx="413">
                  <c:v>8166.03</c:v>
                </c:pt>
                <c:pt idx="414">
                  <c:v>8250.94</c:v>
                </c:pt>
                <c:pt idx="415">
                  <c:v>8257.86</c:v>
                </c:pt>
                <c:pt idx="416">
                  <c:v>8227.2000000000007</c:v>
                </c:pt>
                <c:pt idx="417">
                  <c:v>8066.52</c:v>
                </c:pt>
                <c:pt idx="418">
                  <c:v>8051.18</c:v>
                </c:pt>
                <c:pt idx="419">
                  <c:v>8124.76</c:v>
                </c:pt>
                <c:pt idx="420">
                  <c:v>7915.66</c:v>
                </c:pt>
                <c:pt idx="421">
                  <c:v>8088.98</c:v>
                </c:pt>
                <c:pt idx="422">
                  <c:v>8238.08</c:v>
                </c:pt>
                <c:pt idx="423">
                  <c:v>8152.55</c:v>
                </c:pt>
                <c:pt idx="424">
                  <c:v>8274.35</c:v>
                </c:pt>
                <c:pt idx="425">
                  <c:v>8271.7199999999993</c:v>
                </c:pt>
                <c:pt idx="426">
                  <c:v>8117.15</c:v>
                </c:pt>
                <c:pt idx="427">
                  <c:v>8092.63</c:v>
                </c:pt>
                <c:pt idx="428">
                  <c:v>8166.22</c:v>
                </c:pt>
                <c:pt idx="429">
                  <c:v>8184.06</c:v>
                </c:pt>
                <c:pt idx="430">
                  <c:v>8163.88</c:v>
                </c:pt>
                <c:pt idx="431">
                  <c:v>8275.08</c:v>
                </c:pt>
                <c:pt idx="432">
                  <c:v>8241.91</c:v>
                </c:pt>
                <c:pt idx="433">
                  <c:v>8318.5300000000007</c:v>
                </c:pt>
                <c:pt idx="434">
                  <c:v>8337.06</c:v>
                </c:pt>
                <c:pt idx="435">
                  <c:v>8394.59</c:v>
                </c:pt>
                <c:pt idx="436">
                  <c:v>8391.24</c:v>
                </c:pt>
                <c:pt idx="437">
                  <c:v>8366.52</c:v>
                </c:pt>
                <c:pt idx="438">
                  <c:v>8388.57</c:v>
                </c:pt>
                <c:pt idx="439">
                  <c:v>8372</c:v>
                </c:pt>
                <c:pt idx="440">
                  <c:v>8370.44</c:v>
                </c:pt>
                <c:pt idx="441">
                  <c:v>8416.8799999999992</c:v>
                </c:pt>
                <c:pt idx="442">
                  <c:v>8361.93</c:v>
                </c:pt>
                <c:pt idx="443">
                  <c:v>8406.58</c:v>
                </c:pt>
                <c:pt idx="444">
                  <c:v>8419.92</c:v>
                </c:pt>
                <c:pt idx="445">
                  <c:v>8414.35</c:v>
                </c:pt>
                <c:pt idx="446">
                  <c:v>8570.25</c:v>
                </c:pt>
                <c:pt idx="447">
                  <c:v>8521.89</c:v>
                </c:pt>
                <c:pt idx="448">
                  <c:v>8602.1299999999992</c:v>
                </c:pt>
                <c:pt idx="449">
                  <c:v>8545.8700000000008</c:v>
                </c:pt>
                <c:pt idx="450">
                  <c:v>8508.7099999999991</c:v>
                </c:pt>
                <c:pt idx="451">
                  <c:v>8548.7900000000009</c:v>
                </c:pt>
                <c:pt idx="452">
                  <c:v>8617.0400000000009</c:v>
                </c:pt>
                <c:pt idx="453">
                  <c:v>8611.7900000000009</c:v>
                </c:pt>
                <c:pt idx="454">
                  <c:v>8640.2000000000007</c:v>
                </c:pt>
                <c:pt idx="455">
                  <c:v>8632.76</c:v>
                </c:pt>
                <c:pt idx="456">
                  <c:v>8710.7000000000007</c:v>
                </c:pt>
                <c:pt idx="457">
                  <c:v>8657.18</c:v>
                </c:pt>
                <c:pt idx="458">
                  <c:v>8700.92</c:v>
                </c:pt>
                <c:pt idx="459">
                  <c:v>8620.48</c:v>
                </c:pt>
                <c:pt idx="460">
                  <c:v>8660.5</c:v>
                </c:pt>
                <c:pt idx="461">
                  <c:v>8649.66</c:v>
                </c:pt>
                <c:pt idx="462">
                  <c:v>8686.4699999999993</c:v>
                </c:pt>
                <c:pt idx="463">
                  <c:v>8677.34</c:v>
                </c:pt>
                <c:pt idx="464">
                  <c:v>8618.2000000000007</c:v>
                </c:pt>
                <c:pt idx="465">
                  <c:v>8609.5499999999993</c:v>
                </c:pt>
                <c:pt idx="466">
                  <c:v>8645.84</c:v>
                </c:pt>
                <c:pt idx="467">
                  <c:v>8584.7800000000007</c:v>
                </c:pt>
                <c:pt idx="468">
                  <c:v>8537.91</c:v>
                </c:pt>
                <c:pt idx="469">
                  <c:v>8644.26</c:v>
                </c:pt>
                <c:pt idx="470">
                  <c:v>8646.94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BD-4A84-92DB-7FCCF027F5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370255"/>
        <c:axId val="868382255"/>
      </c:lineChart>
      <c:dateAx>
        <c:axId val="868370255"/>
        <c:scaling>
          <c:orientation val="minMax"/>
        </c:scaling>
        <c:delete val="0"/>
        <c:axPos val="b"/>
        <c:numFmt formatCode="m/d/yyyy\ h:mm:ss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382255"/>
        <c:crosses val="autoZero"/>
        <c:auto val="1"/>
        <c:lblOffset val="100"/>
        <c:baseTimeUnit val="days"/>
      </c:dateAx>
      <c:valAx>
        <c:axId val="868382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370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 sz="1400" b="0" i="0" u="none" strike="noStrike" baseline="0"/>
              <a:t>ROE vs Volatilitas</a:t>
            </a:r>
            <a:endParaRPr lang="en-ID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Sheet3!$C$1</c:f>
              <c:strCache>
                <c:ptCount val="1"/>
                <c:pt idx="0">
                  <c:v>Volatilitas 2024 (%)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Sheet3!$B$2:$B$5</c:f>
              <c:numCache>
                <c:formatCode>0.00%</c:formatCode>
                <c:ptCount val="4"/>
                <c:pt idx="0">
                  <c:v>0.218</c:v>
                </c:pt>
                <c:pt idx="1">
                  <c:v>0.189</c:v>
                </c:pt>
                <c:pt idx="2">
                  <c:v>0.1779</c:v>
                </c:pt>
                <c:pt idx="3">
                  <c:v>0.14199999999999999</c:v>
                </c:pt>
              </c:numCache>
            </c:numRef>
          </c:xVal>
          <c:yVal>
            <c:numRef>
              <c:f>Sheet3!$C$2:$C$5</c:f>
              <c:numCache>
                <c:formatCode>0.00%</c:formatCode>
                <c:ptCount val="4"/>
                <c:pt idx="0">
                  <c:v>1.3899999999999999E-2</c:v>
                </c:pt>
                <c:pt idx="1">
                  <c:v>1.83E-2</c:v>
                </c:pt>
                <c:pt idx="2">
                  <c:v>1.9199999999999998E-2</c:v>
                </c:pt>
                <c:pt idx="3">
                  <c:v>1.9E-2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CE-49DA-8D0D-C915D1F8970B}"/>
            </c:ext>
          </c:extLst>
        </c:ser>
        <c:ser>
          <c:idx val="1"/>
          <c:order val="1"/>
          <c:tx>
            <c:strRef>
              <c:f>Sheet3!$E$1</c:f>
              <c:strCache>
                <c:ptCount val="1"/>
                <c:pt idx="0">
                  <c:v>Volatilitas 2025 (%)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Sheet3!$D$2:$D$5</c:f>
              <c:numCache>
                <c:formatCode>0.00%</c:formatCode>
                <c:ptCount val="4"/>
                <c:pt idx="0">
                  <c:v>0.20430000000000001</c:v>
                </c:pt>
                <c:pt idx="1">
                  <c:v>0.17119999999999999</c:v>
                </c:pt>
                <c:pt idx="2">
                  <c:v>0.1719</c:v>
                </c:pt>
                <c:pt idx="3">
                  <c:v>0.11360000000000001</c:v>
                </c:pt>
              </c:numCache>
            </c:numRef>
          </c:xVal>
          <c:yVal>
            <c:numRef>
              <c:f>Sheet3!$E$2:$E$5</c:f>
              <c:numCache>
                <c:formatCode>0.00%</c:formatCode>
                <c:ptCount val="4"/>
                <c:pt idx="0">
                  <c:v>1.8499999999999999E-2</c:v>
                </c:pt>
                <c:pt idx="1">
                  <c:v>2.3400000000000001E-2</c:v>
                </c:pt>
                <c:pt idx="2">
                  <c:v>2.3599999999999999E-2</c:v>
                </c:pt>
                <c:pt idx="3">
                  <c:v>2.4199999999999999E-2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CE-49DA-8D0D-C915D1F897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4686239"/>
        <c:axId val="1034661759"/>
      </c:scatterChart>
      <c:valAx>
        <c:axId val="1034686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661759"/>
        <c:crosses val="autoZero"/>
        <c:crossBetween val="midCat"/>
      </c:valAx>
      <c:valAx>
        <c:axId val="1034661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686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Volatilitas Pergerakan Harga Saham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v>2024</c:v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Volatilitas!$A$1:$A$5</c15:sqref>
                  </c15:fullRef>
                </c:ext>
              </c:extLst>
              <c:f>Volatilitas!$A$2:$A$5</c:f>
              <c:strCache>
                <c:ptCount val="4"/>
                <c:pt idx="0">
                  <c:v>BBRI</c:v>
                </c:pt>
                <c:pt idx="1">
                  <c:v>BBCA</c:v>
                </c:pt>
                <c:pt idx="2">
                  <c:v>BMRI</c:v>
                </c:pt>
                <c:pt idx="3">
                  <c:v>BBNI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Volatilitas!$B$1:$B$5</c15:sqref>
                  </c15:fullRef>
                </c:ext>
              </c:extLst>
              <c:f>Volatilitas!$B$2:$B$5</c:f>
              <c:numCache>
                <c:formatCode>0.00%</c:formatCode>
                <c:ptCount val="4"/>
                <c:pt idx="0">
                  <c:v>1.8331384732312505E-2</c:v>
                </c:pt>
                <c:pt idx="1">
                  <c:v>1.3942418763238698E-2</c:v>
                </c:pt>
                <c:pt idx="2">
                  <c:v>1.9174730420163006E-2</c:v>
                </c:pt>
                <c:pt idx="3">
                  <c:v>1.9025426598610291E-2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C4-4BD4-8016-54E1212758A2}"/>
            </c:ext>
          </c:extLst>
        </c:ser>
        <c:ser>
          <c:idx val="1"/>
          <c:order val="1"/>
          <c:tx>
            <c:v>2025</c:v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Volatilitas!$A$1:$A$5</c15:sqref>
                  </c15:fullRef>
                </c:ext>
              </c:extLst>
              <c:f>Volatilitas!$A$2:$A$5</c:f>
              <c:strCache>
                <c:ptCount val="4"/>
                <c:pt idx="0">
                  <c:v>BBRI</c:v>
                </c:pt>
                <c:pt idx="1">
                  <c:v>BBCA</c:v>
                </c:pt>
                <c:pt idx="2">
                  <c:v>BMRI</c:v>
                </c:pt>
                <c:pt idx="3">
                  <c:v>BBNI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Volatilitas!$C$1:$C$5</c15:sqref>
                  </c15:fullRef>
                </c:ext>
              </c:extLst>
              <c:f>Volatilitas!$C$2:$C$5</c:f>
              <c:numCache>
                <c:formatCode>0.00%</c:formatCode>
                <c:ptCount val="4"/>
                <c:pt idx="0">
                  <c:v>2.3397874947434661E-2</c:v>
                </c:pt>
                <c:pt idx="1">
                  <c:v>1.8476211207218003E-2</c:v>
                </c:pt>
                <c:pt idx="2">
                  <c:v>2.3559962424527403E-2</c:v>
                </c:pt>
                <c:pt idx="3">
                  <c:v>2.4222997139059066E-2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C4-4BD4-8016-54E121275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868319855"/>
        <c:axId val="868320815"/>
        <c:axId val="0"/>
      </c:bar3DChart>
      <c:catAx>
        <c:axId val="868319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320815"/>
        <c:crosses val="autoZero"/>
        <c:auto val="1"/>
        <c:lblAlgn val="ctr"/>
        <c:lblOffset val="100"/>
        <c:noMultiLvlLbl val="0"/>
      </c:catAx>
      <c:valAx>
        <c:axId val="86832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319855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228600</xdr:colOff>
      <xdr:row>1</xdr:row>
      <xdr:rowOff>104446</xdr:rowOff>
    </xdr:from>
    <xdr:to>
      <xdr:col>14</xdr:col>
      <xdr:colOff>593835</xdr:colOff>
      <xdr:row>15</xdr:row>
      <xdr:rowOff>88681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AD0F34-6058-1570-2577-9B7015BE0B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771525</xdr:colOff>
      <xdr:row>2</xdr:row>
      <xdr:rowOff>190500</xdr:rowOff>
    </xdr:from>
    <xdr:to>
      <xdr:col>15</xdr:col>
      <xdr:colOff>314325</xdr:colOff>
      <xdr:row>16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8E49CB7-2C2B-4F7C-0B66-E2EFB30238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333375</xdr:colOff>
      <xdr:row>2</xdr:row>
      <xdr:rowOff>28575</xdr:rowOff>
    </xdr:from>
    <xdr:to>
      <xdr:col>15</xdr:col>
      <xdr:colOff>714375</xdr:colOff>
      <xdr:row>15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66A770-38FB-A9FC-A71B-1808309D08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209550</xdr:colOff>
      <xdr:row>1</xdr:row>
      <xdr:rowOff>161925</xdr:rowOff>
    </xdr:from>
    <xdr:to>
      <xdr:col>15</xdr:col>
      <xdr:colOff>590550</xdr:colOff>
      <xdr:row>15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3D5DF2-C2DD-E269-8A77-369DD8A62F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266700</xdr:colOff>
      <xdr:row>3</xdr:row>
      <xdr:rowOff>114300</xdr:rowOff>
    </xdr:from>
    <xdr:to>
      <xdr:col>9</xdr:col>
      <xdr:colOff>647700</xdr:colOff>
      <xdr:row>17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431E01D-E759-971A-B9EF-D21F8E361C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590550</xdr:colOff>
      <xdr:row>1</xdr:row>
      <xdr:rowOff>95250</xdr:rowOff>
    </xdr:from>
    <xdr:to>
      <xdr:col>11</xdr:col>
      <xdr:colOff>552450</xdr:colOff>
      <xdr:row>17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426325B-7003-8528-9CAC-66635096A6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1085850</xdr:colOff>
      <xdr:row>6</xdr:row>
      <xdr:rowOff>114300</xdr:rowOff>
    </xdr:from>
    <xdr:to>
      <xdr:col>9</xdr:col>
      <xdr:colOff>180975</xdr:colOff>
      <xdr:row>23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9B10D7-6C20-31F1-1F08-4A0288C87E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66675</xdr:colOff>
      <xdr:row>4</xdr:row>
      <xdr:rowOff>66675</xdr:rowOff>
    </xdr:from>
    <xdr:to>
      <xdr:col>12</xdr:col>
      <xdr:colOff>371475</xdr:colOff>
      <xdr:row>21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581AA7B-2E5A-2A98-C604-981CD28818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74"/>
  <sheetViews>
    <sheetView topLeftCell="A456" zoomScaleNormal="100" workbookViewId="0">
      <selection sqref="A1:I474"/>
    </sheetView>
  </sheetViews>
  <sheetFormatPr defaultColWidth="12.5703125" defaultRowHeight="15.75" customHeight="1" x14ac:dyDescent="0.2"/>
  <cols>
    <col min="1" max="1" width="18.7109375" bestFit="1" customWidth="1"/>
    <col min="2" max="2" width="17.42578125" bestFit="1" customWidth="1"/>
  </cols>
  <sheetData>
    <row r="1" spans="1:9" x14ac:dyDescent="0.2">
      <c r="A1" s="1" t="s">
        <v>40</v>
      </c>
      <c r="B1" s="17" t="s">
        <v>40</v>
      </c>
      <c r="C1" s="17" t="s">
        <v>41</v>
      </c>
      <c r="D1" s="17" t="s">
        <v>42</v>
      </c>
      <c r="E1" s="17" t="s">
        <v>43</v>
      </c>
      <c r="F1" s="17" t="s">
        <v>44</v>
      </c>
      <c r="G1" s="17" t="s">
        <v>45</v>
      </c>
      <c r="H1" s="1" t="s">
        <v>0</v>
      </c>
      <c r="I1" s="7" t="s">
        <v>53</v>
      </c>
    </row>
    <row r="2" spans="1:9" x14ac:dyDescent="0.2">
      <c r="A2" s="2">
        <f ca="1">IFERROR(__xludf.DUMMYFUNCTION("""COMPUTED_VALUE"""),45293.6666666666)</f>
        <v>45293.666666666599</v>
      </c>
      <c r="B2" s="18">
        <v>45293</v>
      </c>
      <c r="C2" s="19">
        <v>5650</v>
      </c>
      <c r="D2" s="19">
        <v>5675</v>
      </c>
      <c r="E2" s="19">
        <v>5625</v>
      </c>
      <c r="F2" s="19">
        <v>5675</v>
      </c>
      <c r="G2" s="19">
        <v>91143100</v>
      </c>
      <c r="H2" s="4">
        <v>0</v>
      </c>
      <c r="I2" s="4">
        <v>0</v>
      </c>
    </row>
    <row r="3" spans="1:9" x14ac:dyDescent="0.2">
      <c r="A3" s="2">
        <f ca="1">IFERROR(__xludf.DUMMYFUNCTION("""COMPUTED_VALUE"""),45294.6666666666)</f>
        <v>45294.666666666599</v>
      </c>
      <c r="B3" s="18">
        <v>45294</v>
      </c>
      <c r="C3" s="19">
        <v>5625</v>
      </c>
      <c r="D3" s="19">
        <v>5650</v>
      </c>
      <c r="E3" s="19">
        <v>5600</v>
      </c>
      <c r="F3" s="19">
        <v>5600</v>
      </c>
      <c r="G3" s="19">
        <v>83659700</v>
      </c>
      <c r="H3" s="4">
        <f>(F3-F2)/F2</f>
        <v>-1.3215859030837005E-2</v>
      </c>
      <c r="I3" s="4">
        <f>(F3-$F$2)/$F$2</f>
        <v>-1.3215859030837005E-2</v>
      </c>
    </row>
    <row r="4" spans="1:9" x14ac:dyDescent="0.2">
      <c r="A4" s="2">
        <f ca="1">IFERROR(__xludf.DUMMYFUNCTION("""COMPUTED_VALUE"""),45295.6666666666)</f>
        <v>45295.666666666599</v>
      </c>
      <c r="B4" s="18">
        <v>45295</v>
      </c>
      <c r="C4" s="19">
        <v>5600</v>
      </c>
      <c r="D4" s="19">
        <v>5700</v>
      </c>
      <c r="E4" s="19">
        <v>5575</v>
      </c>
      <c r="F4" s="19">
        <v>5700</v>
      </c>
      <c r="G4" s="19">
        <v>92683500</v>
      </c>
      <c r="H4" s="4">
        <f t="shared" ref="H4:H67" si="0">(F4-F3)/F3</f>
        <v>1.7857142857142856E-2</v>
      </c>
      <c r="I4" s="4">
        <f t="shared" ref="I4:I67" si="1">(F4-$F$2)/$F$2</f>
        <v>4.4052863436123352E-3</v>
      </c>
    </row>
    <row r="5" spans="1:9" x14ac:dyDescent="0.2">
      <c r="A5" s="2">
        <f ca="1">IFERROR(__xludf.DUMMYFUNCTION("""COMPUTED_VALUE"""),45296.6666666666)</f>
        <v>45296.666666666599</v>
      </c>
      <c r="B5" s="18">
        <v>45296</v>
      </c>
      <c r="C5" s="19">
        <v>5725</v>
      </c>
      <c r="D5" s="19">
        <v>5850</v>
      </c>
      <c r="E5" s="19">
        <v>5700</v>
      </c>
      <c r="F5" s="19">
        <v>5750</v>
      </c>
      <c r="G5" s="19">
        <v>134929600</v>
      </c>
      <c r="H5" s="4">
        <f t="shared" si="0"/>
        <v>8.771929824561403E-3</v>
      </c>
      <c r="I5" s="4">
        <f t="shared" si="1"/>
        <v>1.3215859030837005E-2</v>
      </c>
    </row>
    <row r="6" spans="1:9" x14ac:dyDescent="0.2">
      <c r="A6" s="2">
        <f ca="1">IFERROR(__xludf.DUMMYFUNCTION("""COMPUTED_VALUE"""),45299.6666666666)</f>
        <v>45299.666666666599</v>
      </c>
      <c r="B6" s="18">
        <v>45299</v>
      </c>
      <c r="C6" s="19">
        <v>5750</v>
      </c>
      <c r="D6" s="19">
        <v>5800</v>
      </c>
      <c r="E6" s="19">
        <v>5625</v>
      </c>
      <c r="F6" s="19">
        <v>5625</v>
      </c>
      <c r="G6" s="19">
        <v>152015000</v>
      </c>
      <c r="H6" s="4">
        <f t="shared" si="0"/>
        <v>-2.1739130434782608E-2</v>
      </c>
      <c r="I6" s="4">
        <f t="shared" si="1"/>
        <v>-8.8105726872246704E-3</v>
      </c>
    </row>
    <row r="7" spans="1:9" x14ac:dyDescent="0.2">
      <c r="A7" s="2">
        <f ca="1">IFERROR(__xludf.DUMMYFUNCTION("""COMPUTED_VALUE"""),45300.6666666666)</f>
        <v>45300.666666666599</v>
      </c>
      <c r="B7" s="18">
        <v>45300</v>
      </c>
      <c r="C7" s="19">
        <v>5625</v>
      </c>
      <c r="D7" s="19">
        <v>5700</v>
      </c>
      <c r="E7" s="19">
        <v>5625</v>
      </c>
      <c r="F7" s="19">
        <v>5700</v>
      </c>
      <c r="G7" s="19">
        <v>105666200</v>
      </c>
      <c r="H7" s="4">
        <f t="shared" si="0"/>
        <v>1.3333333333333334E-2</v>
      </c>
      <c r="I7" s="4">
        <f t="shared" si="1"/>
        <v>4.4052863436123352E-3</v>
      </c>
    </row>
    <row r="8" spans="1:9" x14ac:dyDescent="0.2">
      <c r="A8" s="2">
        <f ca="1">IFERROR(__xludf.DUMMYFUNCTION("""COMPUTED_VALUE"""),45301.6666666666)</f>
        <v>45301.666666666599</v>
      </c>
      <c r="B8" s="18">
        <v>45301</v>
      </c>
      <c r="C8" s="19">
        <v>5625</v>
      </c>
      <c r="D8" s="19">
        <v>5700</v>
      </c>
      <c r="E8" s="19">
        <v>5625</v>
      </c>
      <c r="F8" s="19">
        <v>5700</v>
      </c>
      <c r="G8" s="19">
        <v>82626400</v>
      </c>
      <c r="H8" s="4">
        <f t="shared" si="0"/>
        <v>0</v>
      </c>
      <c r="I8" s="4">
        <f t="shared" si="1"/>
        <v>4.4052863436123352E-3</v>
      </c>
    </row>
    <row r="9" spans="1:9" x14ac:dyDescent="0.2">
      <c r="A9" s="2">
        <f ca="1">IFERROR(__xludf.DUMMYFUNCTION("""COMPUTED_VALUE"""),45302.6666666666)</f>
        <v>45302.666666666599</v>
      </c>
      <c r="B9" s="18">
        <v>45302</v>
      </c>
      <c r="C9" s="19">
        <v>5750</v>
      </c>
      <c r="D9" s="19">
        <v>5800</v>
      </c>
      <c r="E9" s="19">
        <v>5700</v>
      </c>
      <c r="F9" s="19">
        <v>5750</v>
      </c>
      <c r="G9" s="19">
        <v>116804400</v>
      </c>
      <c r="H9" s="4">
        <f t="shared" si="0"/>
        <v>8.771929824561403E-3</v>
      </c>
      <c r="I9" s="4">
        <f t="shared" si="1"/>
        <v>1.3215859030837005E-2</v>
      </c>
    </row>
    <row r="10" spans="1:9" x14ac:dyDescent="0.2">
      <c r="A10" s="2">
        <f ca="1">IFERROR(__xludf.DUMMYFUNCTION("""COMPUTED_VALUE"""),45303.6666666666)</f>
        <v>45303.666666666599</v>
      </c>
      <c r="B10" s="18">
        <v>45303</v>
      </c>
      <c r="C10" s="19">
        <v>5800</v>
      </c>
      <c r="D10" s="19">
        <v>5850</v>
      </c>
      <c r="E10" s="19">
        <v>5775</v>
      </c>
      <c r="F10" s="19">
        <v>5850</v>
      </c>
      <c r="G10" s="19">
        <v>109715700</v>
      </c>
      <c r="H10" s="4">
        <f t="shared" si="0"/>
        <v>1.7391304347826087E-2</v>
      </c>
      <c r="I10" s="4">
        <f t="shared" si="1"/>
        <v>3.0837004405286344E-2</v>
      </c>
    </row>
    <row r="11" spans="1:9" x14ac:dyDescent="0.2">
      <c r="A11" s="2">
        <f ca="1">IFERROR(__xludf.DUMMYFUNCTION("""COMPUTED_VALUE"""),45306.6666666666)</f>
        <v>45306.666666666599</v>
      </c>
      <c r="B11" s="20">
        <v>45306</v>
      </c>
      <c r="C11" s="19">
        <v>5850</v>
      </c>
      <c r="D11" s="19">
        <v>5900</v>
      </c>
      <c r="E11" s="19">
        <v>5775</v>
      </c>
      <c r="F11" s="19">
        <v>5825</v>
      </c>
      <c r="G11" s="19">
        <v>115126700</v>
      </c>
      <c r="H11" s="4">
        <f t="shared" si="0"/>
        <v>-4.2735042735042739E-3</v>
      </c>
      <c r="I11" s="4">
        <f t="shared" si="1"/>
        <v>2.643171806167401E-2</v>
      </c>
    </row>
    <row r="12" spans="1:9" x14ac:dyDescent="0.2">
      <c r="A12" s="2">
        <f ca="1">IFERROR(__xludf.DUMMYFUNCTION("""COMPUTED_VALUE"""),45307.6666666666)</f>
        <v>45307.666666666599</v>
      </c>
      <c r="B12" s="20">
        <v>45307</v>
      </c>
      <c r="C12" s="19">
        <v>5825</v>
      </c>
      <c r="D12" s="19">
        <v>5875</v>
      </c>
      <c r="E12" s="19">
        <v>5775</v>
      </c>
      <c r="F12" s="19">
        <v>5825</v>
      </c>
      <c r="G12" s="19">
        <v>97074300</v>
      </c>
      <c r="H12" s="4">
        <f t="shared" si="0"/>
        <v>0</v>
      </c>
      <c r="I12" s="4">
        <f t="shared" si="1"/>
        <v>2.643171806167401E-2</v>
      </c>
    </row>
    <row r="13" spans="1:9" x14ac:dyDescent="0.2">
      <c r="A13" s="2">
        <f ca="1">IFERROR(__xludf.DUMMYFUNCTION("""COMPUTED_VALUE"""),45308.6666666666)</f>
        <v>45308.666666666599</v>
      </c>
      <c r="B13" s="20">
        <v>45308</v>
      </c>
      <c r="C13" s="19">
        <v>5825</v>
      </c>
      <c r="D13" s="19">
        <v>5825</v>
      </c>
      <c r="E13" s="19">
        <v>5750</v>
      </c>
      <c r="F13" s="19">
        <v>5775</v>
      </c>
      <c r="G13" s="19">
        <v>107941600</v>
      </c>
      <c r="H13" s="4">
        <f t="shared" si="0"/>
        <v>-8.5836909871244635E-3</v>
      </c>
      <c r="I13" s="4">
        <f t="shared" si="1"/>
        <v>1.7621145374449341E-2</v>
      </c>
    </row>
    <row r="14" spans="1:9" x14ac:dyDescent="0.2">
      <c r="A14" s="2">
        <f ca="1">IFERROR(__xludf.DUMMYFUNCTION("""COMPUTED_VALUE"""),45309.6666666666)</f>
        <v>45309.666666666599</v>
      </c>
      <c r="B14" s="20">
        <v>45309</v>
      </c>
      <c r="C14" s="19">
        <v>5800</v>
      </c>
      <c r="D14" s="19">
        <v>5800</v>
      </c>
      <c r="E14" s="19">
        <v>5700</v>
      </c>
      <c r="F14" s="19">
        <v>5750</v>
      </c>
      <c r="G14" s="19">
        <v>87259100</v>
      </c>
      <c r="H14" s="4">
        <f t="shared" si="0"/>
        <v>-4.329004329004329E-3</v>
      </c>
      <c r="I14" s="4">
        <f t="shared" si="1"/>
        <v>1.3215859030837005E-2</v>
      </c>
    </row>
    <row r="15" spans="1:9" x14ac:dyDescent="0.2">
      <c r="A15" s="2">
        <f ca="1">IFERROR(__xludf.DUMMYFUNCTION("""COMPUTED_VALUE"""),45310.6666666666)</f>
        <v>45310.666666666599</v>
      </c>
      <c r="B15" s="6">
        <v>45310</v>
      </c>
      <c r="C15">
        <v>5750</v>
      </c>
      <c r="D15">
        <v>5800</v>
      </c>
      <c r="E15">
        <v>5700</v>
      </c>
      <c r="F15">
        <v>5800</v>
      </c>
      <c r="G15">
        <v>75370700</v>
      </c>
      <c r="H15" s="4">
        <f t="shared" si="0"/>
        <v>8.6956521739130436E-3</v>
      </c>
      <c r="I15" s="4">
        <f t="shared" si="1"/>
        <v>2.2026431718061675E-2</v>
      </c>
    </row>
    <row r="16" spans="1:9" x14ac:dyDescent="0.2">
      <c r="A16" s="2">
        <f ca="1">IFERROR(__xludf.DUMMYFUNCTION("""COMPUTED_VALUE"""),45313.6666666666)</f>
        <v>45313.666666666599</v>
      </c>
      <c r="B16" s="6">
        <v>45313</v>
      </c>
      <c r="C16">
        <v>5775</v>
      </c>
      <c r="D16">
        <v>5800</v>
      </c>
      <c r="E16">
        <v>5700</v>
      </c>
      <c r="F16">
        <v>5775</v>
      </c>
      <c r="G16">
        <v>97545600</v>
      </c>
      <c r="H16" s="4">
        <f t="shared" si="0"/>
        <v>-4.3103448275862068E-3</v>
      </c>
      <c r="I16" s="4">
        <f t="shared" si="1"/>
        <v>1.7621145374449341E-2</v>
      </c>
    </row>
    <row r="17" spans="1:9" x14ac:dyDescent="0.2">
      <c r="A17" s="2">
        <f ca="1">IFERROR(__xludf.DUMMYFUNCTION("""COMPUTED_VALUE"""),45314.6666666666)</f>
        <v>45314.666666666599</v>
      </c>
      <c r="B17" s="6">
        <v>45314</v>
      </c>
      <c r="C17">
        <v>5700</v>
      </c>
      <c r="D17">
        <v>5750</v>
      </c>
      <c r="E17">
        <v>5650</v>
      </c>
      <c r="F17">
        <v>5700</v>
      </c>
      <c r="G17">
        <v>122999700</v>
      </c>
      <c r="H17" s="4">
        <f t="shared" si="0"/>
        <v>-1.2987012987012988E-2</v>
      </c>
      <c r="I17" s="4">
        <f t="shared" si="1"/>
        <v>4.4052863436123352E-3</v>
      </c>
    </row>
    <row r="18" spans="1:9" x14ac:dyDescent="0.2">
      <c r="A18" s="2">
        <f ca="1">IFERROR(__xludf.DUMMYFUNCTION("""COMPUTED_VALUE"""),45315.6666666666)</f>
        <v>45315.666666666599</v>
      </c>
      <c r="B18" s="6">
        <v>45315</v>
      </c>
      <c r="C18">
        <v>5675</v>
      </c>
      <c r="D18">
        <v>5700</v>
      </c>
      <c r="E18">
        <v>5575</v>
      </c>
      <c r="F18">
        <v>5650</v>
      </c>
      <c r="G18">
        <v>104225000</v>
      </c>
      <c r="H18" s="4">
        <f t="shared" si="0"/>
        <v>-8.771929824561403E-3</v>
      </c>
      <c r="I18" s="4">
        <f t="shared" si="1"/>
        <v>-4.4052863436123352E-3</v>
      </c>
    </row>
    <row r="19" spans="1:9" x14ac:dyDescent="0.2">
      <c r="A19" s="2">
        <f ca="1">IFERROR(__xludf.DUMMYFUNCTION("""COMPUTED_VALUE"""),45316.6666666666)</f>
        <v>45316.666666666599</v>
      </c>
      <c r="B19" s="6">
        <v>45316</v>
      </c>
      <c r="C19">
        <v>5575</v>
      </c>
      <c r="D19">
        <v>5650</v>
      </c>
      <c r="E19">
        <v>5525</v>
      </c>
      <c r="F19">
        <v>5525</v>
      </c>
      <c r="G19">
        <v>120478800</v>
      </c>
      <c r="H19" s="4">
        <f t="shared" si="0"/>
        <v>-2.2123893805309734E-2</v>
      </c>
      <c r="I19" s="4">
        <f t="shared" si="1"/>
        <v>-2.643171806167401E-2</v>
      </c>
    </row>
    <row r="20" spans="1:9" x14ac:dyDescent="0.2">
      <c r="A20" s="2">
        <f ca="1">IFERROR(__xludf.DUMMYFUNCTION("""COMPUTED_VALUE"""),45317.6666666666)</f>
        <v>45317.666666666599</v>
      </c>
      <c r="B20" s="6">
        <v>45317</v>
      </c>
      <c r="C20">
        <v>5450</v>
      </c>
      <c r="D20">
        <v>5475</v>
      </c>
      <c r="E20">
        <v>5400</v>
      </c>
      <c r="F20">
        <v>5425</v>
      </c>
      <c r="G20">
        <v>185244400</v>
      </c>
      <c r="H20" s="4">
        <f t="shared" si="0"/>
        <v>-1.8099547511312219E-2</v>
      </c>
      <c r="I20" s="4">
        <f t="shared" si="1"/>
        <v>-4.405286343612335E-2</v>
      </c>
    </row>
    <row r="21" spans="1:9" x14ac:dyDescent="0.2">
      <c r="A21" s="2">
        <f ca="1">IFERROR(__xludf.DUMMYFUNCTION("""COMPUTED_VALUE"""),45320.6666666666)</f>
        <v>45320.666666666599</v>
      </c>
      <c r="B21" s="6">
        <v>45320</v>
      </c>
      <c r="C21">
        <v>5400</v>
      </c>
      <c r="D21">
        <v>5575</v>
      </c>
      <c r="E21">
        <v>5400</v>
      </c>
      <c r="F21">
        <v>5575</v>
      </c>
      <c r="G21">
        <v>145629600</v>
      </c>
      <c r="H21" s="4">
        <f t="shared" si="0"/>
        <v>2.7649769585253458E-2</v>
      </c>
      <c r="I21" s="4">
        <f t="shared" si="1"/>
        <v>-1.7621145374449341E-2</v>
      </c>
    </row>
    <row r="22" spans="1:9" x14ac:dyDescent="0.2">
      <c r="A22" s="2">
        <f ca="1">IFERROR(__xludf.DUMMYFUNCTION("""COMPUTED_VALUE"""),45321.6666666666)</f>
        <v>45321.666666666599</v>
      </c>
      <c r="B22" s="6">
        <v>45321</v>
      </c>
      <c r="C22">
        <v>5525</v>
      </c>
      <c r="D22">
        <v>5650</v>
      </c>
      <c r="E22">
        <v>5475</v>
      </c>
      <c r="F22">
        <v>5625</v>
      </c>
      <c r="G22">
        <v>150513700</v>
      </c>
      <c r="H22" s="4">
        <f t="shared" si="0"/>
        <v>8.9686098654708519E-3</v>
      </c>
      <c r="I22" s="4">
        <f t="shared" si="1"/>
        <v>-8.8105726872246704E-3</v>
      </c>
    </row>
    <row r="23" spans="1:9" x14ac:dyDescent="0.2">
      <c r="A23" s="2">
        <f ca="1">IFERROR(__xludf.DUMMYFUNCTION("""COMPUTED_VALUE"""),45322.6666666666)</f>
        <v>45322.666666666599</v>
      </c>
      <c r="B23" s="6">
        <v>45322</v>
      </c>
      <c r="C23">
        <v>5725</v>
      </c>
      <c r="D23">
        <v>5775</v>
      </c>
      <c r="E23">
        <v>5675</v>
      </c>
      <c r="F23">
        <v>5700</v>
      </c>
      <c r="G23">
        <v>245117200</v>
      </c>
      <c r="H23" s="4">
        <f t="shared" si="0"/>
        <v>1.3333333333333334E-2</v>
      </c>
      <c r="I23" s="4">
        <f t="shared" si="1"/>
        <v>4.4052863436123352E-3</v>
      </c>
    </row>
    <row r="24" spans="1:9" x14ac:dyDescent="0.2">
      <c r="A24" s="2">
        <f ca="1">IFERROR(__xludf.DUMMYFUNCTION("""COMPUTED_VALUE"""),45323.6666666666)</f>
        <v>45323.666666666599</v>
      </c>
      <c r="B24" s="6">
        <v>45323</v>
      </c>
      <c r="C24">
        <v>5775</v>
      </c>
      <c r="D24">
        <v>5800</v>
      </c>
      <c r="E24">
        <v>5725</v>
      </c>
      <c r="F24">
        <v>5750</v>
      </c>
      <c r="G24">
        <v>156633900</v>
      </c>
      <c r="H24" s="4">
        <f t="shared" si="0"/>
        <v>8.771929824561403E-3</v>
      </c>
      <c r="I24" s="4">
        <f t="shared" si="1"/>
        <v>1.3215859030837005E-2</v>
      </c>
    </row>
    <row r="25" spans="1:9" x14ac:dyDescent="0.2">
      <c r="A25" s="2">
        <f ca="1">IFERROR(__xludf.DUMMYFUNCTION("""COMPUTED_VALUE"""),45324.6666666666)</f>
        <v>45324.666666666599</v>
      </c>
      <c r="B25" s="6">
        <v>45324</v>
      </c>
      <c r="C25">
        <v>5800</v>
      </c>
      <c r="D25">
        <v>5850</v>
      </c>
      <c r="E25">
        <v>5750</v>
      </c>
      <c r="F25">
        <v>5850</v>
      </c>
      <c r="G25">
        <v>177209700</v>
      </c>
      <c r="H25" s="4">
        <f t="shared" si="0"/>
        <v>1.7391304347826087E-2</v>
      </c>
      <c r="I25" s="4">
        <f t="shared" si="1"/>
        <v>3.0837004405286344E-2</v>
      </c>
    </row>
    <row r="26" spans="1:9" x14ac:dyDescent="0.2">
      <c r="A26" s="2">
        <f ca="1">IFERROR(__xludf.DUMMYFUNCTION("""COMPUTED_VALUE"""),45327.6666666666)</f>
        <v>45327.666666666599</v>
      </c>
      <c r="B26" s="6">
        <v>45327</v>
      </c>
      <c r="C26">
        <v>5800</v>
      </c>
      <c r="D26">
        <v>5825</v>
      </c>
      <c r="E26">
        <v>5750</v>
      </c>
      <c r="F26">
        <v>5775</v>
      </c>
      <c r="G26">
        <v>113760000</v>
      </c>
      <c r="H26" s="4">
        <f t="shared" si="0"/>
        <v>-1.282051282051282E-2</v>
      </c>
      <c r="I26" s="4">
        <f t="shared" si="1"/>
        <v>1.7621145374449341E-2</v>
      </c>
    </row>
    <row r="27" spans="1:9" x14ac:dyDescent="0.2">
      <c r="A27" s="2">
        <f ca="1">IFERROR(__xludf.DUMMYFUNCTION("""COMPUTED_VALUE"""),45328.6666666666)</f>
        <v>45328.666666666599</v>
      </c>
      <c r="B27" s="6">
        <v>45328</v>
      </c>
      <c r="C27">
        <v>5900</v>
      </c>
      <c r="D27">
        <v>5900</v>
      </c>
      <c r="E27">
        <v>5800</v>
      </c>
      <c r="F27">
        <v>5825</v>
      </c>
      <c r="G27">
        <v>126704300</v>
      </c>
      <c r="H27" s="4">
        <f t="shared" si="0"/>
        <v>8.658008658008658E-3</v>
      </c>
      <c r="I27" s="4">
        <f t="shared" si="1"/>
        <v>2.643171806167401E-2</v>
      </c>
    </row>
    <row r="28" spans="1:9" x14ac:dyDescent="0.2">
      <c r="A28" s="2">
        <f ca="1">IFERROR(__xludf.DUMMYFUNCTION("""COMPUTED_VALUE"""),45329.6666666666)</f>
        <v>45329.666666666599</v>
      </c>
      <c r="B28" s="6">
        <v>45329</v>
      </c>
      <c r="C28">
        <v>5850</v>
      </c>
      <c r="D28">
        <v>5900</v>
      </c>
      <c r="E28">
        <v>5825</v>
      </c>
      <c r="F28">
        <v>5850</v>
      </c>
      <c r="G28">
        <v>147005300</v>
      </c>
      <c r="H28" s="4">
        <f t="shared" si="0"/>
        <v>4.2918454935622317E-3</v>
      </c>
      <c r="I28" s="4">
        <f t="shared" si="1"/>
        <v>3.0837004405286344E-2</v>
      </c>
    </row>
    <row r="29" spans="1:9" x14ac:dyDescent="0.2">
      <c r="A29" s="2">
        <f ca="1">IFERROR(__xludf.DUMMYFUNCTION("""COMPUTED_VALUE"""),45334.6666666666)</f>
        <v>45334.666666666599</v>
      </c>
      <c r="B29" s="6">
        <v>45334</v>
      </c>
      <c r="C29">
        <v>5875</v>
      </c>
      <c r="D29">
        <v>6025</v>
      </c>
      <c r="E29">
        <v>5850</v>
      </c>
      <c r="F29">
        <v>6025</v>
      </c>
      <c r="G29">
        <v>171514600</v>
      </c>
      <c r="H29" s="4">
        <f t="shared" si="0"/>
        <v>2.9914529914529916E-2</v>
      </c>
      <c r="I29" s="4">
        <f t="shared" si="1"/>
        <v>6.1674008810572688E-2</v>
      </c>
    </row>
    <row r="30" spans="1:9" x14ac:dyDescent="0.2">
      <c r="A30" s="2">
        <f ca="1">IFERROR(__xludf.DUMMYFUNCTION("""COMPUTED_VALUE"""),45335.6666666666)</f>
        <v>45335.666666666599</v>
      </c>
      <c r="B30" s="6">
        <v>45335</v>
      </c>
      <c r="C30">
        <v>6050</v>
      </c>
      <c r="D30">
        <v>6050</v>
      </c>
      <c r="E30">
        <v>5950</v>
      </c>
      <c r="F30">
        <v>6000</v>
      </c>
      <c r="G30">
        <v>145852200</v>
      </c>
      <c r="H30" s="4">
        <f t="shared" si="0"/>
        <v>-4.1493775933609959E-3</v>
      </c>
      <c r="I30" s="4">
        <f t="shared" si="1"/>
        <v>5.7268722466960353E-2</v>
      </c>
    </row>
    <row r="31" spans="1:9" x14ac:dyDescent="0.2">
      <c r="A31" s="2">
        <f ca="1">IFERROR(__xludf.DUMMYFUNCTION("""COMPUTED_VALUE"""),45337.6666666666)</f>
        <v>45337.666666666599</v>
      </c>
      <c r="B31" s="6">
        <v>45337</v>
      </c>
      <c r="C31">
        <v>6275</v>
      </c>
      <c r="D31">
        <v>6275</v>
      </c>
      <c r="E31">
        <v>6100</v>
      </c>
      <c r="F31">
        <v>6125</v>
      </c>
      <c r="G31">
        <v>308685100</v>
      </c>
      <c r="H31" s="4">
        <f t="shared" si="0"/>
        <v>2.0833333333333332E-2</v>
      </c>
      <c r="I31" s="4">
        <f t="shared" si="1"/>
        <v>7.9295154185022032E-2</v>
      </c>
    </row>
    <row r="32" spans="1:9" x14ac:dyDescent="0.2">
      <c r="A32" s="2">
        <f ca="1">IFERROR(__xludf.DUMMYFUNCTION("""COMPUTED_VALUE"""),45338.6666666666)</f>
        <v>45338.666666666599</v>
      </c>
      <c r="B32" s="6">
        <v>45338</v>
      </c>
      <c r="C32">
        <v>6150</v>
      </c>
      <c r="D32">
        <v>6200</v>
      </c>
      <c r="E32">
        <v>6125</v>
      </c>
      <c r="F32">
        <v>6150</v>
      </c>
      <c r="G32">
        <v>130814400</v>
      </c>
      <c r="H32" s="4">
        <f t="shared" si="0"/>
        <v>4.0816326530612249E-3</v>
      </c>
      <c r="I32" s="4">
        <f t="shared" si="1"/>
        <v>8.3700440528634359E-2</v>
      </c>
    </row>
    <row r="33" spans="1:9" x14ac:dyDescent="0.2">
      <c r="A33" s="2">
        <f ca="1">IFERROR(__xludf.DUMMYFUNCTION("""COMPUTED_VALUE"""),45341.6666666666)</f>
        <v>45341.666666666599</v>
      </c>
      <c r="B33" s="6">
        <v>45341</v>
      </c>
      <c r="C33">
        <v>6125</v>
      </c>
      <c r="D33">
        <v>6175</v>
      </c>
      <c r="E33">
        <v>6075</v>
      </c>
      <c r="F33">
        <v>6100</v>
      </c>
      <c r="G33">
        <v>111382900</v>
      </c>
      <c r="H33" s="4">
        <f t="shared" si="0"/>
        <v>-8.130081300813009E-3</v>
      </c>
      <c r="I33" s="4">
        <f t="shared" si="1"/>
        <v>7.4889867841409691E-2</v>
      </c>
    </row>
    <row r="34" spans="1:9" x14ac:dyDescent="0.2">
      <c r="A34" s="2">
        <f ca="1">IFERROR(__xludf.DUMMYFUNCTION("""COMPUTED_VALUE"""),45342.6666666666)</f>
        <v>45342.666666666599</v>
      </c>
      <c r="B34" s="6">
        <v>45342</v>
      </c>
      <c r="C34">
        <v>6175</v>
      </c>
      <c r="D34">
        <v>6300</v>
      </c>
      <c r="E34">
        <v>6175</v>
      </c>
      <c r="F34">
        <v>6300</v>
      </c>
      <c r="G34">
        <v>160872600</v>
      </c>
      <c r="H34" s="4">
        <f t="shared" si="0"/>
        <v>3.2786885245901641E-2</v>
      </c>
      <c r="I34" s="4">
        <f t="shared" si="1"/>
        <v>0.11013215859030837</v>
      </c>
    </row>
    <row r="35" spans="1:9" x14ac:dyDescent="0.2">
      <c r="A35" s="2">
        <f ca="1">IFERROR(__xludf.DUMMYFUNCTION("""COMPUTED_VALUE"""),45343.6666666666)</f>
        <v>45343.666666666599</v>
      </c>
      <c r="B35" s="6">
        <v>45343</v>
      </c>
      <c r="C35">
        <v>6325</v>
      </c>
      <c r="D35">
        <v>6375</v>
      </c>
      <c r="E35">
        <v>6225</v>
      </c>
      <c r="F35">
        <v>6300</v>
      </c>
      <c r="G35">
        <v>168423000</v>
      </c>
      <c r="H35" s="4">
        <f t="shared" si="0"/>
        <v>0</v>
      </c>
      <c r="I35" s="4">
        <f t="shared" si="1"/>
        <v>0.11013215859030837</v>
      </c>
    </row>
    <row r="36" spans="1:9" x14ac:dyDescent="0.2">
      <c r="A36" s="2">
        <f ca="1">IFERROR(__xludf.DUMMYFUNCTION("""COMPUTED_VALUE"""),45344.6666666666)</f>
        <v>45344.666666666599</v>
      </c>
      <c r="B36" s="6">
        <v>45344</v>
      </c>
      <c r="C36">
        <v>6250</v>
      </c>
      <c r="D36">
        <v>6300</v>
      </c>
      <c r="E36">
        <v>6225</v>
      </c>
      <c r="F36">
        <v>6250</v>
      </c>
      <c r="G36">
        <v>100256000</v>
      </c>
      <c r="H36" s="4">
        <f t="shared" si="0"/>
        <v>-7.9365079365079361E-3</v>
      </c>
      <c r="I36" s="4">
        <f t="shared" si="1"/>
        <v>0.1013215859030837</v>
      </c>
    </row>
    <row r="37" spans="1:9" x14ac:dyDescent="0.2">
      <c r="A37" s="2">
        <f ca="1">IFERROR(__xludf.DUMMYFUNCTION("""COMPUTED_VALUE"""),45345.6666666666)</f>
        <v>45345.666666666599</v>
      </c>
      <c r="B37" s="6">
        <v>45345</v>
      </c>
      <c r="C37">
        <v>6125</v>
      </c>
      <c r="D37">
        <v>6175</v>
      </c>
      <c r="E37">
        <v>6050</v>
      </c>
      <c r="F37">
        <v>6125</v>
      </c>
      <c r="G37">
        <v>148643000</v>
      </c>
      <c r="H37" s="4">
        <f t="shared" si="0"/>
        <v>-0.02</v>
      </c>
      <c r="I37" s="4">
        <f t="shared" si="1"/>
        <v>7.9295154185022032E-2</v>
      </c>
    </row>
    <row r="38" spans="1:9" x14ac:dyDescent="0.2">
      <c r="A38" s="2">
        <f ca="1">IFERROR(__xludf.DUMMYFUNCTION("""COMPUTED_VALUE"""),45348.6666666666)</f>
        <v>45348.666666666599</v>
      </c>
      <c r="B38" s="6">
        <v>45348</v>
      </c>
      <c r="C38">
        <v>6100</v>
      </c>
      <c r="D38">
        <v>6200</v>
      </c>
      <c r="E38">
        <v>6075</v>
      </c>
      <c r="F38">
        <v>6175</v>
      </c>
      <c r="G38">
        <v>98920800</v>
      </c>
      <c r="H38" s="4">
        <f t="shared" si="0"/>
        <v>8.1632653061224497E-3</v>
      </c>
      <c r="I38" s="4">
        <f t="shared" si="1"/>
        <v>8.8105726872246701E-2</v>
      </c>
    </row>
    <row r="39" spans="1:9" x14ac:dyDescent="0.2">
      <c r="A39" s="2">
        <f ca="1">IFERROR(__xludf.DUMMYFUNCTION("""COMPUTED_VALUE"""),45349.6666666666)</f>
        <v>45349.666666666599</v>
      </c>
      <c r="B39" s="6">
        <v>45349</v>
      </c>
      <c r="C39">
        <v>6125</v>
      </c>
      <c r="D39">
        <v>6200</v>
      </c>
      <c r="E39">
        <v>6125</v>
      </c>
      <c r="F39">
        <v>6125</v>
      </c>
      <c r="G39">
        <v>99187500</v>
      </c>
      <c r="H39" s="4">
        <f t="shared" si="0"/>
        <v>-8.0971659919028341E-3</v>
      </c>
      <c r="I39" s="4">
        <f t="shared" si="1"/>
        <v>7.9295154185022032E-2</v>
      </c>
    </row>
    <row r="40" spans="1:9" x14ac:dyDescent="0.2">
      <c r="A40" s="2">
        <f ca="1">IFERROR(__xludf.DUMMYFUNCTION("""COMPUTED_VALUE"""),45350.6666666666)</f>
        <v>45350.666666666599</v>
      </c>
      <c r="B40" s="6">
        <v>45350</v>
      </c>
      <c r="C40">
        <v>6100</v>
      </c>
      <c r="D40">
        <v>6225</v>
      </c>
      <c r="E40">
        <v>6100</v>
      </c>
      <c r="F40">
        <v>6225</v>
      </c>
      <c r="G40">
        <v>97236700</v>
      </c>
      <c r="H40" s="4">
        <f t="shared" si="0"/>
        <v>1.6326530612244899E-2</v>
      </c>
      <c r="I40" s="4">
        <f t="shared" si="1"/>
        <v>9.6916299559471369E-2</v>
      </c>
    </row>
    <row r="41" spans="1:9" x14ac:dyDescent="0.2">
      <c r="A41" s="2">
        <f ca="1">IFERROR(__xludf.DUMMYFUNCTION("""COMPUTED_VALUE"""),45351.6666666666)</f>
        <v>45351.666666666599</v>
      </c>
      <c r="B41" s="6">
        <v>45351</v>
      </c>
      <c r="C41">
        <v>6150</v>
      </c>
      <c r="D41">
        <v>6200</v>
      </c>
      <c r="E41">
        <v>6125</v>
      </c>
      <c r="F41">
        <v>6125</v>
      </c>
      <c r="G41">
        <v>173774600</v>
      </c>
      <c r="H41" s="4">
        <f t="shared" si="0"/>
        <v>-1.6064257028112448E-2</v>
      </c>
      <c r="I41" s="4">
        <f t="shared" si="1"/>
        <v>7.9295154185022032E-2</v>
      </c>
    </row>
    <row r="42" spans="1:9" x14ac:dyDescent="0.2">
      <c r="A42" s="2">
        <f ca="1">IFERROR(__xludf.DUMMYFUNCTION("""COMPUTED_VALUE"""),45352.6666666666)</f>
        <v>45352.666666666599</v>
      </c>
      <c r="B42" s="6">
        <v>45352</v>
      </c>
      <c r="C42">
        <v>6175</v>
      </c>
      <c r="D42">
        <v>6175</v>
      </c>
      <c r="E42">
        <v>6075</v>
      </c>
      <c r="F42">
        <v>6125</v>
      </c>
      <c r="G42">
        <v>76286400</v>
      </c>
      <c r="H42" s="4">
        <f t="shared" si="0"/>
        <v>0</v>
      </c>
      <c r="I42" s="4">
        <f t="shared" si="1"/>
        <v>7.9295154185022032E-2</v>
      </c>
    </row>
    <row r="43" spans="1:9" x14ac:dyDescent="0.2">
      <c r="A43" s="2">
        <f ca="1">IFERROR(__xludf.DUMMYFUNCTION("""COMPUTED_VALUE"""),45355.6666666666)</f>
        <v>45355.666666666599</v>
      </c>
      <c r="B43" s="6">
        <v>45355</v>
      </c>
      <c r="C43">
        <v>6125</v>
      </c>
      <c r="D43">
        <v>6125</v>
      </c>
      <c r="E43">
        <v>6050</v>
      </c>
      <c r="F43">
        <v>6050</v>
      </c>
      <c r="G43">
        <v>70354900</v>
      </c>
      <c r="H43" s="4">
        <f t="shared" si="0"/>
        <v>-1.2244897959183673E-2</v>
      </c>
      <c r="I43" s="4">
        <f t="shared" si="1"/>
        <v>6.6079295154185022E-2</v>
      </c>
    </row>
    <row r="44" spans="1:9" x14ac:dyDescent="0.2">
      <c r="A44" s="2">
        <f ca="1">IFERROR(__xludf.DUMMYFUNCTION("""COMPUTED_VALUE"""),45356.6666666666)</f>
        <v>45356.666666666599</v>
      </c>
      <c r="B44" s="6">
        <v>45356</v>
      </c>
      <c r="C44">
        <v>6100</v>
      </c>
      <c r="D44">
        <v>6175</v>
      </c>
      <c r="E44">
        <v>6075</v>
      </c>
      <c r="F44">
        <v>6125</v>
      </c>
      <c r="G44">
        <v>115084600</v>
      </c>
      <c r="H44" s="4">
        <f t="shared" si="0"/>
        <v>1.2396694214876033E-2</v>
      </c>
      <c r="I44" s="4">
        <f t="shared" si="1"/>
        <v>7.9295154185022032E-2</v>
      </c>
    </row>
    <row r="45" spans="1:9" x14ac:dyDescent="0.2">
      <c r="A45" s="2">
        <f ca="1">IFERROR(__xludf.DUMMYFUNCTION("""COMPUTED_VALUE"""),45357.6666666666)</f>
        <v>45357.666666666599</v>
      </c>
      <c r="B45" s="6">
        <v>45357</v>
      </c>
      <c r="C45">
        <v>6100</v>
      </c>
      <c r="D45">
        <v>6200</v>
      </c>
      <c r="E45">
        <v>6100</v>
      </c>
      <c r="F45">
        <v>6200</v>
      </c>
      <c r="G45">
        <v>84108800</v>
      </c>
      <c r="H45" s="4">
        <f t="shared" si="0"/>
        <v>1.2244897959183673E-2</v>
      </c>
      <c r="I45" s="4">
        <f t="shared" si="1"/>
        <v>9.2511013215859028E-2</v>
      </c>
    </row>
    <row r="46" spans="1:9" x14ac:dyDescent="0.2">
      <c r="A46" s="2">
        <f ca="1">IFERROR(__xludf.DUMMYFUNCTION("""COMPUTED_VALUE"""),45358.6666666666)</f>
        <v>45358.666666666599</v>
      </c>
      <c r="B46" s="6">
        <v>45358</v>
      </c>
      <c r="C46">
        <v>6200</v>
      </c>
      <c r="D46">
        <v>6275</v>
      </c>
      <c r="E46">
        <v>6200</v>
      </c>
      <c r="F46">
        <v>6225</v>
      </c>
      <c r="G46">
        <v>117724700</v>
      </c>
      <c r="H46" s="4">
        <f t="shared" si="0"/>
        <v>4.0322580645161289E-3</v>
      </c>
      <c r="I46" s="4">
        <f t="shared" si="1"/>
        <v>9.6916299559471369E-2</v>
      </c>
    </row>
    <row r="47" spans="1:9" x14ac:dyDescent="0.2">
      <c r="A47" s="2">
        <f ca="1">IFERROR(__xludf.DUMMYFUNCTION("""COMPUTED_VALUE"""),45359.6666666666)</f>
        <v>45359.666666666599</v>
      </c>
      <c r="B47" s="6">
        <v>45359</v>
      </c>
      <c r="C47">
        <v>6275</v>
      </c>
      <c r="D47">
        <v>6400</v>
      </c>
      <c r="E47">
        <v>6250</v>
      </c>
      <c r="F47">
        <v>6350</v>
      </c>
      <c r="G47">
        <v>163060000</v>
      </c>
      <c r="H47" s="4">
        <f t="shared" si="0"/>
        <v>2.0080321285140562E-2</v>
      </c>
      <c r="I47" s="4">
        <f t="shared" si="1"/>
        <v>0.11894273127753303</v>
      </c>
    </row>
    <row r="48" spans="1:9" x14ac:dyDescent="0.2">
      <c r="A48" s="2">
        <f ca="1">IFERROR(__xludf.DUMMYFUNCTION("""COMPUTED_VALUE"""),45364.6666666666)</f>
        <v>45364.666666666599</v>
      </c>
      <c r="B48" s="6">
        <v>45364</v>
      </c>
      <c r="C48">
        <v>6350</v>
      </c>
      <c r="D48">
        <v>6450</v>
      </c>
      <c r="E48">
        <v>6350</v>
      </c>
      <c r="F48">
        <v>6400</v>
      </c>
      <c r="G48">
        <v>195173100</v>
      </c>
      <c r="H48" s="4">
        <f t="shared" si="0"/>
        <v>7.874015748031496E-3</v>
      </c>
      <c r="I48" s="4">
        <f t="shared" si="1"/>
        <v>0.1277533039647577</v>
      </c>
    </row>
    <row r="49" spans="1:9" x14ac:dyDescent="0.2">
      <c r="A49" s="2">
        <f ca="1">IFERROR(__xludf.DUMMYFUNCTION("""COMPUTED_VALUE"""),45365.6666666666)</f>
        <v>45365.666666666599</v>
      </c>
      <c r="B49" s="6">
        <v>45365</v>
      </c>
      <c r="C49">
        <v>6175</v>
      </c>
      <c r="D49">
        <v>6200</v>
      </c>
      <c r="E49">
        <v>6050</v>
      </c>
      <c r="F49">
        <v>6150</v>
      </c>
      <c r="G49">
        <v>271254000</v>
      </c>
      <c r="H49" s="4">
        <f t="shared" si="0"/>
        <v>-3.90625E-2</v>
      </c>
      <c r="I49" s="4">
        <f t="shared" si="1"/>
        <v>8.3700440528634359E-2</v>
      </c>
    </row>
    <row r="50" spans="1:9" x14ac:dyDescent="0.2">
      <c r="A50" s="2">
        <f ca="1">IFERROR(__xludf.DUMMYFUNCTION("""COMPUTED_VALUE"""),45366.6666666666)</f>
        <v>45366.666666666599</v>
      </c>
      <c r="B50" s="6">
        <v>45366</v>
      </c>
      <c r="C50">
        <v>6000</v>
      </c>
      <c r="D50">
        <v>6075</v>
      </c>
      <c r="E50">
        <v>5950</v>
      </c>
      <c r="F50">
        <v>5975</v>
      </c>
      <c r="G50">
        <v>305995800</v>
      </c>
      <c r="H50" s="4">
        <f t="shared" si="0"/>
        <v>-2.8455284552845527E-2</v>
      </c>
      <c r="I50" s="4">
        <f t="shared" si="1"/>
        <v>5.2863436123348019E-2</v>
      </c>
    </row>
    <row r="51" spans="1:9" x14ac:dyDescent="0.2">
      <c r="A51" s="2">
        <f ca="1">IFERROR(__xludf.DUMMYFUNCTION("""COMPUTED_VALUE"""),45369.6666666666)</f>
        <v>45369.666666666599</v>
      </c>
      <c r="B51" s="6">
        <v>45369</v>
      </c>
      <c r="C51">
        <v>6000</v>
      </c>
      <c r="D51">
        <v>6100</v>
      </c>
      <c r="E51">
        <v>5975</v>
      </c>
      <c r="F51">
        <v>6000</v>
      </c>
      <c r="G51">
        <v>110564700</v>
      </c>
      <c r="H51" s="4">
        <f t="shared" si="0"/>
        <v>4.1841004184100415E-3</v>
      </c>
      <c r="I51" s="4">
        <f t="shared" si="1"/>
        <v>5.7268722466960353E-2</v>
      </c>
    </row>
    <row r="52" spans="1:9" x14ac:dyDescent="0.2">
      <c r="A52" s="2">
        <f ca="1">IFERROR(__xludf.DUMMYFUNCTION("""COMPUTED_VALUE"""),45370.6666666666)</f>
        <v>45370.666666666599</v>
      </c>
      <c r="B52" s="6">
        <v>45370</v>
      </c>
      <c r="C52">
        <v>6000</v>
      </c>
      <c r="D52">
        <v>6050</v>
      </c>
      <c r="E52">
        <v>5975</v>
      </c>
      <c r="F52">
        <v>6000</v>
      </c>
      <c r="G52">
        <v>114338600</v>
      </c>
      <c r="H52" s="4">
        <f t="shared" si="0"/>
        <v>0</v>
      </c>
      <c r="I52" s="4">
        <f t="shared" si="1"/>
        <v>5.7268722466960353E-2</v>
      </c>
    </row>
    <row r="53" spans="1:9" x14ac:dyDescent="0.2">
      <c r="A53" s="2">
        <f ca="1">IFERROR(__xludf.DUMMYFUNCTION("""COMPUTED_VALUE"""),45371.6666666666)</f>
        <v>45371.666666666599</v>
      </c>
      <c r="B53" s="6">
        <v>45371</v>
      </c>
      <c r="C53">
        <v>6000</v>
      </c>
      <c r="D53">
        <v>6100</v>
      </c>
      <c r="E53">
        <v>6000</v>
      </c>
      <c r="F53">
        <v>6100</v>
      </c>
      <c r="G53">
        <v>120885400</v>
      </c>
      <c r="H53" s="4">
        <f t="shared" si="0"/>
        <v>1.6666666666666666E-2</v>
      </c>
      <c r="I53" s="4">
        <f t="shared" si="1"/>
        <v>7.4889867841409691E-2</v>
      </c>
    </row>
    <row r="54" spans="1:9" x14ac:dyDescent="0.2">
      <c r="A54" s="2">
        <f ca="1">IFERROR(__xludf.DUMMYFUNCTION("""COMPUTED_VALUE"""),45372.6666666666)</f>
        <v>45372.666666666599</v>
      </c>
      <c r="B54" s="6">
        <v>45372</v>
      </c>
      <c r="C54">
        <v>6175</v>
      </c>
      <c r="D54">
        <v>6200</v>
      </c>
      <c r="E54">
        <v>6100</v>
      </c>
      <c r="F54">
        <v>6100</v>
      </c>
      <c r="G54">
        <v>136020000</v>
      </c>
      <c r="H54" s="4">
        <f t="shared" si="0"/>
        <v>0</v>
      </c>
      <c r="I54" s="4">
        <f t="shared" si="1"/>
        <v>7.4889867841409691E-2</v>
      </c>
    </row>
    <row r="55" spans="1:9" x14ac:dyDescent="0.2">
      <c r="A55" s="2">
        <f ca="1">IFERROR(__xludf.DUMMYFUNCTION("""COMPUTED_VALUE"""),45373.6666666666)</f>
        <v>45373.666666666599</v>
      </c>
      <c r="B55" s="6">
        <v>45373</v>
      </c>
      <c r="C55">
        <v>6050</v>
      </c>
      <c r="D55">
        <v>6125</v>
      </c>
      <c r="E55">
        <v>6050</v>
      </c>
      <c r="F55">
        <v>6125</v>
      </c>
      <c r="G55">
        <v>46529200</v>
      </c>
      <c r="H55" s="4">
        <f t="shared" si="0"/>
        <v>4.0983606557377051E-3</v>
      </c>
      <c r="I55" s="4">
        <f t="shared" si="1"/>
        <v>7.9295154185022032E-2</v>
      </c>
    </row>
    <row r="56" spans="1:9" x14ac:dyDescent="0.2">
      <c r="A56" s="2">
        <f ca="1">IFERROR(__xludf.DUMMYFUNCTION("""COMPUTED_VALUE"""),45376.6666666666)</f>
        <v>45376.666666666599</v>
      </c>
      <c r="B56" s="6">
        <v>45376</v>
      </c>
      <c r="C56">
        <v>6250</v>
      </c>
      <c r="D56">
        <v>6250</v>
      </c>
      <c r="E56">
        <v>6125</v>
      </c>
      <c r="F56">
        <v>6250</v>
      </c>
      <c r="G56">
        <v>115729600</v>
      </c>
      <c r="H56" s="4">
        <f t="shared" si="0"/>
        <v>2.0408163265306121E-2</v>
      </c>
      <c r="I56" s="4">
        <f t="shared" si="1"/>
        <v>0.1013215859030837</v>
      </c>
    </row>
    <row r="57" spans="1:9" x14ac:dyDescent="0.2">
      <c r="A57" s="2">
        <f ca="1">IFERROR(__xludf.DUMMYFUNCTION("""COMPUTED_VALUE"""),45377.6666666666)</f>
        <v>45377.666666666599</v>
      </c>
      <c r="B57" s="6">
        <v>45377</v>
      </c>
      <c r="C57">
        <v>6300</v>
      </c>
      <c r="D57">
        <v>6300</v>
      </c>
      <c r="E57">
        <v>6200</v>
      </c>
      <c r="F57">
        <v>6300</v>
      </c>
      <c r="G57">
        <v>120748400</v>
      </c>
      <c r="H57" s="4">
        <f t="shared" si="0"/>
        <v>8.0000000000000002E-3</v>
      </c>
      <c r="I57" s="4">
        <f t="shared" si="1"/>
        <v>0.11013215859030837</v>
      </c>
    </row>
    <row r="58" spans="1:9" x14ac:dyDescent="0.2">
      <c r="A58" s="2">
        <f ca="1">IFERROR(__xludf.DUMMYFUNCTION("""COMPUTED_VALUE"""),45378.6666666666)</f>
        <v>45378.666666666599</v>
      </c>
      <c r="B58" s="6">
        <v>45378</v>
      </c>
      <c r="C58">
        <v>6300</v>
      </c>
      <c r="D58">
        <v>6325</v>
      </c>
      <c r="E58">
        <v>6225</v>
      </c>
      <c r="F58">
        <v>6250</v>
      </c>
      <c r="G58">
        <v>73308900</v>
      </c>
      <c r="H58" s="4">
        <f t="shared" si="0"/>
        <v>-7.9365079365079361E-3</v>
      </c>
      <c r="I58" s="4">
        <f t="shared" si="1"/>
        <v>0.1013215859030837</v>
      </c>
    </row>
    <row r="59" spans="1:9" x14ac:dyDescent="0.2">
      <c r="A59" s="2">
        <f ca="1">IFERROR(__xludf.DUMMYFUNCTION("""COMPUTED_VALUE"""),45379.6666666666)</f>
        <v>45379.666666666599</v>
      </c>
      <c r="B59" s="6">
        <v>45379</v>
      </c>
      <c r="C59">
        <v>6100</v>
      </c>
      <c r="D59">
        <v>6200</v>
      </c>
      <c r="E59">
        <v>6025</v>
      </c>
      <c r="F59">
        <v>6050</v>
      </c>
      <c r="G59">
        <v>288926900</v>
      </c>
      <c r="H59" s="4">
        <f t="shared" si="0"/>
        <v>-3.2000000000000001E-2</v>
      </c>
      <c r="I59" s="4">
        <f t="shared" si="1"/>
        <v>6.6079295154185022E-2</v>
      </c>
    </row>
    <row r="60" spans="1:9" x14ac:dyDescent="0.2">
      <c r="A60" s="2">
        <f ca="1">IFERROR(__xludf.DUMMYFUNCTION("""COMPUTED_VALUE"""),45383.6666666666)</f>
        <v>45383.666666666599</v>
      </c>
      <c r="B60" s="6">
        <v>45383</v>
      </c>
      <c r="C60">
        <v>6000</v>
      </c>
      <c r="D60">
        <v>6025</v>
      </c>
      <c r="E60">
        <v>5825</v>
      </c>
      <c r="F60">
        <v>5925</v>
      </c>
      <c r="G60">
        <v>217207800</v>
      </c>
      <c r="H60" s="4">
        <f t="shared" si="0"/>
        <v>-2.0661157024793389E-2</v>
      </c>
      <c r="I60" s="4">
        <f t="shared" si="1"/>
        <v>4.405286343612335E-2</v>
      </c>
    </row>
    <row r="61" spans="1:9" x14ac:dyDescent="0.2">
      <c r="A61" s="2">
        <f ca="1">IFERROR(__xludf.DUMMYFUNCTION("""COMPUTED_VALUE"""),45384.6666666666)</f>
        <v>45384.666666666599</v>
      </c>
      <c r="B61" s="6">
        <v>45384</v>
      </c>
      <c r="C61">
        <v>5850</v>
      </c>
      <c r="D61">
        <v>5950</v>
      </c>
      <c r="E61">
        <v>5625</v>
      </c>
      <c r="F61">
        <v>5675</v>
      </c>
      <c r="G61">
        <v>412180900</v>
      </c>
      <c r="H61" s="4">
        <f t="shared" si="0"/>
        <v>-4.2194092827004218E-2</v>
      </c>
      <c r="I61" s="4">
        <f t="shared" si="1"/>
        <v>0</v>
      </c>
    </row>
    <row r="62" spans="1:9" x14ac:dyDescent="0.2">
      <c r="A62" s="2">
        <f ca="1">IFERROR(__xludf.DUMMYFUNCTION("""COMPUTED_VALUE"""),45385.6666666666)</f>
        <v>45385.666666666599</v>
      </c>
      <c r="B62" s="6">
        <v>45385</v>
      </c>
      <c r="C62">
        <v>5575</v>
      </c>
      <c r="D62">
        <v>5675</v>
      </c>
      <c r="E62">
        <v>5525</v>
      </c>
      <c r="F62">
        <v>5625</v>
      </c>
      <c r="G62">
        <v>333518700</v>
      </c>
      <c r="H62" s="4">
        <f t="shared" si="0"/>
        <v>-8.8105726872246704E-3</v>
      </c>
      <c r="I62" s="4">
        <f t="shared" si="1"/>
        <v>-8.8105726872246704E-3</v>
      </c>
    </row>
    <row r="63" spans="1:9" x14ac:dyDescent="0.2">
      <c r="A63" s="2">
        <f ca="1">IFERROR(__xludf.DUMMYFUNCTION("""COMPUTED_VALUE"""),45386.6666666666)</f>
        <v>45386.666666666599</v>
      </c>
      <c r="B63" s="6">
        <v>45386</v>
      </c>
      <c r="C63">
        <v>5650</v>
      </c>
      <c r="D63">
        <v>5750</v>
      </c>
      <c r="E63">
        <v>5650</v>
      </c>
      <c r="F63">
        <v>5700</v>
      </c>
      <c r="G63">
        <v>131936100</v>
      </c>
      <c r="H63" s="4">
        <f t="shared" si="0"/>
        <v>1.3333333333333334E-2</v>
      </c>
      <c r="I63" s="4">
        <f t="shared" si="1"/>
        <v>4.4052863436123352E-3</v>
      </c>
    </row>
    <row r="64" spans="1:9" x14ac:dyDescent="0.2">
      <c r="A64" s="2">
        <f ca="1">IFERROR(__xludf.DUMMYFUNCTION("""COMPUTED_VALUE"""),45387.6666666666)</f>
        <v>45387.666666666599</v>
      </c>
      <c r="B64" s="6">
        <v>45387</v>
      </c>
      <c r="C64">
        <v>5625</v>
      </c>
      <c r="D64">
        <v>5700</v>
      </c>
      <c r="E64">
        <v>5625</v>
      </c>
      <c r="F64">
        <v>5650</v>
      </c>
      <c r="G64">
        <v>178817800</v>
      </c>
      <c r="H64" s="4">
        <f t="shared" si="0"/>
        <v>-8.771929824561403E-3</v>
      </c>
      <c r="I64" s="4">
        <f t="shared" si="1"/>
        <v>-4.4052863436123352E-3</v>
      </c>
    </row>
    <row r="65" spans="1:9" x14ac:dyDescent="0.2">
      <c r="A65" s="2">
        <f ca="1">IFERROR(__xludf.DUMMYFUNCTION("""COMPUTED_VALUE"""),45398.6666666666)</f>
        <v>45398.666666666599</v>
      </c>
      <c r="B65" s="6">
        <v>45398</v>
      </c>
      <c r="C65">
        <v>5375</v>
      </c>
      <c r="D65">
        <v>5575</v>
      </c>
      <c r="E65">
        <v>5350</v>
      </c>
      <c r="F65">
        <v>5350</v>
      </c>
      <c r="G65">
        <v>600717500</v>
      </c>
      <c r="H65" s="4">
        <f t="shared" si="0"/>
        <v>-5.3097345132743362E-2</v>
      </c>
      <c r="I65" s="4">
        <f t="shared" si="1"/>
        <v>-5.7268722466960353E-2</v>
      </c>
    </row>
    <row r="66" spans="1:9" x14ac:dyDescent="0.2">
      <c r="A66" s="2">
        <f ca="1">IFERROR(__xludf.DUMMYFUNCTION("""COMPUTED_VALUE"""),45399.6666666666)</f>
        <v>45399.666666666599</v>
      </c>
      <c r="B66" s="6">
        <v>45399</v>
      </c>
      <c r="C66">
        <v>5475</v>
      </c>
      <c r="D66">
        <v>5500</v>
      </c>
      <c r="E66">
        <v>5300</v>
      </c>
      <c r="F66">
        <v>5300</v>
      </c>
      <c r="G66">
        <v>244002000</v>
      </c>
      <c r="H66" s="4">
        <f t="shared" si="0"/>
        <v>-9.3457943925233638E-3</v>
      </c>
      <c r="I66" s="4">
        <f t="shared" si="1"/>
        <v>-6.6079295154185022E-2</v>
      </c>
    </row>
    <row r="67" spans="1:9" x14ac:dyDescent="0.2">
      <c r="A67" s="2">
        <f ca="1">IFERROR(__xludf.DUMMYFUNCTION("""COMPUTED_VALUE"""),45400.6666666666)</f>
        <v>45400.666666666599</v>
      </c>
      <c r="B67" s="6">
        <v>45400</v>
      </c>
      <c r="C67">
        <v>5300</v>
      </c>
      <c r="D67">
        <v>5500</v>
      </c>
      <c r="E67">
        <v>5300</v>
      </c>
      <c r="F67">
        <v>5475</v>
      </c>
      <c r="G67">
        <v>247410700</v>
      </c>
      <c r="H67" s="4">
        <f t="shared" si="0"/>
        <v>3.3018867924528301E-2</v>
      </c>
      <c r="I67" s="4">
        <f t="shared" si="1"/>
        <v>-3.5242290748898682E-2</v>
      </c>
    </row>
    <row r="68" spans="1:9" x14ac:dyDescent="0.2">
      <c r="A68" s="2">
        <f ca="1">IFERROR(__xludf.DUMMYFUNCTION("""COMPUTED_VALUE"""),45401.6666666666)</f>
        <v>45401.666666666599</v>
      </c>
      <c r="B68" s="6">
        <v>45401</v>
      </c>
      <c r="C68">
        <v>5350</v>
      </c>
      <c r="D68">
        <v>5375</v>
      </c>
      <c r="E68">
        <v>5250</v>
      </c>
      <c r="F68">
        <v>5275</v>
      </c>
      <c r="G68">
        <v>258211500</v>
      </c>
      <c r="H68" s="4">
        <f t="shared" ref="H68:H131" si="2">(F68-F67)/F67</f>
        <v>-3.6529680365296802E-2</v>
      </c>
      <c r="I68" s="4">
        <f t="shared" ref="I68:I131" si="3">(F68-$F$2)/$F$2</f>
        <v>-7.0484581497797363E-2</v>
      </c>
    </row>
    <row r="69" spans="1:9" x14ac:dyDescent="0.2">
      <c r="A69" s="2">
        <f ca="1">IFERROR(__xludf.DUMMYFUNCTION("""COMPUTED_VALUE"""),45404.6666666666)</f>
        <v>45404.666666666599</v>
      </c>
      <c r="B69" s="6">
        <v>45404</v>
      </c>
      <c r="C69">
        <v>5200</v>
      </c>
      <c r="D69">
        <v>5325</v>
      </c>
      <c r="E69">
        <v>5150</v>
      </c>
      <c r="F69">
        <v>5300</v>
      </c>
      <c r="G69">
        <v>342282800</v>
      </c>
      <c r="H69" s="4">
        <f t="shared" si="2"/>
        <v>4.7393364928909956E-3</v>
      </c>
      <c r="I69" s="4">
        <f t="shared" si="3"/>
        <v>-6.6079295154185022E-2</v>
      </c>
    </row>
    <row r="70" spans="1:9" x14ac:dyDescent="0.2">
      <c r="A70" s="2">
        <f ca="1">IFERROR(__xludf.DUMMYFUNCTION("""COMPUTED_VALUE"""),45405.6666666666)</f>
        <v>45405.666666666599</v>
      </c>
      <c r="B70" s="6">
        <v>45405</v>
      </c>
      <c r="C70">
        <v>5350</v>
      </c>
      <c r="D70">
        <v>5400</v>
      </c>
      <c r="E70">
        <v>5225</v>
      </c>
      <c r="F70">
        <v>5300</v>
      </c>
      <c r="G70">
        <v>281403100</v>
      </c>
      <c r="H70" s="4">
        <f t="shared" si="2"/>
        <v>0</v>
      </c>
      <c r="I70" s="4">
        <f t="shared" si="3"/>
        <v>-6.6079295154185022E-2</v>
      </c>
    </row>
    <row r="71" spans="1:9" x14ac:dyDescent="0.2">
      <c r="A71" s="2">
        <f ca="1">IFERROR(__xludf.DUMMYFUNCTION("""COMPUTED_VALUE"""),45406.6666666666)</f>
        <v>45406.666666666599</v>
      </c>
      <c r="B71" s="6">
        <v>45406</v>
      </c>
      <c r="C71">
        <v>5250</v>
      </c>
      <c r="D71">
        <v>5350</v>
      </c>
      <c r="E71">
        <v>5150</v>
      </c>
      <c r="F71">
        <v>5225</v>
      </c>
      <c r="G71">
        <v>471241400</v>
      </c>
      <c r="H71" s="4">
        <f t="shared" si="2"/>
        <v>-1.4150943396226415E-2</v>
      </c>
      <c r="I71" s="4">
        <f t="shared" si="3"/>
        <v>-7.9295154185022032E-2</v>
      </c>
    </row>
    <row r="72" spans="1:9" x14ac:dyDescent="0.2">
      <c r="A72" s="2">
        <f ca="1">IFERROR(__xludf.DUMMYFUNCTION("""COMPUTED_VALUE"""),45407.6666666666)</f>
        <v>45407.666666666599</v>
      </c>
      <c r="B72" s="6">
        <v>45407</v>
      </c>
      <c r="C72">
        <v>5125</v>
      </c>
      <c r="D72">
        <v>5200</v>
      </c>
      <c r="E72">
        <v>5050</v>
      </c>
      <c r="F72">
        <v>5150</v>
      </c>
      <c r="G72">
        <v>479170900</v>
      </c>
      <c r="H72" s="4">
        <f t="shared" si="2"/>
        <v>-1.4354066985645933E-2</v>
      </c>
      <c r="I72" s="4">
        <f t="shared" si="3"/>
        <v>-9.2511013215859028E-2</v>
      </c>
    </row>
    <row r="73" spans="1:9" x14ac:dyDescent="0.2">
      <c r="A73" s="2">
        <f ca="1">IFERROR(__xludf.DUMMYFUNCTION("""COMPUTED_VALUE"""),45408.6666666666)</f>
        <v>45408.666666666599</v>
      </c>
      <c r="B73" s="6">
        <v>45408</v>
      </c>
      <c r="C73">
        <v>5050</v>
      </c>
      <c r="D73">
        <v>5100</v>
      </c>
      <c r="E73">
        <v>4830</v>
      </c>
      <c r="F73">
        <v>4830</v>
      </c>
      <c r="G73">
        <v>782589900</v>
      </c>
      <c r="H73" s="4">
        <f t="shared" si="2"/>
        <v>-6.2135922330097085E-2</v>
      </c>
      <c r="I73" s="4">
        <f t="shared" si="3"/>
        <v>-0.14889867841409693</v>
      </c>
    </row>
    <row r="74" spans="1:9" x14ac:dyDescent="0.2">
      <c r="A74" s="2">
        <f ca="1">IFERROR(__xludf.DUMMYFUNCTION("""COMPUTED_VALUE"""),45411.6666666666)</f>
        <v>45411.666666666599</v>
      </c>
      <c r="B74" s="6">
        <v>45411</v>
      </c>
      <c r="C74">
        <v>4700</v>
      </c>
      <c r="D74">
        <v>4890</v>
      </c>
      <c r="E74">
        <v>4680</v>
      </c>
      <c r="F74">
        <v>4770</v>
      </c>
      <c r="G74">
        <v>700644800</v>
      </c>
      <c r="H74" s="4">
        <f t="shared" si="2"/>
        <v>-1.2422360248447204E-2</v>
      </c>
      <c r="I74" s="4">
        <f t="shared" si="3"/>
        <v>-0.15947136563876652</v>
      </c>
    </row>
    <row r="75" spans="1:9" x14ac:dyDescent="0.2">
      <c r="A75" s="2">
        <f ca="1">IFERROR(__xludf.DUMMYFUNCTION("""COMPUTED_VALUE"""),45412.6666666666)</f>
        <v>45412.666666666599</v>
      </c>
      <c r="B75" s="6">
        <v>45412</v>
      </c>
      <c r="C75">
        <v>4850</v>
      </c>
      <c r="D75">
        <v>5050</v>
      </c>
      <c r="E75">
        <v>4820</v>
      </c>
      <c r="F75">
        <v>4940</v>
      </c>
      <c r="G75">
        <v>565609200</v>
      </c>
      <c r="H75" s="4">
        <f t="shared" si="2"/>
        <v>3.5639412997903561E-2</v>
      </c>
      <c r="I75" s="4">
        <f t="shared" si="3"/>
        <v>-0.12951541850220263</v>
      </c>
    </row>
    <row r="76" spans="1:9" x14ac:dyDescent="0.2">
      <c r="A76" s="2">
        <f ca="1">IFERROR(__xludf.DUMMYFUNCTION("""COMPUTED_VALUE"""),45414.6666666666)</f>
        <v>45414.666666666599</v>
      </c>
      <c r="B76" s="6">
        <v>45414</v>
      </c>
      <c r="C76">
        <v>4910</v>
      </c>
      <c r="D76">
        <v>4920</v>
      </c>
      <c r="E76">
        <v>4700</v>
      </c>
      <c r="F76">
        <v>4760</v>
      </c>
      <c r="G76">
        <v>636922100</v>
      </c>
      <c r="H76" s="4">
        <f t="shared" si="2"/>
        <v>-3.643724696356275E-2</v>
      </c>
      <c r="I76" s="4">
        <f t="shared" si="3"/>
        <v>-0.16123348017621145</v>
      </c>
    </row>
    <row r="77" spans="1:9" x14ac:dyDescent="0.2">
      <c r="A77" s="2">
        <f ca="1">IFERROR(__xludf.DUMMYFUNCTION("""COMPUTED_VALUE"""),45415.6666666666)</f>
        <v>45415.666666666599</v>
      </c>
      <c r="B77" s="6">
        <v>45415</v>
      </c>
      <c r="C77">
        <v>4760</v>
      </c>
      <c r="D77">
        <v>4830</v>
      </c>
      <c r="E77">
        <v>4710</v>
      </c>
      <c r="F77">
        <v>4750</v>
      </c>
      <c r="G77">
        <v>321697200</v>
      </c>
      <c r="H77" s="4">
        <f t="shared" si="2"/>
        <v>-2.1008403361344537E-3</v>
      </c>
      <c r="I77" s="4">
        <f t="shared" si="3"/>
        <v>-0.16299559471365638</v>
      </c>
    </row>
    <row r="78" spans="1:9" x14ac:dyDescent="0.2">
      <c r="A78" s="2">
        <f ca="1">IFERROR(__xludf.DUMMYFUNCTION("""COMPUTED_VALUE"""),45418.6666666666)</f>
        <v>45418.666666666599</v>
      </c>
      <c r="B78" s="6">
        <v>45418</v>
      </c>
      <c r="C78">
        <v>4800</v>
      </c>
      <c r="D78">
        <v>4840</v>
      </c>
      <c r="E78">
        <v>4730</v>
      </c>
      <c r="F78">
        <v>4790</v>
      </c>
      <c r="G78">
        <v>262707400</v>
      </c>
      <c r="H78" s="4">
        <f t="shared" si="2"/>
        <v>8.4210526315789472E-3</v>
      </c>
      <c r="I78" s="4">
        <f t="shared" si="3"/>
        <v>-0.15594713656387665</v>
      </c>
    </row>
    <row r="79" spans="1:9" x14ac:dyDescent="0.2">
      <c r="A79" s="2">
        <f ca="1">IFERROR(__xludf.DUMMYFUNCTION("""COMPUTED_VALUE"""),45419.6666666666)</f>
        <v>45419.666666666599</v>
      </c>
      <c r="B79" s="6">
        <v>45419</v>
      </c>
      <c r="C79">
        <v>4770</v>
      </c>
      <c r="D79">
        <v>4780</v>
      </c>
      <c r="E79">
        <v>4670</v>
      </c>
      <c r="F79">
        <v>4670</v>
      </c>
      <c r="G79">
        <v>304013600</v>
      </c>
      <c r="H79" s="4">
        <f t="shared" si="2"/>
        <v>-2.5052192066805846E-2</v>
      </c>
      <c r="I79" s="4">
        <f t="shared" si="3"/>
        <v>-0.17709251101321585</v>
      </c>
    </row>
    <row r="80" spans="1:9" x14ac:dyDescent="0.2">
      <c r="A80" s="2">
        <f ca="1">IFERROR(__xludf.DUMMYFUNCTION("""COMPUTED_VALUE"""),45420.6666666666)</f>
        <v>45420.666666666599</v>
      </c>
      <c r="B80" s="6">
        <v>45420</v>
      </c>
      <c r="C80">
        <v>4650</v>
      </c>
      <c r="D80">
        <v>4740</v>
      </c>
      <c r="E80">
        <v>4570</v>
      </c>
      <c r="F80">
        <v>4680</v>
      </c>
      <c r="G80">
        <v>572275800</v>
      </c>
      <c r="H80" s="4">
        <f t="shared" si="2"/>
        <v>2.1413276231263384E-3</v>
      </c>
      <c r="I80" s="4">
        <f t="shared" si="3"/>
        <v>-0.17533039647577092</v>
      </c>
    </row>
    <row r="81" spans="1:9" x14ac:dyDescent="0.2">
      <c r="A81" s="2">
        <f ca="1">IFERROR(__xludf.DUMMYFUNCTION("""COMPUTED_VALUE"""),45425.6666666666)</f>
        <v>45425.666666666599</v>
      </c>
      <c r="B81" s="6">
        <v>45425</v>
      </c>
      <c r="C81">
        <v>4650</v>
      </c>
      <c r="D81">
        <v>4700</v>
      </c>
      <c r="E81">
        <v>4630</v>
      </c>
      <c r="F81">
        <v>4680</v>
      </c>
      <c r="G81">
        <v>320067100</v>
      </c>
      <c r="H81" s="4">
        <f t="shared" si="2"/>
        <v>0</v>
      </c>
      <c r="I81" s="4">
        <f t="shared" si="3"/>
        <v>-0.17533039647577092</v>
      </c>
    </row>
    <row r="82" spans="1:9" x14ac:dyDescent="0.2">
      <c r="A82" s="2">
        <f ca="1">IFERROR(__xludf.DUMMYFUNCTION("""COMPUTED_VALUE"""),45426.6666666666)</f>
        <v>45426.666666666599</v>
      </c>
      <c r="B82" s="6">
        <v>45426</v>
      </c>
      <c r="C82">
        <v>4720</v>
      </c>
      <c r="D82">
        <v>4810</v>
      </c>
      <c r="E82">
        <v>4700</v>
      </c>
      <c r="F82">
        <v>4730</v>
      </c>
      <c r="G82">
        <v>341458900</v>
      </c>
      <c r="H82" s="4">
        <f t="shared" si="2"/>
        <v>1.0683760683760684E-2</v>
      </c>
      <c r="I82" s="4">
        <f t="shared" si="3"/>
        <v>-0.16651982378854627</v>
      </c>
    </row>
    <row r="83" spans="1:9" x14ac:dyDescent="0.2">
      <c r="A83" s="2">
        <f ca="1">IFERROR(__xludf.DUMMYFUNCTION("""COMPUTED_VALUE"""),45427.6666666666)</f>
        <v>45427.666666666599</v>
      </c>
      <c r="B83" s="6">
        <v>45427</v>
      </c>
      <c r="C83">
        <v>4780</v>
      </c>
      <c r="D83">
        <v>4870</v>
      </c>
      <c r="E83">
        <v>4760</v>
      </c>
      <c r="F83">
        <v>4820</v>
      </c>
      <c r="G83">
        <v>298990300</v>
      </c>
      <c r="H83" s="4">
        <f t="shared" si="2"/>
        <v>1.9027484143763214E-2</v>
      </c>
      <c r="I83" s="4">
        <f t="shared" si="3"/>
        <v>-0.15066079295154186</v>
      </c>
    </row>
    <row r="84" spans="1:9" x14ac:dyDescent="0.2">
      <c r="A84" s="2">
        <f ca="1">IFERROR(__xludf.DUMMYFUNCTION("""COMPUTED_VALUE"""),45428.6666666666)</f>
        <v>45428.666666666599</v>
      </c>
      <c r="B84" s="6">
        <v>45428</v>
      </c>
      <c r="C84">
        <v>4930</v>
      </c>
      <c r="D84">
        <v>4960</v>
      </c>
      <c r="E84">
        <v>4840</v>
      </c>
      <c r="F84">
        <v>4840</v>
      </c>
      <c r="G84">
        <v>371295000</v>
      </c>
      <c r="H84" s="4">
        <f t="shared" si="2"/>
        <v>4.1493775933609959E-3</v>
      </c>
      <c r="I84" s="4">
        <f t="shared" si="3"/>
        <v>-0.14713656387665197</v>
      </c>
    </row>
    <row r="85" spans="1:9" x14ac:dyDescent="0.2">
      <c r="A85" s="2">
        <f ca="1">IFERROR(__xludf.DUMMYFUNCTION("""COMPUTED_VALUE"""),45429.6666666666)</f>
        <v>45429.666666666599</v>
      </c>
      <c r="B85" s="6">
        <v>45429</v>
      </c>
      <c r="C85">
        <v>4840</v>
      </c>
      <c r="D85">
        <v>4960</v>
      </c>
      <c r="E85">
        <v>4820</v>
      </c>
      <c r="F85">
        <v>4920</v>
      </c>
      <c r="G85">
        <v>208991800</v>
      </c>
      <c r="H85" s="4">
        <f t="shared" si="2"/>
        <v>1.6528925619834711E-2</v>
      </c>
      <c r="I85" s="4">
        <f t="shared" si="3"/>
        <v>-0.13303964757709252</v>
      </c>
    </row>
    <row r="86" spans="1:9" x14ac:dyDescent="0.2">
      <c r="A86" s="2">
        <f ca="1">IFERROR(__xludf.DUMMYFUNCTION("""COMPUTED_VALUE"""),45432.6666666666)</f>
        <v>45432.666666666599</v>
      </c>
      <c r="B86" s="6">
        <v>45432</v>
      </c>
      <c r="C86">
        <v>4990</v>
      </c>
      <c r="D86">
        <v>5050</v>
      </c>
      <c r="E86">
        <v>4820</v>
      </c>
      <c r="F86">
        <v>4820</v>
      </c>
      <c r="G86">
        <v>335150700</v>
      </c>
      <c r="H86" s="4">
        <f t="shared" si="2"/>
        <v>-2.032520325203252E-2</v>
      </c>
      <c r="I86" s="4">
        <f t="shared" si="3"/>
        <v>-0.15066079295154186</v>
      </c>
    </row>
    <row r="87" spans="1:9" x14ac:dyDescent="0.2">
      <c r="A87" s="2">
        <f ca="1">IFERROR(__xludf.DUMMYFUNCTION("""COMPUTED_VALUE"""),45433.6666666666)</f>
        <v>45433.666666666599</v>
      </c>
      <c r="B87" s="6">
        <v>45433</v>
      </c>
      <c r="C87">
        <v>4810</v>
      </c>
      <c r="D87">
        <v>4870</v>
      </c>
      <c r="E87">
        <v>4680</v>
      </c>
      <c r="F87">
        <v>4680</v>
      </c>
      <c r="G87">
        <v>271568800</v>
      </c>
      <c r="H87" s="4">
        <f t="shared" si="2"/>
        <v>-2.9045643153526972E-2</v>
      </c>
      <c r="I87" s="4">
        <f t="shared" si="3"/>
        <v>-0.17533039647577092</v>
      </c>
    </row>
    <row r="88" spans="1:9" x14ac:dyDescent="0.2">
      <c r="A88" s="2">
        <f ca="1">IFERROR(__xludf.DUMMYFUNCTION("""COMPUTED_VALUE"""),45434.6666666666)</f>
        <v>45434.666666666599</v>
      </c>
      <c r="B88" s="6">
        <v>45434</v>
      </c>
      <c r="C88">
        <v>4650</v>
      </c>
      <c r="D88">
        <v>4770</v>
      </c>
      <c r="E88">
        <v>4650</v>
      </c>
      <c r="F88">
        <v>4720</v>
      </c>
      <c r="G88">
        <v>215066000</v>
      </c>
      <c r="H88" s="4">
        <f t="shared" si="2"/>
        <v>8.5470085470085479E-3</v>
      </c>
      <c r="I88" s="4">
        <f t="shared" si="3"/>
        <v>-0.1682819383259912</v>
      </c>
    </row>
    <row r="89" spans="1:9" x14ac:dyDescent="0.2">
      <c r="A89" s="2">
        <f ca="1">IFERROR(__xludf.DUMMYFUNCTION("""COMPUTED_VALUE"""),45439.6666666666)</f>
        <v>45439.666666666599</v>
      </c>
      <c r="B89" s="6">
        <v>45439</v>
      </c>
      <c r="C89">
        <v>4700</v>
      </c>
      <c r="D89">
        <v>4720</v>
      </c>
      <c r="E89">
        <v>4550</v>
      </c>
      <c r="F89">
        <v>4550</v>
      </c>
      <c r="G89">
        <v>363719300</v>
      </c>
      <c r="H89" s="4">
        <f t="shared" si="2"/>
        <v>-3.6016949152542374E-2</v>
      </c>
      <c r="I89" s="4">
        <f t="shared" si="3"/>
        <v>-0.19823788546255505</v>
      </c>
    </row>
    <row r="90" spans="1:9" x14ac:dyDescent="0.2">
      <c r="A90" s="2">
        <f ca="1">IFERROR(__xludf.DUMMYFUNCTION("""COMPUTED_VALUE"""),45440.6666666666)</f>
        <v>45440.666666666599</v>
      </c>
      <c r="B90" s="6">
        <v>45440</v>
      </c>
      <c r="C90">
        <v>4580</v>
      </c>
      <c r="D90">
        <v>4630</v>
      </c>
      <c r="E90">
        <v>4520</v>
      </c>
      <c r="F90">
        <v>4530</v>
      </c>
      <c r="G90">
        <v>258070200</v>
      </c>
      <c r="H90" s="4">
        <f t="shared" si="2"/>
        <v>-4.3956043956043956E-3</v>
      </c>
      <c r="I90" s="4">
        <f t="shared" si="3"/>
        <v>-0.20176211453744494</v>
      </c>
    </row>
    <row r="91" spans="1:9" x14ac:dyDescent="0.2">
      <c r="A91" s="2">
        <f ca="1">IFERROR(__xludf.DUMMYFUNCTION("""COMPUTED_VALUE"""),45441.6666666666)</f>
        <v>45441.666666666599</v>
      </c>
      <c r="B91" s="6">
        <v>45441</v>
      </c>
      <c r="C91">
        <v>4480</v>
      </c>
      <c r="D91">
        <v>4500</v>
      </c>
      <c r="E91">
        <v>4400</v>
      </c>
      <c r="F91">
        <v>4410</v>
      </c>
      <c r="G91">
        <v>465008500</v>
      </c>
      <c r="H91" s="4">
        <f t="shared" si="2"/>
        <v>-2.6490066225165563E-2</v>
      </c>
      <c r="I91" s="4">
        <f t="shared" si="3"/>
        <v>-0.22290748898678414</v>
      </c>
    </row>
    <row r="92" spans="1:9" x14ac:dyDescent="0.2">
      <c r="A92" s="2">
        <f ca="1">IFERROR(__xludf.DUMMYFUNCTION("""COMPUTED_VALUE"""),45442.6666666666)</f>
        <v>45442.666666666599</v>
      </c>
      <c r="B92" s="6">
        <v>45442</v>
      </c>
      <c r="C92">
        <v>4400</v>
      </c>
      <c r="D92">
        <v>4480</v>
      </c>
      <c r="E92">
        <v>4310</v>
      </c>
      <c r="F92">
        <v>4380</v>
      </c>
      <c r="G92">
        <v>502927800</v>
      </c>
      <c r="H92" s="4">
        <f t="shared" si="2"/>
        <v>-6.8027210884353739E-3</v>
      </c>
      <c r="I92" s="4">
        <f t="shared" si="3"/>
        <v>-0.22819383259911893</v>
      </c>
    </row>
    <row r="93" spans="1:9" x14ac:dyDescent="0.2">
      <c r="A93" s="2">
        <f ca="1">IFERROR(__xludf.DUMMYFUNCTION("""COMPUTED_VALUE"""),45443.6666666666)</f>
        <v>45443.666666666599</v>
      </c>
      <c r="B93" s="6">
        <v>45443</v>
      </c>
      <c r="C93">
        <v>4430</v>
      </c>
      <c r="D93">
        <v>4470</v>
      </c>
      <c r="E93">
        <v>4330</v>
      </c>
      <c r="F93">
        <v>4340</v>
      </c>
      <c r="G93">
        <v>655144100</v>
      </c>
      <c r="H93" s="4">
        <f t="shared" si="2"/>
        <v>-9.1324200913242004E-3</v>
      </c>
      <c r="I93" s="4">
        <f t="shared" si="3"/>
        <v>-0.23524229074889869</v>
      </c>
    </row>
    <row r="94" spans="1:9" x14ac:dyDescent="0.2">
      <c r="A94" s="2">
        <f ca="1">IFERROR(__xludf.DUMMYFUNCTION("""COMPUTED_VALUE"""),45446.6666666666)</f>
        <v>45446.666666666599</v>
      </c>
      <c r="B94" s="6">
        <v>45446</v>
      </c>
      <c r="C94">
        <v>4430</v>
      </c>
      <c r="D94">
        <v>4560</v>
      </c>
      <c r="E94">
        <v>4400</v>
      </c>
      <c r="F94">
        <v>4530</v>
      </c>
      <c r="G94">
        <v>345770100</v>
      </c>
      <c r="H94" s="4">
        <f t="shared" si="2"/>
        <v>4.377880184331797E-2</v>
      </c>
      <c r="I94" s="4">
        <f t="shared" si="3"/>
        <v>-0.20176211453744494</v>
      </c>
    </row>
    <row r="95" spans="1:9" x14ac:dyDescent="0.2">
      <c r="A95" s="2">
        <f ca="1">IFERROR(__xludf.DUMMYFUNCTION("""COMPUTED_VALUE"""),45447.6666666666)</f>
        <v>45447.666666666599</v>
      </c>
      <c r="B95" s="6">
        <v>45447</v>
      </c>
      <c r="C95">
        <v>4560</v>
      </c>
      <c r="D95">
        <v>4590</v>
      </c>
      <c r="E95">
        <v>4450</v>
      </c>
      <c r="F95">
        <v>4450</v>
      </c>
      <c r="G95">
        <v>332902200</v>
      </c>
      <c r="H95" s="4">
        <f t="shared" si="2"/>
        <v>-1.7660044150110375E-2</v>
      </c>
      <c r="I95" s="4">
        <f t="shared" si="3"/>
        <v>-0.21585903083700442</v>
      </c>
    </row>
    <row r="96" spans="1:9" x14ac:dyDescent="0.2">
      <c r="A96" s="2">
        <f ca="1">IFERROR(__xludf.DUMMYFUNCTION("""COMPUTED_VALUE"""),45448.6666666666)</f>
        <v>45448.666666666599</v>
      </c>
      <c r="B96" s="6">
        <v>45448</v>
      </c>
      <c r="C96">
        <v>4500</v>
      </c>
      <c r="D96">
        <v>4500</v>
      </c>
      <c r="E96">
        <v>4400</v>
      </c>
      <c r="F96">
        <v>4400</v>
      </c>
      <c r="G96">
        <v>240788500</v>
      </c>
      <c r="H96" s="4">
        <f t="shared" si="2"/>
        <v>-1.1235955056179775E-2</v>
      </c>
      <c r="I96" s="4">
        <f t="shared" si="3"/>
        <v>-0.22466960352422907</v>
      </c>
    </row>
    <row r="97" spans="1:9" x14ac:dyDescent="0.2">
      <c r="A97" s="2">
        <f ca="1">IFERROR(__xludf.DUMMYFUNCTION("""COMPUTED_VALUE"""),45449.6666666666)</f>
        <v>45449.666666666599</v>
      </c>
      <c r="B97" s="6"/>
      <c r="C97">
        <v>4450</v>
      </c>
      <c r="D97">
        <v>4500</v>
      </c>
      <c r="E97">
        <v>4390</v>
      </c>
      <c r="F97">
        <v>4500</v>
      </c>
      <c r="G97">
        <v>281534200</v>
      </c>
      <c r="H97" s="4">
        <f t="shared" si="2"/>
        <v>2.2727272727272728E-2</v>
      </c>
      <c r="I97" s="4">
        <f t="shared" si="3"/>
        <v>-0.20704845814977973</v>
      </c>
    </row>
    <row r="98" spans="1:9" x14ac:dyDescent="0.2">
      <c r="A98" s="2">
        <f ca="1">IFERROR(__xludf.DUMMYFUNCTION("""COMPUTED_VALUE"""),45450.6666666666)</f>
        <v>45450.666666666599</v>
      </c>
      <c r="B98" s="6"/>
      <c r="C98">
        <v>4490</v>
      </c>
      <c r="D98">
        <v>4500</v>
      </c>
      <c r="E98">
        <v>4350</v>
      </c>
      <c r="F98">
        <v>4350</v>
      </c>
      <c r="G98">
        <v>375439600</v>
      </c>
      <c r="H98" s="4">
        <f t="shared" si="2"/>
        <v>-3.3333333333333333E-2</v>
      </c>
      <c r="I98" s="4">
        <f t="shared" si="3"/>
        <v>-0.23348017621145375</v>
      </c>
    </row>
    <row r="99" spans="1:9" x14ac:dyDescent="0.2">
      <c r="A99" s="2">
        <f ca="1">IFERROR(__xludf.DUMMYFUNCTION("""COMPUTED_VALUE"""),45453.6666666666)</f>
        <v>45453.666666666599</v>
      </c>
      <c r="B99" s="6"/>
      <c r="C99">
        <v>4350</v>
      </c>
      <c r="D99">
        <v>4430</v>
      </c>
      <c r="E99">
        <v>4320</v>
      </c>
      <c r="F99">
        <v>4400</v>
      </c>
      <c r="G99">
        <v>181387000</v>
      </c>
      <c r="H99" s="4">
        <f t="shared" si="2"/>
        <v>1.1494252873563218E-2</v>
      </c>
      <c r="I99" s="4">
        <f t="shared" si="3"/>
        <v>-0.22466960352422907</v>
      </c>
    </row>
    <row r="100" spans="1:9" x14ac:dyDescent="0.2">
      <c r="A100" s="2">
        <f ca="1">IFERROR(__xludf.DUMMYFUNCTION("""COMPUTED_VALUE"""),45454.6666666666)</f>
        <v>45454.666666666599</v>
      </c>
      <c r="B100" s="6"/>
      <c r="C100">
        <v>4380</v>
      </c>
      <c r="D100">
        <v>4440</v>
      </c>
      <c r="E100">
        <v>4340</v>
      </c>
      <c r="F100">
        <v>4340</v>
      </c>
      <c r="G100">
        <v>197854400</v>
      </c>
      <c r="H100" s="4">
        <f t="shared" si="2"/>
        <v>-1.3636363636363636E-2</v>
      </c>
      <c r="I100" s="4">
        <f t="shared" si="3"/>
        <v>-0.23524229074889869</v>
      </c>
    </row>
    <row r="101" spans="1:9" x14ac:dyDescent="0.2">
      <c r="A101" s="2">
        <f ca="1">IFERROR(__xludf.DUMMYFUNCTION("""COMPUTED_VALUE"""),45455.6666666666)</f>
        <v>45455.666666666599</v>
      </c>
      <c r="B101" s="6"/>
      <c r="C101">
        <v>4340</v>
      </c>
      <c r="D101">
        <v>4360</v>
      </c>
      <c r="E101">
        <v>4310</v>
      </c>
      <c r="F101">
        <v>4350</v>
      </c>
      <c r="G101">
        <v>187332500</v>
      </c>
      <c r="H101" s="4">
        <f t="shared" si="2"/>
        <v>2.304147465437788E-3</v>
      </c>
      <c r="I101" s="4">
        <f t="shared" si="3"/>
        <v>-0.23348017621145375</v>
      </c>
    </row>
    <row r="102" spans="1:9" x14ac:dyDescent="0.2">
      <c r="A102" s="2">
        <f ca="1">IFERROR(__xludf.DUMMYFUNCTION("""COMPUTED_VALUE"""),45456.6666666666)</f>
        <v>45456.666666666599</v>
      </c>
      <c r="B102" s="6"/>
      <c r="C102">
        <v>4400</v>
      </c>
      <c r="D102">
        <v>4420</v>
      </c>
      <c r="E102">
        <v>4300</v>
      </c>
      <c r="F102">
        <v>4310</v>
      </c>
      <c r="G102">
        <v>238349600</v>
      </c>
      <c r="H102" s="4">
        <f t="shared" si="2"/>
        <v>-9.1954022988505746E-3</v>
      </c>
      <c r="I102" s="4">
        <f t="shared" si="3"/>
        <v>-0.24052863436123348</v>
      </c>
    </row>
    <row r="103" spans="1:9" x14ac:dyDescent="0.2">
      <c r="A103" s="2">
        <f ca="1">IFERROR(__xludf.DUMMYFUNCTION("""COMPUTED_VALUE"""),45457.6666666666)</f>
        <v>45457.666666666599</v>
      </c>
      <c r="B103" s="6"/>
      <c r="C103">
        <v>4300</v>
      </c>
      <c r="D103">
        <v>4320</v>
      </c>
      <c r="E103">
        <v>4170</v>
      </c>
      <c r="F103">
        <v>4180</v>
      </c>
      <c r="G103">
        <v>358893200</v>
      </c>
      <c r="H103" s="4">
        <f t="shared" si="2"/>
        <v>-3.0162412993039442E-2</v>
      </c>
      <c r="I103" s="4">
        <f t="shared" si="3"/>
        <v>-0.26343612334801764</v>
      </c>
    </row>
    <row r="104" spans="1:9" x14ac:dyDescent="0.2">
      <c r="A104" s="2">
        <f ca="1">IFERROR(__xludf.DUMMYFUNCTION("""COMPUTED_VALUE"""),45462.6666666666)</f>
        <v>45462.666666666599</v>
      </c>
      <c r="B104" s="6"/>
      <c r="C104">
        <v>4100</v>
      </c>
      <c r="D104">
        <v>4240</v>
      </c>
      <c r="E104">
        <v>4090</v>
      </c>
      <c r="F104">
        <v>4100</v>
      </c>
      <c r="G104">
        <v>410338400</v>
      </c>
      <c r="H104" s="4">
        <f t="shared" si="2"/>
        <v>-1.9138755980861243E-2</v>
      </c>
      <c r="I104" s="4">
        <f t="shared" si="3"/>
        <v>-0.27753303964757708</v>
      </c>
    </row>
    <row r="105" spans="1:9" x14ac:dyDescent="0.2">
      <c r="A105" s="2">
        <f ca="1">IFERROR(__xludf.DUMMYFUNCTION("""COMPUTED_VALUE"""),45463.6666666666)</f>
        <v>45463.666666666599</v>
      </c>
      <c r="B105" s="6"/>
      <c r="C105">
        <v>4130</v>
      </c>
      <c r="D105">
        <v>4270</v>
      </c>
      <c r="E105">
        <v>4130</v>
      </c>
      <c r="F105">
        <v>4270</v>
      </c>
      <c r="G105">
        <v>387133400</v>
      </c>
      <c r="H105" s="4">
        <f t="shared" si="2"/>
        <v>4.1463414634146344E-2</v>
      </c>
      <c r="I105" s="4">
        <f t="shared" si="3"/>
        <v>-0.2475770925110132</v>
      </c>
    </row>
    <row r="106" spans="1:9" x14ac:dyDescent="0.2">
      <c r="A106" s="2">
        <f ca="1">IFERROR(__xludf.DUMMYFUNCTION("""COMPUTED_VALUE"""),45464.6666666666)</f>
        <v>45464.666666666599</v>
      </c>
      <c r="B106" s="6"/>
      <c r="C106">
        <v>4280</v>
      </c>
      <c r="D106">
        <v>4490</v>
      </c>
      <c r="E106">
        <v>4260</v>
      </c>
      <c r="F106">
        <v>4440</v>
      </c>
      <c r="G106">
        <v>532713300</v>
      </c>
      <c r="H106" s="4">
        <f t="shared" si="2"/>
        <v>3.9812646370023422E-2</v>
      </c>
      <c r="I106" s="4">
        <f t="shared" si="3"/>
        <v>-0.21762114537444935</v>
      </c>
    </row>
    <row r="107" spans="1:9" x14ac:dyDescent="0.2">
      <c r="A107" s="2">
        <f ca="1">IFERROR(__xludf.DUMMYFUNCTION("""COMPUTED_VALUE"""),45467.6666666666)</f>
        <v>45467.666666666599</v>
      </c>
      <c r="B107" s="6"/>
      <c r="C107">
        <v>4440</v>
      </c>
      <c r="D107">
        <v>4510</v>
      </c>
      <c r="E107">
        <v>4400</v>
      </c>
      <c r="F107">
        <v>4400</v>
      </c>
      <c r="G107">
        <v>303830800</v>
      </c>
      <c r="H107" s="4">
        <f t="shared" si="2"/>
        <v>-9.0090090090090089E-3</v>
      </c>
      <c r="I107" s="4">
        <f t="shared" si="3"/>
        <v>-0.22466960352422907</v>
      </c>
    </row>
    <row r="108" spans="1:9" x14ac:dyDescent="0.2">
      <c r="A108" s="2">
        <f ca="1">IFERROR(__xludf.DUMMYFUNCTION("""COMPUTED_VALUE"""),45468.6666666666)</f>
        <v>45468.666666666599</v>
      </c>
      <c r="B108" s="6"/>
      <c r="C108">
        <v>4320</v>
      </c>
      <c r="D108">
        <v>4400</v>
      </c>
      <c r="E108">
        <v>4280</v>
      </c>
      <c r="F108">
        <v>4380</v>
      </c>
      <c r="G108">
        <v>383572500</v>
      </c>
      <c r="H108" s="4">
        <f t="shared" si="2"/>
        <v>-4.5454545454545452E-3</v>
      </c>
      <c r="I108" s="4">
        <f t="shared" si="3"/>
        <v>-0.22819383259911893</v>
      </c>
    </row>
    <row r="109" spans="1:9" x14ac:dyDescent="0.2">
      <c r="A109" s="2">
        <f ca="1">IFERROR(__xludf.DUMMYFUNCTION("""COMPUTED_VALUE"""),45469.6666666666)</f>
        <v>45469.666666666599</v>
      </c>
      <c r="B109" s="6"/>
      <c r="C109">
        <v>4390</v>
      </c>
      <c r="D109">
        <v>4430</v>
      </c>
      <c r="E109">
        <v>4350</v>
      </c>
      <c r="F109">
        <v>4370</v>
      </c>
      <c r="G109">
        <v>150303400</v>
      </c>
      <c r="H109" s="4">
        <f t="shared" si="2"/>
        <v>-2.2831050228310501E-3</v>
      </c>
      <c r="I109" s="4">
        <f t="shared" si="3"/>
        <v>-0.22995594713656387</v>
      </c>
    </row>
    <row r="110" spans="1:9" x14ac:dyDescent="0.2">
      <c r="A110" s="2">
        <f ca="1">IFERROR(__xludf.DUMMYFUNCTION("""COMPUTED_VALUE"""),45470.6666666666)</f>
        <v>45470.666666666599</v>
      </c>
      <c r="B110" s="6"/>
      <c r="C110">
        <v>4410</v>
      </c>
      <c r="D110">
        <v>4500</v>
      </c>
      <c r="E110">
        <v>4380</v>
      </c>
      <c r="F110">
        <v>4460</v>
      </c>
      <c r="G110">
        <v>299430600</v>
      </c>
      <c r="H110" s="4">
        <f t="shared" si="2"/>
        <v>2.0594965675057208E-2</v>
      </c>
      <c r="I110" s="4">
        <f t="shared" si="3"/>
        <v>-0.21409691629955946</v>
      </c>
    </row>
    <row r="111" spans="1:9" x14ac:dyDescent="0.2">
      <c r="A111" s="2">
        <f ca="1">IFERROR(__xludf.DUMMYFUNCTION("""COMPUTED_VALUE"""),45471.6666666666)</f>
        <v>45471.666666666599</v>
      </c>
      <c r="B111" s="6"/>
      <c r="C111">
        <v>4590</v>
      </c>
      <c r="D111">
        <v>4640</v>
      </c>
      <c r="E111">
        <v>4580</v>
      </c>
      <c r="F111">
        <v>4600</v>
      </c>
      <c r="G111">
        <v>581319300</v>
      </c>
      <c r="H111" s="4">
        <f t="shared" si="2"/>
        <v>3.1390134529147982E-2</v>
      </c>
      <c r="I111" s="4">
        <f t="shared" si="3"/>
        <v>-0.1894273127753304</v>
      </c>
    </row>
    <row r="112" spans="1:9" x14ac:dyDescent="0.2">
      <c r="A112" s="2">
        <f ca="1">IFERROR(__xludf.DUMMYFUNCTION("""COMPUTED_VALUE"""),45474.6666666666)</f>
        <v>45474.666666666599</v>
      </c>
      <c r="B112" s="6"/>
      <c r="C112">
        <v>4630</v>
      </c>
      <c r="D112">
        <v>4670</v>
      </c>
      <c r="E112">
        <v>4560</v>
      </c>
      <c r="F112">
        <v>4630</v>
      </c>
      <c r="G112">
        <v>261421200</v>
      </c>
      <c r="H112" s="4">
        <f t="shared" si="2"/>
        <v>6.5217391304347823E-3</v>
      </c>
      <c r="I112" s="4">
        <f t="shared" si="3"/>
        <v>-0.1841409691629956</v>
      </c>
    </row>
    <row r="113" spans="1:9" x14ac:dyDescent="0.2">
      <c r="A113" s="2">
        <f ca="1">IFERROR(__xludf.DUMMYFUNCTION("""COMPUTED_VALUE"""),45475.6666666666)</f>
        <v>45475.666666666599</v>
      </c>
      <c r="B113" s="6"/>
      <c r="C113">
        <v>4610</v>
      </c>
      <c r="D113">
        <v>4630</v>
      </c>
      <c r="E113">
        <v>4570</v>
      </c>
      <c r="F113">
        <v>4570</v>
      </c>
      <c r="G113">
        <v>234403100</v>
      </c>
      <c r="H113" s="4">
        <f t="shared" si="2"/>
        <v>-1.2958963282937365E-2</v>
      </c>
      <c r="I113" s="4">
        <f t="shared" si="3"/>
        <v>-0.19471365638766519</v>
      </c>
    </row>
    <row r="114" spans="1:9" x14ac:dyDescent="0.2">
      <c r="A114" s="2">
        <f ca="1">IFERROR(__xludf.DUMMYFUNCTION("""COMPUTED_VALUE"""),45476.6666666666)</f>
        <v>45476.666666666599</v>
      </c>
      <c r="B114" s="6"/>
      <c r="C114">
        <v>4630</v>
      </c>
      <c r="D114">
        <v>4640</v>
      </c>
      <c r="E114">
        <v>4560</v>
      </c>
      <c r="F114">
        <v>4600</v>
      </c>
      <c r="G114">
        <v>176310400</v>
      </c>
      <c r="H114" s="4">
        <f t="shared" si="2"/>
        <v>6.5645514223194746E-3</v>
      </c>
      <c r="I114" s="4">
        <f t="shared" si="3"/>
        <v>-0.1894273127753304</v>
      </c>
    </row>
    <row r="115" spans="1:9" x14ac:dyDescent="0.2">
      <c r="A115" s="2">
        <f ca="1">IFERROR(__xludf.DUMMYFUNCTION("""COMPUTED_VALUE"""),45477.6666666666)</f>
        <v>45477.666666666599</v>
      </c>
      <c r="B115" s="6"/>
      <c r="C115">
        <v>4680</v>
      </c>
      <c r="D115">
        <v>4830</v>
      </c>
      <c r="E115">
        <v>4660</v>
      </c>
      <c r="F115">
        <v>4790</v>
      </c>
      <c r="G115">
        <v>422261500</v>
      </c>
      <c r="H115" s="4">
        <f t="shared" si="2"/>
        <v>4.1304347826086954E-2</v>
      </c>
      <c r="I115" s="4">
        <f t="shared" si="3"/>
        <v>-0.15594713656387665</v>
      </c>
    </row>
    <row r="116" spans="1:9" x14ac:dyDescent="0.2">
      <c r="A116" s="2">
        <f ca="1">IFERROR(__xludf.DUMMYFUNCTION("""COMPUTED_VALUE"""),45478.6666666666)</f>
        <v>45478.666666666599</v>
      </c>
      <c r="B116" s="6"/>
      <c r="C116">
        <v>4850</v>
      </c>
      <c r="D116">
        <v>4870</v>
      </c>
      <c r="E116">
        <v>4790</v>
      </c>
      <c r="F116">
        <v>4800</v>
      </c>
      <c r="G116">
        <v>218278000</v>
      </c>
      <c r="H116" s="4">
        <f t="shared" si="2"/>
        <v>2.0876826722338203E-3</v>
      </c>
      <c r="I116" s="4">
        <f t="shared" si="3"/>
        <v>-0.15418502202643172</v>
      </c>
    </row>
    <row r="117" spans="1:9" x14ac:dyDescent="0.2">
      <c r="A117" s="2">
        <f ca="1">IFERROR(__xludf.DUMMYFUNCTION("""COMPUTED_VALUE"""),45481.6666666666)</f>
        <v>45481.666666666599</v>
      </c>
      <c r="B117" s="6"/>
      <c r="C117">
        <v>4800</v>
      </c>
      <c r="D117">
        <v>4830</v>
      </c>
      <c r="E117">
        <v>4740</v>
      </c>
      <c r="F117">
        <v>4750</v>
      </c>
      <c r="G117">
        <v>222042100</v>
      </c>
      <c r="H117" s="4">
        <f t="shared" si="2"/>
        <v>-1.0416666666666666E-2</v>
      </c>
      <c r="I117" s="4">
        <f t="shared" si="3"/>
        <v>-0.16299559471365638</v>
      </c>
    </row>
    <row r="118" spans="1:9" x14ac:dyDescent="0.2">
      <c r="A118" s="2">
        <f ca="1">IFERROR(__xludf.DUMMYFUNCTION("""COMPUTED_VALUE"""),45482.6666666666)</f>
        <v>45482.666666666599</v>
      </c>
      <c r="B118" s="6"/>
      <c r="C118">
        <v>4780</v>
      </c>
      <c r="D118">
        <v>4930</v>
      </c>
      <c r="E118">
        <v>4750</v>
      </c>
      <c r="F118">
        <v>4870</v>
      </c>
      <c r="G118">
        <v>291320400</v>
      </c>
      <c r="H118" s="4">
        <f t="shared" si="2"/>
        <v>2.5263157894736842E-2</v>
      </c>
      <c r="I118" s="4">
        <f t="shared" si="3"/>
        <v>-0.14185022026431718</v>
      </c>
    </row>
    <row r="119" spans="1:9" x14ac:dyDescent="0.2">
      <c r="A119" s="2">
        <f ca="1">IFERROR(__xludf.DUMMYFUNCTION("""COMPUTED_VALUE"""),45483.6666666666)</f>
        <v>45483.666666666599</v>
      </c>
      <c r="B119" s="6"/>
      <c r="C119">
        <v>4870</v>
      </c>
      <c r="D119">
        <v>4920</v>
      </c>
      <c r="E119">
        <v>4840</v>
      </c>
      <c r="F119">
        <v>4850</v>
      </c>
      <c r="G119">
        <v>167619700</v>
      </c>
      <c r="H119" s="4">
        <f t="shared" si="2"/>
        <v>-4.1067761806981521E-3</v>
      </c>
      <c r="I119" s="4">
        <f t="shared" si="3"/>
        <v>-0.14537444933920704</v>
      </c>
    </row>
    <row r="120" spans="1:9" x14ac:dyDescent="0.2">
      <c r="A120" s="2">
        <f ca="1">IFERROR(__xludf.DUMMYFUNCTION("""COMPUTED_VALUE"""),45484.6666666666)</f>
        <v>45484.666666666599</v>
      </c>
      <c r="B120" s="6"/>
      <c r="C120">
        <v>4910</v>
      </c>
      <c r="D120">
        <v>4920</v>
      </c>
      <c r="E120">
        <v>4840</v>
      </c>
      <c r="F120">
        <v>4840</v>
      </c>
      <c r="G120">
        <v>170461300</v>
      </c>
      <c r="H120" s="4">
        <f t="shared" si="2"/>
        <v>-2.0618556701030928E-3</v>
      </c>
      <c r="I120" s="4">
        <f t="shared" si="3"/>
        <v>-0.14713656387665197</v>
      </c>
    </row>
    <row r="121" spans="1:9" x14ac:dyDescent="0.2">
      <c r="A121" s="2">
        <f ca="1">IFERROR(__xludf.DUMMYFUNCTION("""COMPUTED_VALUE"""),45485.6666666666)</f>
        <v>45485.666666666599</v>
      </c>
      <c r="B121" s="6"/>
      <c r="C121">
        <v>4970</v>
      </c>
      <c r="D121">
        <v>4980</v>
      </c>
      <c r="E121">
        <v>4880</v>
      </c>
      <c r="F121">
        <v>4900</v>
      </c>
      <c r="G121">
        <v>301125400</v>
      </c>
      <c r="H121" s="4">
        <f t="shared" si="2"/>
        <v>1.2396694214876033E-2</v>
      </c>
      <c r="I121" s="4">
        <f t="shared" si="3"/>
        <v>-0.13656387665198239</v>
      </c>
    </row>
    <row r="122" spans="1:9" x14ac:dyDescent="0.2">
      <c r="A122" s="2">
        <f ca="1">IFERROR(__xludf.DUMMYFUNCTION("""COMPUTED_VALUE"""),45488.6666666666)</f>
        <v>45488.666666666599</v>
      </c>
      <c r="B122" s="6"/>
      <c r="C122">
        <v>4920</v>
      </c>
      <c r="D122">
        <v>4930</v>
      </c>
      <c r="E122">
        <v>4810</v>
      </c>
      <c r="F122">
        <v>4820</v>
      </c>
      <c r="G122">
        <v>188713000</v>
      </c>
      <c r="H122" s="4">
        <f t="shared" si="2"/>
        <v>-1.6326530612244899E-2</v>
      </c>
      <c r="I122" s="4">
        <f t="shared" si="3"/>
        <v>-0.15066079295154186</v>
      </c>
    </row>
    <row r="123" spans="1:9" x14ac:dyDescent="0.2">
      <c r="A123" s="2">
        <f ca="1">IFERROR(__xludf.DUMMYFUNCTION("""COMPUTED_VALUE"""),45489.6666666666)</f>
        <v>45489.666666666599</v>
      </c>
      <c r="B123" s="6"/>
      <c r="C123">
        <v>4820</v>
      </c>
      <c r="D123">
        <v>4840</v>
      </c>
      <c r="E123">
        <v>4730</v>
      </c>
      <c r="F123">
        <v>4730</v>
      </c>
      <c r="G123">
        <v>189271400</v>
      </c>
      <c r="H123" s="4">
        <f t="shared" si="2"/>
        <v>-1.8672199170124481E-2</v>
      </c>
      <c r="I123" s="4">
        <f t="shared" si="3"/>
        <v>-0.16651982378854627</v>
      </c>
    </row>
    <row r="124" spans="1:9" x14ac:dyDescent="0.2">
      <c r="A124" s="2">
        <f ca="1">IFERROR(__xludf.DUMMYFUNCTION("""COMPUTED_VALUE"""),45490.6666666666)</f>
        <v>45490.666666666599</v>
      </c>
      <c r="B124" s="6"/>
      <c r="C124">
        <v>4750</v>
      </c>
      <c r="D124">
        <v>4810</v>
      </c>
      <c r="E124">
        <v>4720</v>
      </c>
      <c r="F124">
        <v>4760</v>
      </c>
      <c r="G124">
        <v>263325400</v>
      </c>
      <c r="H124" s="4">
        <f t="shared" si="2"/>
        <v>6.3424947145877377E-3</v>
      </c>
      <c r="I124" s="4">
        <f t="shared" si="3"/>
        <v>-0.16123348017621145</v>
      </c>
    </row>
    <row r="125" spans="1:9" x14ac:dyDescent="0.2">
      <c r="A125" s="2">
        <f ca="1">IFERROR(__xludf.DUMMYFUNCTION("""COMPUTED_VALUE"""),45491.6666666666)</f>
        <v>45491.666666666599</v>
      </c>
      <c r="B125" s="6"/>
      <c r="C125">
        <v>4760</v>
      </c>
      <c r="D125">
        <v>4890</v>
      </c>
      <c r="E125">
        <v>4750</v>
      </c>
      <c r="F125">
        <v>4890</v>
      </c>
      <c r="G125">
        <v>296614900</v>
      </c>
      <c r="H125" s="4">
        <f t="shared" si="2"/>
        <v>2.7310924369747899E-2</v>
      </c>
      <c r="I125" s="4">
        <f t="shared" si="3"/>
        <v>-0.13832599118942732</v>
      </c>
    </row>
    <row r="126" spans="1:9" x14ac:dyDescent="0.2">
      <c r="A126" s="2">
        <f ca="1">IFERROR(__xludf.DUMMYFUNCTION("""COMPUTED_VALUE"""),45492.6666666666)</f>
        <v>45492.666666666599</v>
      </c>
      <c r="B126" s="6"/>
      <c r="C126">
        <v>4870</v>
      </c>
      <c r="D126">
        <v>4910</v>
      </c>
      <c r="E126">
        <v>4850</v>
      </c>
      <c r="F126">
        <v>4900</v>
      </c>
      <c r="G126">
        <v>135104800</v>
      </c>
      <c r="H126" s="4">
        <f t="shared" si="2"/>
        <v>2.0449897750511249E-3</v>
      </c>
      <c r="I126" s="4">
        <f t="shared" si="3"/>
        <v>-0.13656387665198239</v>
      </c>
    </row>
    <row r="127" spans="1:9" x14ac:dyDescent="0.2">
      <c r="A127" s="2">
        <f ca="1">IFERROR(__xludf.DUMMYFUNCTION("""COMPUTED_VALUE"""),45495.6666666666)</f>
        <v>45495.666666666599</v>
      </c>
      <c r="B127" s="6"/>
      <c r="C127">
        <v>4920</v>
      </c>
      <c r="D127">
        <v>4940</v>
      </c>
      <c r="E127">
        <v>4880</v>
      </c>
      <c r="F127">
        <v>4910</v>
      </c>
      <c r="G127">
        <v>140128300</v>
      </c>
      <c r="H127" s="4">
        <f t="shared" si="2"/>
        <v>2.0408163265306124E-3</v>
      </c>
      <c r="I127" s="4">
        <f t="shared" si="3"/>
        <v>-0.13480176211453745</v>
      </c>
    </row>
    <row r="128" spans="1:9" x14ac:dyDescent="0.2">
      <c r="A128" s="2">
        <f ca="1">IFERROR(__xludf.DUMMYFUNCTION("""COMPUTED_VALUE"""),45496.6666666666)</f>
        <v>45496.666666666599</v>
      </c>
      <c r="B128" s="6"/>
      <c r="C128">
        <v>4900</v>
      </c>
      <c r="D128">
        <v>4910</v>
      </c>
      <c r="E128">
        <v>4780</v>
      </c>
      <c r="F128">
        <v>4790</v>
      </c>
      <c r="G128">
        <v>170919500</v>
      </c>
      <c r="H128" s="4">
        <f t="shared" si="2"/>
        <v>-2.4439918533604887E-2</v>
      </c>
      <c r="I128" s="4">
        <f t="shared" si="3"/>
        <v>-0.15594713656387665</v>
      </c>
    </row>
    <row r="129" spans="1:9" x14ac:dyDescent="0.2">
      <c r="A129" s="2">
        <f ca="1">IFERROR(__xludf.DUMMYFUNCTION("""COMPUTED_VALUE"""),45497.6666666666)</f>
        <v>45497.666666666599</v>
      </c>
      <c r="B129" s="6"/>
      <c r="C129">
        <v>4770</v>
      </c>
      <c r="D129">
        <v>4800</v>
      </c>
      <c r="E129">
        <v>4760</v>
      </c>
      <c r="F129">
        <v>4780</v>
      </c>
      <c r="G129">
        <v>116037600</v>
      </c>
      <c r="H129" s="4">
        <f t="shared" si="2"/>
        <v>-2.0876826722338203E-3</v>
      </c>
      <c r="I129" s="4">
        <f t="shared" si="3"/>
        <v>-0.15770925110132158</v>
      </c>
    </row>
    <row r="130" spans="1:9" x14ac:dyDescent="0.2">
      <c r="A130" s="2">
        <f ca="1">IFERROR(__xludf.DUMMYFUNCTION("""COMPUTED_VALUE"""),45498.6666666666)</f>
        <v>45498.666666666599</v>
      </c>
      <c r="B130" s="6"/>
      <c r="C130">
        <v>4760</v>
      </c>
      <c r="D130">
        <v>4760</v>
      </c>
      <c r="E130">
        <v>4660</v>
      </c>
      <c r="F130">
        <v>4700</v>
      </c>
      <c r="G130">
        <v>274397700</v>
      </c>
      <c r="H130" s="4">
        <f t="shared" si="2"/>
        <v>-1.6736401673640166E-2</v>
      </c>
      <c r="I130" s="4">
        <f t="shared" si="3"/>
        <v>-0.17180616740088106</v>
      </c>
    </row>
    <row r="131" spans="1:9" x14ac:dyDescent="0.2">
      <c r="A131" s="2">
        <f ca="1">IFERROR(__xludf.DUMMYFUNCTION("""COMPUTED_VALUE"""),45499.6666666666)</f>
        <v>45499.666666666599</v>
      </c>
      <c r="B131" s="6"/>
      <c r="C131">
        <v>4760</v>
      </c>
      <c r="D131">
        <v>4810</v>
      </c>
      <c r="E131">
        <v>4740</v>
      </c>
      <c r="F131">
        <v>4760</v>
      </c>
      <c r="G131">
        <v>192267300</v>
      </c>
      <c r="H131" s="4">
        <f t="shared" si="2"/>
        <v>1.276595744680851E-2</v>
      </c>
      <c r="I131" s="4">
        <f t="shared" si="3"/>
        <v>-0.16123348017621145</v>
      </c>
    </row>
    <row r="132" spans="1:9" x14ac:dyDescent="0.2">
      <c r="A132" s="2">
        <f ca="1">IFERROR(__xludf.DUMMYFUNCTION("""COMPUTED_VALUE"""),45502.6666666666)</f>
        <v>45502.666666666599</v>
      </c>
      <c r="B132" s="6"/>
      <c r="C132">
        <v>4800</v>
      </c>
      <c r="D132">
        <v>4800</v>
      </c>
      <c r="E132">
        <v>4760</v>
      </c>
      <c r="F132">
        <v>4780</v>
      </c>
      <c r="G132">
        <v>126109900</v>
      </c>
      <c r="H132" s="4">
        <f t="shared" ref="H132:H195" si="4">(F132-F131)/F131</f>
        <v>4.2016806722689074E-3</v>
      </c>
      <c r="I132" s="4">
        <f t="shared" ref="I132:I195" si="5">(F132-$F$2)/$F$2</f>
        <v>-0.15770925110132158</v>
      </c>
    </row>
    <row r="133" spans="1:9" x14ac:dyDescent="0.2">
      <c r="A133" s="2">
        <f ca="1">IFERROR(__xludf.DUMMYFUNCTION("""COMPUTED_VALUE"""),45503.6666666666)</f>
        <v>45503.666666666599</v>
      </c>
      <c r="B133" s="6"/>
      <c r="C133">
        <v>4720</v>
      </c>
      <c r="D133">
        <v>4740</v>
      </c>
      <c r="E133">
        <v>4670</v>
      </c>
      <c r="F133">
        <v>4670</v>
      </c>
      <c r="G133">
        <v>201835700</v>
      </c>
      <c r="H133" s="4">
        <f t="shared" si="4"/>
        <v>-2.3012552301255231E-2</v>
      </c>
      <c r="I133" s="4">
        <f t="shared" si="5"/>
        <v>-0.17709251101321585</v>
      </c>
    </row>
    <row r="134" spans="1:9" x14ac:dyDescent="0.2">
      <c r="A134" s="2">
        <f ca="1">IFERROR(__xludf.DUMMYFUNCTION("""COMPUTED_VALUE"""),45504.6666666666)</f>
        <v>45504.666666666599</v>
      </c>
      <c r="B134" s="6"/>
      <c r="C134">
        <v>4650</v>
      </c>
      <c r="D134">
        <v>4710</v>
      </c>
      <c r="E134">
        <v>4650</v>
      </c>
      <c r="F134">
        <v>4670</v>
      </c>
      <c r="G134">
        <v>168490300</v>
      </c>
      <c r="H134" s="4">
        <f t="shared" si="4"/>
        <v>0</v>
      </c>
      <c r="I134" s="4">
        <f t="shared" si="5"/>
        <v>-0.17709251101321585</v>
      </c>
    </row>
    <row r="135" spans="1:9" x14ac:dyDescent="0.2">
      <c r="A135" s="2">
        <f ca="1">IFERROR(__xludf.DUMMYFUNCTION("""COMPUTED_VALUE"""),45505.6666666666)</f>
        <v>45505.666666666599</v>
      </c>
      <c r="B135" s="6"/>
      <c r="C135">
        <v>4710</v>
      </c>
      <c r="D135">
        <v>4750</v>
      </c>
      <c r="E135">
        <v>4690</v>
      </c>
      <c r="F135">
        <v>4750</v>
      </c>
      <c r="G135">
        <v>169636700</v>
      </c>
      <c r="H135" s="4">
        <f t="shared" si="4"/>
        <v>1.7130620985010708E-2</v>
      </c>
      <c r="I135" s="4">
        <f t="shared" si="5"/>
        <v>-0.16299559471365638</v>
      </c>
    </row>
    <row r="136" spans="1:9" x14ac:dyDescent="0.2">
      <c r="A136" s="2">
        <f ca="1">IFERROR(__xludf.DUMMYFUNCTION("""COMPUTED_VALUE"""),45506.6666666666)</f>
        <v>45506.666666666599</v>
      </c>
      <c r="B136" s="6"/>
      <c r="C136">
        <v>4730</v>
      </c>
      <c r="D136">
        <v>4750</v>
      </c>
      <c r="E136">
        <v>4690</v>
      </c>
      <c r="F136">
        <v>4710</v>
      </c>
      <c r="G136">
        <v>113328400</v>
      </c>
      <c r="H136" s="4">
        <f t="shared" si="4"/>
        <v>-8.4210526315789472E-3</v>
      </c>
      <c r="I136" s="4">
        <f t="shared" si="5"/>
        <v>-0.17004405286343613</v>
      </c>
    </row>
    <row r="137" spans="1:9" x14ac:dyDescent="0.2">
      <c r="A137" s="2">
        <f ca="1">IFERROR(__xludf.DUMMYFUNCTION("""COMPUTED_VALUE"""),45509.6666666666)</f>
        <v>45509.666666666599</v>
      </c>
      <c r="B137" s="6"/>
      <c r="C137">
        <v>4660</v>
      </c>
      <c r="D137">
        <v>4670</v>
      </c>
      <c r="E137">
        <v>4510</v>
      </c>
      <c r="F137">
        <v>4530</v>
      </c>
      <c r="G137">
        <v>329430900</v>
      </c>
      <c r="H137" s="4">
        <f t="shared" si="4"/>
        <v>-3.8216560509554139E-2</v>
      </c>
      <c r="I137" s="4">
        <f t="shared" si="5"/>
        <v>-0.20176211453744494</v>
      </c>
    </row>
    <row r="138" spans="1:9" x14ac:dyDescent="0.2">
      <c r="A138" s="2">
        <f ca="1">IFERROR(__xludf.DUMMYFUNCTION("""COMPUTED_VALUE"""),45510.6666666666)</f>
        <v>45510.666666666599</v>
      </c>
      <c r="B138" s="6"/>
      <c r="C138">
        <v>4550</v>
      </c>
      <c r="D138">
        <v>4650</v>
      </c>
      <c r="E138">
        <v>4520</v>
      </c>
      <c r="F138">
        <v>4600</v>
      </c>
      <c r="G138">
        <v>238051800</v>
      </c>
      <c r="H138" s="4">
        <f t="shared" si="4"/>
        <v>1.5452538631346579E-2</v>
      </c>
      <c r="I138" s="4">
        <f t="shared" si="5"/>
        <v>-0.1894273127753304</v>
      </c>
    </row>
    <row r="139" spans="1:9" x14ac:dyDescent="0.2">
      <c r="A139" s="2">
        <f ca="1">IFERROR(__xludf.DUMMYFUNCTION("""COMPUTED_VALUE"""),45511.6666666666)</f>
        <v>45511.666666666599</v>
      </c>
      <c r="B139" s="6"/>
      <c r="C139">
        <v>4640</v>
      </c>
      <c r="D139">
        <v>4640</v>
      </c>
      <c r="E139">
        <v>4590</v>
      </c>
      <c r="F139">
        <v>4620</v>
      </c>
      <c r="G139">
        <v>125984100</v>
      </c>
      <c r="H139" s="4">
        <f t="shared" si="4"/>
        <v>4.3478260869565218E-3</v>
      </c>
      <c r="I139" s="4">
        <f t="shared" si="5"/>
        <v>-0.18590308370044054</v>
      </c>
    </row>
    <row r="140" spans="1:9" x14ac:dyDescent="0.2">
      <c r="A140" s="2">
        <f ca="1">IFERROR(__xludf.DUMMYFUNCTION("""COMPUTED_VALUE"""),45512.6666666666)</f>
        <v>45512.666666666599</v>
      </c>
      <c r="B140" s="6"/>
      <c r="C140">
        <v>4600</v>
      </c>
      <c r="D140">
        <v>4690</v>
      </c>
      <c r="E140">
        <v>4590</v>
      </c>
      <c r="F140">
        <v>4660</v>
      </c>
      <c r="G140">
        <v>131343400</v>
      </c>
      <c r="H140" s="4">
        <f t="shared" si="4"/>
        <v>8.658008658008658E-3</v>
      </c>
      <c r="I140" s="4">
        <f t="shared" si="5"/>
        <v>-0.17885462555066078</v>
      </c>
    </row>
    <row r="141" spans="1:9" x14ac:dyDescent="0.2">
      <c r="A141" s="2">
        <f ca="1">IFERROR(__xludf.DUMMYFUNCTION("""COMPUTED_VALUE"""),45513.6666666666)</f>
        <v>45513.666666666599</v>
      </c>
      <c r="B141" s="6"/>
      <c r="C141">
        <v>4700</v>
      </c>
      <c r="D141">
        <v>4730</v>
      </c>
      <c r="E141">
        <v>4670</v>
      </c>
      <c r="F141">
        <v>4670</v>
      </c>
      <c r="G141">
        <v>98730900</v>
      </c>
      <c r="H141" s="4">
        <f t="shared" si="4"/>
        <v>2.1459227467811159E-3</v>
      </c>
      <c r="I141" s="4">
        <f t="shared" si="5"/>
        <v>-0.17709251101321585</v>
      </c>
    </row>
    <row r="142" spans="1:9" x14ac:dyDescent="0.2">
      <c r="A142" s="2">
        <f ca="1">IFERROR(__xludf.DUMMYFUNCTION("""COMPUTED_VALUE"""),45516.6666666666)</f>
        <v>45516.666666666599</v>
      </c>
      <c r="B142" s="6"/>
      <c r="C142">
        <v>4720</v>
      </c>
      <c r="D142">
        <v>4720</v>
      </c>
      <c r="E142">
        <v>4650</v>
      </c>
      <c r="F142">
        <v>4680</v>
      </c>
      <c r="G142">
        <v>83552800</v>
      </c>
      <c r="H142" s="4">
        <f t="shared" si="4"/>
        <v>2.1413276231263384E-3</v>
      </c>
      <c r="I142" s="4">
        <f t="shared" si="5"/>
        <v>-0.17533039647577092</v>
      </c>
    </row>
    <row r="143" spans="1:9" x14ac:dyDescent="0.2">
      <c r="A143" s="2">
        <f ca="1">IFERROR(__xludf.DUMMYFUNCTION("""COMPUTED_VALUE"""),45517.6666666666)</f>
        <v>45517.666666666599</v>
      </c>
      <c r="B143" s="6"/>
      <c r="C143">
        <v>4700</v>
      </c>
      <c r="D143">
        <v>4750</v>
      </c>
      <c r="E143">
        <v>4690</v>
      </c>
      <c r="F143">
        <v>4720</v>
      </c>
      <c r="G143">
        <v>109533400</v>
      </c>
      <c r="H143" s="4">
        <f t="shared" si="4"/>
        <v>8.5470085470085479E-3</v>
      </c>
      <c r="I143" s="4">
        <f t="shared" si="5"/>
        <v>-0.1682819383259912</v>
      </c>
    </row>
    <row r="144" spans="1:9" x14ac:dyDescent="0.2">
      <c r="A144" s="2">
        <f ca="1">IFERROR(__xludf.DUMMYFUNCTION("""COMPUTED_VALUE"""),45518.6666666666)</f>
        <v>45518.666666666599</v>
      </c>
      <c r="B144" s="6"/>
      <c r="C144">
        <v>4770</v>
      </c>
      <c r="D144">
        <v>4840</v>
      </c>
      <c r="E144">
        <v>4760</v>
      </c>
      <c r="F144">
        <v>4820</v>
      </c>
      <c r="G144">
        <v>262716500</v>
      </c>
      <c r="H144" s="4">
        <f t="shared" si="4"/>
        <v>2.1186440677966101E-2</v>
      </c>
      <c r="I144" s="4">
        <f t="shared" si="5"/>
        <v>-0.15066079295154186</v>
      </c>
    </row>
    <row r="145" spans="1:9" x14ac:dyDescent="0.2">
      <c r="A145" s="2">
        <f ca="1">IFERROR(__xludf.DUMMYFUNCTION("""COMPUTED_VALUE"""),45519.6666666666)</f>
        <v>45519.666666666599</v>
      </c>
      <c r="B145" s="6"/>
      <c r="C145">
        <v>4850</v>
      </c>
      <c r="D145">
        <v>4870</v>
      </c>
      <c r="E145">
        <v>4790</v>
      </c>
      <c r="F145">
        <v>4830</v>
      </c>
      <c r="G145">
        <v>214394900</v>
      </c>
      <c r="H145" s="4">
        <f t="shared" si="4"/>
        <v>2.0746887966804979E-3</v>
      </c>
      <c r="I145" s="4">
        <f t="shared" si="5"/>
        <v>-0.14889867841409693</v>
      </c>
    </row>
    <row r="146" spans="1:9" x14ac:dyDescent="0.2">
      <c r="A146" s="2">
        <f ca="1">IFERROR(__xludf.DUMMYFUNCTION("""COMPUTED_VALUE"""),45520.6666666666)</f>
        <v>45520.666666666599</v>
      </c>
      <c r="B146" s="6"/>
      <c r="C146">
        <v>4850</v>
      </c>
      <c r="D146">
        <v>4870</v>
      </c>
      <c r="E146">
        <v>4830</v>
      </c>
      <c r="F146">
        <v>4830</v>
      </c>
      <c r="G146">
        <v>149701700</v>
      </c>
      <c r="H146" s="4">
        <f t="shared" si="4"/>
        <v>0</v>
      </c>
      <c r="I146" s="4">
        <f t="shared" si="5"/>
        <v>-0.14889867841409693</v>
      </c>
    </row>
    <row r="147" spans="1:9" x14ac:dyDescent="0.2">
      <c r="A147" s="2">
        <f ca="1">IFERROR(__xludf.DUMMYFUNCTION("""COMPUTED_VALUE"""),45523.6666666666)</f>
        <v>45523.666666666599</v>
      </c>
      <c r="B147" s="6"/>
      <c r="C147">
        <v>4820</v>
      </c>
      <c r="D147">
        <v>4820</v>
      </c>
      <c r="E147">
        <v>4750</v>
      </c>
      <c r="F147">
        <v>4820</v>
      </c>
      <c r="G147">
        <v>196203200</v>
      </c>
      <c r="H147" s="4">
        <f t="shared" si="4"/>
        <v>-2.070393374741201E-3</v>
      </c>
      <c r="I147" s="4">
        <f t="shared" si="5"/>
        <v>-0.15066079295154186</v>
      </c>
    </row>
    <row r="148" spans="1:9" x14ac:dyDescent="0.2">
      <c r="A148" s="2">
        <f ca="1">IFERROR(__xludf.DUMMYFUNCTION("""COMPUTED_VALUE"""),45524.6666666666)</f>
        <v>45524.666666666599</v>
      </c>
      <c r="B148" s="6"/>
      <c r="C148">
        <v>4860</v>
      </c>
      <c r="D148">
        <v>4950</v>
      </c>
      <c r="E148">
        <v>4840</v>
      </c>
      <c r="F148">
        <v>4950</v>
      </c>
      <c r="G148">
        <v>310085500</v>
      </c>
      <c r="H148" s="4">
        <f t="shared" si="4"/>
        <v>2.6970954356846474E-2</v>
      </c>
      <c r="I148" s="4">
        <f t="shared" si="5"/>
        <v>-0.1277533039647577</v>
      </c>
    </row>
    <row r="149" spans="1:9" x14ac:dyDescent="0.2">
      <c r="A149" s="2">
        <f ca="1">IFERROR(__xludf.DUMMYFUNCTION("""COMPUTED_VALUE"""),45525.6666666666)</f>
        <v>45525.666666666599</v>
      </c>
      <c r="B149" s="6"/>
      <c r="C149">
        <v>4990</v>
      </c>
      <c r="D149">
        <v>5100</v>
      </c>
      <c r="E149">
        <v>4980</v>
      </c>
      <c r="F149">
        <v>5100</v>
      </c>
      <c r="G149">
        <v>390307000</v>
      </c>
      <c r="H149" s="4">
        <f t="shared" si="4"/>
        <v>3.0303030303030304E-2</v>
      </c>
      <c r="I149" s="4">
        <f t="shared" si="5"/>
        <v>-0.1013215859030837</v>
      </c>
    </row>
    <row r="150" spans="1:9" x14ac:dyDescent="0.2">
      <c r="A150" s="2">
        <f ca="1">IFERROR(__xludf.DUMMYFUNCTION("""COMPUTED_VALUE"""),45526.6666666666)</f>
        <v>45526.666666666599</v>
      </c>
      <c r="B150" s="6"/>
      <c r="C150">
        <v>5125</v>
      </c>
      <c r="D150">
        <v>5150</v>
      </c>
      <c r="E150">
        <v>5025</v>
      </c>
      <c r="F150">
        <v>5050</v>
      </c>
      <c r="G150">
        <v>474043100</v>
      </c>
      <c r="H150" s="4">
        <f t="shared" si="4"/>
        <v>-9.8039215686274508E-3</v>
      </c>
      <c r="I150" s="4">
        <f t="shared" si="5"/>
        <v>-0.11013215859030837</v>
      </c>
    </row>
    <row r="151" spans="1:9" x14ac:dyDescent="0.2">
      <c r="A151" s="2">
        <f ca="1">IFERROR(__xludf.DUMMYFUNCTION("""COMPUTED_VALUE"""),45527.6666666666)</f>
        <v>45527.666666666599</v>
      </c>
      <c r="B151" s="6"/>
      <c r="C151">
        <v>5150</v>
      </c>
      <c r="D151">
        <v>5200</v>
      </c>
      <c r="E151">
        <v>5125</v>
      </c>
      <c r="F151">
        <v>5150</v>
      </c>
      <c r="G151">
        <v>217759300</v>
      </c>
      <c r="H151" s="4">
        <f t="shared" si="4"/>
        <v>1.9801980198019802E-2</v>
      </c>
      <c r="I151" s="4">
        <f t="shared" si="5"/>
        <v>-9.2511013215859028E-2</v>
      </c>
    </row>
    <row r="152" spans="1:9" x14ac:dyDescent="0.2">
      <c r="A152" s="2">
        <f ca="1">IFERROR(__xludf.DUMMYFUNCTION("""COMPUTED_VALUE"""),45530.6666666666)</f>
        <v>45530.666666666599</v>
      </c>
      <c r="B152" s="6"/>
      <c r="C152">
        <v>5200</v>
      </c>
      <c r="D152">
        <v>5325</v>
      </c>
      <c r="E152">
        <v>5200</v>
      </c>
      <c r="F152">
        <v>5300</v>
      </c>
      <c r="G152">
        <v>361169800</v>
      </c>
      <c r="H152" s="4">
        <f t="shared" si="4"/>
        <v>2.9126213592233011E-2</v>
      </c>
      <c r="I152" s="4">
        <f t="shared" si="5"/>
        <v>-6.6079295154185022E-2</v>
      </c>
    </row>
    <row r="153" spans="1:9" x14ac:dyDescent="0.2">
      <c r="A153" s="2">
        <f ca="1">IFERROR(__xludf.DUMMYFUNCTION("""COMPUTED_VALUE"""),45531.6666666666)</f>
        <v>45531.666666666599</v>
      </c>
      <c r="B153" s="6"/>
      <c r="C153">
        <v>5250</v>
      </c>
      <c r="D153">
        <v>5275</v>
      </c>
      <c r="E153">
        <v>5100</v>
      </c>
      <c r="F153">
        <v>5175</v>
      </c>
      <c r="G153">
        <v>271088700</v>
      </c>
      <c r="H153" s="4">
        <f t="shared" si="4"/>
        <v>-2.358490566037736E-2</v>
      </c>
      <c r="I153" s="4">
        <f t="shared" si="5"/>
        <v>-8.8105726872246701E-2</v>
      </c>
    </row>
    <row r="154" spans="1:9" x14ac:dyDescent="0.2">
      <c r="A154" s="2">
        <f ca="1">IFERROR(__xludf.DUMMYFUNCTION("""COMPUTED_VALUE"""),45532.6666666666)</f>
        <v>45532.666666666599</v>
      </c>
      <c r="B154" s="6"/>
      <c r="C154">
        <v>5100</v>
      </c>
      <c r="D154">
        <v>5175</v>
      </c>
      <c r="E154">
        <v>5025</v>
      </c>
      <c r="F154">
        <v>5150</v>
      </c>
      <c r="G154">
        <v>277561700</v>
      </c>
      <c r="H154" s="4">
        <f t="shared" si="4"/>
        <v>-4.830917874396135E-3</v>
      </c>
      <c r="I154" s="4">
        <f t="shared" si="5"/>
        <v>-9.2511013215859028E-2</v>
      </c>
    </row>
    <row r="155" spans="1:9" x14ac:dyDescent="0.2">
      <c r="A155" s="2">
        <f ca="1">IFERROR(__xludf.DUMMYFUNCTION("""COMPUTED_VALUE"""),45533.6666666666)</f>
        <v>45533.666666666599</v>
      </c>
      <c r="B155" s="6"/>
      <c r="C155">
        <v>5125</v>
      </c>
      <c r="D155">
        <v>5175</v>
      </c>
      <c r="E155">
        <v>5100</v>
      </c>
      <c r="F155">
        <v>5125</v>
      </c>
      <c r="G155">
        <v>160041900</v>
      </c>
      <c r="H155" s="4">
        <f t="shared" si="4"/>
        <v>-4.8543689320388345E-3</v>
      </c>
      <c r="I155" s="4">
        <f t="shared" si="5"/>
        <v>-9.6916299559471369E-2</v>
      </c>
    </row>
    <row r="156" spans="1:9" x14ac:dyDescent="0.2">
      <c r="A156" s="2">
        <f ca="1">IFERROR(__xludf.DUMMYFUNCTION("""COMPUTED_VALUE"""),45534.6666666666)</f>
        <v>45534.666666666599</v>
      </c>
      <c r="B156" s="6"/>
      <c r="C156">
        <v>5175</v>
      </c>
      <c r="D156">
        <v>5175</v>
      </c>
      <c r="E156">
        <v>5125</v>
      </c>
      <c r="F156">
        <v>5150</v>
      </c>
      <c r="G156">
        <v>275298000</v>
      </c>
      <c r="H156" s="4">
        <f t="shared" si="4"/>
        <v>4.8780487804878049E-3</v>
      </c>
      <c r="I156" s="4">
        <f t="shared" si="5"/>
        <v>-9.2511013215859028E-2</v>
      </c>
    </row>
    <row r="157" spans="1:9" x14ac:dyDescent="0.2">
      <c r="A157" s="2">
        <f ca="1">IFERROR(__xludf.DUMMYFUNCTION("""COMPUTED_VALUE"""),45537.6666666666)</f>
        <v>45537.666666666599</v>
      </c>
      <c r="B157" s="6"/>
      <c r="C157">
        <v>5150</v>
      </c>
      <c r="D157">
        <v>5225</v>
      </c>
      <c r="E157">
        <v>5150</v>
      </c>
      <c r="F157">
        <v>5175</v>
      </c>
      <c r="G157">
        <v>136717200</v>
      </c>
      <c r="H157" s="4">
        <f t="shared" si="4"/>
        <v>4.8543689320388345E-3</v>
      </c>
      <c r="I157" s="4">
        <f t="shared" si="5"/>
        <v>-8.8105726872246701E-2</v>
      </c>
    </row>
    <row r="158" spans="1:9" x14ac:dyDescent="0.2">
      <c r="A158" s="2">
        <f ca="1">IFERROR(__xludf.DUMMYFUNCTION("""COMPUTED_VALUE"""),45538.6666666666)</f>
        <v>45538.666666666599</v>
      </c>
      <c r="B158" s="6"/>
      <c r="C158">
        <v>5225</v>
      </c>
      <c r="D158">
        <v>5250</v>
      </c>
      <c r="E158">
        <v>5150</v>
      </c>
      <c r="F158">
        <v>5175</v>
      </c>
      <c r="G158">
        <v>166033900</v>
      </c>
      <c r="H158" s="4">
        <f t="shared" si="4"/>
        <v>0</v>
      </c>
      <c r="I158" s="4">
        <f t="shared" si="5"/>
        <v>-8.8105726872246701E-2</v>
      </c>
    </row>
    <row r="159" spans="1:9" x14ac:dyDescent="0.2">
      <c r="A159" s="2">
        <f ca="1">IFERROR(__xludf.DUMMYFUNCTION("""COMPUTED_VALUE"""),45539.6666666666)</f>
        <v>45539.666666666599</v>
      </c>
      <c r="B159" s="6"/>
      <c r="C159">
        <v>5100</v>
      </c>
      <c r="D159">
        <v>5175</v>
      </c>
      <c r="E159">
        <v>5100</v>
      </c>
      <c r="F159">
        <v>5100</v>
      </c>
      <c r="G159">
        <v>141890400</v>
      </c>
      <c r="H159" s="4">
        <f t="shared" si="4"/>
        <v>-1.4492753623188406E-2</v>
      </c>
      <c r="I159" s="4">
        <f t="shared" si="5"/>
        <v>-0.1013215859030837</v>
      </c>
    </row>
    <row r="160" spans="1:9" x14ac:dyDescent="0.2">
      <c r="A160" s="2">
        <f ca="1">IFERROR(__xludf.DUMMYFUNCTION("""COMPUTED_VALUE"""),45540.6666666666)</f>
        <v>45540.666666666599</v>
      </c>
      <c r="B160" s="6"/>
      <c r="C160">
        <v>5125</v>
      </c>
      <c r="D160">
        <v>5150</v>
      </c>
      <c r="E160">
        <v>5075</v>
      </c>
      <c r="F160">
        <v>5150</v>
      </c>
      <c r="G160">
        <v>166436800</v>
      </c>
      <c r="H160" s="4">
        <f t="shared" si="4"/>
        <v>9.8039215686274508E-3</v>
      </c>
      <c r="I160" s="4">
        <f t="shared" si="5"/>
        <v>-9.2511013215859028E-2</v>
      </c>
    </row>
    <row r="161" spans="1:9" x14ac:dyDescent="0.2">
      <c r="A161" s="2">
        <f ca="1">IFERROR(__xludf.DUMMYFUNCTION("""COMPUTED_VALUE"""),45541.6666666666)</f>
        <v>45541.666666666599</v>
      </c>
      <c r="B161" s="6"/>
      <c r="C161">
        <v>5200</v>
      </c>
      <c r="D161">
        <v>5250</v>
      </c>
      <c r="E161">
        <v>5150</v>
      </c>
      <c r="F161">
        <v>5225</v>
      </c>
      <c r="G161">
        <v>170520700</v>
      </c>
      <c r="H161" s="4">
        <f t="shared" si="4"/>
        <v>1.4563106796116505E-2</v>
      </c>
      <c r="I161" s="4">
        <f t="shared" si="5"/>
        <v>-7.9295154185022032E-2</v>
      </c>
    </row>
    <row r="162" spans="1:9" x14ac:dyDescent="0.2">
      <c r="A162" s="2">
        <f ca="1">IFERROR(__xludf.DUMMYFUNCTION("""COMPUTED_VALUE"""),45544.6666666666)</f>
        <v>45544.666666666599</v>
      </c>
      <c r="B162" s="6"/>
      <c r="C162">
        <v>5275</v>
      </c>
      <c r="D162">
        <v>5300</v>
      </c>
      <c r="E162">
        <v>5150</v>
      </c>
      <c r="F162">
        <v>5175</v>
      </c>
      <c r="G162">
        <v>201448700</v>
      </c>
      <c r="H162" s="4">
        <f t="shared" si="4"/>
        <v>-9.5693779904306216E-3</v>
      </c>
      <c r="I162" s="4">
        <f t="shared" si="5"/>
        <v>-8.8105726872246701E-2</v>
      </c>
    </row>
    <row r="163" spans="1:9" x14ac:dyDescent="0.2">
      <c r="A163" s="2">
        <f ca="1">IFERROR(__xludf.DUMMYFUNCTION("""COMPUTED_VALUE"""),45545.6666666666)</f>
        <v>45545.666666666599</v>
      </c>
      <c r="B163" s="6"/>
      <c r="C163">
        <v>5200</v>
      </c>
      <c r="D163">
        <v>5250</v>
      </c>
      <c r="E163">
        <v>5125</v>
      </c>
      <c r="F163">
        <v>5250</v>
      </c>
      <c r="G163">
        <v>202326400</v>
      </c>
      <c r="H163" s="4">
        <f t="shared" si="4"/>
        <v>1.4492753623188406E-2</v>
      </c>
      <c r="I163" s="4">
        <f t="shared" si="5"/>
        <v>-7.4889867841409691E-2</v>
      </c>
    </row>
    <row r="164" spans="1:9" x14ac:dyDescent="0.2">
      <c r="A164" s="2">
        <f ca="1">IFERROR(__xludf.DUMMYFUNCTION("""COMPUTED_VALUE"""),45546.6666666666)</f>
        <v>45546.666666666599</v>
      </c>
      <c r="B164" s="6"/>
      <c r="C164">
        <v>5225</v>
      </c>
      <c r="D164">
        <v>5250</v>
      </c>
      <c r="E164">
        <v>5125</v>
      </c>
      <c r="F164">
        <v>5175</v>
      </c>
      <c r="G164">
        <v>165284900</v>
      </c>
      <c r="H164" s="4">
        <f t="shared" si="4"/>
        <v>-1.4285714285714285E-2</v>
      </c>
      <c r="I164" s="4">
        <f t="shared" si="5"/>
        <v>-8.8105726872246701E-2</v>
      </c>
    </row>
    <row r="165" spans="1:9" x14ac:dyDescent="0.2">
      <c r="A165" s="2">
        <f ca="1">IFERROR(__xludf.DUMMYFUNCTION("""COMPUTED_VALUE"""),45547.6666666666)</f>
        <v>45547.666666666599</v>
      </c>
      <c r="B165" s="6"/>
      <c r="C165">
        <v>5175</v>
      </c>
      <c r="D165">
        <v>5225</v>
      </c>
      <c r="E165">
        <v>5150</v>
      </c>
      <c r="F165">
        <v>5175</v>
      </c>
      <c r="G165">
        <v>138542100</v>
      </c>
      <c r="H165" s="4">
        <f t="shared" si="4"/>
        <v>0</v>
      </c>
      <c r="I165" s="4">
        <f t="shared" si="5"/>
        <v>-8.8105726872246701E-2</v>
      </c>
    </row>
    <row r="166" spans="1:9" x14ac:dyDescent="0.2">
      <c r="A166" s="2">
        <f ca="1">IFERROR(__xludf.DUMMYFUNCTION("""COMPUTED_VALUE"""),45548.6666666666)</f>
        <v>45548.666666666599</v>
      </c>
      <c r="B166" s="6"/>
      <c r="C166">
        <v>5200</v>
      </c>
      <c r="D166">
        <v>5300</v>
      </c>
      <c r="E166">
        <v>5175</v>
      </c>
      <c r="F166">
        <v>5300</v>
      </c>
      <c r="G166">
        <v>259722600</v>
      </c>
      <c r="H166" s="4">
        <f t="shared" si="4"/>
        <v>2.4154589371980676E-2</v>
      </c>
      <c r="I166" s="4">
        <f t="shared" si="5"/>
        <v>-6.6079295154185022E-2</v>
      </c>
    </row>
    <row r="167" spans="1:9" x14ac:dyDescent="0.2">
      <c r="A167" s="2">
        <f ca="1">IFERROR(__xludf.DUMMYFUNCTION("""COMPUTED_VALUE"""),45552.6666666666)</f>
        <v>45552.666666666599</v>
      </c>
      <c r="B167" s="6"/>
      <c r="C167">
        <v>5350</v>
      </c>
      <c r="D167">
        <v>5350</v>
      </c>
      <c r="E167">
        <v>5250</v>
      </c>
      <c r="F167">
        <v>5300</v>
      </c>
      <c r="G167">
        <v>201331600</v>
      </c>
      <c r="H167" s="4">
        <f t="shared" si="4"/>
        <v>0</v>
      </c>
      <c r="I167" s="4">
        <f t="shared" si="5"/>
        <v>-6.6079295154185022E-2</v>
      </c>
    </row>
    <row r="168" spans="1:9" x14ac:dyDescent="0.2">
      <c r="A168" s="2">
        <f ca="1">IFERROR(__xludf.DUMMYFUNCTION("""COMPUTED_VALUE"""),45553.6666666666)</f>
        <v>45553.666666666599</v>
      </c>
      <c r="B168" s="6"/>
      <c r="C168">
        <v>5350</v>
      </c>
      <c r="D168">
        <v>5375</v>
      </c>
      <c r="E168">
        <v>5325</v>
      </c>
      <c r="F168">
        <v>5350</v>
      </c>
      <c r="G168">
        <v>186877300</v>
      </c>
      <c r="H168" s="4">
        <f t="shared" si="4"/>
        <v>9.433962264150943E-3</v>
      </c>
      <c r="I168" s="4">
        <f t="shared" si="5"/>
        <v>-5.7268722466960353E-2</v>
      </c>
    </row>
    <row r="169" spans="1:9" x14ac:dyDescent="0.2">
      <c r="A169" s="2">
        <f ca="1">IFERROR(__xludf.DUMMYFUNCTION("""COMPUTED_VALUE"""),45554.6666666666)</f>
        <v>45554.666666666599</v>
      </c>
      <c r="B169" s="6"/>
      <c r="C169">
        <v>5425</v>
      </c>
      <c r="D169">
        <v>5500</v>
      </c>
      <c r="E169">
        <v>5400</v>
      </c>
      <c r="F169">
        <v>5400</v>
      </c>
      <c r="G169">
        <v>332941100</v>
      </c>
      <c r="H169" s="4">
        <f t="shared" si="4"/>
        <v>9.3457943925233638E-3</v>
      </c>
      <c r="I169" s="4">
        <f t="shared" si="5"/>
        <v>-4.8458149779735685E-2</v>
      </c>
    </row>
    <row r="170" spans="1:9" x14ac:dyDescent="0.2">
      <c r="A170" s="2">
        <f ca="1">IFERROR(__xludf.DUMMYFUNCTION("""COMPUTED_VALUE"""),45555.6666666666)</f>
        <v>45555.666666666599</v>
      </c>
      <c r="B170" s="6"/>
      <c r="C170">
        <v>5400</v>
      </c>
      <c r="D170">
        <v>5450</v>
      </c>
      <c r="E170">
        <v>5375</v>
      </c>
      <c r="F170">
        <v>5375</v>
      </c>
      <c r="G170">
        <v>260437400</v>
      </c>
      <c r="H170" s="4">
        <f t="shared" si="4"/>
        <v>-4.6296296296296294E-3</v>
      </c>
      <c r="I170" s="4">
        <f t="shared" si="5"/>
        <v>-5.2863436123348019E-2</v>
      </c>
    </row>
    <row r="171" spans="1:9" x14ac:dyDescent="0.2">
      <c r="A171" s="2">
        <f ca="1">IFERROR(__xludf.DUMMYFUNCTION("""COMPUTED_VALUE"""),45558.6666666666)</f>
        <v>45558.666666666599</v>
      </c>
      <c r="B171" s="6"/>
      <c r="C171">
        <v>5350</v>
      </c>
      <c r="D171">
        <v>5500</v>
      </c>
      <c r="E171">
        <v>5350</v>
      </c>
      <c r="F171">
        <v>5500</v>
      </c>
      <c r="G171">
        <v>245292000</v>
      </c>
      <c r="H171" s="4">
        <f t="shared" si="4"/>
        <v>2.3255813953488372E-2</v>
      </c>
      <c r="I171" s="4">
        <f t="shared" si="5"/>
        <v>-3.0837004405286344E-2</v>
      </c>
    </row>
    <row r="172" spans="1:9" x14ac:dyDescent="0.2">
      <c r="A172" s="2">
        <f ca="1">IFERROR(__xludf.DUMMYFUNCTION("""COMPUTED_VALUE"""),45559.6666666666)</f>
        <v>45559.666666666599</v>
      </c>
      <c r="B172" s="6"/>
      <c r="C172">
        <v>5550</v>
      </c>
      <c r="D172">
        <v>5575</v>
      </c>
      <c r="E172">
        <v>5525</v>
      </c>
      <c r="F172">
        <v>5525</v>
      </c>
      <c r="G172">
        <v>195415700</v>
      </c>
      <c r="H172" s="4">
        <f t="shared" si="4"/>
        <v>4.5454545454545452E-3</v>
      </c>
      <c r="I172" s="4">
        <f t="shared" si="5"/>
        <v>-2.643171806167401E-2</v>
      </c>
    </row>
    <row r="173" spans="1:9" x14ac:dyDescent="0.2">
      <c r="A173" s="2">
        <f ca="1">IFERROR(__xludf.DUMMYFUNCTION("""COMPUTED_VALUE"""),45560.6666666666)</f>
        <v>45560.666666666599</v>
      </c>
      <c r="B173" s="6"/>
      <c r="C173">
        <v>5400</v>
      </c>
      <c r="D173">
        <v>5425</v>
      </c>
      <c r="E173">
        <v>5200</v>
      </c>
      <c r="F173">
        <v>5325</v>
      </c>
      <c r="G173">
        <v>607065900</v>
      </c>
      <c r="H173" s="4">
        <f t="shared" si="4"/>
        <v>-3.6199095022624438E-2</v>
      </c>
      <c r="I173" s="4">
        <f t="shared" si="5"/>
        <v>-6.1674008810572688E-2</v>
      </c>
    </row>
    <row r="174" spans="1:9" x14ac:dyDescent="0.2">
      <c r="A174" s="2">
        <f ca="1">IFERROR(__xludf.DUMMYFUNCTION("""COMPUTED_VALUE"""),45561.6666666666)</f>
        <v>45561.666666666599</v>
      </c>
      <c r="B174" s="6"/>
      <c r="C174">
        <v>5150</v>
      </c>
      <c r="D174">
        <v>5200</v>
      </c>
      <c r="E174">
        <v>5025</v>
      </c>
      <c r="F174">
        <v>5050</v>
      </c>
      <c r="G174">
        <v>855266800</v>
      </c>
      <c r="H174" s="4">
        <f t="shared" si="4"/>
        <v>-5.1643192488262914E-2</v>
      </c>
      <c r="I174" s="4">
        <f t="shared" si="5"/>
        <v>-0.11013215859030837</v>
      </c>
    </row>
    <row r="175" spans="1:9" x14ac:dyDescent="0.2">
      <c r="A175" s="2">
        <f ca="1">IFERROR(__xludf.DUMMYFUNCTION("""COMPUTED_VALUE"""),45562.6666666666)</f>
        <v>45562.666666666599</v>
      </c>
      <c r="B175" s="6"/>
      <c r="C175">
        <v>5050</v>
      </c>
      <c r="D175">
        <v>5150</v>
      </c>
      <c r="E175">
        <v>5000</v>
      </c>
      <c r="F175">
        <v>5100</v>
      </c>
      <c r="G175">
        <v>304694300</v>
      </c>
      <c r="H175" s="4">
        <f t="shared" si="4"/>
        <v>9.9009900990099011E-3</v>
      </c>
      <c r="I175" s="4">
        <f t="shared" si="5"/>
        <v>-0.1013215859030837</v>
      </c>
    </row>
    <row r="176" spans="1:9" x14ac:dyDescent="0.2">
      <c r="A176" s="2">
        <f ca="1">IFERROR(__xludf.DUMMYFUNCTION("""COMPUTED_VALUE"""),45565.6666666666)</f>
        <v>45565.666666666599</v>
      </c>
      <c r="B176" s="6"/>
      <c r="C176">
        <v>5050</v>
      </c>
      <c r="D176">
        <v>5050</v>
      </c>
      <c r="E176">
        <v>4950</v>
      </c>
      <c r="F176">
        <v>4950</v>
      </c>
      <c r="G176">
        <v>539169900</v>
      </c>
      <c r="H176" s="4">
        <f t="shared" si="4"/>
        <v>-2.9411764705882353E-2</v>
      </c>
      <c r="I176" s="4">
        <f t="shared" si="5"/>
        <v>-0.1277533039647577</v>
      </c>
    </row>
    <row r="177" spans="1:9" x14ac:dyDescent="0.2">
      <c r="A177" s="2">
        <f ca="1">IFERROR(__xludf.DUMMYFUNCTION("""COMPUTED_VALUE"""),45566.6666666666)</f>
        <v>45566.666666666599</v>
      </c>
      <c r="B177" s="6"/>
      <c r="C177">
        <v>4970</v>
      </c>
      <c r="D177">
        <v>5075</v>
      </c>
      <c r="E177">
        <v>4970</v>
      </c>
      <c r="F177">
        <v>5075</v>
      </c>
      <c r="G177">
        <v>197069300</v>
      </c>
      <c r="H177" s="4">
        <f t="shared" si="4"/>
        <v>2.5252525252525252E-2</v>
      </c>
      <c r="I177" s="4">
        <f t="shared" si="5"/>
        <v>-0.10572687224669604</v>
      </c>
    </row>
    <row r="178" spans="1:9" x14ac:dyDescent="0.2">
      <c r="A178" s="2">
        <f ca="1">IFERROR(__xludf.DUMMYFUNCTION("""COMPUTED_VALUE"""),45567.6666666666)</f>
        <v>45567.666666666599</v>
      </c>
      <c r="B178" s="6"/>
      <c r="C178">
        <v>5000</v>
      </c>
      <c r="D178">
        <v>5075</v>
      </c>
      <c r="E178">
        <v>4900</v>
      </c>
      <c r="F178">
        <v>4940</v>
      </c>
      <c r="G178">
        <v>307487600</v>
      </c>
      <c r="H178" s="4">
        <f t="shared" si="4"/>
        <v>-2.6600985221674877E-2</v>
      </c>
      <c r="I178" s="4">
        <f t="shared" si="5"/>
        <v>-0.12951541850220263</v>
      </c>
    </row>
    <row r="179" spans="1:9" x14ac:dyDescent="0.2">
      <c r="A179" s="2">
        <f ca="1">IFERROR(__xludf.DUMMYFUNCTION("""COMPUTED_VALUE"""),45568.6666666666)</f>
        <v>45568.666666666599</v>
      </c>
      <c r="B179" s="6"/>
      <c r="C179">
        <v>4900</v>
      </c>
      <c r="D179">
        <v>4960</v>
      </c>
      <c r="E179">
        <v>4860</v>
      </c>
      <c r="F179">
        <v>4920</v>
      </c>
      <c r="G179">
        <v>354814800</v>
      </c>
      <c r="H179" s="4">
        <f t="shared" si="4"/>
        <v>-4.048582995951417E-3</v>
      </c>
      <c r="I179" s="4">
        <f t="shared" si="5"/>
        <v>-0.13303964757709252</v>
      </c>
    </row>
    <row r="180" spans="1:9" x14ac:dyDescent="0.2">
      <c r="A180" s="2">
        <f ca="1">IFERROR(__xludf.DUMMYFUNCTION("""COMPUTED_VALUE"""),45569.6666666666)</f>
        <v>45569.666666666599</v>
      </c>
      <c r="B180" s="6"/>
      <c r="C180">
        <v>4870</v>
      </c>
      <c r="D180">
        <v>4920</v>
      </c>
      <c r="E180">
        <v>4850</v>
      </c>
      <c r="F180">
        <v>4860</v>
      </c>
      <c r="G180">
        <v>289960700</v>
      </c>
      <c r="H180" s="4">
        <f t="shared" si="4"/>
        <v>-1.2195121951219513E-2</v>
      </c>
      <c r="I180" s="4">
        <f t="shared" si="5"/>
        <v>-0.14361233480176211</v>
      </c>
    </row>
    <row r="181" spans="1:9" x14ac:dyDescent="0.2">
      <c r="A181" s="2">
        <f ca="1">IFERROR(__xludf.DUMMYFUNCTION("""COMPUTED_VALUE"""),45572.6666666666)</f>
        <v>45572.666666666599</v>
      </c>
      <c r="B181" s="6"/>
      <c r="C181">
        <v>4860</v>
      </c>
      <c r="D181">
        <v>4930</v>
      </c>
      <c r="E181">
        <v>4810</v>
      </c>
      <c r="F181">
        <v>4820</v>
      </c>
      <c r="G181">
        <v>308452200</v>
      </c>
      <c r="H181" s="4">
        <f t="shared" si="4"/>
        <v>-8.23045267489712E-3</v>
      </c>
      <c r="I181" s="4">
        <f t="shared" si="5"/>
        <v>-0.15066079295154186</v>
      </c>
    </row>
    <row r="182" spans="1:9" x14ac:dyDescent="0.2">
      <c r="A182" s="2">
        <f ca="1">IFERROR(__xludf.DUMMYFUNCTION("""COMPUTED_VALUE"""),45573.6666666666)</f>
        <v>45573.666666666599</v>
      </c>
      <c r="B182" s="6"/>
      <c r="C182">
        <v>4800</v>
      </c>
      <c r="D182">
        <v>5050</v>
      </c>
      <c r="E182">
        <v>4760</v>
      </c>
      <c r="F182">
        <v>5000</v>
      </c>
      <c r="G182">
        <v>527474400</v>
      </c>
      <c r="H182" s="4">
        <f t="shared" si="4"/>
        <v>3.7344398340248962E-2</v>
      </c>
      <c r="I182" s="4">
        <f t="shared" si="5"/>
        <v>-0.11894273127753303</v>
      </c>
    </row>
    <row r="183" spans="1:9" x14ac:dyDescent="0.2">
      <c r="A183" s="2">
        <f ca="1">IFERROR(__xludf.DUMMYFUNCTION("""COMPUTED_VALUE"""),45574.6666666666)</f>
        <v>45574.666666666599</v>
      </c>
      <c r="B183" s="6"/>
      <c r="C183">
        <v>5000</v>
      </c>
      <c r="D183">
        <v>5075</v>
      </c>
      <c r="E183">
        <v>4930</v>
      </c>
      <c r="F183">
        <v>4930</v>
      </c>
      <c r="G183">
        <v>309336600</v>
      </c>
      <c r="H183" s="4">
        <f t="shared" si="4"/>
        <v>-1.4E-2</v>
      </c>
      <c r="I183" s="4">
        <f t="shared" si="5"/>
        <v>-0.13127753303964756</v>
      </c>
    </row>
    <row r="184" spans="1:9" x14ac:dyDescent="0.2">
      <c r="A184" s="2">
        <f ca="1">IFERROR(__xludf.DUMMYFUNCTION("""COMPUTED_VALUE"""),45575.6666666666)</f>
        <v>45575.666666666599</v>
      </c>
      <c r="B184" s="6"/>
      <c r="C184">
        <v>4920</v>
      </c>
      <c r="D184">
        <v>4970</v>
      </c>
      <c r="E184">
        <v>4860</v>
      </c>
      <c r="F184">
        <v>4860</v>
      </c>
      <c r="G184">
        <v>226564700</v>
      </c>
      <c r="H184" s="4">
        <f t="shared" si="4"/>
        <v>-1.4198782961460446E-2</v>
      </c>
      <c r="I184" s="4">
        <f t="shared" si="5"/>
        <v>-0.14361233480176211</v>
      </c>
    </row>
    <row r="185" spans="1:9" x14ac:dyDescent="0.2">
      <c r="A185" s="2">
        <f ca="1">IFERROR(__xludf.DUMMYFUNCTION("""COMPUTED_VALUE"""),45576.6666666666)</f>
        <v>45576.666666666599</v>
      </c>
      <c r="B185" s="6"/>
      <c r="C185">
        <v>4910</v>
      </c>
      <c r="D185">
        <v>4940</v>
      </c>
      <c r="E185">
        <v>4890</v>
      </c>
      <c r="F185">
        <v>4900</v>
      </c>
      <c r="G185">
        <v>104875300</v>
      </c>
      <c r="H185" s="4">
        <f t="shared" si="4"/>
        <v>8.23045267489712E-3</v>
      </c>
      <c r="I185" s="4">
        <f t="shared" si="5"/>
        <v>-0.13656387665198239</v>
      </c>
    </row>
    <row r="186" spans="1:9" x14ac:dyDescent="0.2">
      <c r="A186" s="2">
        <f ca="1">IFERROR(__xludf.DUMMYFUNCTION("""COMPUTED_VALUE"""),45579.6666666666)</f>
        <v>45579.666666666599</v>
      </c>
      <c r="B186" s="6"/>
      <c r="C186">
        <v>4900</v>
      </c>
      <c r="D186">
        <v>4930</v>
      </c>
      <c r="E186">
        <v>4870</v>
      </c>
      <c r="F186">
        <v>4900</v>
      </c>
      <c r="G186">
        <v>125414400</v>
      </c>
      <c r="H186" s="4">
        <f t="shared" si="4"/>
        <v>0</v>
      </c>
      <c r="I186" s="4">
        <f t="shared" si="5"/>
        <v>-0.13656387665198239</v>
      </c>
    </row>
    <row r="187" spans="1:9" x14ac:dyDescent="0.2">
      <c r="A187" s="2">
        <f ca="1">IFERROR(__xludf.DUMMYFUNCTION("""COMPUTED_VALUE"""),45580.6666666666)</f>
        <v>45580.666666666599</v>
      </c>
      <c r="B187" s="6"/>
      <c r="C187">
        <v>4930</v>
      </c>
      <c r="D187">
        <v>4990</v>
      </c>
      <c r="E187">
        <v>4920</v>
      </c>
      <c r="F187">
        <v>4920</v>
      </c>
      <c r="G187">
        <v>142372200</v>
      </c>
      <c r="H187" s="4">
        <f t="shared" si="4"/>
        <v>4.0816326530612249E-3</v>
      </c>
      <c r="I187" s="4">
        <f t="shared" si="5"/>
        <v>-0.13303964757709252</v>
      </c>
    </row>
    <row r="188" spans="1:9" x14ac:dyDescent="0.2">
      <c r="A188" s="2">
        <f ca="1">IFERROR(__xludf.DUMMYFUNCTION("""COMPUTED_VALUE"""),45581.6666666666)</f>
        <v>45581.666666666599</v>
      </c>
      <c r="B188" s="6"/>
      <c r="C188">
        <v>4950</v>
      </c>
      <c r="D188">
        <v>4970</v>
      </c>
      <c r="E188">
        <v>4920</v>
      </c>
      <c r="F188">
        <v>4950</v>
      </c>
      <c r="G188">
        <v>118014300</v>
      </c>
      <c r="H188" s="4">
        <f t="shared" si="4"/>
        <v>6.0975609756097563E-3</v>
      </c>
      <c r="I188" s="4">
        <f t="shared" si="5"/>
        <v>-0.1277533039647577</v>
      </c>
    </row>
    <row r="189" spans="1:9" x14ac:dyDescent="0.2">
      <c r="A189" s="2">
        <f ca="1">IFERROR(__xludf.DUMMYFUNCTION("""COMPUTED_VALUE"""),45582.6666666666)</f>
        <v>45582.666666666599</v>
      </c>
      <c r="B189" s="6"/>
      <c r="C189">
        <v>4960</v>
      </c>
      <c r="D189">
        <v>5050</v>
      </c>
      <c r="E189">
        <v>4940</v>
      </c>
      <c r="F189">
        <v>4980</v>
      </c>
      <c r="G189">
        <v>188127700</v>
      </c>
      <c r="H189" s="4">
        <f t="shared" si="4"/>
        <v>6.0606060606060606E-3</v>
      </c>
      <c r="I189" s="4">
        <f t="shared" si="5"/>
        <v>-0.12246696035242291</v>
      </c>
    </row>
    <row r="190" spans="1:9" x14ac:dyDescent="0.2">
      <c r="A190" s="2">
        <f ca="1">IFERROR(__xludf.DUMMYFUNCTION("""COMPUTED_VALUE"""),45583.6666666666)</f>
        <v>45583.666666666599</v>
      </c>
      <c r="B190" s="6"/>
      <c r="C190">
        <v>5025</v>
      </c>
      <c r="D190">
        <v>5050</v>
      </c>
      <c r="E190">
        <v>4960</v>
      </c>
      <c r="F190">
        <v>4970</v>
      </c>
      <c r="G190">
        <v>157113000</v>
      </c>
      <c r="H190" s="4">
        <f t="shared" si="4"/>
        <v>-2.008032128514056E-3</v>
      </c>
      <c r="I190" s="4">
        <f t="shared" si="5"/>
        <v>-0.12422907488986784</v>
      </c>
    </row>
    <row r="191" spans="1:9" x14ac:dyDescent="0.2">
      <c r="A191" s="2">
        <f ca="1">IFERROR(__xludf.DUMMYFUNCTION("""COMPUTED_VALUE"""),45586.6666666666)</f>
        <v>45586.666666666599</v>
      </c>
      <c r="B191" s="6"/>
      <c r="C191">
        <v>4980</v>
      </c>
      <c r="D191">
        <v>5025</v>
      </c>
      <c r="E191">
        <v>4970</v>
      </c>
      <c r="F191">
        <v>4990</v>
      </c>
      <c r="G191">
        <v>110708200</v>
      </c>
      <c r="H191" s="4">
        <f t="shared" si="4"/>
        <v>4.0241448692152921E-3</v>
      </c>
      <c r="I191" s="4">
        <f t="shared" si="5"/>
        <v>-0.12070484581497798</v>
      </c>
    </row>
    <row r="192" spans="1:9" x14ac:dyDescent="0.2">
      <c r="A192" s="2">
        <f ca="1">IFERROR(__xludf.DUMMYFUNCTION("""COMPUTED_VALUE"""),45587.6666666666)</f>
        <v>45587.666666666599</v>
      </c>
      <c r="B192" s="6"/>
      <c r="C192">
        <v>4960</v>
      </c>
      <c r="D192">
        <v>4970</v>
      </c>
      <c r="E192">
        <v>4900</v>
      </c>
      <c r="F192">
        <v>4900</v>
      </c>
      <c r="G192">
        <v>199707500</v>
      </c>
      <c r="H192" s="4">
        <f t="shared" si="4"/>
        <v>-1.8036072144288578E-2</v>
      </c>
      <c r="I192" s="4">
        <f t="shared" si="5"/>
        <v>-0.13656387665198239</v>
      </c>
    </row>
    <row r="193" spans="1:9" x14ac:dyDescent="0.2">
      <c r="A193" s="2">
        <f ca="1">IFERROR(__xludf.DUMMYFUNCTION("""COMPUTED_VALUE"""),45588.6666666666)</f>
        <v>45588.666666666599</v>
      </c>
      <c r="B193" s="6"/>
      <c r="C193">
        <v>4830</v>
      </c>
      <c r="D193">
        <v>4890</v>
      </c>
      <c r="E193">
        <v>4810</v>
      </c>
      <c r="F193">
        <v>4860</v>
      </c>
      <c r="G193">
        <v>222147300</v>
      </c>
      <c r="H193" s="4">
        <f t="shared" si="4"/>
        <v>-8.1632653061224497E-3</v>
      </c>
      <c r="I193" s="4">
        <f t="shared" si="5"/>
        <v>-0.14361233480176211</v>
      </c>
    </row>
    <row r="194" spans="1:9" x14ac:dyDescent="0.2">
      <c r="A194" s="2">
        <f ca="1">IFERROR(__xludf.DUMMYFUNCTION("""COMPUTED_VALUE"""),45589.6666666666)</f>
        <v>45589.666666666599</v>
      </c>
      <c r="B194" s="6"/>
      <c r="C194">
        <v>4820</v>
      </c>
      <c r="D194">
        <v>4900</v>
      </c>
      <c r="E194">
        <v>4810</v>
      </c>
      <c r="F194">
        <v>4820</v>
      </c>
      <c r="G194">
        <v>218162100</v>
      </c>
      <c r="H194" s="4">
        <f t="shared" si="4"/>
        <v>-8.23045267489712E-3</v>
      </c>
      <c r="I194" s="4">
        <f t="shared" si="5"/>
        <v>-0.15066079295154186</v>
      </c>
    </row>
    <row r="195" spans="1:9" x14ac:dyDescent="0.2">
      <c r="A195" s="2">
        <f ca="1">IFERROR(__xludf.DUMMYFUNCTION("""COMPUTED_VALUE"""),45590.6666666666)</f>
        <v>45590.666666666599</v>
      </c>
      <c r="B195" s="6"/>
      <c r="C195">
        <v>4820</v>
      </c>
      <c r="D195">
        <v>4860</v>
      </c>
      <c r="E195">
        <v>4770</v>
      </c>
      <c r="F195">
        <v>4770</v>
      </c>
      <c r="G195">
        <v>195647800</v>
      </c>
      <c r="H195" s="4">
        <f t="shared" si="4"/>
        <v>-1.0373443983402489E-2</v>
      </c>
      <c r="I195" s="4">
        <f t="shared" si="5"/>
        <v>-0.15947136563876652</v>
      </c>
    </row>
    <row r="196" spans="1:9" x14ac:dyDescent="0.2">
      <c r="A196" s="2">
        <f ca="1">IFERROR(__xludf.DUMMYFUNCTION("""COMPUTED_VALUE"""),45593.6666666666)</f>
        <v>45593.666666666599</v>
      </c>
      <c r="B196" s="6"/>
      <c r="C196">
        <v>4770</v>
      </c>
      <c r="D196">
        <v>4800</v>
      </c>
      <c r="E196">
        <v>4710</v>
      </c>
      <c r="F196">
        <v>4760</v>
      </c>
      <c r="G196">
        <v>191211000</v>
      </c>
      <c r="H196" s="4">
        <f t="shared" ref="H196:H259" si="6">(F196-F195)/F195</f>
        <v>-2.0964360587002098E-3</v>
      </c>
      <c r="I196" s="4">
        <f t="shared" ref="I196:I259" si="7">(F196-$F$2)/$F$2</f>
        <v>-0.16123348017621145</v>
      </c>
    </row>
    <row r="197" spans="1:9" x14ac:dyDescent="0.2">
      <c r="A197" s="2">
        <f ca="1">IFERROR(__xludf.DUMMYFUNCTION("""COMPUTED_VALUE"""),45594.6666666666)</f>
        <v>45594.666666666599</v>
      </c>
      <c r="B197" s="6"/>
      <c r="C197">
        <v>4730</v>
      </c>
      <c r="D197">
        <v>4780</v>
      </c>
      <c r="E197">
        <v>4700</v>
      </c>
      <c r="F197">
        <v>4700</v>
      </c>
      <c r="G197">
        <v>203658600</v>
      </c>
      <c r="H197" s="4">
        <f t="shared" si="6"/>
        <v>-1.2605042016806723E-2</v>
      </c>
      <c r="I197" s="4">
        <f t="shared" si="7"/>
        <v>-0.17180616740088106</v>
      </c>
    </row>
    <row r="198" spans="1:9" x14ac:dyDescent="0.2">
      <c r="A198" s="2">
        <f ca="1">IFERROR(__xludf.DUMMYFUNCTION("""COMPUTED_VALUE"""),45595.6666666666)</f>
        <v>45595.666666666599</v>
      </c>
      <c r="B198" s="6"/>
      <c r="C198">
        <v>4630</v>
      </c>
      <c r="D198">
        <v>4750</v>
      </c>
      <c r="E198">
        <v>4630</v>
      </c>
      <c r="F198">
        <v>4710</v>
      </c>
      <c r="G198">
        <v>296314500</v>
      </c>
      <c r="H198" s="4">
        <f t="shared" si="6"/>
        <v>2.1276595744680851E-3</v>
      </c>
      <c r="I198" s="4">
        <f t="shared" si="7"/>
        <v>-0.17004405286343613</v>
      </c>
    </row>
    <row r="199" spans="1:9" x14ac:dyDescent="0.2">
      <c r="A199" s="2">
        <f ca="1">IFERROR(__xludf.DUMMYFUNCTION("""COMPUTED_VALUE"""),45596.6666666666)</f>
        <v>45596.666666666599</v>
      </c>
      <c r="B199" s="6"/>
      <c r="C199">
        <v>4710</v>
      </c>
      <c r="D199">
        <v>4870</v>
      </c>
      <c r="E199">
        <v>4710</v>
      </c>
      <c r="F199">
        <v>4800</v>
      </c>
      <c r="G199">
        <v>307110400</v>
      </c>
      <c r="H199" s="4">
        <f t="shared" si="6"/>
        <v>1.9108280254777069E-2</v>
      </c>
      <c r="I199" s="4">
        <f t="shared" si="7"/>
        <v>-0.15418502202643172</v>
      </c>
    </row>
    <row r="200" spans="1:9" x14ac:dyDescent="0.2">
      <c r="A200" s="2">
        <f ca="1">IFERROR(__xludf.DUMMYFUNCTION("""COMPUTED_VALUE"""),45597.6666666666)</f>
        <v>45597.666666666599</v>
      </c>
      <c r="B200" s="6"/>
      <c r="C200">
        <v>4770</v>
      </c>
      <c r="D200">
        <v>4820</v>
      </c>
      <c r="E200">
        <v>4700</v>
      </c>
      <c r="F200">
        <v>4700</v>
      </c>
      <c r="G200">
        <v>235656400</v>
      </c>
      <c r="H200" s="4">
        <f t="shared" si="6"/>
        <v>-2.0833333333333332E-2</v>
      </c>
      <c r="I200" s="4">
        <f t="shared" si="7"/>
        <v>-0.17180616740088106</v>
      </c>
    </row>
    <row r="201" spans="1:9" x14ac:dyDescent="0.2">
      <c r="A201" s="2">
        <f ca="1">IFERROR(__xludf.DUMMYFUNCTION("""COMPUTED_VALUE"""),45600.6666666666)</f>
        <v>45600.666666666599</v>
      </c>
      <c r="B201" s="6"/>
      <c r="C201">
        <v>4710</v>
      </c>
      <c r="D201">
        <v>4770</v>
      </c>
      <c r="E201">
        <v>4650</v>
      </c>
      <c r="F201">
        <v>4720</v>
      </c>
      <c r="G201">
        <v>209831500</v>
      </c>
      <c r="H201" s="4">
        <f t="shared" si="6"/>
        <v>4.2553191489361703E-3</v>
      </c>
      <c r="I201" s="4">
        <f t="shared" si="7"/>
        <v>-0.1682819383259912</v>
      </c>
    </row>
    <row r="202" spans="1:9" x14ac:dyDescent="0.2">
      <c r="A202" s="2">
        <f ca="1">IFERROR(__xludf.DUMMYFUNCTION("""COMPUTED_VALUE"""),45601.6666666666)</f>
        <v>45601.666666666599</v>
      </c>
      <c r="B202" s="6"/>
      <c r="C202">
        <v>4690</v>
      </c>
      <c r="D202">
        <v>4740</v>
      </c>
      <c r="E202">
        <v>4680</v>
      </c>
      <c r="F202">
        <v>4710</v>
      </c>
      <c r="G202">
        <v>199499300</v>
      </c>
      <c r="H202" s="4">
        <f t="shared" si="6"/>
        <v>-2.1186440677966102E-3</v>
      </c>
      <c r="I202" s="4">
        <f t="shared" si="7"/>
        <v>-0.17004405286343613</v>
      </c>
    </row>
    <row r="203" spans="1:9" x14ac:dyDescent="0.2">
      <c r="A203" s="2">
        <f ca="1">IFERROR(__xludf.DUMMYFUNCTION("""COMPUTED_VALUE"""),45602.6666666666)</f>
        <v>45602.666666666599</v>
      </c>
      <c r="B203" s="6"/>
      <c r="C203">
        <v>4710</v>
      </c>
      <c r="D203">
        <v>4730</v>
      </c>
      <c r="E203">
        <v>4600</v>
      </c>
      <c r="F203">
        <v>4600</v>
      </c>
      <c r="G203">
        <v>249059500</v>
      </c>
      <c r="H203" s="4">
        <f t="shared" si="6"/>
        <v>-2.3354564755838639E-2</v>
      </c>
      <c r="I203" s="4">
        <f t="shared" si="7"/>
        <v>-0.1894273127753304</v>
      </c>
    </row>
    <row r="204" spans="1:9" x14ac:dyDescent="0.2">
      <c r="A204" s="2">
        <f ca="1">IFERROR(__xludf.DUMMYFUNCTION("""COMPUTED_VALUE"""),45603.6666666666)</f>
        <v>45603.666666666599</v>
      </c>
      <c r="B204" s="6"/>
      <c r="C204">
        <v>4610</v>
      </c>
      <c r="D204">
        <v>4640</v>
      </c>
      <c r="E204">
        <v>4550</v>
      </c>
      <c r="F204">
        <v>4550</v>
      </c>
      <c r="G204">
        <v>296218600</v>
      </c>
      <c r="H204" s="4">
        <f t="shared" si="6"/>
        <v>-1.0869565217391304E-2</v>
      </c>
      <c r="I204" s="4">
        <f t="shared" si="7"/>
        <v>-0.19823788546255505</v>
      </c>
    </row>
    <row r="205" spans="1:9" x14ac:dyDescent="0.2">
      <c r="A205" s="2">
        <f ca="1">IFERROR(__xludf.DUMMYFUNCTION("""COMPUTED_VALUE"""),45604.6666666666)</f>
        <v>45604.666666666599</v>
      </c>
      <c r="B205" s="6"/>
      <c r="C205">
        <v>4600</v>
      </c>
      <c r="D205">
        <v>4640</v>
      </c>
      <c r="E205">
        <v>4520</v>
      </c>
      <c r="F205">
        <v>4520</v>
      </c>
      <c r="G205">
        <v>213862600</v>
      </c>
      <c r="H205" s="4">
        <f t="shared" si="6"/>
        <v>-6.5934065934065934E-3</v>
      </c>
      <c r="I205" s="4">
        <f t="shared" si="7"/>
        <v>-0.20352422907488987</v>
      </c>
    </row>
    <row r="206" spans="1:9" x14ac:dyDescent="0.2">
      <c r="A206" s="2">
        <f ca="1">IFERROR(__xludf.DUMMYFUNCTION("""COMPUTED_VALUE"""),45607.6666666666)</f>
        <v>45607.666666666599</v>
      </c>
      <c r="B206" s="6"/>
      <c r="C206">
        <v>4470</v>
      </c>
      <c r="D206">
        <v>4540</v>
      </c>
      <c r="E206">
        <v>4370</v>
      </c>
      <c r="F206">
        <v>4460</v>
      </c>
      <c r="G206">
        <v>507192300</v>
      </c>
      <c r="H206" s="4">
        <f t="shared" si="6"/>
        <v>-1.3274336283185841E-2</v>
      </c>
      <c r="I206" s="4">
        <f t="shared" si="7"/>
        <v>-0.21409691629955946</v>
      </c>
    </row>
    <row r="207" spans="1:9" x14ac:dyDescent="0.2">
      <c r="A207" s="2">
        <f ca="1">IFERROR(__xludf.DUMMYFUNCTION("""COMPUTED_VALUE"""),45608.6666666666)</f>
        <v>45608.666666666599</v>
      </c>
      <c r="B207" s="6"/>
      <c r="C207">
        <v>4430</v>
      </c>
      <c r="D207">
        <v>4520</v>
      </c>
      <c r="E207">
        <v>4430</v>
      </c>
      <c r="F207">
        <v>4500</v>
      </c>
      <c r="G207">
        <v>252380100</v>
      </c>
      <c r="H207" s="4">
        <f t="shared" si="6"/>
        <v>8.9686098654708519E-3</v>
      </c>
      <c r="I207" s="4">
        <f t="shared" si="7"/>
        <v>-0.20704845814977973</v>
      </c>
    </row>
    <row r="208" spans="1:9" x14ac:dyDescent="0.2">
      <c r="A208" s="2">
        <f ca="1">IFERROR(__xludf.DUMMYFUNCTION("""COMPUTED_VALUE"""),45609.6666666666)</f>
        <v>45609.666666666599</v>
      </c>
      <c r="B208" s="6"/>
      <c r="C208">
        <v>4470</v>
      </c>
      <c r="D208">
        <v>4610</v>
      </c>
      <c r="E208">
        <v>4460</v>
      </c>
      <c r="F208">
        <v>4580</v>
      </c>
      <c r="G208">
        <v>209627200</v>
      </c>
      <c r="H208" s="4">
        <f t="shared" si="6"/>
        <v>1.7777777777777778E-2</v>
      </c>
      <c r="I208" s="4">
        <f t="shared" si="7"/>
        <v>-0.19295154185022026</v>
      </c>
    </row>
    <row r="209" spans="1:9" x14ac:dyDescent="0.2">
      <c r="A209" s="2">
        <f ca="1">IFERROR(__xludf.DUMMYFUNCTION("""COMPUTED_VALUE"""),45610.6666666666)</f>
        <v>45610.666666666599</v>
      </c>
      <c r="B209" s="6"/>
      <c r="C209">
        <v>4570</v>
      </c>
      <c r="D209">
        <v>4590</v>
      </c>
      <c r="E209">
        <v>4500</v>
      </c>
      <c r="F209">
        <v>4500</v>
      </c>
      <c r="G209">
        <v>159871800</v>
      </c>
      <c r="H209" s="4">
        <f t="shared" si="6"/>
        <v>-1.7467248908296942E-2</v>
      </c>
      <c r="I209" s="4">
        <f t="shared" si="7"/>
        <v>-0.20704845814977973</v>
      </c>
    </row>
    <row r="210" spans="1:9" x14ac:dyDescent="0.2">
      <c r="A210" s="2">
        <f ca="1">IFERROR(__xludf.DUMMYFUNCTION("""COMPUTED_VALUE"""),45611.6666666666)</f>
        <v>45611.666666666599</v>
      </c>
      <c r="B210" s="6"/>
      <c r="C210">
        <v>4450</v>
      </c>
      <c r="D210">
        <v>4510</v>
      </c>
      <c r="E210">
        <v>4450</v>
      </c>
      <c r="F210">
        <v>4470</v>
      </c>
      <c r="G210">
        <v>106365600</v>
      </c>
      <c r="H210" s="4">
        <f t="shared" si="6"/>
        <v>-6.6666666666666671E-3</v>
      </c>
      <c r="I210" s="4">
        <f t="shared" si="7"/>
        <v>-0.21233480176211453</v>
      </c>
    </row>
    <row r="211" spans="1:9" x14ac:dyDescent="0.2">
      <c r="A211" s="2">
        <f ca="1">IFERROR(__xludf.DUMMYFUNCTION("""COMPUTED_VALUE"""),45614.6666666666)</f>
        <v>45614.666666666599</v>
      </c>
      <c r="B211" s="6"/>
      <c r="C211">
        <v>4440</v>
      </c>
      <c r="D211">
        <v>4460</v>
      </c>
      <c r="E211">
        <v>4350</v>
      </c>
      <c r="F211">
        <v>4350</v>
      </c>
      <c r="G211">
        <v>253272300</v>
      </c>
      <c r="H211" s="4">
        <f t="shared" si="6"/>
        <v>-2.6845637583892617E-2</v>
      </c>
      <c r="I211" s="4">
        <f t="shared" si="7"/>
        <v>-0.23348017621145375</v>
      </c>
    </row>
    <row r="212" spans="1:9" x14ac:dyDescent="0.2">
      <c r="A212" s="2">
        <f ca="1">IFERROR(__xludf.DUMMYFUNCTION("""COMPUTED_VALUE"""),45615.6666666666)</f>
        <v>45615.666666666599</v>
      </c>
      <c r="B212" s="6"/>
      <c r="C212">
        <v>4350</v>
      </c>
      <c r="D212">
        <v>4410</v>
      </c>
      <c r="E212">
        <v>4350</v>
      </c>
      <c r="F212">
        <v>4360</v>
      </c>
      <c r="G212">
        <v>294838700</v>
      </c>
      <c r="H212" s="4">
        <f t="shared" si="6"/>
        <v>2.2988505747126436E-3</v>
      </c>
      <c r="I212" s="4">
        <f t="shared" si="7"/>
        <v>-0.23171806167400882</v>
      </c>
    </row>
    <row r="213" spans="1:9" x14ac:dyDescent="0.2">
      <c r="A213" s="2">
        <f ca="1">IFERROR(__xludf.DUMMYFUNCTION("""COMPUTED_VALUE"""),45616.6666666666)</f>
        <v>45616.666666666599</v>
      </c>
      <c r="B213" s="6"/>
      <c r="C213">
        <v>4400</v>
      </c>
      <c r="D213">
        <v>4440</v>
      </c>
      <c r="E213">
        <v>4330</v>
      </c>
      <c r="F213">
        <v>4330</v>
      </c>
      <c r="G213">
        <v>298734600</v>
      </c>
      <c r="H213" s="4">
        <f t="shared" si="6"/>
        <v>-6.8807339449541288E-3</v>
      </c>
      <c r="I213" s="4">
        <f t="shared" si="7"/>
        <v>-0.23700440528634362</v>
      </c>
    </row>
    <row r="214" spans="1:9" x14ac:dyDescent="0.2">
      <c r="A214" s="2">
        <f ca="1">IFERROR(__xludf.DUMMYFUNCTION("""COMPUTED_VALUE"""),45617.6666666666)</f>
        <v>45617.666666666599</v>
      </c>
      <c r="B214" s="6"/>
      <c r="C214">
        <v>4280</v>
      </c>
      <c r="D214">
        <v>4320</v>
      </c>
      <c r="E214">
        <v>4250</v>
      </c>
      <c r="F214">
        <v>4250</v>
      </c>
      <c r="G214">
        <v>376788400</v>
      </c>
      <c r="H214" s="4">
        <f t="shared" si="6"/>
        <v>-1.8475750577367205E-2</v>
      </c>
      <c r="I214" s="4">
        <f t="shared" si="7"/>
        <v>-0.25110132158590309</v>
      </c>
    </row>
    <row r="215" spans="1:9" x14ac:dyDescent="0.2">
      <c r="A215" s="2">
        <f ca="1">IFERROR(__xludf.DUMMYFUNCTION("""COMPUTED_VALUE"""),45618.6666666666)</f>
        <v>45618.666666666599</v>
      </c>
      <c r="B215" s="6"/>
      <c r="C215">
        <v>4250</v>
      </c>
      <c r="D215">
        <v>4420</v>
      </c>
      <c r="E215">
        <v>4250</v>
      </c>
      <c r="F215">
        <v>4400</v>
      </c>
      <c r="G215">
        <v>280188100</v>
      </c>
      <c r="H215" s="4">
        <f t="shared" si="6"/>
        <v>3.5294117647058823E-2</v>
      </c>
      <c r="I215" s="4">
        <f t="shared" si="7"/>
        <v>-0.22466960352422907</v>
      </c>
    </row>
    <row r="216" spans="1:9" x14ac:dyDescent="0.2">
      <c r="A216" s="2">
        <f ca="1">IFERROR(__xludf.DUMMYFUNCTION("""COMPUTED_VALUE"""),45621.6666666666)</f>
        <v>45621.666666666599</v>
      </c>
      <c r="B216" s="6"/>
      <c r="C216">
        <v>4420</v>
      </c>
      <c r="D216">
        <v>4530</v>
      </c>
      <c r="E216">
        <v>4420</v>
      </c>
      <c r="F216">
        <v>4470</v>
      </c>
      <c r="G216">
        <v>401446400</v>
      </c>
      <c r="H216" s="4">
        <f t="shared" si="6"/>
        <v>1.5909090909090907E-2</v>
      </c>
      <c r="I216" s="4">
        <f t="shared" si="7"/>
        <v>-0.21233480176211453</v>
      </c>
    </row>
    <row r="217" spans="1:9" x14ac:dyDescent="0.2">
      <c r="A217" s="2">
        <f ca="1">IFERROR(__xludf.DUMMYFUNCTION("""COMPUTED_VALUE"""),45622.6666666666)</f>
        <v>45622.666666666599</v>
      </c>
      <c r="B217" s="6"/>
      <c r="C217">
        <v>4450</v>
      </c>
      <c r="D217">
        <v>4470</v>
      </c>
      <c r="E217">
        <v>4380</v>
      </c>
      <c r="F217">
        <v>4400</v>
      </c>
      <c r="G217">
        <v>266677500</v>
      </c>
      <c r="H217" s="4">
        <f t="shared" si="6"/>
        <v>-1.5659955257270694E-2</v>
      </c>
      <c r="I217" s="4">
        <f t="shared" si="7"/>
        <v>-0.22466960352422907</v>
      </c>
    </row>
    <row r="218" spans="1:9" x14ac:dyDescent="0.2">
      <c r="A218" s="2">
        <f ca="1">IFERROR(__xludf.DUMMYFUNCTION("""COMPUTED_VALUE"""),45624.6666666666)</f>
        <v>45624.666666666599</v>
      </c>
      <c r="B218" s="6"/>
      <c r="C218">
        <v>4350</v>
      </c>
      <c r="D218">
        <v>4390</v>
      </c>
      <c r="E218">
        <v>4330</v>
      </c>
      <c r="F218">
        <v>4330</v>
      </c>
      <c r="G218">
        <v>277081800</v>
      </c>
      <c r="H218" s="4">
        <f t="shared" si="6"/>
        <v>-1.5909090909090907E-2</v>
      </c>
      <c r="I218" s="4">
        <f t="shared" si="7"/>
        <v>-0.23700440528634362</v>
      </c>
    </row>
    <row r="219" spans="1:9" x14ac:dyDescent="0.2">
      <c r="A219" s="2">
        <f ca="1">IFERROR(__xludf.DUMMYFUNCTION("""COMPUTED_VALUE"""),45625.6666666666)</f>
        <v>45625.666666666599</v>
      </c>
      <c r="B219" s="6"/>
      <c r="C219">
        <v>4280</v>
      </c>
      <c r="D219">
        <v>4300</v>
      </c>
      <c r="E219">
        <v>4250</v>
      </c>
      <c r="F219">
        <v>4250</v>
      </c>
      <c r="G219">
        <v>412519800</v>
      </c>
      <c r="H219" s="4">
        <f t="shared" si="6"/>
        <v>-1.8475750577367205E-2</v>
      </c>
      <c r="I219" s="4">
        <f t="shared" si="7"/>
        <v>-0.25110132158590309</v>
      </c>
    </row>
    <row r="220" spans="1:9" x14ac:dyDescent="0.2">
      <c r="A220" s="2">
        <f ca="1">IFERROR(__xludf.DUMMYFUNCTION("""COMPUTED_VALUE"""),45628.6666666666)</f>
        <v>45628.666666666599</v>
      </c>
      <c r="B220" s="6"/>
      <c r="C220">
        <v>4270</v>
      </c>
      <c r="D220">
        <v>4280</v>
      </c>
      <c r="E220">
        <v>4160</v>
      </c>
      <c r="F220">
        <v>4170</v>
      </c>
      <c r="G220">
        <v>337188900</v>
      </c>
      <c r="H220" s="4">
        <f t="shared" si="6"/>
        <v>-1.8823529411764704E-2</v>
      </c>
      <c r="I220" s="4">
        <f t="shared" si="7"/>
        <v>-0.26519823788546254</v>
      </c>
    </row>
    <row r="221" spans="1:9" x14ac:dyDescent="0.2">
      <c r="A221" s="2">
        <f ca="1">IFERROR(__xludf.DUMMYFUNCTION("""COMPUTED_VALUE"""),45629.6666666666)</f>
        <v>45629.666666666599</v>
      </c>
      <c r="B221" s="6"/>
      <c r="C221">
        <v>4240</v>
      </c>
      <c r="D221">
        <v>4250</v>
      </c>
      <c r="E221">
        <v>4210</v>
      </c>
      <c r="F221">
        <v>4240</v>
      </c>
      <c r="G221">
        <v>384146700</v>
      </c>
      <c r="H221" s="4">
        <f t="shared" si="6"/>
        <v>1.6786570743405275E-2</v>
      </c>
      <c r="I221" s="4">
        <f t="shared" si="7"/>
        <v>-0.252863436123348</v>
      </c>
    </row>
    <row r="222" spans="1:9" x14ac:dyDescent="0.2">
      <c r="A222" s="2">
        <f ca="1">IFERROR(__xludf.DUMMYFUNCTION("""COMPUTED_VALUE"""),45630.6666666666)</f>
        <v>45630.666666666599</v>
      </c>
      <c r="B222" s="6"/>
      <c r="C222">
        <v>4240</v>
      </c>
      <c r="D222">
        <v>4370</v>
      </c>
      <c r="E222">
        <v>4220</v>
      </c>
      <c r="F222">
        <v>4350</v>
      </c>
      <c r="G222">
        <v>345762200</v>
      </c>
      <c r="H222" s="4">
        <f t="shared" si="6"/>
        <v>2.5943396226415096E-2</v>
      </c>
      <c r="I222" s="4">
        <f t="shared" si="7"/>
        <v>-0.23348017621145375</v>
      </c>
    </row>
    <row r="223" spans="1:9" x14ac:dyDescent="0.2">
      <c r="A223" s="2">
        <f ca="1">IFERROR(__xludf.DUMMYFUNCTION("""COMPUTED_VALUE"""),45631.6666666666)</f>
        <v>45631.666666666599</v>
      </c>
      <c r="B223" s="6"/>
      <c r="C223">
        <v>4310</v>
      </c>
      <c r="D223">
        <v>4340</v>
      </c>
      <c r="E223">
        <v>4250</v>
      </c>
      <c r="F223">
        <v>4260</v>
      </c>
      <c r="G223">
        <v>183249300</v>
      </c>
      <c r="H223" s="4">
        <f t="shared" si="6"/>
        <v>-2.0689655172413793E-2</v>
      </c>
      <c r="I223" s="4">
        <f t="shared" si="7"/>
        <v>-0.24933920704845816</v>
      </c>
    </row>
    <row r="224" spans="1:9" x14ac:dyDescent="0.2">
      <c r="A224" s="2">
        <f ca="1">IFERROR(__xludf.DUMMYFUNCTION("""COMPUTED_VALUE"""),45632.6666666666)</f>
        <v>45632.666666666599</v>
      </c>
      <c r="B224" s="6"/>
      <c r="C224">
        <v>4250</v>
      </c>
      <c r="D224">
        <v>4310</v>
      </c>
      <c r="E224">
        <v>4220</v>
      </c>
      <c r="F224">
        <v>4310</v>
      </c>
      <c r="G224">
        <v>151433000</v>
      </c>
      <c r="H224" s="4">
        <f t="shared" si="6"/>
        <v>1.1737089201877934E-2</v>
      </c>
      <c r="I224" s="4">
        <f t="shared" si="7"/>
        <v>-0.24052863436123348</v>
      </c>
    </row>
    <row r="225" spans="1:9" x14ac:dyDescent="0.2">
      <c r="A225" s="2">
        <f ca="1">IFERROR(__xludf.DUMMYFUNCTION("""COMPUTED_VALUE"""),45635.6666666666)</f>
        <v>45635.666666666599</v>
      </c>
      <c r="B225" s="6"/>
      <c r="C225">
        <v>4310</v>
      </c>
      <c r="D225">
        <v>4390</v>
      </c>
      <c r="E225">
        <v>4300</v>
      </c>
      <c r="F225">
        <v>4390</v>
      </c>
      <c r="G225">
        <v>158897200</v>
      </c>
      <c r="H225" s="4">
        <f t="shared" si="6"/>
        <v>1.8561484918793503E-2</v>
      </c>
      <c r="I225" s="4">
        <f t="shared" si="7"/>
        <v>-0.226431718061674</v>
      </c>
    </row>
    <row r="226" spans="1:9" x14ac:dyDescent="0.2">
      <c r="A226" s="2">
        <f ca="1">IFERROR(__xludf.DUMMYFUNCTION("""COMPUTED_VALUE"""),45636.6666666666)</f>
        <v>45636.666666666599</v>
      </c>
      <c r="B226" s="6"/>
      <c r="C226">
        <v>4360</v>
      </c>
      <c r="D226">
        <v>4380</v>
      </c>
      <c r="E226">
        <v>4290</v>
      </c>
      <c r="F226">
        <v>4360</v>
      </c>
      <c r="G226">
        <v>196160900</v>
      </c>
      <c r="H226" s="4">
        <f t="shared" si="6"/>
        <v>-6.8337129840546698E-3</v>
      </c>
      <c r="I226" s="4">
        <f t="shared" si="7"/>
        <v>-0.23171806167400882</v>
      </c>
    </row>
    <row r="227" spans="1:9" x14ac:dyDescent="0.2">
      <c r="A227" s="2">
        <f ca="1">IFERROR(__xludf.DUMMYFUNCTION("""COMPUTED_VALUE"""),45637.6666666666)</f>
        <v>45637.666666666599</v>
      </c>
      <c r="B227" s="6"/>
      <c r="C227">
        <v>4340</v>
      </c>
      <c r="D227">
        <v>4430</v>
      </c>
      <c r="E227">
        <v>4340</v>
      </c>
      <c r="F227">
        <v>4380</v>
      </c>
      <c r="G227">
        <v>203980300</v>
      </c>
      <c r="H227" s="4">
        <f t="shared" si="6"/>
        <v>4.5871559633027525E-3</v>
      </c>
      <c r="I227" s="4">
        <f t="shared" si="7"/>
        <v>-0.22819383259911893</v>
      </c>
    </row>
    <row r="228" spans="1:9" x14ac:dyDescent="0.2">
      <c r="A228" s="2">
        <f ca="1">IFERROR(__xludf.DUMMYFUNCTION("""COMPUTED_VALUE"""),45638.6666666666)</f>
        <v>45638.666666666599</v>
      </c>
      <c r="B228" s="6"/>
      <c r="C228">
        <v>4340</v>
      </c>
      <c r="D228">
        <v>4360</v>
      </c>
      <c r="E228">
        <v>4260</v>
      </c>
      <c r="F228">
        <v>4260</v>
      </c>
      <c r="G228">
        <v>226698900</v>
      </c>
      <c r="H228" s="4">
        <f t="shared" si="6"/>
        <v>-2.7397260273972601E-2</v>
      </c>
      <c r="I228" s="4">
        <f t="shared" si="7"/>
        <v>-0.24933920704845816</v>
      </c>
    </row>
    <row r="229" spans="1:9" x14ac:dyDescent="0.2">
      <c r="A229" s="2">
        <f ca="1">IFERROR(__xludf.DUMMYFUNCTION("""COMPUTED_VALUE"""),45639.6666666666)</f>
        <v>45639.666666666599</v>
      </c>
      <c r="B229" s="6"/>
      <c r="C229">
        <v>4230</v>
      </c>
      <c r="D229">
        <v>4280</v>
      </c>
      <c r="E229">
        <v>4170</v>
      </c>
      <c r="F229">
        <v>4170</v>
      </c>
      <c r="G229">
        <v>287838100</v>
      </c>
      <c r="H229" s="4">
        <f t="shared" si="6"/>
        <v>-2.1126760563380281E-2</v>
      </c>
      <c r="I229" s="4">
        <f t="shared" si="7"/>
        <v>-0.26519823788546254</v>
      </c>
    </row>
    <row r="230" spans="1:9" x14ac:dyDescent="0.2">
      <c r="A230" s="2">
        <f ca="1">IFERROR(__xludf.DUMMYFUNCTION("""COMPUTED_VALUE"""),45642.6666666666)</f>
        <v>45642.666666666599</v>
      </c>
      <c r="B230" s="6"/>
      <c r="C230">
        <v>4150</v>
      </c>
      <c r="D230">
        <v>4280</v>
      </c>
      <c r="E230">
        <v>4150</v>
      </c>
      <c r="F230">
        <v>4250</v>
      </c>
      <c r="G230">
        <v>325441900</v>
      </c>
      <c r="H230" s="4">
        <f t="shared" si="6"/>
        <v>1.9184652278177457E-2</v>
      </c>
      <c r="I230" s="4">
        <f t="shared" si="7"/>
        <v>-0.25110132158590309</v>
      </c>
    </row>
    <row r="231" spans="1:9" x14ac:dyDescent="0.2">
      <c r="A231" s="2">
        <f ca="1">IFERROR(__xludf.DUMMYFUNCTION("""COMPUTED_VALUE"""),45643.6666666666)</f>
        <v>45643.666666666599</v>
      </c>
      <c r="B231" s="6"/>
      <c r="C231">
        <v>4250</v>
      </c>
      <c r="D231">
        <v>4290</v>
      </c>
      <c r="E231">
        <v>4150</v>
      </c>
      <c r="F231">
        <v>4150</v>
      </c>
      <c r="G231">
        <v>327919000</v>
      </c>
      <c r="H231" s="4">
        <f t="shared" si="6"/>
        <v>-2.3529411764705882E-2</v>
      </c>
      <c r="I231" s="4">
        <f t="shared" si="7"/>
        <v>-0.2687224669603524</v>
      </c>
    </row>
    <row r="232" spans="1:9" x14ac:dyDescent="0.2">
      <c r="A232" s="2">
        <f ca="1">IFERROR(__xludf.DUMMYFUNCTION("""COMPUTED_VALUE"""),45644.6666666666)</f>
        <v>45644.666666666599</v>
      </c>
      <c r="B232" s="6"/>
      <c r="C232">
        <v>4170</v>
      </c>
      <c r="D232">
        <v>4210</v>
      </c>
      <c r="E232">
        <v>4130</v>
      </c>
      <c r="F232">
        <v>4150</v>
      </c>
      <c r="G232">
        <v>205055500</v>
      </c>
      <c r="H232" s="4">
        <f t="shared" si="6"/>
        <v>0</v>
      </c>
      <c r="I232" s="4">
        <f t="shared" si="7"/>
        <v>-0.2687224669603524</v>
      </c>
    </row>
    <row r="233" spans="1:9" x14ac:dyDescent="0.2">
      <c r="A233" s="2">
        <f ca="1">IFERROR(__xludf.DUMMYFUNCTION("""COMPUTED_VALUE"""),45645.6666666666)</f>
        <v>45645.666666666599</v>
      </c>
      <c r="B233" s="6"/>
      <c r="C233">
        <v>4090</v>
      </c>
      <c r="D233">
        <v>4110</v>
      </c>
      <c r="E233">
        <v>4050</v>
      </c>
      <c r="F233">
        <v>4090</v>
      </c>
      <c r="G233">
        <v>381986300</v>
      </c>
      <c r="H233" s="4">
        <f t="shared" si="6"/>
        <v>-1.4457831325301205E-2</v>
      </c>
      <c r="I233" s="4">
        <f t="shared" si="7"/>
        <v>-0.27929515418502204</v>
      </c>
    </row>
    <row r="234" spans="1:9" x14ac:dyDescent="0.2">
      <c r="A234" s="2">
        <f ca="1">IFERROR(__xludf.DUMMYFUNCTION("""COMPUTED_VALUE"""),45646.6666666666)</f>
        <v>45646.666666666599</v>
      </c>
      <c r="B234" s="6"/>
      <c r="C234">
        <v>4070</v>
      </c>
      <c r="D234">
        <v>4120</v>
      </c>
      <c r="E234">
        <v>4050</v>
      </c>
      <c r="F234">
        <v>4060</v>
      </c>
      <c r="G234">
        <v>252689600</v>
      </c>
      <c r="H234" s="4">
        <f t="shared" si="6"/>
        <v>-7.3349633251833741E-3</v>
      </c>
      <c r="I234" s="4">
        <f t="shared" si="7"/>
        <v>-0.28458149779735681</v>
      </c>
    </row>
    <row r="235" spans="1:9" x14ac:dyDescent="0.2">
      <c r="A235" s="2">
        <f ca="1">IFERROR(__xludf.DUMMYFUNCTION("""COMPUTED_VALUE"""),45649.6666666666)</f>
        <v>45649.666666666599</v>
      </c>
      <c r="B235" s="6"/>
      <c r="C235">
        <v>4130</v>
      </c>
      <c r="D235">
        <v>4210</v>
      </c>
      <c r="E235">
        <v>4110</v>
      </c>
      <c r="F235">
        <v>4210</v>
      </c>
      <c r="G235">
        <v>167689800</v>
      </c>
      <c r="H235" s="4">
        <f t="shared" si="6"/>
        <v>3.6945812807881777E-2</v>
      </c>
      <c r="I235" s="4">
        <f t="shared" si="7"/>
        <v>-0.25814977973568282</v>
      </c>
    </row>
    <row r="236" spans="1:9" x14ac:dyDescent="0.2">
      <c r="A236" s="2">
        <f ca="1">IFERROR(__xludf.DUMMYFUNCTION("""COMPUTED_VALUE"""),45650.6666666666)</f>
        <v>45650.666666666599</v>
      </c>
      <c r="B236" s="6"/>
      <c r="C236">
        <v>4220</v>
      </c>
      <c r="D236">
        <v>4250</v>
      </c>
      <c r="E236">
        <v>4170</v>
      </c>
      <c r="F236">
        <v>4200</v>
      </c>
      <c r="G236">
        <v>199536100</v>
      </c>
      <c r="H236" s="4">
        <f t="shared" si="6"/>
        <v>-2.3752969121140144E-3</v>
      </c>
      <c r="I236" s="4">
        <f t="shared" si="7"/>
        <v>-0.25991189427312777</v>
      </c>
    </row>
    <row r="237" spans="1:9" x14ac:dyDescent="0.2">
      <c r="A237" s="2">
        <f ca="1">IFERROR(__xludf.DUMMYFUNCTION("""COMPUTED_VALUE"""),45653.6666666666)</f>
        <v>45653.666666666599</v>
      </c>
      <c r="B237" s="6"/>
      <c r="C237">
        <v>4100</v>
      </c>
      <c r="D237">
        <v>4120</v>
      </c>
      <c r="E237">
        <v>4080</v>
      </c>
      <c r="F237">
        <v>4100</v>
      </c>
      <c r="G237">
        <v>143104400</v>
      </c>
      <c r="H237" s="4">
        <f t="shared" si="6"/>
        <v>-2.3809523809523808E-2</v>
      </c>
      <c r="I237" s="4">
        <f t="shared" si="7"/>
        <v>-0.27753303964757708</v>
      </c>
    </row>
    <row r="238" spans="1:9" x14ac:dyDescent="0.2">
      <c r="A238" s="2">
        <f ca="1">IFERROR(__xludf.DUMMYFUNCTION("""COMPUTED_VALUE"""),45656.6666666666)</f>
        <v>45656.666666666599</v>
      </c>
      <c r="B238" s="6"/>
      <c r="C238">
        <v>4080</v>
      </c>
      <c r="D238">
        <v>4120</v>
      </c>
      <c r="E238">
        <v>4070</v>
      </c>
      <c r="F238">
        <v>4080</v>
      </c>
      <c r="G238">
        <v>153934700</v>
      </c>
      <c r="H238" s="4">
        <f t="shared" si="6"/>
        <v>-4.8780487804878049E-3</v>
      </c>
      <c r="I238" s="4">
        <f t="shared" si="7"/>
        <v>-0.28105726872246695</v>
      </c>
    </row>
    <row r="239" spans="1:9" x14ac:dyDescent="0.2">
      <c r="A239" s="2">
        <f ca="1">IFERROR(__xludf.DUMMYFUNCTION("""COMPUTED_VALUE"""),45659.6666666666)</f>
        <v>45659.666666666599</v>
      </c>
      <c r="B239" s="6"/>
      <c r="C239">
        <v>4100</v>
      </c>
      <c r="D239">
        <v>4220</v>
      </c>
      <c r="E239">
        <v>4090</v>
      </c>
      <c r="F239">
        <v>4210</v>
      </c>
      <c r="G239">
        <v>181361700</v>
      </c>
      <c r="H239" s="4">
        <f>(F239-F238)/F238</f>
        <v>3.1862745098039214E-2</v>
      </c>
      <c r="I239" s="4">
        <f t="shared" si="7"/>
        <v>-0.25814977973568282</v>
      </c>
    </row>
    <row r="240" spans="1:9" x14ac:dyDescent="0.2">
      <c r="A240" s="2">
        <f ca="1">IFERROR(__xludf.DUMMYFUNCTION("""COMPUTED_VALUE"""),45660.6666666666)</f>
        <v>45660.666666666599</v>
      </c>
      <c r="B240" s="6"/>
      <c r="C240">
        <v>4220</v>
      </c>
      <c r="D240">
        <v>4240</v>
      </c>
      <c r="E240">
        <v>4150</v>
      </c>
      <c r="F240">
        <v>4150</v>
      </c>
      <c r="G240">
        <v>134632300</v>
      </c>
      <c r="H240" s="4">
        <f t="shared" si="6"/>
        <v>-1.4251781472684086E-2</v>
      </c>
      <c r="I240" s="4">
        <f t="shared" si="7"/>
        <v>-0.2687224669603524</v>
      </c>
    </row>
    <row r="241" spans="1:9" x14ac:dyDescent="0.2">
      <c r="A241" s="2">
        <f ca="1">IFERROR(__xludf.DUMMYFUNCTION("""COMPUTED_VALUE"""),45663.6666666666)</f>
        <v>45663.666666666599</v>
      </c>
      <c r="B241" s="6"/>
      <c r="C241">
        <v>4180</v>
      </c>
      <c r="D241">
        <v>4180</v>
      </c>
      <c r="E241">
        <v>4100</v>
      </c>
      <c r="F241">
        <v>4100</v>
      </c>
      <c r="G241">
        <v>153048700</v>
      </c>
      <c r="H241" s="4">
        <f t="shared" si="6"/>
        <v>-1.2048192771084338E-2</v>
      </c>
      <c r="I241" s="4">
        <f t="shared" si="7"/>
        <v>-0.27753303964757708</v>
      </c>
    </row>
    <row r="242" spans="1:9" x14ac:dyDescent="0.2">
      <c r="A242" s="2">
        <f ca="1">IFERROR(__xludf.DUMMYFUNCTION("""COMPUTED_VALUE"""),45664.6666666666)</f>
        <v>45664.666666666599</v>
      </c>
      <c r="B242" s="6"/>
      <c r="C242">
        <v>4080</v>
      </c>
      <c r="D242">
        <v>4090</v>
      </c>
      <c r="E242">
        <v>4030</v>
      </c>
      <c r="F242">
        <v>4030</v>
      </c>
      <c r="G242">
        <v>171997400</v>
      </c>
      <c r="H242" s="4">
        <f t="shared" si="6"/>
        <v>-1.7073170731707318E-2</v>
      </c>
      <c r="I242" s="4">
        <f t="shared" si="7"/>
        <v>-0.28986784140969163</v>
      </c>
    </row>
    <row r="243" spans="1:9" x14ac:dyDescent="0.2">
      <c r="A243" s="2">
        <f ca="1">IFERROR(__xludf.DUMMYFUNCTION("""COMPUTED_VALUE"""),45665.6666666666)</f>
        <v>45665.666666666599</v>
      </c>
      <c r="B243" s="6"/>
      <c r="C243">
        <v>4030</v>
      </c>
      <c r="D243">
        <v>4100</v>
      </c>
      <c r="E243">
        <v>4030</v>
      </c>
      <c r="F243">
        <v>4080</v>
      </c>
      <c r="G243">
        <v>133655700</v>
      </c>
      <c r="H243" s="4">
        <f t="shared" si="6"/>
        <v>1.2406947890818859E-2</v>
      </c>
      <c r="I243" s="4">
        <f t="shared" si="7"/>
        <v>-0.28105726872246695</v>
      </c>
    </row>
    <row r="244" spans="1:9" x14ac:dyDescent="0.2">
      <c r="A244" s="2">
        <f ca="1">IFERROR(__xludf.DUMMYFUNCTION("""COMPUTED_VALUE"""),45666.6666666666)</f>
        <v>45666.666666666599</v>
      </c>
      <c r="B244" s="6"/>
      <c r="C244">
        <v>4070</v>
      </c>
      <c r="D244">
        <v>4100</v>
      </c>
      <c r="E244">
        <v>4030</v>
      </c>
      <c r="F244">
        <v>4030</v>
      </c>
      <c r="G244">
        <v>99300400</v>
      </c>
      <c r="H244" s="4">
        <f t="shared" si="6"/>
        <v>-1.2254901960784314E-2</v>
      </c>
      <c r="I244" s="4">
        <f t="shared" si="7"/>
        <v>-0.28986784140969163</v>
      </c>
    </row>
    <row r="245" spans="1:9" x14ac:dyDescent="0.2">
      <c r="A245" s="2">
        <f ca="1">IFERROR(__xludf.DUMMYFUNCTION("""COMPUTED_VALUE"""),45667.6666666666)</f>
        <v>45667.666666666599</v>
      </c>
      <c r="B245" s="6"/>
      <c r="C245">
        <v>4030</v>
      </c>
      <c r="D245">
        <v>4060</v>
      </c>
      <c r="E245">
        <v>4010</v>
      </c>
      <c r="F245">
        <v>4010</v>
      </c>
      <c r="G245">
        <v>132774300</v>
      </c>
      <c r="H245" s="4">
        <f t="shared" si="6"/>
        <v>-4.9627791563275434E-3</v>
      </c>
      <c r="I245" s="4">
        <f t="shared" si="7"/>
        <v>-0.29339207048458149</v>
      </c>
    </row>
    <row r="246" spans="1:9" x14ac:dyDescent="0.2">
      <c r="A246" s="2">
        <f ca="1">IFERROR(__xludf.DUMMYFUNCTION("""COMPUTED_VALUE"""),45670.6666666666)</f>
        <v>45670.666666666599</v>
      </c>
      <c r="B246" s="6"/>
      <c r="C246">
        <v>3990</v>
      </c>
      <c r="D246">
        <v>3990</v>
      </c>
      <c r="E246">
        <v>3850</v>
      </c>
      <c r="F246">
        <v>3850</v>
      </c>
      <c r="G246">
        <v>413408100</v>
      </c>
      <c r="H246" s="4">
        <f t="shared" si="6"/>
        <v>-3.9900249376558602E-2</v>
      </c>
      <c r="I246" s="4">
        <f t="shared" si="7"/>
        <v>-0.32158590308370044</v>
      </c>
    </row>
    <row r="247" spans="1:9" x14ac:dyDescent="0.2">
      <c r="A247" s="2">
        <f ca="1">IFERROR(__xludf.DUMMYFUNCTION("""COMPUTED_VALUE"""),45671.6666666666)</f>
        <v>45671.666666666599</v>
      </c>
      <c r="B247" s="6"/>
      <c r="C247">
        <v>3820</v>
      </c>
      <c r="D247">
        <v>3920</v>
      </c>
      <c r="E247">
        <v>3800</v>
      </c>
      <c r="F247">
        <v>3800</v>
      </c>
      <c r="G247">
        <v>293621700</v>
      </c>
      <c r="H247" s="4">
        <f t="shared" si="6"/>
        <v>-1.2987012987012988E-2</v>
      </c>
      <c r="I247" s="4">
        <f t="shared" si="7"/>
        <v>-0.33039647577092512</v>
      </c>
    </row>
    <row r="248" spans="1:9" x14ac:dyDescent="0.2">
      <c r="A248" s="2">
        <f ca="1">IFERROR(__xludf.DUMMYFUNCTION("""COMPUTED_VALUE"""),45672.6666666666)</f>
        <v>45672.666666666599</v>
      </c>
      <c r="B248" s="6"/>
      <c r="C248">
        <v>3840</v>
      </c>
      <c r="D248">
        <v>4090</v>
      </c>
      <c r="E248">
        <v>3840</v>
      </c>
      <c r="F248">
        <v>4090</v>
      </c>
      <c r="G248">
        <v>407813500</v>
      </c>
      <c r="H248" s="4">
        <f t="shared" si="6"/>
        <v>7.6315789473684212E-2</v>
      </c>
      <c r="I248" s="4">
        <f t="shared" si="7"/>
        <v>-0.27929515418502204</v>
      </c>
    </row>
    <row r="249" spans="1:9" x14ac:dyDescent="0.2">
      <c r="A249" s="2">
        <f ca="1">IFERROR(__xludf.DUMMYFUNCTION("""COMPUTED_VALUE"""),45673.6666666666)</f>
        <v>45673.666666666599</v>
      </c>
      <c r="B249" s="6"/>
      <c r="C249">
        <v>4210</v>
      </c>
      <c r="D249">
        <v>4240</v>
      </c>
      <c r="E249">
        <v>4130</v>
      </c>
      <c r="F249">
        <v>4160</v>
      </c>
      <c r="G249">
        <v>349387500</v>
      </c>
      <c r="H249" s="4">
        <f t="shared" si="6"/>
        <v>1.7114914425427872E-2</v>
      </c>
      <c r="I249" s="4">
        <f t="shared" si="7"/>
        <v>-0.2669603524229075</v>
      </c>
    </row>
    <row r="250" spans="1:9" x14ac:dyDescent="0.2">
      <c r="A250" s="2">
        <f ca="1">IFERROR(__xludf.DUMMYFUNCTION("""COMPUTED_VALUE"""),45674.6666666666)</f>
        <v>45674.666666666599</v>
      </c>
      <c r="B250" s="6"/>
      <c r="C250">
        <v>4150</v>
      </c>
      <c r="D250">
        <v>4190</v>
      </c>
      <c r="E250">
        <v>4080</v>
      </c>
      <c r="F250">
        <v>4090</v>
      </c>
      <c r="G250">
        <v>268758600</v>
      </c>
      <c r="H250" s="4">
        <f t="shared" si="6"/>
        <v>-1.6826923076923076E-2</v>
      </c>
      <c r="I250" s="4">
        <f t="shared" si="7"/>
        <v>-0.27929515418502204</v>
      </c>
    </row>
    <row r="251" spans="1:9" x14ac:dyDescent="0.2">
      <c r="A251" s="2">
        <f ca="1">IFERROR(__xludf.DUMMYFUNCTION("""COMPUTED_VALUE"""),45677.6666666666)</f>
        <v>45677.666666666599</v>
      </c>
      <c r="B251" s="6"/>
      <c r="C251">
        <v>4130</v>
      </c>
      <c r="D251">
        <v>4220</v>
      </c>
      <c r="E251">
        <v>4130</v>
      </c>
      <c r="F251">
        <v>4220</v>
      </c>
      <c r="G251">
        <v>167348600</v>
      </c>
      <c r="H251" s="4">
        <f t="shared" si="6"/>
        <v>3.1784841075794622E-2</v>
      </c>
      <c r="I251" s="4">
        <f t="shared" si="7"/>
        <v>-0.25638766519823791</v>
      </c>
    </row>
    <row r="252" spans="1:9" x14ac:dyDescent="0.2">
      <c r="A252" s="2">
        <f ca="1">IFERROR(__xludf.DUMMYFUNCTION("""COMPUTED_VALUE"""),45678.6666666666)</f>
        <v>45678.666666666599</v>
      </c>
      <c r="B252" s="6"/>
      <c r="C252">
        <v>4270</v>
      </c>
      <c r="D252">
        <v>4380</v>
      </c>
      <c r="E252">
        <v>4250</v>
      </c>
      <c r="F252">
        <v>4260</v>
      </c>
      <c r="G252">
        <v>345223800</v>
      </c>
      <c r="H252" s="4">
        <f t="shared" si="6"/>
        <v>9.4786729857819912E-3</v>
      </c>
      <c r="I252" s="4">
        <f t="shared" si="7"/>
        <v>-0.24933920704845816</v>
      </c>
    </row>
    <row r="253" spans="1:9" x14ac:dyDescent="0.2">
      <c r="A253" s="2">
        <f ca="1">IFERROR(__xludf.DUMMYFUNCTION("""COMPUTED_VALUE"""),45679.6666666666)</f>
        <v>45679.666666666599</v>
      </c>
      <c r="B253" s="6"/>
      <c r="C253">
        <v>4310</v>
      </c>
      <c r="D253">
        <v>4320</v>
      </c>
      <c r="E253">
        <v>4230</v>
      </c>
      <c r="F253">
        <v>4260</v>
      </c>
      <c r="G253">
        <v>193218900</v>
      </c>
      <c r="H253" s="4">
        <f t="shared" si="6"/>
        <v>0</v>
      </c>
      <c r="I253" s="4">
        <f t="shared" si="7"/>
        <v>-0.24933920704845816</v>
      </c>
    </row>
    <row r="254" spans="1:9" x14ac:dyDescent="0.2">
      <c r="A254" s="2">
        <f ca="1">IFERROR(__xludf.DUMMYFUNCTION("""COMPUTED_VALUE"""),45680.6666666666)</f>
        <v>45680.666666666599</v>
      </c>
      <c r="B254" s="6"/>
      <c r="C254">
        <v>4260</v>
      </c>
      <c r="D254">
        <v>4340</v>
      </c>
      <c r="E254">
        <v>4260</v>
      </c>
      <c r="F254">
        <v>4300</v>
      </c>
      <c r="G254">
        <v>216018100</v>
      </c>
      <c r="H254" s="4">
        <f t="shared" si="6"/>
        <v>9.3896713615023476E-3</v>
      </c>
      <c r="I254" s="4">
        <f t="shared" si="7"/>
        <v>-0.24229074889867841</v>
      </c>
    </row>
    <row r="255" spans="1:9" x14ac:dyDescent="0.2">
      <c r="A255" s="2">
        <f ca="1">IFERROR(__xludf.DUMMYFUNCTION("""COMPUTED_VALUE"""),45681.6666666666)</f>
        <v>45681.666666666599</v>
      </c>
      <c r="B255" s="6"/>
      <c r="C255">
        <v>4350</v>
      </c>
      <c r="D255">
        <v>4350</v>
      </c>
      <c r="E255">
        <v>4190</v>
      </c>
      <c r="F255">
        <v>4190</v>
      </c>
      <c r="G255">
        <v>276421900</v>
      </c>
      <c r="H255" s="4">
        <f t="shared" si="6"/>
        <v>-2.5581395348837209E-2</v>
      </c>
      <c r="I255" s="4">
        <f t="shared" si="7"/>
        <v>-0.26167400881057268</v>
      </c>
    </row>
    <row r="256" spans="1:9" x14ac:dyDescent="0.2">
      <c r="A256" s="2">
        <f ca="1">IFERROR(__xludf.DUMMYFUNCTION("""COMPUTED_VALUE"""),45687.6666666666)</f>
        <v>45687.666666666599</v>
      </c>
      <c r="B256" s="6"/>
      <c r="C256">
        <v>4130</v>
      </c>
      <c r="D256">
        <v>4170</v>
      </c>
      <c r="E256">
        <v>4090</v>
      </c>
      <c r="F256">
        <v>4120</v>
      </c>
      <c r="G256">
        <v>220222400</v>
      </c>
      <c r="H256" s="4">
        <f t="shared" si="6"/>
        <v>-1.6706443914081145E-2</v>
      </c>
      <c r="I256" s="4">
        <f t="shared" si="7"/>
        <v>-0.27400881057268722</v>
      </c>
    </row>
    <row r="257" spans="1:9" x14ac:dyDescent="0.2">
      <c r="A257" s="2">
        <f ca="1">IFERROR(__xludf.DUMMYFUNCTION("""COMPUTED_VALUE"""),45688.6666666666)</f>
        <v>45688.666666666599</v>
      </c>
      <c r="B257" s="6"/>
      <c r="C257">
        <v>4170</v>
      </c>
      <c r="D257">
        <v>4280</v>
      </c>
      <c r="E257">
        <v>4150</v>
      </c>
      <c r="F257">
        <v>4220</v>
      </c>
      <c r="G257">
        <v>192622700</v>
      </c>
      <c r="H257" s="4">
        <f t="shared" si="6"/>
        <v>2.4271844660194174E-2</v>
      </c>
      <c r="I257" s="4">
        <f t="shared" si="7"/>
        <v>-0.25638766519823791</v>
      </c>
    </row>
    <row r="258" spans="1:9" x14ac:dyDescent="0.2">
      <c r="A258" s="2">
        <f ca="1">IFERROR(__xludf.DUMMYFUNCTION("""COMPUTED_VALUE"""),45691.6666666666)</f>
        <v>45691.666666666599</v>
      </c>
      <c r="B258" s="6"/>
      <c r="C258">
        <v>4200</v>
      </c>
      <c r="D258">
        <v>4270</v>
      </c>
      <c r="E258">
        <v>4150</v>
      </c>
      <c r="F258">
        <v>4250</v>
      </c>
      <c r="G258">
        <v>220285800</v>
      </c>
      <c r="H258" s="4">
        <f t="shared" si="6"/>
        <v>7.1090047393364926E-3</v>
      </c>
      <c r="I258" s="4">
        <f t="shared" si="7"/>
        <v>-0.25110132158590309</v>
      </c>
    </row>
    <row r="259" spans="1:9" x14ac:dyDescent="0.2">
      <c r="A259" s="2">
        <f ca="1">IFERROR(__xludf.DUMMYFUNCTION("""COMPUTED_VALUE"""),45692.6666666666)</f>
        <v>45692.666666666599</v>
      </c>
      <c r="B259" s="6"/>
      <c r="C259">
        <v>4260</v>
      </c>
      <c r="D259">
        <v>4300</v>
      </c>
      <c r="E259">
        <v>4200</v>
      </c>
      <c r="F259">
        <v>4260</v>
      </c>
      <c r="G259">
        <v>231917500</v>
      </c>
      <c r="H259" s="4">
        <f t="shared" si="6"/>
        <v>2.352941176470588E-3</v>
      </c>
      <c r="I259" s="4">
        <f t="shared" si="7"/>
        <v>-0.24933920704845816</v>
      </c>
    </row>
    <row r="260" spans="1:9" x14ac:dyDescent="0.2">
      <c r="A260" s="2">
        <f ca="1">IFERROR(__xludf.DUMMYFUNCTION("""COMPUTED_VALUE"""),45693.6666666666)</f>
        <v>45693.666666666599</v>
      </c>
      <c r="B260" s="6"/>
      <c r="C260">
        <v>4250</v>
      </c>
      <c r="D260">
        <v>4250</v>
      </c>
      <c r="E260">
        <v>4140</v>
      </c>
      <c r="F260">
        <v>4140</v>
      </c>
      <c r="G260">
        <v>209834400</v>
      </c>
      <c r="H260" s="4">
        <f t="shared" ref="H260:H323" si="8">(F260-F259)/F259</f>
        <v>-2.8169014084507043E-2</v>
      </c>
      <c r="I260" s="4">
        <f t="shared" ref="I260:I323" si="9">(F260-$F$2)/$F$2</f>
        <v>-0.27048458149779736</v>
      </c>
    </row>
    <row r="261" spans="1:9" x14ac:dyDescent="0.2">
      <c r="A261" s="2">
        <f ca="1">IFERROR(__xludf.DUMMYFUNCTION("""COMPUTED_VALUE"""),45694.6666666666)</f>
        <v>45694.666666666599</v>
      </c>
      <c r="B261" s="6"/>
      <c r="C261">
        <v>4120</v>
      </c>
      <c r="D261">
        <v>4160</v>
      </c>
      <c r="E261">
        <v>3940</v>
      </c>
      <c r="F261">
        <v>3970</v>
      </c>
      <c r="G261">
        <v>378545500</v>
      </c>
      <c r="H261" s="4">
        <f t="shared" si="8"/>
        <v>-4.1062801932367152E-2</v>
      </c>
      <c r="I261" s="4">
        <f t="shared" si="9"/>
        <v>-0.30044052863436121</v>
      </c>
    </row>
    <row r="262" spans="1:9" x14ac:dyDescent="0.2">
      <c r="A262" s="2">
        <f ca="1">IFERROR(__xludf.DUMMYFUNCTION("""COMPUTED_VALUE"""),45695.6666666666)</f>
        <v>45695.666666666599</v>
      </c>
      <c r="B262" s="6"/>
      <c r="C262">
        <v>3970</v>
      </c>
      <c r="D262">
        <v>4030</v>
      </c>
      <c r="E262">
        <v>3940</v>
      </c>
      <c r="F262">
        <v>4030</v>
      </c>
      <c r="G262">
        <v>259636200</v>
      </c>
      <c r="H262" s="4">
        <f t="shared" si="8"/>
        <v>1.5113350125944584E-2</v>
      </c>
      <c r="I262" s="4">
        <f t="shared" si="9"/>
        <v>-0.28986784140969163</v>
      </c>
    </row>
    <row r="263" spans="1:9" x14ac:dyDescent="0.2">
      <c r="A263" s="2">
        <f ca="1">IFERROR(__xludf.DUMMYFUNCTION("""COMPUTED_VALUE"""),45698.6666666666)</f>
        <v>45698.666666666599</v>
      </c>
      <c r="B263" s="6"/>
      <c r="C263">
        <v>4000</v>
      </c>
      <c r="D263">
        <v>4050</v>
      </c>
      <c r="E263">
        <v>3950</v>
      </c>
      <c r="F263">
        <v>3970</v>
      </c>
      <c r="G263">
        <v>201999400</v>
      </c>
      <c r="H263" s="4">
        <f t="shared" si="8"/>
        <v>-1.488833746898263E-2</v>
      </c>
      <c r="I263" s="4">
        <f t="shared" si="9"/>
        <v>-0.30044052863436121</v>
      </c>
    </row>
    <row r="264" spans="1:9" x14ac:dyDescent="0.2">
      <c r="A264" s="2">
        <f ca="1">IFERROR(__xludf.DUMMYFUNCTION("""COMPUTED_VALUE"""),45699.6666666666)</f>
        <v>45699.666666666599</v>
      </c>
      <c r="B264" s="6"/>
      <c r="C264">
        <v>3970</v>
      </c>
      <c r="D264">
        <v>4040</v>
      </c>
      <c r="E264">
        <v>3900</v>
      </c>
      <c r="F264">
        <v>4010</v>
      </c>
      <c r="G264">
        <v>276382800</v>
      </c>
      <c r="H264" s="4">
        <f t="shared" si="8"/>
        <v>1.0075566750629723E-2</v>
      </c>
      <c r="I264" s="4">
        <f t="shared" si="9"/>
        <v>-0.29339207048458149</v>
      </c>
    </row>
    <row r="265" spans="1:9" x14ac:dyDescent="0.2">
      <c r="A265" s="2">
        <f ca="1">IFERROR(__xludf.DUMMYFUNCTION("""COMPUTED_VALUE"""),45700.6666666666)</f>
        <v>45700.666666666599</v>
      </c>
      <c r="B265" s="6"/>
      <c r="C265">
        <v>3960</v>
      </c>
      <c r="D265">
        <v>4060</v>
      </c>
      <c r="E265">
        <v>3950</v>
      </c>
      <c r="F265">
        <v>4030</v>
      </c>
      <c r="G265">
        <v>362571900</v>
      </c>
      <c r="H265" s="4">
        <f t="shared" si="8"/>
        <v>4.9875311720698253E-3</v>
      </c>
      <c r="I265" s="4">
        <f t="shared" si="9"/>
        <v>-0.28986784140969163</v>
      </c>
    </row>
    <row r="266" spans="1:9" x14ac:dyDescent="0.2">
      <c r="A266" s="2">
        <f ca="1">IFERROR(__xludf.DUMMYFUNCTION("""COMPUTED_VALUE"""),45701.6666666666)</f>
        <v>45701.666666666599</v>
      </c>
      <c r="B266" s="6"/>
      <c r="C266">
        <v>4000</v>
      </c>
      <c r="D266">
        <v>4030</v>
      </c>
      <c r="E266">
        <v>3960</v>
      </c>
      <c r="F266">
        <v>3990</v>
      </c>
      <c r="G266">
        <v>341640600</v>
      </c>
      <c r="H266" s="4">
        <f t="shared" si="8"/>
        <v>-9.9255583126550868E-3</v>
      </c>
      <c r="I266" s="4">
        <f t="shared" si="9"/>
        <v>-0.29691629955947135</v>
      </c>
    </row>
    <row r="267" spans="1:9" x14ac:dyDescent="0.2">
      <c r="A267" s="2">
        <f ca="1">IFERROR(__xludf.DUMMYFUNCTION("""COMPUTED_VALUE"""),45702.6666666666)</f>
        <v>45702.666666666599</v>
      </c>
      <c r="B267" s="6"/>
      <c r="C267">
        <v>4000</v>
      </c>
      <c r="D267">
        <v>4010</v>
      </c>
      <c r="E267">
        <v>3850</v>
      </c>
      <c r="F267">
        <v>3860</v>
      </c>
      <c r="G267">
        <v>524909600</v>
      </c>
      <c r="H267" s="4">
        <f t="shared" si="8"/>
        <v>-3.2581453634085211E-2</v>
      </c>
      <c r="I267" s="4">
        <f t="shared" si="9"/>
        <v>-0.31982378854625548</v>
      </c>
    </row>
    <row r="268" spans="1:9" x14ac:dyDescent="0.2">
      <c r="A268" s="2">
        <f ca="1">IFERROR(__xludf.DUMMYFUNCTION("""COMPUTED_VALUE"""),45705.6666666666)</f>
        <v>45705.666666666599</v>
      </c>
      <c r="B268" s="6"/>
      <c r="C268">
        <v>3870</v>
      </c>
      <c r="D268">
        <v>4030</v>
      </c>
      <c r="E268">
        <v>3870</v>
      </c>
      <c r="F268">
        <v>4030</v>
      </c>
      <c r="G268">
        <v>265737100</v>
      </c>
      <c r="H268" s="4">
        <f t="shared" si="8"/>
        <v>4.4041450777202069E-2</v>
      </c>
      <c r="I268" s="4">
        <f t="shared" si="9"/>
        <v>-0.28986784140969163</v>
      </c>
    </row>
    <row r="269" spans="1:9" x14ac:dyDescent="0.2">
      <c r="A269" s="2">
        <f ca="1">IFERROR(__xludf.DUMMYFUNCTION("""COMPUTED_VALUE"""),45706.6666666666)</f>
        <v>45706.666666666599</v>
      </c>
      <c r="B269" s="6"/>
      <c r="C269">
        <v>4030</v>
      </c>
      <c r="D269">
        <v>4180</v>
      </c>
      <c r="E269">
        <v>4030</v>
      </c>
      <c r="F269">
        <v>4150</v>
      </c>
      <c r="G269">
        <v>374350700</v>
      </c>
      <c r="H269" s="4">
        <f t="shared" si="8"/>
        <v>2.9776674937965261E-2</v>
      </c>
      <c r="I269" s="4">
        <f t="shared" si="9"/>
        <v>-0.2687224669603524</v>
      </c>
    </row>
    <row r="270" spans="1:9" x14ac:dyDescent="0.2">
      <c r="A270" s="2">
        <f ca="1">IFERROR(__xludf.DUMMYFUNCTION("""COMPUTED_VALUE"""),45707.6666666666)</f>
        <v>45707.666666666599</v>
      </c>
      <c r="B270" s="6"/>
      <c r="C270">
        <v>4160</v>
      </c>
      <c r="D270">
        <v>4180</v>
      </c>
      <c r="E270">
        <v>4010</v>
      </c>
      <c r="F270">
        <v>4020</v>
      </c>
      <c r="G270">
        <v>346072800</v>
      </c>
      <c r="H270" s="4">
        <f t="shared" si="8"/>
        <v>-3.1325301204819279E-2</v>
      </c>
      <c r="I270" s="4">
        <f t="shared" si="9"/>
        <v>-0.29162995594713659</v>
      </c>
    </row>
    <row r="271" spans="1:9" x14ac:dyDescent="0.2">
      <c r="A271" s="2">
        <f ca="1">IFERROR(__xludf.DUMMYFUNCTION("""COMPUTED_VALUE"""),45708.6666666666)</f>
        <v>45708.666666666599</v>
      </c>
      <c r="B271" s="6"/>
      <c r="C271">
        <v>3970</v>
      </c>
      <c r="D271">
        <v>4020</v>
      </c>
      <c r="E271">
        <v>3910</v>
      </c>
      <c r="F271">
        <v>3910</v>
      </c>
      <c r="G271">
        <v>312753300</v>
      </c>
      <c r="H271" s="4">
        <f t="shared" si="8"/>
        <v>-2.736318407960199E-2</v>
      </c>
      <c r="I271" s="4">
        <f t="shared" si="9"/>
        <v>-0.31101321585903086</v>
      </c>
    </row>
    <row r="272" spans="1:9" x14ac:dyDescent="0.2">
      <c r="A272" s="2">
        <f ca="1">IFERROR(__xludf.DUMMYFUNCTION("""COMPUTED_VALUE"""),45709.6666666666)</f>
        <v>45709.666666666599</v>
      </c>
      <c r="B272" s="6"/>
      <c r="C272">
        <v>3910</v>
      </c>
      <c r="D272">
        <v>3930</v>
      </c>
      <c r="E272">
        <v>3870</v>
      </c>
      <c r="F272">
        <v>3890</v>
      </c>
      <c r="G272">
        <v>205268800</v>
      </c>
      <c r="H272" s="4">
        <f t="shared" si="8"/>
        <v>-5.1150895140664966E-3</v>
      </c>
      <c r="I272" s="4">
        <f t="shared" si="9"/>
        <v>-0.31453744493392072</v>
      </c>
    </row>
    <row r="273" spans="1:9" x14ac:dyDescent="0.2">
      <c r="A273" s="2">
        <f ca="1">IFERROR(__xludf.DUMMYFUNCTION("""COMPUTED_VALUE"""),45712.6666666666)</f>
        <v>45712.666666666599</v>
      </c>
      <c r="B273" s="6"/>
      <c r="C273">
        <v>3900</v>
      </c>
      <c r="D273">
        <v>3940</v>
      </c>
      <c r="E273">
        <v>3870</v>
      </c>
      <c r="F273">
        <v>3920</v>
      </c>
      <c r="G273">
        <v>138610800</v>
      </c>
      <c r="H273" s="4">
        <f t="shared" si="8"/>
        <v>7.7120822622107968E-3</v>
      </c>
      <c r="I273" s="4">
        <f t="shared" si="9"/>
        <v>-0.3092511013215859</v>
      </c>
    </row>
    <row r="274" spans="1:9" x14ac:dyDescent="0.2">
      <c r="A274" s="2">
        <f ca="1">IFERROR(__xludf.DUMMYFUNCTION("""COMPUTED_VALUE"""),45713.6666666666)</f>
        <v>45713.666666666599</v>
      </c>
      <c r="B274" s="6"/>
      <c r="C274">
        <v>3880</v>
      </c>
      <c r="D274">
        <v>3920</v>
      </c>
      <c r="E274">
        <v>3800</v>
      </c>
      <c r="F274">
        <v>3800</v>
      </c>
      <c r="G274">
        <v>404555100</v>
      </c>
      <c r="H274" s="4">
        <f t="shared" si="8"/>
        <v>-3.0612244897959183E-2</v>
      </c>
      <c r="I274" s="4">
        <f t="shared" si="9"/>
        <v>-0.33039647577092512</v>
      </c>
    </row>
    <row r="275" spans="1:9" x14ac:dyDescent="0.2">
      <c r="A275" s="2">
        <f ca="1">IFERROR(__xludf.DUMMYFUNCTION("""COMPUTED_VALUE"""),45714.6666666666)</f>
        <v>45714.666666666599</v>
      </c>
      <c r="B275" s="6"/>
      <c r="C275">
        <v>3800</v>
      </c>
      <c r="D275">
        <v>3860</v>
      </c>
      <c r="E275">
        <v>3760</v>
      </c>
      <c r="F275">
        <v>3820</v>
      </c>
      <c r="G275">
        <v>242834100</v>
      </c>
      <c r="H275" s="4">
        <f t="shared" si="8"/>
        <v>5.263157894736842E-3</v>
      </c>
      <c r="I275" s="4">
        <f t="shared" si="9"/>
        <v>-0.32687224669603526</v>
      </c>
    </row>
    <row r="276" spans="1:9" x14ac:dyDescent="0.2">
      <c r="A276" s="2">
        <f ca="1">IFERROR(__xludf.DUMMYFUNCTION("""COMPUTED_VALUE"""),45715.6666666666)</f>
        <v>45715.666666666599</v>
      </c>
      <c r="B276" s="6"/>
      <c r="C276">
        <v>3790</v>
      </c>
      <c r="D276">
        <v>3800</v>
      </c>
      <c r="E276">
        <v>3610</v>
      </c>
      <c r="F276">
        <v>3630</v>
      </c>
      <c r="G276">
        <v>410928000</v>
      </c>
      <c r="H276" s="4">
        <f t="shared" si="8"/>
        <v>-4.9738219895287955E-2</v>
      </c>
      <c r="I276" s="4">
        <f t="shared" si="9"/>
        <v>-0.36035242290748898</v>
      </c>
    </row>
    <row r="277" spans="1:9" x14ac:dyDescent="0.2">
      <c r="A277" s="2">
        <f ca="1">IFERROR(__xludf.DUMMYFUNCTION("""COMPUTED_VALUE"""),45716.6666666666)</f>
        <v>45716.666666666599</v>
      </c>
      <c r="B277" s="6"/>
      <c r="C277">
        <v>3500</v>
      </c>
      <c r="D277">
        <v>3540</v>
      </c>
      <c r="E277">
        <v>3360</v>
      </c>
      <c r="F277">
        <v>3360</v>
      </c>
      <c r="G277">
        <v>1000597600</v>
      </c>
      <c r="H277" s="4">
        <f t="shared" si="8"/>
        <v>-7.43801652892562E-2</v>
      </c>
      <c r="I277" s="4">
        <f t="shared" si="9"/>
        <v>-0.4079295154185022</v>
      </c>
    </row>
    <row r="278" spans="1:9" x14ac:dyDescent="0.2">
      <c r="A278" s="2">
        <f ca="1">IFERROR(__xludf.DUMMYFUNCTION("""COMPUTED_VALUE"""),45719.6666666666)</f>
        <v>45719.666666666599</v>
      </c>
      <c r="B278" s="6"/>
      <c r="C278">
        <v>3520</v>
      </c>
      <c r="D278">
        <v>3740</v>
      </c>
      <c r="E278">
        <v>3470</v>
      </c>
      <c r="F278">
        <v>3670</v>
      </c>
      <c r="G278">
        <v>744626800</v>
      </c>
      <c r="H278" s="4">
        <f t="shared" si="8"/>
        <v>9.2261904761904767E-2</v>
      </c>
      <c r="I278" s="4">
        <f t="shared" si="9"/>
        <v>-0.35330396475770925</v>
      </c>
    </row>
    <row r="279" spans="1:9" x14ac:dyDescent="0.2">
      <c r="A279" s="2">
        <f ca="1">IFERROR(__xludf.DUMMYFUNCTION("""COMPUTED_VALUE"""),45720.6666666666)</f>
        <v>45720.666666666599</v>
      </c>
      <c r="B279" s="6"/>
      <c r="C279">
        <v>3680</v>
      </c>
      <c r="D279">
        <v>3720</v>
      </c>
      <c r="E279">
        <v>3600</v>
      </c>
      <c r="F279">
        <v>3670</v>
      </c>
      <c r="G279">
        <v>338434700</v>
      </c>
      <c r="H279" s="4">
        <f t="shared" si="8"/>
        <v>0</v>
      </c>
      <c r="I279" s="4">
        <f t="shared" si="9"/>
        <v>-0.35330396475770925</v>
      </c>
    </row>
    <row r="280" spans="1:9" x14ac:dyDescent="0.2">
      <c r="A280" s="2">
        <f ca="1">IFERROR(__xludf.DUMMYFUNCTION("""COMPUTED_VALUE"""),45721.6666666666)</f>
        <v>45721.666666666599</v>
      </c>
      <c r="B280" s="6"/>
      <c r="C280">
        <v>3710</v>
      </c>
      <c r="D280">
        <v>3900</v>
      </c>
      <c r="E280">
        <v>3710</v>
      </c>
      <c r="F280">
        <v>3840</v>
      </c>
      <c r="G280">
        <v>441151000</v>
      </c>
      <c r="H280" s="4">
        <f t="shared" si="8"/>
        <v>4.632152588555858E-2</v>
      </c>
      <c r="I280" s="4">
        <f t="shared" si="9"/>
        <v>-0.3233480176211454</v>
      </c>
    </row>
    <row r="281" spans="1:9" x14ac:dyDescent="0.2">
      <c r="A281" s="2">
        <f ca="1">IFERROR(__xludf.DUMMYFUNCTION("""COMPUTED_VALUE"""),45722.6666666666)</f>
        <v>45722.666666666599</v>
      </c>
      <c r="B281" s="6"/>
      <c r="C281">
        <v>3870</v>
      </c>
      <c r="D281">
        <v>3990</v>
      </c>
      <c r="E281">
        <v>3870</v>
      </c>
      <c r="F281">
        <v>3950</v>
      </c>
      <c r="G281">
        <v>434485100</v>
      </c>
      <c r="H281" s="4">
        <f t="shared" si="8"/>
        <v>2.8645833333333332E-2</v>
      </c>
      <c r="I281" s="4">
        <f t="shared" si="9"/>
        <v>-0.30396475770925108</v>
      </c>
    </row>
    <row r="282" spans="1:9" x14ac:dyDescent="0.2">
      <c r="A282" s="2">
        <f ca="1">IFERROR(__xludf.DUMMYFUNCTION("""COMPUTED_VALUE"""),45723.6666666666)</f>
        <v>45723.666666666599</v>
      </c>
      <c r="B282" s="6"/>
      <c r="C282">
        <v>3930</v>
      </c>
      <c r="D282">
        <v>3930</v>
      </c>
      <c r="E282">
        <v>3810</v>
      </c>
      <c r="F282">
        <v>3810</v>
      </c>
      <c r="G282">
        <v>243793600</v>
      </c>
      <c r="H282" s="4">
        <f t="shared" si="8"/>
        <v>-3.5443037974683546E-2</v>
      </c>
      <c r="I282" s="4">
        <f t="shared" si="9"/>
        <v>-0.32863436123348017</v>
      </c>
    </row>
    <row r="283" spans="1:9" x14ac:dyDescent="0.2">
      <c r="A283" s="2">
        <f ca="1">IFERROR(__xludf.DUMMYFUNCTION("""COMPUTED_VALUE"""),45726.6666666666)</f>
        <v>45726.666666666599</v>
      </c>
      <c r="B283" s="6"/>
      <c r="C283">
        <v>3790</v>
      </c>
      <c r="D283">
        <v>3810</v>
      </c>
      <c r="E283">
        <v>3730</v>
      </c>
      <c r="F283">
        <v>3760</v>
      </c>
      <c r="G283">
        <v>232192200</v>
      </c>
      <c r="H283" s="4">
        <f t="shared" si="8"/>
        <v>-1.3123359580052493E-2</v>
      </c>
      <c r="I283" s="4">
        <f t="shared" si="9"/>
        <v>-0.33744493392070485</v>
      </c>
    </row>
    <row r="284" spans="1:9" x14ac:dyDescent="0.2">
      <c r="A284" s="2">
        <f ca="1">IFERROR(__xludf.DUMMYFUNCTION("""COMPUTED_VALUE"""),45727.6666666666)</f>
        <v>45727.666666666599</v>
      </c>
      <c r="B284" s="6"/>
      <c r="C284">
        <v>3700</v>
      </c>
      <c r="D284">
        <v>3790</v>
      </c>
      <c r="E284">
        <v>3660</v>
      </c>
      <c r="F284">
        <v>3790</v>
      </c>
      <c r="G284">
        <v>273961800</v>
      </c>
      <c r="H284" s="4">
        <f t="shared" si="8"/>
        <v>7.9787234042553185E-3</v>
      </c>
      <c r="I284" s="4">
        <f t="shared" si="9"/>
        <v>-0.33215859030837003</v>
      </c>
    </row>
    <row r="285" spans="1:9" x14ac:dyDescent="0.2">
      <c r="A285" s="2">
        <f ca="1">IFERROR(__xludf.DUMMYFUNCTION("""COMPUTED_VALUE"""),45728.6666666666)</f>
        <v>45728.666666666599</v>
      </c>
      <c r="B285" s="6"/>
      <c r="C285">
        <v>3810</v>
      </c>
      <c r="D285">
        <v>3920</v>
      </c>
      <c r="E285">
        <v>3810</v>
      </c>
      <c r="F285">
        <v>3890</v>
      </c>
      <c r="G285">
        <v>271631200</v>
      </c>
      <c r="H285" s="4">
        <f t="shared" si="8"/>
        <v>2.6385224274406333E-2</v>
      </c>
      <c r="I285" s="4">
        <f t="shared" si="9"/>
        <v>-0.31453744493392072</v>
      </c>
    </row>
    <row r="286" spans="1:9" x14ac:dyDescent="0.2">
      <c r="A286" s="2">
        <f ca="1">IFERROR(__xludf.DUMMYFUNCTION("""COMPUTED_VALUE"""),45729.6666666666)</f>
        <v>45729.666666666599</v>
      </c>
      <c r="B286" s="6"/>
      <c r="C286">
        <v>3960</v>
      </c>
      <c r="D286">
        <v>3970</v>
      </c>
      <c r="E286">
        <v>3800</v>
      </c>
      <c r="F286">
        <v>3800</v>
      </c>
      <c r="G286">
        <v>209225700</v>
      </c>
      <c r="H286" s="4">
        <f t="shared" si="8"/>
        <v>-2.313624678663239E-2</v>
      </c>
      <c r="I286" s="4">
        <f t="shared" si="9"/>
        <v>-0.33039647577092512</v>
      </c>
    </row>
    <row r="287" spans="1:9" x14ac:dyDescent="0.2">
      <c r="A287" s="2">
        <f ca="1">IFERROR(__xludf.DUMMYFUNCTION("""COMPUTED_VALUE"""),45730.6666666666)</f>
        <v>45730.666666666599</v>
      </c>
      <c r="B287" s="6"/>
      <c r="C287">
        <v>3750</v>
      </c>
      <c r="D287">
        <v>3840</v>
      </c>
      <c r="E287">
        <v>3750</v>
      </c>
      <c r="F287">
        <v>3750</v>
      </c>
      <c r="G287">
        <v>156131900</v>
      </c>
      <c r="H287" s="4">
        <f t="shared" si="8"/>
        <v>-1.3157894736842105E-2</v>
      </c>
      <c r="I287" s="4">
        <f t="shared" si="9"/>
        <v>-0.33920704845814981</v>
      </c>
    </row>
    <row r="288" spans="1:9" x14ac:dyDescent="0.2">
      <c r="A288" s="2">
        <f ca="1">IFERROR(__xludf.DUMMYFUNCTION("""COMPUTED_VALUE"""),45733.6666666666)</f>
        <v>45733.666666666599</v>
      </c>
      <c r="B288" s="6"/>
      <c r="C288">
        <v>3780</v>
      </c>
      <c r="D288">
        <v>3840</v>
      </c>
      <c r="E288">
        <v>3730</v>
      </c>
      <c r="F288">
        <v>3830</v>
      </c>
      <c r="G288">
        <v>162467700</v>
      </c>
      <c r="H288" s="4">
        <f t="shared" si="8"/>
        <v>2.1333333333333333E-2</v>
      </c>
      <c r="I288" s="4">
        <f t="shared" si="9"/>
        <v>-0.3251101321585903</v>
      </c>
    </row>
    <row r="289" spans="1:9" x14ac:dyDescent="0.2">
      <c r="A289" s="2">
        <f ca="1">IFERROR(__xludf.DUMMYFUNCTION("""COMPUTED_VALUE"""),45734.6666666666)</f>
        <v>45734.666666666599</v>
      </c>
      <c r="B289" s="6"/>
      <c r="C289">
        <v>3840</v>
      </c>
      <c r="D289">
        <v>3860</v>
      </c>
      <c r="E289">
        <v>3500</v>
      </c>
      <c r="F289">
        <v>3680</v>
      </c>
      <c r="G289">
        <v>416894600</v>
      </c>
      <c r="H289" s="4">
        <f t="shared" si="8"/>
        <v>-3.91644908616188E-2</v>
      </c>
      <c r="I289" s="4">
        <f t="shared" si="9"/>
        <v>-0.3515418502202643</v>
      </c>
    </row>
    <row r="290" spans="1:9" x14ac:dyDescent="0.2">
      <c r="A290" s="2">
        <f ca="1">IFERROR(__xludf.DUMMYFUNCTION("""COMPUTED_VALUE"""),45735.6666666666)</f>
        <v>45735.666666666599</v>
      </c>
      <c r="B290" s="6"/>
      <c r="C290">
        <v>3710</v>
      </c>
      <c r="D290">
        <v>3780</v>
      </c>
      <c r="E290">
        <v>3680</v>
      </c>
      <c r="F290">
        <v>3710</v>
      </c>
      <c r="G290">
        <v>352217700</v>
      </c>
      <c r="H290" s="4">
        <f t="shared" si="8"/>
        <v>8.152173913043478E-3</v>
      </c>
      <c r="I290" s="4">
        <f t="shared" si="9"/>
        <v>-0.34625550660792953</v>
      </c>
    </row>
    <row r="291" spans="1:9" x14ac:dyDescent="0.2">
      <c r="A291" s="2">
        <f ca="1">IFERROR(__xludf.DUMMYFUNCTION("""COMPUTED_VALUE"""),45736.6666666666)</f>
        <v>45736.666666666599</v>
      </c>
      <c r="B291" s="6"/>
      <c r="C291">
        <v>3730</v>
      </c>
      <c r="D291">
        <v>3760</v>
      </c>
      <c r="E291">
        <v>3640</v>
      </c>
      <c r="F291">
        <v>3660</v>
      </c>
      <c r="G291">
        <v>313033000</v>
      </c>
      <c r="H291" s="4">
        <f t="shared" si="8"/>
        <v>-1.3477088948787063E-2</v>
      </c>
      <c r="I291" s="4">
        <f t="shared" si="9"/>
        <v>-0.35506607929515416</v>
      </c>
    </row>
    <row r="292" spans="1:9" x14ac:dyDescent="0.2">
      <c r="A292" s="2">
        <f ca="1">IFERROR(__xludf.DUMMYFUNCTION("""COMPUTED_VALUE"""),45737.6666666666)</f>
        <v>45737.666666666599</v>
      </c>
      <c r="B292" s="6"/>
      <c r="C292">
        <v>3600</v>
      </c>
      <c r="D292">
        <v>3700</v>
      </c>
      <c r="E292">
        <v>3550</v>
      </c>
      <c r="F292">
        <v>3700</v>
      </c>
      <c r="G292">
        <v>627645600</v>
      </c>
      <c r="H292" s="4">
        <f t="shared" si="8"/>
        <v>1.092896174863388E-2</v>
      </c>
      <c r="I292" s="4">
        <f t="shared" si="9"/>
        <v>-0.34801762114537443</v>
      </c>
    </row>
    <row r="293" spans="1:9" x14ac:dyDescent="0.2">
      <c r="A293" s="2">
        <f ca="1">IFERROR(__xludf.DUMMYFUNCTION("""COMPUTED_VALUE"""),45740.6666666666)</f>
        <v>45740.666666666599</v>
      </c>
      <c r="B293" s="6"/>
      <c r="C293">
        <v>3650</v>
      </c>
      <c r="D293">
        <v>3740</v>
      </c>
      <c r="E293">
        <v>3520</v>
      </c>
      <c r="F293">
        <v>3610</v>
      </c>
      <c r="G293">
        <v>342883200</v>
      </c>
      <c r="H293" s="4">
        <f t="shared" si="8"/>
        <v>-2.4324324324324326E-2</v>
      </c>
      <c r="I293" s="4">
        <f t="shared" si="9"/>
        <v>-0.36387665198237884</v>
      </c>
    </row>
    <row r="294" spans="1:9" x14ac:dyDescent="0.2">
      <c r="A294" s="2">
        <f ca="1">IFERROR(__xludf.DUMMYFUNCTION("""COMPUTED_VALUE"""),45741.6666666666)</f>
        <v>45741.666666666599</v>
      </c>
      <c r="B294" s="6"/>
      <c r="C294">
        <v>3660</v>
      </c>
      <c r="D294">
        <v>3840</v>
      </c>
      <c r="E294">
        <v>3660</v>
      </c>
      <c r="F294">
        <v>3800</v>
      </c>
      <c r="G294">
        <v>331285900</v>
      </c>
      <c r="H294" s="4">
        <f t="shared" si="8"/>
        <v>5.2631578947368418E-2</v>
      </c>
      <c r="I294" s="4">
        <f t="shared" si="9"/>
        <v>-0.33039647577092512</v>
      </c>
    </row>
    <row r="295" spans="1:9" x14ac:dyDescent="0.2">
      <c r="A295" s="2">
        <f ca="1">IFERROR(__xludf.DUMMYFUNCTION("""COMPUTED_VALUE"""),45742.6666666666)</f>
        <v>45742.666666666599</v>
      </c>
      <c r="B295" s="6"/>
      <c r="C295">
        <v>3870</v>
      </c>
      <c r="D295">
        <v>4020</v>
      </c>
      <c r="E295">
        <v>3860</v>
      </c>
      <c r="F295">
        <v>4000</v>
      </c>
      <c r="G295">
        <v>540888800</v>
      </c>
      <c r="H295" s="4">
        <f t="shared" si="8"/>
        <v>5.2631578947368418E-2</v>
      </c>
      <c r="I295" s="4">
        <f t="shared" si="9"/>
        <v>-0.29515418502202645</v>
      </c>
    </row>
    <row r="296" spans="1:9" x14ac:dyDescent="0.2">
      <c r="A296" s="2">
        <f ca="1">IFERROR(__xludf.DUMMYFUNCTION("""COMPUTED_VALUE"""),45743.6666666666)</f>
        <v>45743.666666666599</v>
      </c>
      <c r="B296" s="6"/>
      <c r="C296">
        <v>4000</v>
      </c>
      <c r="D296">
        <v>4050</v>
      </c>
      <c r="E296">
        <v>3930</v>
      </c>
      <c r="F296">
        <v>4050</v>
      </c>
      <c r="G296">
        <v>322553200</v>
      </c>
      <c r="H296" s="4">
        <f t="shared" si="8"/>
        <v>1.2500000000000001E-2</v>
      </c>
      <c r="I296" s="4">
        <f t="shared" si="9"/>
        <v>-0.28634361233480177</v>
      </c>
    </row>
    <row r="297" spans="1:9" x14ac:dyDescent="0.2">
      <c r="A297" s="2">
        <f ca="1">IFERROR(__xludf.DUMMYFUNCTION("""COMPUTED_VALUE"""),45755.6666666666)</f>
        <v>45755.666666666599</v>
      </c>
      <c r="B297" s="6"/>
      <c r="C297">
        <v>3460</v>
      </c>
      <c r="D297">
        <v>3750</v>
      </c>
      <c r="E297">
        <v>3450</v>
      </c>
      <c r="F297">
        <v>3640</v>
      </c>
      <c r="G297">
        <v>734807100</v>
      </c>
      <c r="H297" s="4">
        <f t="shared" si="8"/>
        <v>-0.10123456790123457</v>
      </c>
      <c r="I297" s="4">
        <f t="shared" si="9"/>
        <v>-0.35859030837004408</v>
      </c>
    </row>
    <row r="298" spans="1:9" x14ac:dyDescent="0.2">
      <c r="A298" s="2">
        <f ca="1">IFERROR(__xludf.DUMMYFUNCTION("""COMPUTED_VALUE"""),45756.6666666666)</f>
        <v>45756.666666666599</v>
      </c>
      <c r="B298" s="6"/>
      <c r="C298">
        <v>3610</v>
      </c>
      <c r="D298">
        <v>3710</v>
      </c>
      <c r="E298">
        <v>3600</v>
      </c>
      <c r="F298">
        <v>3630</v>
      </c>
      <c r="G298">
        <v>366649900</v>
      </c>
      <c r="H298" s="4">
        <f t="shared" si="8"/>
        <v>-2.7472527472527475E-3</v>
      </c>
      <c r="I298" s="4">
        <f t="shared" si="9"/>
        <v>-0.36035242290748898</v>
      </c>
    </row>
    <row r="299" spans="1:9" x14ac:dyDescent="0.2">
      <c r="A299" s="2">
        <f ca="1">IFERROR(__xludf.DUMMYFUNCTION("""COMPUTED_VALUE"""),45757.6666666666)</f>
        <v>45757.666666666599</v>
      </c>
      <c r="B299" s="6"/>
      <c r="C299">
        <v>3920</v>
      </c>
      <c r="D299">
        <v>3930</v>
      </c>
      <c r="E299">
        <v>3770</v>
      </c>
      <c r="F299">
        <v>3800</v>
      </c>
      <c r="G299">
        <v>417562900</v>
      </c>
      <c r="H299" s="4">
        <f t="shared" si="8"/>
        <v>4.6831955922865015E-2</v>
      </c>
      <c r="I299" s="4">
        <f t="shared" si="9"/>
        <v>-0.33039647577092512</v>
      </c>
    </row>
    <row r="300" spans="1:9" x14ac:dyDescent="0.2">
      <c r="A300" s="2">
        <f ca="1">IFERROR(__xludf.DUMMYFUNCTION("""COMPUTED_VALUE"""),45758.6666666666)</f>
        <v>45758.666666666599</v>
      </c>
      <c r="B300" s="6"/>
      <c r="C300">
        <v>3600</v>
      </c>
      <c r="D300">
        <v>3650</v>
      </c>
      <c r="E300">
        <v>3590</v>
      </c>
      <c r="F300">
        <v>3630</v>
      </c>
      <c r="G300">
        <v>301200600</v>
      </c>
      <c r="H300" s="4">
        <f t="shared" si="8"/>
        <v>-4.4736842105263158E-2</v>
      </c>
      <c r="I300" s="4">
        <f t="shared" si="9"/>
        <v>-0.36035242290748898</v>
      </c>
    </row>
    <row r="301" spans="1:9" x14ac:dyDescent="0.2">
      <c r="A301" s="2">
        <f ca="1">IFERROR(__xludf.DUMMYFUNCTION("""COMPUTED_VALUE"""),45761.6666666666)</f>
        <v>45761.666666666599</v>
      </c>
      <c r="B301" s="6"/>
      <c r="C301">
        <v>3630</v>
      </c>
      <c r="D301">
        <v>3690</v>
      </c>
      <c r="E301">
        <v>3620</v>
      </c>
      <c r="F301">
        <v>3690</v>
      </c>
      <c r="G301">
        <v>169458300</v>
      </c>
      <c r="H301" s="4">
        <f t="shared" si="8"/>
        <v>1.6528925619834711E-2</v>
      </c>
      <c r="I301" s="4">
        <f t="shared" si="9"/>
        <v>-0.34977973568281939</v>
      </c>
    </row>
    <row r="302" spans="1:9" x14ac:dyDescent="0.2">
      <c r="A302" s="2">
        <f ca="1">IFERROR(__xludf.DUMMYFUNCTION("""COMPUTED_VALUE"""),45762.6666666666)</f>
        <v>45762.666666666599</v>
      </c>
      <c r="B302" s="6"/>
      <c r="C302">
        <v>3730</v>
      </c>
      <c r="D302">
        <v>3780</v>
      </c>
      <c r="E302">
        <v>3680</v>
      </c>
      <c r="F302">
        <v>3690</v>
      </c>
      <c r="G302">
        <v>254224400</v>
      </c>
      <c r="H302" s="4">
        <f t="shared" si="8"/>
        <v>0</v>
      </c>
      <c r="I302" s="4">
        <f t="shared" si="9"/>
        <v>-0.34977973568281939</v>
      </c>
    </row>
    <row r="303" spans="1:9" x14ac:dyDescent="0.2">
      <c r="A303" s="2">
        <f ca="1">IFERROR(__xludf.DUMMYFUNCTION("""COMPUTED_VALUE"""),45763.6666666666)</f>
        <v>45763.666666666599</v>
      </c>
      <c r="B303" s="6"/>
      <c r="C303">
        <v>3690</v>
      </c>
      <c r="D303">
        <v>3700</v>
      </c>
      <c r="E303">
        <v>3600</v>
      </c>
      <c r="F303">
        <v>3650</v>
      </c>
      <c r="G303">
        <v>233772400</v>
      </c>
      <c r="H303" s="4">
        <f t="shared" si="8"/>
        <v>-1.0840108401084011E-2</v>
      </c>
      <c r="I303" s="4">
        <f t="shared" si="9"/>
        <v>-0.35682819383259912</v>
      </c>
    </row>
    <row r="304" spans="1:9" x14ac:dyDescent="0.2">
      <c r="A304" s="2">
        <f ca="1">IFERROR(__xludf.DUMMYFUNCTION("""COMPUTED_VALUE"""),45764.6666666666)</f>
        <v>45764.666666666599</v>
      </c>
      <c r="B304" s="6"/>
      <c r="C304">
        <v>3670</v>
      </c>
      <c r="D304">
        <v>3670</v>
      </c>
      <c r="E304">
        <v>3610</v>
      </c>
      <c r="F304">
        <v>3640</v>
      </c>
      <c r="G304">
        <v>121059300</v>
      </c>
      <c r="H304" s="4">
        <f t="shared" si="8"/>
        <v>-2.7397260273972603E-3</v>
      </c>
      <c r="I304" s="4">
        <f t="shared" si="9"/>
        <v>-0.35859030837004408</v>
      </c>
    </row>
    <row r="305" spans="1:9" x14ac:dyDescent="0.2">
      <c r="A305" s="2">
        <f ca="1">IFERROR(__xludf.DUMMYFUNCTION("""COMPUTED_VALUE"""),45768.6666666666)</f>
        <v>45768.666666666599</v>
      </c>
      <c r="B305" s="6"/>
      <c r="C305">
        <v>3620</v>
      </c>
      <c r="D305">
        <v>3660</v>
      </c>
      <c r="E305">
        <v>3570</v>
      </c>
      <c r="F305">
        <v>3620</v>
      </c>
      <c r="G305">
        <v>107470200</v>
      </c>
      <c r="H305" s="4">
        <f t="shared" si="8"/>
        <v>-5.4945054945054949E-3</v>
      </c>
      <c r="I305" s="4">
        <f t="shared" si="9"/>
        <v>-0.36211453744493394</v>
      </c>
    </row>
    <row r="306" spans="1:9" x14ac:dyDescent="0.2">
      <c r="A306" s="2">
        <f ca="1">IFERROR(__xludf.DUMMYFUNCTION("""COMPUTED_VALUE"""),45769.6666666666)</f>
        <v>45769.666666666599</v>
      </c>
      <c r="B306" s="6"/>
      <c r="C306">
        <v>3600</v>
      </c>
      <c r="D306">
        <v>3650</v>
      </c>
      <c r="E306">
        <v>3600</v>
      </c>
      <c r="F306">
        <v>3630</v>
      </c>
      <c r="G306">
        <v>147116900</v>
      </c>
      <c r="H306" s="4">
        <f t="shared" si="8"/>
        <v>2.7624309392265192E-3</v>
      </c>
      <c r="I306" s="4">
        <f t="shared" si="9"/>
        <v>-0.36035242290748898</v>
      </c>
    </row>
    <row r="307" spans="1:9" x14ac:dyDescent="0.2">
      <c r="A307" s="2">
        <f ca="1">IFERROR(__xludf.DUMMYFUNCTION("""COMPUTED_VALUE"""),45770.6666666666)</f>
        <v>45770.666666666599</v>
      </c>
      <c r="B307" s="6"/>
      <c r="C307">
        <v>3660</v>
      </c>
      <c r="D307">
        <v>3790</v>
      </c>
      <c r="E307">
        <v>3640</v>
      </c>
      <c r="F307">
        <v>3760</v>
      </c>
      <c r="G307">
        <v>432999900</v>
      </c>
      <c r="H307" s="4">
        <f t="shared" si="8"/>
        <v>3.5812672176308541E-2</v>
      </c>
      <c r="I307" s="4">
        <f t="shared" si="9"/>
        <v>-0.33744493392070485</v>
      </c>
    </row>
    <row r="308" spans="1:9" x14ac:dyDescent="0.2">
      <c r="A308" s="2">
        <f ca="1">IFERROR(__xludf.DUMMYFUNCTION("""COMPUTED_VALUE"""),45771.6666666666)</f>
        <v>45771.666666666599</v>
      </c>
      <c r="B308" s="6"/>
      <c r="C308">
        <v>3790</v>
      </c>
      <c r="D308">
        <v>3840</v>
      </c>
      <c r="E308">
        <v>3720</v>
      </c>
      <c r="F308">
        <v>3730</v>
      </c>
      <c r="G308">
        <v>272537300</v>
      </c>
      <c r="H308" s="4">
        <f t="shared" si="8"/>
        <v>-7.9787234042553185E-3</v>
      </c>
      <c r="I308" s="4">
        <f t="shared" si="9"/>
        <v>-0.34273127753303967</v>
      </c>
    </row>
    <row r="309" spans="1:9" x14ac:dyDescent="0.2">
      <c r="A309" s="2">
        <f ca="1">IFERROR(__xludf.DUMMYFUNCTION("""COMPUTED_VALUE"""),45772.6666666666)</f>
        <v>45772.666666666599</v>
      </c>
      <c r="B309" s="6"/>
      <c r="C309">
        <v>3770</v>
      </c>
      <c r="D309">
        <v>3790</v>
      </c>
      <c r="E309">
        <v>3730</v>
      </c>
      <c r="F309">
        <v>3740</v>
      </c>
      <c r="G309">
        <v>136517100</v>
      </c>
      <c r="H309" s="4">
        <f t="shared" si="8"/>
        <v>2.6809651474530832E-3</v>
      </c>
      <c r="I309" s="4">
        <f t="shared" si="9"/>
        <v>-0.34096916299559471</v>
      </c>
    </row>
    <row r="310" spans="1:9" x14ac:dyDescent="0.2">
      <c r="A310" s="2">
        <f ca="1">IFERROR(__xludf.DUMMYFUNCTION("""COMPUTED_VALUE"""),45775.6666666666)</f>
        <v>45775.666666666599</v>
      </c>
      <c r="B310" s="6"/>
      <c r="C310">
        <v>3790</v>
      </c>
      <c r="D310">
        <v>3850</v>
      </c>
      <c r="E310">
        <v>3780</v>
      </c>
      <c r="F310">
        <v>3840</v>
      </c>
      <c r="G310">
        <v>212945800</v>
      </c>
      <c r="H310" s="4">
        <f t="shared" si="8"/>
        <v>2.6737967914438502E-2</v>
      </c>
      <c r="I310" s="4">
        <f t="shared" si="9"/>
        <v>-0.3233480176211454</v>
      </c>
    </row>
    <row r="311" spans="1:9" x14ac:dyDescent="0.2">
      <c r="A311" s="2">
        <f ca="1">IFERROR(__xludf.DUMMYFUNCTION("""COMPUTED_VALUE"""),45776.6666666666)</f>
        <v>45776.666666666599</v>
      </c>
      <c r="B311" s="6"/>
      <c r="C311">
        <v>3860</v>
      </c>
      <c r="D311">
        <v>3870</v>
      </c>
      <c r="E311">
        <v>3820</v>
      </c>
      <c r="F311">
        <v>3850</v>
      </c>
      <c r="G311">
        <v>160631400</v>
      </c>
      <c r="H311" s="4">
        <f t="shared" si="8"/>
        <v>2.6041666666666665E-3</v>
      </c>
      <c r="I311" s="4">
        <f t="shared" si="9"/>
        <v>-0.32158590308370044</v>
      </c>
    </row>
    <row r="312" spans="1:9" x14ac:dyDescent="0.2">
      <c r="A312" s="2">
        <f ca="1">IFERROR(__xludf.DUMMYFUNCTION("""COMPUTED_VALUE"""),45777.6666666666)</f>
        <v>45777.666666666599</v>
      </c>
      <c r="B312" s="6"/>
      <c r="C312">
        <v>3810</v>
      </c>
      <c r="D312">
        <v>3850</v>
      </c>
      <c r="E312">
        <v>3770</v>
      </c>
      <c r="F312">
        <v>3850</v>
      </c>
      <c r="G312">
        <v>226832200</v>
      </c>
      <c r="H312" s="4">
        <f t="shared" si="8"/>
        <v>0</v>
      </c>
      <c r="I312" s="4">
        <f t="shared" si="9"/>
        <v>-0.32158590308370044</v>
      </c>
    </row>
    <row r="313" spans="1:9" x14ac:dyDescent="0.2">
      <c r="A313" s="2">
        <f ca="1">IFERROR(__xludf.DUMMYFUNCTION("""COMPUTED_VALUE"""),45779.6666666666)</f>
        <v>45779.666666666599</v>
      </c>
      <c r="B313" s="6"/>
      <c r="C313">
        <v>3920</v>
      </c>
      <c r="D313">
        <v>3920</v>
      </c>
      <c r="E313">
        <v>3850</v>
      </c>
      <c r="F313">
        <v>3880</v>
      </c>
      <c r="G313">
        <v>205628100</v>
      </c>
      <c r="H313" s="4">
        <f t="shared" si="8"/>
        <v>7.7922077922077922E-3</v>
      </c>
      <c r="I313" s="4">
        <f t="shared" si="9"/>
        <v>-0.31629955947136562</v>
      </c>
    </row>
    <row r="314" spans="1:9" x14ac:dyDescent="0.2">
      <c r="A314" s="2">
        <f ca="1">IFERROR(__xludf.DUMMYFUNCTION("""COMPUTED_VALUE"""),45782.6666666666)</f>
        <v>45782.666666666599</v>
      </c>
      <c r="B314" s="6"/>
      <c r="C314">
        <v>3900</v>
      </c>
      <c r="D314">
        <v>3920</v>
      </c>
      <c r="E314">
        <v>3860</v>
      </c>
      <c r="F314">
        <v>3860</v>
      </c>
      <c r="G314">
        <v>196917100</v>
      </c>
      <c r="H314" s="4">
        <f t="shared" si="8"/>
        <v>-5.1546391752577319E-3</v>
      </c>
      <c r="I314" s="4">
        <f t="shared" si="9"/>
        <v>-0.31982378854625548</v>
      </c>
    </row>
    <row r="315" spans="1:9" x14ac:dyDescent="0.2">
      <c r="A315" s="2">
        <f ca="1">IFERROR(__xludf.DUMMYFUNCTION("""COMPUTED_VALUE"""),45783.6666666666)</f>
        <v>45783.666666666599</v>
      </c>
      <c r="B315" s="6"/>
      <c r="C315">
        <v>3840</v>
      </c>
      <c r="D315">
        <v>3900</v>
      </c>
      <c r="E315">
        <v>3840</v>
      </c>
      <c r="F315">
        <v>3880</v>
      </c>
      <c r="G315">
        <v>111333800</v>
      </c>
      <c r="H315" s="4">
        <f t="shared" si="8"/>
        <v>5.1813471502590676E-3</v>
      </c>
      <c r="I315" s="4">
        <f t="shared" si="9"/>
        <v>-0.31629955947136562</v>
      </c>
    </row>
    <row r="316" spans="1:9" x14ac:dyDescent="0.2">
      <c r="A316" s="2">
        <f ca="1">IFERROR(__xludf.DUMMYFUNCTION("""COMPUTED_VALUE"""),45784.6666666666)</f>
        <v>45784.666666666599</v>
      </c>
      <c r="B316" s="6"/>
      <c r="C316">
        <v>3900</v>
      </c>
      <c r="D316">
        <v>3910</v>
      </c>
      <c r="E316">
        <v>3870</v>
      </c>
      <c r="F316">
        <v>3910</v>
      </c>
      <c r="G316">
        <v>119763100</v>
      </c>
      <c r="H316" s="4">
        <f t="shared" si="8"/>
        <v>7.7319587628865982E-3</v>
      </c>
      <c r="I316" s="4">
        <f t="shared" si="9"/>
        <v>-0.31101321585903086</v>
      </c>
    </row>
    <row r="317" spans="1:9" x14ac:dyDescent="0.2">
      <c r="A317" s="2">
        <f ca="1">IFERROR(__xludf.DUMMYFUNCTION("""COMPUTED_VALUE"""),45785.6666666666)</f>
        <v>45785.666666666599</v>
      </c>
      <c r="B317" s="6"/>
      <c r="C317">
        <v>3910</v>
      </c>
      <c r="D317">
        <v>3960</v>
      </c>
      <c r="E317">
        <v>3780</v>
      </c>
      <c r="F317">
        <v>3790</v>
      </c>
      <c r="G317">
        <v>224121900</v>
      </c>
      <c r="H317" s="4">
        <f t="shared" si="8"/>
        <v>-3.0690537084398978E-2</v>
      </c>
      <c r="I317" s="4">
        <f t="shared" si="9"/>
        <v>-0.33215859030837003</v>
      </c>
    </row>
    <row r="318" spans="1:9" x14ac:dyDescent="0.2">
      <c r="A318" s="2">
        <f ca="1">IFERROR(__xludf.DUMMYFUNCTION("""COMPUTED_VALUE"""),45786.6666666666)</f>
        <v>45786.666666666599</v>
      </c>
      <c r="B318" s="6"/>
      <c r="C318">
        <v>3810</v>
      </c>
      <c r="D318">
        <v>3840</v>
      </c>
      <c r="E318">
        <v>3760</v>
      </c>
      <c r="F318">
        <v>3840</v>
      </c>
      <c r="G318">
        <v>147638100</v>
      </c>
      <c r="H318" s="4">
        <f t="shared" si="8"/>
        <v>1.3192612137203167E-2</v>
      </c>
      <c r="I318" s="4">
        <f t="shared" si="9"/>
        <v>-0.3233480176211454</v>
      </c>
    </row>
    <row r="319" spans="1:9" x14ac:dyDescent="0.2">
      <c r="A319" s="2">
        <f ca="1">IFERROR(__xludf.DUMMYFUNCTION("""COMPUTED_VALUE"""),45791.6666666666)</f>
        <v>45791.666666666599</v>
      </c>
      <c r="B319" s="6"/>
      <c r="C319">
        <v>4000</v>
      </c>
      <c r="D319">
        <v>4090</v>
      </c>
      <c r="E319">
        <v>3960</v>
      </c>
      <c r="F319">
        <v>4090</v>
      </c>
      <c r="G319">
        <v>461642400</v>
      </c>
      <c r="H319" s="4">
        <f t="shared" si="8"/>
        <v>6.5104166666666671E-2</v>
      </c>
      <c r="I319" s="4">
        <f t="shared" si="9"/>
        <v>-0.27929515418502204</v>
      </c>
    </row>
    <row r="320" spans="1:9" x14ac:dyDescent="0.2">
      <c r="A320" s="2">
        <f ca="1">IFERROR(__xludf.DUMMYFUNCTION("""COMPUTED_VALUE"""),45792.6666666666)</f>
        <v>45792.666666666599</v>
      </c>
      <c r="B320" s="6"/>
      <c r="C320">
        <v>4140</v>
      </c>
      <c r="D320">
        <v>4310</v>
      </c>
      <c r="E320">
        <v>4130</v>
      </c>
      <c r="F320">
        <v>4270</v>
      </c>
      <c r="G320">
        <v>537151700</v>
      </c>
      <c r="H320" s="4">
        <f t="shared" si="8"/>
        <v>4.4009779951100246E-2</v>
      </c>
      <c r="I320" s="4">
        <f t="shared" si="9"/>
        <v>-0.2475770925110132</v>
      </c>
    </row>
    <row r="321" spans="1:9" x14ac:dyDescent="0.2">
      <c r="A321" s="2">
        <f ca="1">IFERROR(__xludf.DUMMYFUNCTION("""COMPUTED_VALUE"""),45793.6666666666)</f>
        <v>45793.666666666599</v>
      </c>
      <c r="B321" s="6"/>
      <c r="C321">
        <v>4310</v>
      </c>
      <c r="D321">
        <v>4330</v>
      </c>
      <c r="E321">
        <v>4160</v>
      </c>
      <c r="F321">
        <v>4250</v>
      </c>
      <c r="G321">
        <v>289337600</v>
      </c>
      <c r="H321" s="4">
        <f t="shared" si="8"/>
        <v>-4.6838407494145199E-3</v>
      </c>
      <c r="I321" s="4">
        <f t="shared" si="9"/>
        <v>-0.25110132158590309</v>
      </c>
    </row>
    <row r="322" spans="1:9" x14ac:dyDescent="0.2">
      <c r="A322" s="2">
        <f ca="1">IFERROR(__xludf.DUMMYFUNCTION("""COMPUTED_VALUE"""),45796.6666666666)</f>
        <v>45796.666666666599</v>
      </c>
      <c r="B322" s="6"/>
      <c r="C322">
        <v>4230</v>
      </c>
      <c r="D322">
        <v>4260</v>
      </c>
      <c r="E322">
        <v>4200</v>
      </c>
      <c r="F322">
        <v>4230</v>
      </c>
      <c r="G322">
        <v>145935500</v>
      </c>
      <c r="H322" s="4">
        <f t="shared" si="8"/>
        <v>-4.7058823529411761E-3</v>
      </c>
      <c r="I322" s="4">
        <f t="shared" si="9"/>
        <v>-0.25462555066079295</v>
      </c>
    </row>
    <row r="323" spans="1:9" x14ac:dyDescent="0.2">
      <c r="A323" s="2">
        <f ca="1">IFERROR(__xludf.DUMMYFUNCTION("""COMPUTED_VALUE"""),45797.6666666666)</f>
        <v>45797.666666666599</v>
      </c>
      <c r="B323" s="6"/>
      <c r="C323">
        <v>4230</v>
      </c>
      <c r="D323">
        <v>4280</v>
      </c>
      <c r="E323">
        <v>4170</v>
      </c>
      <c r="F323">
        <v>4210</v>
      </c>
      <c r="G323">
        <v>209576900</v>
      </c>
      <c r="H323" s="4">
        <f t="shared" si="8"/>
        <v>-4.7281323877068557E-3</v>
      </c>
      <c r="I323" s="4">
        <f t="shared" si="9"/>
        <v>-0.25814977973568282</v>
      </c>
    </row>
    <row r="324" spans="1:9" x14ac:dyDescent="0.2">
      <c r="A324" s="2">
        <f ca="1">IFERROR(__xludf.DUMMYFUNCTION("""COMPUTED_VALUE"""),45798.6666666666)</f>
        <v>45798.666666666599</v>
      </c>
      <c r="B324" s="6"/>
      <c r="C324">
        <v>4210</v>
      </c>
      <c r="D324">
        <v>4310</v>
      </c>
      <c r="E324">
        <v>4210</v>
      </c>
      <c r="F324">
        <v>4260</v>
      </c>
      <c r="G324">
        <v>256020200</v>
      </c>
      <c r="H324" s="4">
        <f t="shared" ref="H324:H387" si="10">(F324-F323)/F323</f>
        <v>1.1876484560570071E-2</v>
      </c>
      <c r="I324" s="4">
        <f t="shared" ref="I324:I387" si="11">(F324-$F$2)/$F$2</f>
        <v>-0.24933920704845816</v>
      </c>
    </row>
    <row r="325" spans="1:9" x14ac:dyDescent="0.2">
      <c r="A325" s="2">
        <f ca="1">IFERROR(__xludf.DUMMYFUNCTION("""COMPUTED_VALUE"""),45799.6666666666)</f>
        <v>45799.666666666599</v>
      </c>
      <c r="B325" s="6"/>
      <c r="C325">
        <v>4280</v>
      </c>
      <c r="D325">
        <v>4310</v>
      </c>
      <c r="E325">
        <v>4240</v>
      </c>
      <c r="F325">
        <v>4300</v>
      </c>
      <c r="G325">
        <v>208291800</v>
      </c>
      <c r="H325" s="4">
        <f t="shared" si="10"/>
        <v>9.3896713615023476E-3</v>
      </c>
      <c r="I325" s="4">
        <f t="shared" si="11"/>
        <v>-0.24229074889867841</v>
      </c>
    </row>
    <row r="326" spans="1:9" x14ac:dyDescent="0.2">
      <c r="A326" s="2">
        <f ca="1">IFERROR(__xludf.DUMMYFUNCTION("""COMPUTED_VALUE"""),45800.6666666666)</f>
        <v>45800.666666666599</v>
      </c>
      <c r="B326" s="6"/>
      <c r="C326">
        <v>4350</v>
      </c>
      <c r="D326">
        <v>4370</v>
      </c>
      <c r="E326">
        <v>4330</v>
      </c>
      <c r="F326">
        <v>4350</v>
      </c>
      <c r="G326">
        <v>108182800</v>
      </c>
      <c r="H326" s="4">
        <f t="shared" si="10"/>
        <v>1.1627906976744186E-2</v>
      </c>
      <c r="I326" s="4">
        <f t="shared" si="11"/>
        <v>-0.23348017621145375</v>
      </c>
    </row>
    <row r="327" spans="1:9" x14ac:dyDescent="0.2">
      <c r="A327" s="2">
        <f ca="1">IFERROR(__xludf.DUMMYFUNCTION("""COMPUTED_VALUE"""),45803.6666666666)</f>
        <v>45803.666666666599</v>
      </c>
      <c r="B327" s="6"/>
      <c r="C327">
        <v>4350</v>
      </c>
      <c r="D327">
        <v>4350</v>
      </c>
      <c r="E327">
        <v>4260</v>
      </c>
      <c r="F327">
        <v>4320</v>
      </c>
      <c r="G327">
        <v>149418600</v>
      </c>
      <c r="H327" s="4">
        <f t="shared" si="10"/>
        <v>-6.8965517241379309E-3</v>
      </c>
      <c r="I327" s="4">
        <f t="shared" si="11"/>
        <v>-0.23876651982378855</v>
      </c>
    </row>
    <row r="328" spans="1:9" x14ac:dyDescent="0.2">
      <c r="A328" s="2">
        <f ca="1">IFERROR(__xludf.DUMMYFUNCTION("""COMPUTED_VALUE"""),45804.6666666666)</f>
        <v>45804.666666666599</v>
      </c>
      <c r="B328" s="6"/>
      <c r="C328">
        <v>4320</v>
      </c>
      <c r="D328">
        <v>4370</v>
      </c>
      <c r="E328">
        <v>4280</v>
      </c>
      <c r="F328">
        <v>4370</v>
      </c>
      <c r="G328">
        <v>180028000</v>
      </c>
      <c r="H328" s="4">
        <f t="shared" si="10"/>
        <v>1.1574074074074073E-2</v>
      </c>
      <c r="I328" s="4">
        <f t="shared" si="11"/>
        <v>-0.22995594713656387</v>
      </c>
    </row>
    <row r="329" spans="1:9" x14ac:dyDescent="0.2">
      <c r="A329" s="2">
        <f ca="1">IFERROR(__xludf.DUMMYFUNCTION("""COMPUTED_VALUE"""),45805.6666666666)</f>
        <v>45805.666666666599</v>
      </c>
      <c r="B329" s="6"/>
      <c r="C329">
        <v>4360</v>
      </c>
      <c r="D329">
        <v>4450</v>
      </c>
      <c r="E329">
        <v>4320</v>
      </c>
      <c r="F329">
        <v>4450</v>
      </c>
      <c r="G329">
        <v>466133500</v>
      </c>
      <c r="H329" s="4">
        <f t="shared" si="10"/>
        <v>1.8306636155606407E-2</v>
      </c>
      <c r="I329" s="4">
        <f t="shared" si="11"/>
        <v>-0.21585903083700442</v>
      </c>
    </row>
    <row r="330" spans="1:9" x14ac:dyDescent="0.2">
      <c r="A330" s="2">
        <f ca="1">IFERROR(__xludf.DUMMYFUNCTION("""COMPUTED_VALUE"""),45810.6666666666)</f>
        <v>45810.666666666599</v>
      </c>
      <c r="B330" s="6"/>
      <c r="C330">
        <v>4360</v>
      </c>
      <c r="D330">
        <v>4390</v>
      </c>
      <c r="E330">
        <v>4200</v>
      </c>
      <c r="F330">
        <v>4200</v>
      </c>
      <c r="G330">
        <v>389541100</v>
      </c>
      <c r="H330" s="4">
        <f t="shared" si="10"/>
        <v>-5.6179775280898875E-2</v>
      </c>
      <c r="I330" s="4">
        <f t="shared" si="11"/>
        <v>-0.25991189427312777</v>
      </c>
    </row>
    <row r="331" spans="1:9" x14ac:dyDescent="0.2">
      <c r="A331" s="2">
        <f ca="1">IFERROR(__xludf.DUMMYFUNCTION("""COMPUTED_VALUE"""),45811.6666666666)</f>
        <v>45811.666666666599</v>
      </c>
      <c r="B331" s="6"/>
      <c r="C331">
        <v>4210</v>
      </c>
      <c r="D331">
        <v>4230</v>
      </c>
      <c r="E331">
        <v>4120</v>
      </c>
      <c r="F331">
        <v>4200</v>
      </c>
      <c r="G331">
        <v>277902300</v>
      </c>
      <c r="H331" s="4">
        <f t="shared" si="10"/>
        <v>0</v>
      </c>
      <c r="I331" s="4">
        <f t="shared" si="11"/>
        <v>-0.25991189427312777</v>
      </c>
    </row>
    <row r="332" spans="1:9" x14ac:dyDescent="0.2">
      <c r="A332" s="2">
        <f ca="1">IFERROR(__xludf.DUMMYFUNCTION("""COMPUTED_VALUE"""),45812.6666666666)</f>
        <v>45812.666666666599</v>
      </c>
      <c r="B332" s="6"/>
      <c r="C332">
        <v>4230</v>
      </c>
      <c r="D332">
        <v>4230</v>
      </c>
      <c r="E332">
        <v>4080</v>
      </c>
      <c r="F332">
        <v>4080</v>
      </c>
      <c r="G332">
        <v>279755300</v>
      </c>
      <c r="H332" s="4">
        <f t="shared" si="10"/>
        <v>-2.8571428571428571E-2</v>
      </c>
      <c r="I332" s="4">
        <f t="shared" si="11"/>
        <v>-0.28105726872246695</v>
      </c>
    </row>
    <row r="333" spans="1:9" x14ac:dyDescent="0.2">
      <c r="A333" s="2">
        <f ca="1">IFERROR(__xludf.DUMMYFUNCTION("""COMPUTED_VALUE"""),45813.6666666666)</f>
        <v>45813.666666666599</v>
      </c>
      <c r="B333" s="6"/>
      <c r="C333">
        <v>4110</v>
      </c>
      <c r="D333">
        <v>4140</v>
      </c>
      <c r="E333">
        <v>4050</v>
      </c>
      <c r="F333">
        <v>4100</v>
      </c>
      <c r="G333">
        <v>230129500</v>
      </c>
      <c r="H333" s="4">
        <f t="shared" si="10"/>
        <v>4.9019607843137254E-3</v>
      </c>
      <c r="I333" s="4">
        <f t="shared" si="11"/>
        <v>-0.27753303964757708</v>
      </c>
    </row>
    <row r="334" spans="1:9" x14ac:dyDescent="0.2">
      <c r="A334" s="2">
        <f ca="1">IFERROR(__xludf.DUMMYFUNCTION("""COMPUTED_VALUE"""),45818.6666666666)</f>
        <v>45818.666666666599</v>
      </c>
      <c r="B334" s="6"/>
      <c r="C334">
        <v>4100</v>
      </c>
      <c r="D334">
        <v>4160</v>
      </c>
      <c r="E334">
        <v>4100</v>
      </c>
      <c r="F334">
        <v>4150</v>
      </c>
      <c r="G334">
        <v>179827500</v>
      </c>
      <c r="H334" s="4">
        <f t="shared" si="10"/>
        <v>1.2195121951219513E-2</v>
      </c>
      <c r="I334" s="4">
        <f t="shared" si="11"/>
        <v>-0.2687224669603524</v>
      </c>
    </row>
    <row r="335" spans="1:9" x14ac:dyDescent="0.2">
      <c r="A335" s="2">
        <f ca="1">IFERROR(__xludf.DUMMYFUNCTION("""COMPUTED_VALUE"""),45819.6666666666)</f>
        <v>45819.666666666599</v>
      </c>
      <c r="B335" s="6"/>
      <c r="C335">
        <v>4130</v>
      </c>
      <c r="D335">
        <v>4140</v>
      </c>
      <c r="E335">
        <v>4060</v>
      </c>
      <c r="F335">
        <v>4070</v>
      </c>
      <c r="G335">
        <v>196558700</v>
      </c>
      <c r="H335" s="4">
        <f t="shared" si="10"/>
        <v>-1.9277108433734941E-2</v>
      </c>
      <c r="I335" s="4">
        <f t="shared" si="11"/>
        <v>-0.28281938325991191</v>
      </c>
    </row>
    <row r="336" spans="1:9" x14ac:dyDescent="0.2">
      <c r="A336" s="2">
        <f ca="1">IFERROR(__xludf.DUMMYFUNCTION("""COMPUTED_VALUE"""),45820.6666666666)</f>
        <v>45820.666666666599</v>
      </c>
      <c r="B336" s="6"/>
      <c r="C336">
        <v>4070</v>
      </c>
      <c r="D336">
        <v>4100</v>
      </c>
      <c r="E336">
        <v>4060</v>
      </c>
      <c r="F336">
        <v>4070</v>
      </c>
      <c r="G336">
        <v>113850500</v>
      </c>
      <c r="H336" s="4">
        <f t="shared" si="10"/>
        <v>0</v>
      </c>
      <c r="I336" s="4">
        <f t="shared" si="11"/>
        <v>-0.28281938325991191</v>
      </c>
    </row>
    <row r="337" spans="1:9" x14ac:dyDescent="0.2">
      <c r="A337" s="2">
        <f ca="1">IFERROR(__xludf.DUMMYFUNCTION("""COMPUTED_VALUE"""),45821.6666666666)</f>
        <v>45821.666666666599</v>
      </c>
      <c r="B337" s="6"/>
      <c r="C337">
        <v>4020</v>
      </c>
      <c r="D337">
        <v>4050</v>
      </c>
      <c r="E337">
        <v>3980</v>
      </c>
      <c r="F337">
        <v>4000</v>
      </c>
      <c r="G337">
        <v>283826000</v>
      </c>
      <c r="H337" s="4">
        <f t="shared" si="10"/>
        <v>-1.7199017199017199E-2</v>
      </c>
      <c r="I337" s="4">
        <f t="shared" si="11"/>
        <v>-0.29515418502202645</v>
      </c>
    </row>
    <row r="338" spans="1:9" x14ac:dyDescent="0.2">
      <c r="A338" s="2">
        <f ca="1">IFERROR(__xludf.DUMMYFUNCTION("""COMPUTED_VALUE"""),45824.6666666666)</f>
        <v>45824.666666666599</v>
      </c>
      <c r="B338" s="6"/>
      <c r="C338">
        <v>3980</v>
      </c>
      <c r="D338">
        <v>4010</v>
      </c>
      <c r="E338">
        <v>3960</v>
      </c>
      <c r="F338">
        <v>3990</v>
      </c>
      <c r="G338">
        <v>155450700</v>
      </c>
      <c r="H338" s="4">
        <f t="shared" si="10"/>
        <v>-2.5000000000000001E-3</v>
      </c>
      <c r="I338" s="4">
        <f t="shared" si="11"/>
        <v>-0.29691629955947135</v>
      </c>
    </row>
    <row r="339" spans="1:9" x14ac:dyDescent="0.2">
      <c r="A339" s="2">
        <f ca="1">IFERROR(__xludf.DUMMYFUNCTION("""COMPUTED_VALUE"""),45825.6666666666)</f>
        <v>45825.666666666599</v>
      </c>
      <c r="B339" s="6"/>
      <c r="C339">
        <v>4010</v>
      </c>
      <c r="D339">
        <v>4030</v>
      </c>
      <c r="E339">
        <v>3960</v>
      </c>
      <c r="F339">
        <v>3960</v>
      </c>
      <c r="G339">
        <v>125769400</v>
      </c>
      <c r="H339" s="4">
        <f t="shared" si="10"/>
        <v>-7.5187969924812026E-3</v>
      </c>
      <c r="I339" s="4">
        <f t="shared" si="11"/>
        <v>-0.30220264317180617</v>
      </c>
    </row>
    <row r="340" spans="1:9" x14ac:dyDescent="0.2">
      <c r="A340" s="2">
        <f ca="1">IFERROR(__xludf.DUMMYFUNCTION("""COMPUTED_VALUE"""),45826.6666666666)</f>
        <v>45826.666666666599</v>
      </c>
      <c r="B340" s="6"/>
      <c r="C340">
        <v>3950</v>
      </c>
      <c r="D340">
        <v>3960</v>
      </c>
      <c r="E340">
        <v>3900</v>
      </c>
      <c r="F340">
        <v>3940</v>
      </c>
      <c r="G340">
        <v>140882100</v>
      </c>
      <c r="H340" s="4">
        <f t="shared" si="10"/>
        <v>-5.0505050505050509E-3</v>
      </c>
      <c r="I340" s="4">
        <f t="shared" si="11"/>
        <v>-0.30572687224669604</v>
      </c>
    </row>
    <row r="341" spans="1:9" x14ac:dyDescent="0.2">
      <c r="A341" s="2">
        <f ca="1">IFERROR(__xludf.DUMMYFUNCTION("""COMPUTED_VALUE"""),45827.6666666666)</f>
        <v>45827.666666666599</v>
      </c>
      <c r="B341" s="6"/>
      <c r="C341">
        <v>3900</v>
      </c>
      <c r="D341">
        <v>3920</v>
      </c>
      <c r="E341">
        <v>3800</v>
      </c>
      <c r="F341">
        <v>3800</v>
      </c>
      <c r="G341">
        <v>355413000</v>
      </c>
      <c r="H341" s="4">
        <f t="shared" si="10"/>
        <v>-3.553299492385787E-2</v>
      </c>
      <c r="I341" s="4">
        <f t="shared" si="11"/>
        <v>-0.33039647577092512</v>
      </c>
    </row>
    <row r="342" spans="1:9" x14ac:dyDescent="0.2">
      <c r="A342" s="2">
        <f ca="1">IFERROR(__xludf.DUMMYFUNCTION("""COMPUTED_VALUE"""),45828.6666666666)</f>
        <v>45828.666666666599</v>
      </c>
      <c r="B342" s="6"/>
      <c r="C342">
        <v>3740</v>
      </c>
      <c r="D342">
        <v>3840</v>
      </c>
      <c r="E342">
        <v>3740</v>
      </c>
      <c r="F342">
        <v>3790</v>
      </c>
      <c r="G342">
        <v>516177900</v>
      </c>
      <c r="H342" s="4">
        <f t="shared" si="10"/>
        <v>-2.631578947368421E-3</v>
      </c>
      <c r="I342" s="4">
        <f t="shared" si="11"/>
        <v>-0.33215859030837003</v>
      </c>
    </row>
    <row r="343" spans="1:9" x14ac:dyDescent="0.2">
      <c r="A343" s="2">
        <f ca="1">IFERROR(__xludf.DUMMYFUNCTION("""COMPUTED_VALUE"""),45831.6666666666)</f>
        <v>45831.666666666599</v>
      </c>
      <c r="B343" s="6"/>
      <c r="C343">
        <v>3730</v>
      </c>
      <c r="D343">
        <v>3750</v>
      </c>
      <c r="E343">
        <v>3660</v>
      </c>
      <c r="F343">
        <v>3720</v>
      </c>
      <c r="G343">
        <v>222067700</v>
      </c>
      <c r="H343" s="4">
        <f t="shared" si="10"/>
        <v>-1.8469656992084433E-2</v>
      </c>
      <c r="I343" s="4">
        <f t="shared" si="11"/>
        <v>-0.34449339207048457</v>
      </c>
    </row>
    <row r="344" spans="1:9" x14ac:dyDescent="0.2">
      <c r="A344" s="2">
        <f ca="1">IFERROR(__xludf.DUMMYFUNCTION("""COMPUTED_VALUE"""),45832.6666666666)</f>
        <v>45832.666666666599</v>
      </c>
      <c r="B344" s="6"/>
      <c r="C344">
        <v>3820</v>
      </c>
      <c r="D344">
        <v>3900</v>
      </c>
      <c r="E344">
        <v>3770</v>
      </c>
      <c r="F344">
        <v>3780</v>
      </c>
      <c r="G344">
        <v>281594300</v>
      </c>
      <c r="H344" s="4">
        <f t="shared" si="10"/>
        <v>1.6129032258064516E-2</v>
      </c>
      <c r="I344" s="4">
        <f t="shared" si="11"/>
        <v>-0.33392070484581499</v>
      </c>
    </row>
    <row r="345" spans="1:9" x14ac:dyDescent="0.2">
      <c r="A345" s="2">
        <f ca="1">IFERROR(__xludf.DUMMYFUNCTION("""COMPUTED_VALUE"""),45833.6666666666)</f>
        <v>45833.666666666599</v>
      </c>
      <c r="B345" s="6"/>
      <c r="C345">
        <v>3830</v>
      </c>
      <c r="D345">
        <v>3830</v>
      </c>
      <c r="E345">
        <v>3730</v>
      </c>
      <c r="F345">
        <v>3760</v>
      </c>
      <c r="G345">
        <v>164257700</v>
      </c>
      <c r="H345" s="4">
        <f t="shared" si="10"/>
        <v>-5.2910052910052907E-3</v>
      </c>
      <c r="I345" s="4">
        <f t="shared" si="11"/>
        <v>-0.33744493392070485</v>
      </c>
    </row>
    <row r="346" spans="1:9" x14ac:dyDescent="0.2">
      <c r="A346" s="2">
        <f ca="1">IFERROR(__xludf.DUMMYFUNCTION("""COMPUTED_VALUE"""),45834.6666666666)</f>
        <v>45834.666666666599</v>
      </c>
      <c r="B346" s="6"/>
      <c r="C346">
        <v>3780</v>
      </c>
      <c r="D346">
        <v>3830</v>
      </c>
      <c r="E346">
        <v>3750</v>
      </c>
      <c r="F346">
        <v>3830</v>
      </c>
      <c r="G346">
        <v>171427000</v>
      </c>
      <c r="H346" s="4">
        <f t="shared" si="10"/>
        <v>1.8617021276595744E-2</v>
      </c>
      <c r="I346" s="4">
        <f t="shared" si="11"/>
        <v>-0.3251101321585903</v>
      </c>
    </row>
    <row r="347" spans="1:9" x14ac:dyDescent="0.2">
      <c r="A347" s="2">
        <f ca="1">IFERROR(__xludf.DUMMYFUNCTION("""COMPUTED_VALUE"""),45838.6666666666)</f>
        <v>45838.666666666599</v>
      </c>
      <c r="B347" s="6"/>
      <c r="C347">
        <v>3840</v>
      </c>
      <c r="D347">
        <v>3840</v>
      </c>
      <c r="E347">
        <v>3730</v>
      </c>
      <c r="F347">
        <v>3740</v>
      </c>
      <c r="G347">
        <v>271933200</v>
      </c>
      <c r="H347" s="4">
        <f t="shared" si="10"/>
        <v>-2.3498694516971279E-2</v>
      </c>
      <c r="I347" s="4">
        <f t="shared" si="11"/>
        <v>-0.34096916299559471</v>
      </c>
    </row>
    <row r="348" spans="1:9" x14ac:dyDescent="0.2">
      <c r="A348" s="2">
        <f ca="1">IFERROR(__xludf.DUMMYFUNCTION("""COMPUTED_VALUE"""),45839.6666666666)</f>
        <v>45839.666666666599</v>
      </c>
      <c r="B348" s="6"/>
      <c r="C348">
        <v>3780</v>
      </c>
      <c r="D348">
        <v>3790</v>
      </c>
      <c r="E348">
        <v>3670</v>
      </c>
      <c r="F348">
        <v>3700</v>
      </c>
      <c r="G348">
        <v>212369000</v>
      </c>
      <c r="H348" s="4">
        <f t="shared" si="10"/>
        <v>-1.06951871657754E-2</v>
      </c>
      <c r="I348" s="4">
        <f t="shared" si="11"/>
        <v>-0.34801762114537443</v>
      </c>
    </row>
    <row r="349" spans="1:9" x14ac:dyDescent="0.2">
      <c r="A349" s="2">
        <f ca="1">IFERROR(__xludf.DUMMYFUNCTION("""COMPUTED_VALUE"""),45840.6666666666)</f>
        <v>45840.666666666599</v>
      </c>
      <c r="B349" s="6"/>
      <c r="C349">
        <v>3650</v>
      </c>
      <c r="D349">
        <v>3700</v>
      </c>
      <c r="E349">
        <v>3640</v>
      </c>
      <c r="F349">
        <v>3680</v>
      </c>
      <c r="G349">
        <v>220273500</v>
      </c>
      <c r="H349" s="4">
        <f t="shared" si="10"/>
        <v>-5.4054054054054057E-3</v>
      </c>
      <c r="I349" s="4">
        <f t="shared" si="11"/>
        <v>-0.3515418502202643</v>
      </c>
    </row>
    <row r="350" spans="1:9" x14ac:dyDescent="0.2">
      <c r="A350" s="2">
        <f ca="1">IFERROR(__xludf.DUMMYFUNCTION("""COMPUTED_VALUE"""),45841.6666666666)</f>
        <v>45841.666666666599</v>
      </c>
      <c r="B350" s="6"/>
      <c r="C350">
        <v>3710</v>
      </c>
      <c r="D350">
        <v>3730</v>
      </c>
      <c r="E350">
        <v>3680</v>
      </c>
      <c r="F350">
        <v>3680</v>
      </c>
      <c r="G350">
        <v>119674300</v>
      </c>
      <c r="H350" s="4">
        <f t="shared" si="10"/>
        <v>0</v>
      </c>
      <c r="I350" s="4">
        <f t="shared" si="11"/>
        <v>-0.3515418502202643</v>
      </c>
    </row>
    <row r="351" spans="1:9" x14ac:dyDescent="0.2">
      <c r="A351" s="2">
        <f ca="1">IFERROR(__xludf.DUMMYFUNCTION("""COMPUTED_VALUE"""),45842.6666666666)</f>
        <v>45842.666666666599</v>
      </c>
      <c r="B351" s="6"/>
      <c r="C351">
        <v>3680</v>
      </c>
      <c r="D351">
        <v>3710</v>
      </c>
      <c r="E351">
        <v>3650</v>
      </c>
      <c r="F351">
        <v>3670</v>
      </c>
      <c r="G351">
        <v>91141200</v>
      </c>
      <c r="H351" s="4">
        <f t="shared" si="10"/>
        <v>-2.717391304347826E-3</v>
      </c>
      <c r="I351" s="4">
        <f t="shared" si="11"/>
        <v>-0.35330396475770925</v>
      </c>
    </row>
    <row r="352" spans="1:9" x14ac:dyDescent="0.2">
      <c r="A352" s="2">
        <f ca="1">IFERROR(__xludf.DUMMYFUNCTION("""COMPUTED_VALUE"""),45845.6666666666)</f>
        <v>45845.666666666599</v>
      </c>
      <c r="B352" s="6"/>
      <c r="C352">
        <v>3670</v>
      </c>
      <c r="D352">
        <v>3700</v>
      </c>
      <c r="E352">
        <v>3650</v>
      </c>
      <c r="F352">
        <v>3700</v>
      </c>
      <c r="G352">
        <v>78783800</v>
      </c>
      <c r="H352" s="4">
        <f t="shared" si="10"/>
        <v>8.1743869209809257E-3</v>
      </c>
      <c r="I352" s="4">
        <f t="shared" si="11"/>
        <v>-0.34801762114537443</v>
      </c>
    </row>
    <row r="353" spans="1:9" x14ac:dyDescent="0.2">
      <c r="A353" s="2">
        <f ca="1">IFERROR(__xludf.DUMMYFUNCTION("""COMPUTED_VALUE"""),45846.6666666666)</f>
        <v>45846.666666666599</v>
      </c>
      <c r="B353" s="6"/>
      <c r="C353">
        <v>3690</v>
      </c>
      <c r="D353">
        <v>3700</v>
      </c>
      <c r="E353">
        <v>3650</v>
      </c>
      <c r="F353">
        <v>3670</v>
      </c>
      <c r="G353">
        <v>115551200</v>
      </c>
      <c r="H353" s="4">
        <f t="shared" si="10"/>
        <v>-8.1081081081081086E-3</v>
      </c>
      <c r="I353" s="4">
        <f t="shared" si="11"/>
        <v>-0.35330396475770925</v>
      </c>
    </row>
    <row r="354" spans="1:9" x14ac:dyDescent="0.2">
      <c r="A354" s="2">
        <f ca="1">IFERROR(__xludf.DUMMYFUNCTION("""COMPUTED_VALUE"""),45847.6666666666)</f>
        <v>45847.666666666599</v>
      </c>
      <c r="B354" s="6"/>
      <c r="C354">
        <v>3650</v>
      </c>
      <c r="D354">
        <v>3700</v>
      </c>
      <c r="E354">
        <v>3650</v>
      </c>
      <c r="F354">
        <v>3680</v>
      </c>
      <c r="G354">
        <v>92437900</v>
      </c>
      <c r="H354" s="4">
        <f t="shared" si="10"/>
        <v>2.7247956403269754E-3</v>
      </c>
      <c r="I354" s="4">
        <f t="shared" si="11"/>
        <v>-0.3515418502202643</v>
      </c>
    </row>
    <row r="355" spans="1:9" x14ac:dyDescent="0.2">
      <c r="A355" s="2">
        <f ca="1">IFERROR(__xludf.DUMMYFUNCTION("""COMPUTED_VALUE"""),45848.6666666666)</f>
        <v>45848.666666666599</v>
      </c>
      <c r="B355" s="6"/>
      <c r="C355">
        <v>3690</v>
      </c>
      <c r="D355">
        <v>3880</v>
      </c>
      <c r="E355">
        <v>3680</v>
      </c>
      <c r="F355">
        <v>3870</v>
      </c>
      <c r="G355">
        <v>290117200</v>
      </c>
      <c r="H355" s="4">
        <f t="shared" si="10"/>
        <v>5.1630434782608696E-2</v>
      </c>
      <c r="I355" s="4">
        <f t="shared" si="11"/>
        <v>-0.31806167400881058</v>
      </c>
    </row>
    <row r="356" spans="1:9" x14ac:dyDescent="0.2">
      <c r="A356" s="2">
        <f ca="1">IFERROR(__xludf.DUMMYFUNCTION("""COMPUTED_VALUE"""),45849.6666666666)</f>
        <v>45849.666666666599</v>
      </c>
      <c r="B356" s="6"/>
      <c r="C356">
        <v>3920</v>
      </c>
      <c r="D356">
        <v>3920</v>
      </c>
      <c r="E356">
        <v>3870</v>
      </c>
      <c r="F356">
        <v>3880</v>
      </c>
      <c r="G356">
        <v>255634700</v>
      </c>
      <c r="H356" s="4">
        <f t="shared" si="10"/>
        <v>2.5839793281653748E-3</v>
      </c>
      <c r="I356" s="4">
        <f t="shared" si="11"/>
        <v>-0.31629955947136562</v>
      </c>
    </row>
    <row r="357" spans="1:9" x14ac:dyDescent="0.2">
      <c r="A357" s="2">
        <f ca="1">IFERROR(__xludf.DUMMYFUNCTION("""COMPUTED_VALUE"""),45852.6666666666)</f>
        <v>45852.666666666599</v>
      </c>
      <c r="B357" s="6"/>
      <c r="C357">
        <v>3880</v>
      </c>
      <c r="D357">
        <v>3890</v>
      </c>
      <c r="E357">
        <v>3750</v>
      </c>
      <c r="F357">
        <v>3780</v>
      </c>
      <c r="G357">
        <v>167151400</v>
      </c>
      <c r="H357" s="4">
        <f t="shared" si="10"/>
        <v>-2.5773195876288658E-2</v>
      </c>
      <c r="I357" s="4">
        <f t="shared" si="11"/>
        <v>-0.33392070484581499</v>
      </c>
    </row>
    <row r="358" spans="1:9" x14ac:dyDescent="0.2">
      <c r="A358" s="2">
        <f ca="1">IFERROR(__xludf.DUMMYFUNCTION("""COMPUTED_VALUE"""),45853.6666666666)</f>
        <v>45853.666666666599</v>
      </c>
      <c r="B358" s="6"/>
      <c r="C358">
        <v>3800</v>
      </c>
      <c r="D358">
        <v>3880</v>
      </c>
      <c r="E358">
        <v>3780</v>
      </c>
      <c r="F358">
        <v>3880</v>
      </c>
      <c r="G358">
        <v>183209300</v>
      </c>
      <c r="H358" s="4">
        <f t="shared" si="10"/>
        <v>2.6455026455026454E-2</v>
      </c>
      <c r="I358" s="4">
        <f t="shared" si="11"/>
        <v>-0.31629955947136562</v>
      </c>
    </row>
    <row r="359" spans="1:9" x14ac:dyDescent="0.2">
      <c r="A359" s="2">
        <f ca="1">IFERROR(__xludf.DUMMYFUNCTION("""COMPUTED_VALUE"""),45854.6666666666)</f>
        <v>45854.666666666599</v>
      </c>
      <c r="B359" s="6"/>
      <c r="C359">
        <v>3950</v>
      </c>
      <c r="D359">
        <v>3960</v>
      </c>
      <c r="E359">
        <v>3880</v>
      </c>
      <c r="F359">
        <v>3880</v>
      </c>
      <c r="G359">
        <v>241966800</v>
      </c>
      <c r="H359" s="4">
        <f t="shared" si="10"/>
        <v>0</v>
      </c>
      <c r="I359" s="4">
        <f t="shared" si="11"/>
        <v>-0.31629955947136562</v>
      </c>
    </row>
    <row r="360" spans="1:9" x14ac:dyDescent="0.2">
      <c r="A360" s="2">
        <f ca="1">IFERROR(__xludf.DUMMYFUNCTION("""COMPUTED_VALUE"""),45855.6666666666)</f>
        <v>45855.666666666599</v>
      </c>
      <c r="B360" s="6"/>
      <c r="C360">
        <v>3930</v>
      </c>
      <c r="D360">
        <v>3930</v>
      </c>
      <c r="E360">
        <v>3880</v>
      </c>
      <c r="F360">
        <v>3890</v>
      </c>
      <c r="G360">
        <v>111359500</v>
      </c>
      <c r="H360" s="4">
        <f t="shared" si="10"/>
        <v>2.5773195876288659E-3</v>
      </c>
      <c r="I360" s="4">
        <f t="shared" si="11"/>
        <v>-0.31453744493392072</v>
      </c>
    </row>
    <row r="361" spans="1:9" x14ac:dyDescent="0.2">
      <c r="A361" s="2">
        <f ca="1">IFERROR(__xludf.DUMMYFUNCTION("""COMPUTED_VALUE"""),45856.6666666666)</f>
        <v>45856.666666666599</v>
      </c>
      <c r="B361" s="6"/>
      <c r="C361">
        <v>3910</v>
      </c>
      <c r="D361">
        <v>3940</v>
      </c>
      <c r="E361">
        <v>3860</v>
      </c>
      <c r="F361">
        <v>3860</v>
      </c>
      <c r="G361">
        <v>111030000</v>
      </c>
      <c r="H361" s="4">
        <f t="shared" si="10"/>
        <v>-7.7120822622107968E-3</v>
      </c>
      <c r="I361" s="4">
        <f t="shared" si="11"/>
        <v>-0.31982378854625548</v>
      </c>
    </row>
    <row r="362" spans="1:9" x14ac:dyDescent="0.2">
      <c r="A362" s="2">
        <f ca="1">IFERROR(__xludf.DUMMYFUNCTION("""COMPUTED_VALUE"""),45859.6666666666)</f>
        <v>45859.666666666599</v>
      </c>
      <c r="B362" s="6"/>
      <c r="C362">
        <v>3890</v>
      </c>
      <c r="D362">
        <v>3900</v>
      </c>
      <c r="E362">
        <v>3830</v>
      </c>
      <c r="F362">
        <v>3830</v>
      </c>
      <c r="G362">
        <v>89765800</v>
      </c>
      <c r="H362" s="4">
        <f t="shared" si="10"/>
        <v>-7.7720207253886009E-3</v>
      </c>
      <c r="I362" s="4">
        <f t="shared" si="11"/>
        <v>-0.3251101321585903</v>
      </c>
    </row>
    <row r="363" spans="1:9" x14ac:dyDescent="0.2">
      <c r="A363" s="2">
        <f ca="1">IFERROR(__xludf.DUMMYFUNCTION("""COMPUTED_VALUE"""),45860.6666666666)</f>
        <v>45860.666666666599</v>
      </c>
      <c r="B363" s="6"/>
      <c r="C363">
        <v>3860</v>
      </c>
      <c r="D363">
        <v>3880</v>
      </c>
      <c r="E363">
        <v>3830</v>
      </c>
      <c r="F363">
        <v>3840</v>
      </c>
      <c r="G363">
        <v>84902800</v>
      </c>
      <c r="H363" s="4">
        <f t="shared" si="10"/>
        <v>2.6109660574412533E-3</v>
      </c>
      <c r="I363" s="4">
        <f t="shared" si="11"/>
        <v>-0.3233480176211454</v>
      </c>
    </row>
    <row r="364" spans="1:9" x14ac:dyDescent="0.2">
      <c r="A364" s="2">
        <f ca="1">IFERROR(__xludf.DUMMYFUNCTION("""COMPUTED_VALUE"""),45861.6666666666)</f>
        <v>45861.666666666599</v>
      </c>
      <c r="B364" s="6"/>
      <c r="C364">
        <v>3840</v>
      </c>
      <c r="D364">
        <v>3860</v>
      </c>
      <c r="E364">
        <v>3790</v>
      </c>
      <c r="F364">
        <v>3800</v>
      </c>
      <c r="G364">
        <v>132305000</v>
      </c>
      <c r="H364" s="4">
        <f t="shared" si="10"/>
        <v>-1.0416666666666666E-2</v>
      </c>
      <c r="I364" s="4">
        <f t="shared" si="11"/>
        <v>-0.33039647577092512</v>
      </c>
    </row>
    <row r="365" spans="1:9" x14ac:dyDescent="0.2">
      <c r="A365" s="2">
        <f ca="1">IFERROR(__xludf.DUMMYFUNCTION("""COMPUTED_VALUE"""),45862.6666666666)</f>
        <v>45862.666666666599</v>
      </c>
      <c r="B365" s="6"/>
      <c r="C365">
        <v>3830</v>
      </c>
      <c r="D365">
        <v>3950</v>
      </c>
      <c r="E365">
        <v>3820</v>
      </c>
      <c r="F365">
        <v>3950</v>
      </c>
      <c r="G365">
        <v>206654200</v>
      </c>
      <c r="H365" s="4">
        <f t="shared" si="10"/>
        <v>3.9473684210526314E-2</v>
      </c>
      <c r="I365" s="4">
        <f t="shared" si="11"/>
        <v>-0.30396475770925108</v>
      </c>
    </row>
    <row r="366" spans="1:9" x14ac:dyDescent="0.2">
      <c r="A366" s="2">
        <f ca="1">IFERROR(__xludf.DUMMYFUNCTION("""COMPUTED_VALUE"""),45863.6666666666)</f>
        <v>45863.666666666599</v>
      </c>
      <c r="B366" s="6"/>
      <c r="C366">
        <v>3950</v>
      </c>
      <c r="D366">
        <v>3950</v>
      </c>
      <c r="E366">
        <v>3870</v>
      </c>
      <c r="F366">
        <v>3880</v>
      </c>
      <c r="G366">
        <v>86263700</v>
      </c>
      <c r="H366" s="4">
        <f t="shared" si="10"/>
        <v>-1.7721518987341773E-2</v>
      </c>
      <c r="I366" s="4">
        <f t="shared" si="11"/>
        <v>-0.31629955947136562</v>
      </c>
    </row>
    <row r="367" spans="1:9" x14ac:dyDescent="0.2">
      <c r="A367" s="2">
        <f ca="1">IFERROR(__xludf.DUMMYFUNCTION("""COMPUTED_VALUE"""),45866.6666666666)</f>
        <v>45866.666666666599</v>
      </c>
      <c r="B367" s="6"/>
      <c r="C367">
        <v>3940</v>
      </c>
      <c r="D367">
        <v>3950</v>
      </c>
      <c r="E367">
        <v>3920</v>
      </c>
      <c r="F367">
        <v>3940</v>
      </c>
      <c r="G367">
        <v>94898300</v>
      </c>
      <c r="H367" s="4">
        <f t="shared" si="10"/>
        <v>1.5463917525773196E-2</v>
      </c>
      <c r="I367" s="4">
        <f t="shared" si="11"/>
        <v>-0.30572687224669604</v>
      </c>
    </row>
    <row r="368" spans="1:9" x14ac:dyDescent="0.2">
      <c r="A368" s="2">
        <f ca="1">IFERROR(__xludf.DUMMYFUNCTION("""COMPUTED_VALUE"""),45867.6666666666)</f>
        <v>45867.666666666599</v>
      </c>
      <c r="B368" s="6"/>
      <c r="C368">
        <v>3930</v>
      </c>
      <c r="D368">
        <v>3930</v>
      </c>
      <c r="E368">
        <v>3900</v>
      </c>
      <c r="F368">
        <v>3920</v>
      </c>
      <c r="G368">
        <v>98887100</v>
      </c>
      <c r="H368" s="4">
        <f t="shared" si="10"/>
        <v>-5.076142131979695E-3</v>
      </c>
      <c r="I368" s="4">
        <f t="shared" si="11"/>
        <v>-0.3092511013215859</v>
      </c>
    </row>
    <row r="369" spans="1:9" x14ac:dyDescent="0.2">
      <c r="A369" s="2">
        <f ca="1">IFERROR(__xludf.DUMMYFUNCTION("""COMPUTED_VALUE"""),45868.6666666666)</f>
        <v>45868.666666666599</v>
      </c>
      <c r="B369" s="6"/>
      <c r="C369">
        <v>3910</v>
      </c>
      <c r="D369">
        <v>3910</v>
      </c>
      <c r="E369">
        <v>3770</v>
      </c>
      <c r="F369">
        <v>3780</v>
      </c>
      <c r="G369">
        <v>206358500</v>
      </c>
      <c r="H369" s="4">
        <f t="shared" si="10"/>
        <v>-3.5714285714285712E-2</v>
      </c>
      <c r="I369" s="4">
        <f t="shared" si="11"/>
        <v>-0.33392070484581499</v>
      </c>
    </row>
    <row r="370" spans="1:9" x14ac:dyDescent="0.2">
      <c r="A370" s="2">
        <f ca="1">IFERROR(__xludf.DUMMYFUNCTION("""COMPUTED_VALUE"""),45869.6666666666)</f>
        <v>45869.666666666599</v>
      </c>
      <c r="B370" s="6"/>
      <c r="C370">
        <v>3780</v>
      </c>
      <c r="D370">
        <v>3790</v>
      </c>
      <c r="E370">
        <v>3700</v>
      </c>
      <c r="F370">
        <v>3710</v>
      </c>
      <c r="G370">
        <v>163371700</v>
      </c>
      <c r="H370" s="4">
        <f t="shared" si="10"/>
        <v>-1.8518518518518517E-2</v>
      </c>
      <c r="I370" s="4">
        <f t="shared" si="11"/>
        <v>-0.34625550660792953</v>
      </c>
    </row>
    <row r="371" spans="1:9" x14ac:dyDescent="0.2">
      <c r="A371" s="2">
        <f ca="1">IFERROR(__xludf.DUMMYFUNCTION("""COMPUTED_VALUE"""),45870.6666666666)</f>
        <v>45870.666666666599</v>
      </c>
      <c r="B371" s="6"/>
      <c r="C371">
        <v>3800</v>
      </c>
      <c r="D371">
        <v>3800</v>
      </c>
      <c r="E371">
        <v>3740</v>
      </c>
      <c r="F371">
        <v>3740</v>
      </c>
      <c r="G371">
        <v>134100500</v>
      </c>
      <c r="H371" s="4">
        <f t="shared" si="10"/>
        <v>8.0862533692722376E-3</v>
      </c>
      <c r="I371" s="4">
        <f t="shared" si="11"/>
        <v>-0.34096916299559471</v>
      </c>
    </row>
    <row r="372" spans="1:9" x14ac:dyDescent="0.2">
      <c r="A372" s="2">
        <f ca="1">IFERROR(__xludf.DUMMYFUNCTION("""COMPUTED_VALUE"""),45873.6666666666)</f>
        <v>45873.666666666599</v>
      </c>
      <c r="B372" s="6"/>
      <c r="C372">
        <v>3720</v>
      </c>
      <c r="D372">
        <v>3740</v>
      </c>
      <c r="E372">
        <v>3690</v>
      </c>
      <c r="F372">
        <v>3710</v>
      </c>
      <c r="G372">
        <v>104446300</v>
      </c>
      <c r="H372" s="4">
        <f t="shared" si="10"/>
        <v>-8.0213903743315516E-3</v>
      </c>
      <c r="I372" s="4">
        <f t="shared" si="11"/>
        <v>-0.34625550660792953</v>
      </c>
    </row>
    <row r="373" spans="1:9" x14ac:dyDescent="0.2">
      <c r="A373" s="2">
        <f ca="1">IFERROR(__xludf.DUMMYFUNCTION("""COMPUTED_VALUE"""),45874.6666666666)</f>
        <v>45874.666666666599</v>
      </c>
      <c r="B373" s="6"/>
      <c r="C373">
        <v>3700</v>
      </c>
      <c r="D373">
        <v>3790</v>
      </c>
      <c r="E373">
        <v>3700</v>
      </c>
      <c r="F373">
        <v>3740</v>
      </c>
      <c r="G373">
        <v>184822600</v>
      </c>
      <c r="H373" s="4">
        <f t="shared" si="10"/>
        <v>8.0862533692722376E-3</v>
      </c>
      <c r="I373" s="4">
        <f t="shared" si="11"/>
        <v>-0.34096916299559471</v>
      </c>
    </row>
    <row r="374" spans="1:9" x14ac:dyDescent="0.2">
      <c r="A374" s="2">
        <f ca="1">IFERROR(__xludf.DUMMYFUNCTION("""COMPUTED_VALUE"""),45875.6666666666)</f>
        <v>45875.666666666599</v>
      </c>
      <c r="B374" s="6"/>
      <c r="C374">
        <v>3770</v>
      </c>
      <c r="D374">
        <v>3780</v>
      </c>
      <c r="E374">
        <v>3710</v>
      </c>
      <c r="F374">
        <v>3710</v>
      </c>
      <c r="G374">
        <v>100168200</v>
      </c>
      <c r="H374" s="4">
        <f t="shared" si="10"/>
        <v>-8.0213903743315516E-3</v>
      </c>
      <c r="I374" s="4">
        <f t="shared" si="11"/>
        <v>-0.34625550660792953</v>
      </c>
    </row>
    <row r="375" spans="1:9" x14ac:dyDescent="0.2">
      <c r="A375" s="2">
        <f ca="1">IFERROR(__xludf.DUMMYFUNCTION("""COMPUTED_VALUE"""),45876.6666666666)</f>
        <v>45876.666666666599</v>
      </c>
      <c r="B375" s="6"/>
      <c r="C375">
        <v>3730</v>
      </c>
      <c r="D375">
        <v>3750</v>
      </c>
      <c r="E375">
        <v>3700</v>
      </c>
      <c r="F375">
        <v>3710</v>
      </c>
      <c r="G375">
        <v>92746000</v>
      </c>
      <c r="H375" s="4">
        <f t="shared" si="10"/>
        <v>0</v>
      </c>
      <c r="I375" s="4">
        <f t="shared" si="11"/>
        <v>-0.34625550660792953</v>
      </c>
    </row>
    <row r="376" spans="1:9" x14ac:dyDescent="0.2">
      <c r="A376" s="2">
        <f ca="1">IFERROR(__xludf.DUMMYFUNCTION("""COMPUTED_VALUE"""),45877.6666666666)</f>
        <v>45877.666666666599</v>
      </c>
      <c r="B376" s="6"/>
      <c r="C376">
        <v>3710</v>
      </c>
      <c r="D376">
        <v>3730</v>
      </c>
      <c r="E376">
        <v>3700</v>
      </c>
      <c r="F376">
        <v>3700</v>
      </c>
      <c r="G376">
        <v>133180100</v>
      </c>
      <c r="H376" s="4">
        <f t="shared" si="10"/>
        <v>-2.6954177897574125E-3</v>
      </c>
      <c r="I376" s="4">
        <f t="shared" si="11"/>
        <v>-0.34801762114537443</v>
      </c>
    </row>
    <row r="377" spans="1:9" x14ac:dyDescent="0.2">
      <c r="A377" s="2">
        <f ca="1">IFERROR(__xludf.DUMMYFUNCTION("""COMPUTED_VALUE"""),45880.6666666666)</f>
        <v>45880.666666666599</v>
      </c>
      <c r="B377" s="6"/>
      <c r="C377">
        <v>3720</v>
      </c>
      <c r="D377">
        <v>3810</v>
      </c>
      <c r="E377">
        <v>3720</v>
      </c>
      <c r="F377">
        <v>3810</v>
      </c>
      <c r="G377">
        <v>143167900</v>
      </c>
      <c r="H377" s="4">
        <f t="shared" si="10"/>
        <v>2.9729729729729731E-2</v>
      </c>
      <c r="I377" s="4">
        <f t="shared" si="11"/>
        <v>-0.32863436123348017</v>
      </c>
    </row>
    <row r="378" spans="1:9" x14ac:dyDescent="0.2">
      <c r="A378" s="2">
        <f ca="1">IFERROR(__xludf.DUMMYFUNCTION("""COMPUTED_VALUE"""),45881.6666666666)</f>
        <v>45881.666666666599</v>
      </c>
      <c r="B378" s="6"/>
      <c r="C378">
        <v>3860</v>
      </c>
      <c r="D378">
        <v>4050</v>
      </c>
      <c r="E378">
        <v>3830</v>
      </c>
      <c r="F378">
        <v>4050</v>
      </c>
      <c r="G378">
        <v>404797800</v>
      </c>
      <c r="H378" s="4">
        <f t="shared" si="10"/>
        <v>6.2992125984251968E-2</v>
      </c>
      <c r="I378" s="4">
        <f t="shared" si="11"/>
        <v>-0.28634361233480177</v>
      </c>
    </row>
    <row r="379" spans="1:9" x14ac:dyDescent="0.2">
      <c r="A379" s="2">
        <f ca="1">IFERROR(__xludf.DUMMYFUNCTION("""COMPUTED_VALUE"""),45882.6666666666)</f>
        <v>45882.666666666599</v>
      </c>
      <c r="B379" s="6"/>
      <c r="C379">
        <v>4060</v>
      </c>
      <c r="D379">
        <v>4100</v>
      </c>
      <c r="E379">
        <v>3990</v>
      </c>
      <c r="F379">
        <v>4080</v>
      </c>
      <c r="G379">
        <v>292104000</v>
      </c>
      <c r="H379" s="4">
        <f t="shared" si="10"/>
        <v>7.4074074074074077E-3</v>
      </c>
      <c r="I379" s="4">
        <f t="shared" si="11"/>
        <v>-0.28105726872246695</v>
      </c>
    </row>
    <row r="380" spans="1:9" x14ac:dyDescent="0.2">
      <c r="A380" s="2">
        <f ca="1">IFERROR(__xludf.DUMMYFUNCTION("""COMPUTED_VALUE"""),45883.6666666666)</f>
        <v>45883.666666666599</v>
      </c>
      <c r="B380" s="6"/>
      <c r="C380">
        <v>4080</v>
      </c>
      <c r="D380">
        <v>4100</v>
      </c>
      <c r="E380">
        <v>4040</v>
      </c>
      <c r="F380">
        <v>4060</v>
      </c>
      <c r="G380">
        <v>164408100</v>
      </c>
      <c r="H380" s="4">
        <f t="shared" si="10"/>
        <v>-4.9019607843137254E-3</v>
      </c>
      <c r="I380" s="4">
        <f t="shared" si="11"/>
        <v>-0.28458149779735681</v>
      </c>
    </row>
    <row r="381" spans="1:9" x14ac:dyDescent="0.2">
      <c r="A381" s="2">
        <f ca="1">IFERROR(__xludf.DUMMYFUNCTION("""COMPUTED_VALUE"""),45884.6666666666)</f>
        <v>45884.666666666599</v>
      </c>
      <c r="B381" s="6"/>
      <c r="C381">
        <v>4100</v>
      </c>
      <c r="D381">
        <v>4150</v>
      </c>
      <c r="E381">
        <v>4070</v>
      </c>
      <c r="F381">
        <v>4120</v>
      </c>
      <c r="G381">
        <v>269255400</v>
      </c>
      <c r="H381" s="4">
        <f t="shared" si="10"/>
        <v>1.4778325123152709E-2</v>
      </c>
      <c r="I381" s="4">
        <f t="shared" si="11"/>
        <v>-0.27400881057268722</v>
      </c>
    </row>
    <row r="382" spans="1:9" x14ac:dyDescent="0.2">
      <c r="A382" s="2">
        <f ca="1">IFERROR(__xludf.DUMMYFUNCTION("""COMPUTED_VALUE"""),45888.6666666666)</f>
        <v>45888.666666666599</v>
      </c>
      <c r="B382" s="6"/>
      <c r="C382">
        <v>4090</v>
      </c>
      <c r="D382">
        <v>4100</v>
      </c>
      <c r="E382">
        <v>4010</v>
      </c>
      <c r="F382">
        <v>4040</v>
      </c>
      <c r="G382">
        <v>208409700</v>
      </c>
      <c r="H382" s="4">
        <f t="shared" si="10"/>
        <v>-1.9417475728155338E-2</v>
      </c>
      <c r="I382" s="4">
        <f t="shared" si="11"/>
        <v>-0.28810572687224667</v>
      </c>
    </row>
    <row r="383" spans="1:9" x14ac:dyDescent="0.2">
      <c r="A383" s="2">
        <f ca="1">IFERROR(__xludf.DUMMYFUNCTION("""COMPUTED_VALUE"""),45889.6666666666)</f>
        <v>45889.666666666599</v>
      </c>
      <c r="B383" s="6"/>
      <c r="C383">
        <v>4050</v>
      </c>
      <c r="D383">
        <v>4150</v>
      </c>
      <c r="E383">
        <v>4050</v>
      </c>
      <c r="F383">
        <v>4150</v>
      </c>
      <c r="G383">
        <v>173260400</v>
      </c>
      <c r="H383" s="4">
        <f t="shared" si="10"/>
        <v>2.7227722772277228E-2</v>
      </c>
      <c r="I383" s="4">
        <f t="shared" si="11"/>
        <v>-0.2687224669603524</v>
      </c>
    </row>
    <row r="384" spans="1:9" x14ac:dyDescent="0.2">
      <c r="A384" s="2">
        <f ca="1">IFERROR(__xludf.DUMMYFUNCTION("""COMPUTED_VALUE"""),45890.6666666666)</f>
        <v>45890.666666666599</v>
      </c>
      <c r="B384" s="6"/>
      <c r="C384">
        <v>4160</v>
      </c>
      <c r="D384">
        <v>4170</v>
      </c>
      <c r="E384">
        <v>4090</v>
      </c>
      <c r="F384">
        <v>4150</v>
      </c>
      <c r="G384">
        <v>112477700</v>
      </c>
      <c r="H384" s="4">
        <f t="shared" si="10"/>
        <v>0</v>
      </c>
      <c r="I384" s="4">
        <f t="shared" si="11"/>
        <v>-0.2687224669603524</v>
      </c>
    </row>
    <row r="385" spans="1:9" x14ac:dyDescent="0.2">
      <c r="A385" s="2">
        <f ca="1">IFERROR(__xludf.DUMMYFUNCTION("""COMPUTED_VALUE"""),45891.6666666666)</f>
        <v>45891.666666666599</v>
      </c>
      <c r="B385" s="6"/>
      <c r="C385">
        <v>4170</v>
      </c>
      <c r="D385">
        <v>4170</v>
      </c>
      <c r="E385">
        <v>4100</v>
      </c>
      <c r="F385">
        <v>4100</v>
      </c>
      <c r="G385">
        <v>71971500</v>
      </c>
      <c r="H385" s="4">
        <f t="shared" si="10"/>
        <v>-1.2048192771084338E-2</v>
      </c>
      <c r="I385" s="4">
        <f t="shared" si="11"/>
        <v>-0.27753303964757708</v>
      </c>
    </row>
    <row r="386" spans="1:9" x14ac:dyDescent="0.2">
      <c r="A386" s="2">
        <f ca="1">IFERROR(__xludf.DUMMYFUNCTION("""COMPUTED_VALUE"""),45894.6666666666)</f>
        <v>45894.666666666599</v>
      </c>
      <c r="B386" s="6"/>
      <c r="C386">
        <v>4180</v>
      </c>
      <c r="D386">
        <v>4270</v>
      </c>
      <c r="E386">
        <v>4170</v>
      </c>
      <c r="F386">
        <v>4210</v>
      </c>
      <c r="G386">
        <v>195322200</v>
      </c>
      <c r="H386" s="4">
        <f t="shared" si="10"/>
        <v>2.6829268292682926E-2</v>
      </c>
      <c r="I386" s="4">
        <f t="shared" si="11"/>
        <v>-0.25814977973568282</v>
      </c>
    </row>
    <row r="387" spans="1:9" x14ac:dyDescent="0.2">
      <c r="A387" s="2">
        <f ca="1">IFERROR(__xludf.DUMMYFUNCTION("""COMPUTED_VALUE"""),45895.6666666666)</f>
        <v>45895.666666666599</v>
      </c>
      <c r="B387" s="6"/>
      <c r="C387">
        <v>4220</v>
      </c>
      <c r="D387">
        <v>4220</v>
      </c>
      <c r="E387">
        <v>4170</v>
      </c>
      <c r="F387">
        <v>4170</v>
      </c>
      <c r="G387">
        <v>267465600</v>
      </c>
      <c r="H387" s="4">
        <f t="shared" si="10"/>
        <v>-9.5011876484560574E-3</v>
      </c>
      <c r="I387" s="4">
        <f t="shared" si="11"/>
        <v>-0.26519823788546254</v>
      </c>
    </row>
    <row r="388" spans="1:9" x14ac:dyDescent="0.2">
      <c r="A388" s="2">
        <f ca="1">IFERROR(__xludf.DUMMYFUNCTION("""COMPUTED_VALUE"""),45896.6666666666)</f>
        <v>45896.666666666599</v>
      </c>
      <c r="B388" s="6"/>
      <c r="C388">
        <v>4130</v>
      </c>
      <c r="D388">
        <v>4150</v>
      </c>
      <c r="E388">
        <v>4070</v>
      </c>
      <c r="F388">
        <v>4130</v>
      </c>
      <c r="G388">
        <v>123874000</v>
      </c>
      <c r="H388" s="4">
        <f t="shared" ref="H388:H451" si="12">(F388-F387)/F387</f>
        <v>-9.5923261390887284E-3</v>
      </c>
      <c r="I388" s="4">
        <f t="shared" ref="I388:I451" si="13">(F388-$F$2)/$F$2</f>
        <v>-0.27224669603524226</v>
      </c>
    </row>
    <row r="389" spans="1:9" x14ac:dyDescent="0.2">
      <c r="A389" s="2">
        <f ca="1">IFERROR(__xludf.DUMMYFUNCTION("""COMPUTED_VALUE"""),45897.6666666666)</f>
        <v>45897.666666666599</v>
      </c>
      <c r="B389" s="6"/>
      <c r="C389">
        <v>4130</v>
      </c>
      <c r="D389">
        <v>4150</v>
      </c>
      <c r="E389">
        <v>4110</v>
      </c>
      <c r="F389">
        <v>4140</v>
      </c>
      <c r="G389">
        <v>60838200</v>
      </c>
      <c r="H389" s="4">
        <f t="shared" si="12"/>
        <v>2.4213075060532689E-3</v>
      </c>
      <c r="I389" s="4">
        <f t="shared" si="13"/>
        <v>-0.27048458149779736</v>
      </c>
    </row>
    <row r="390" spans="1:9" x14ac:dyDescent="0.2">
      <c r="A390" s="2">
        <f ca="1">IFERROR(__xludf.DUMMYFUNCTION("""COMPUTED_VALUE"""),45898.6666666666)</f>
        <v>45898.666666666599</v>
      </c>
      <c r="B390" s="6"/>
      <c r="C390">
        <v>4100</v>
      </c>
      <c r="D390">
        <v>4120</v>
      </c>
      <c r="E390">
        <v>4020</v>
      </c>
      <c r="F390">
        <v>4050</v>
      </c>
      <c r="G390">
        <v>217276600</v>
      </c>
      <c r="H390" s="4">
        <f t="shared" si="12"/>
        <v>-2.1739130434782608E-2</v>
      </c>
      <c r="I390" s="4">
        <f t="shared" si="13"/>
        <v>-0.28634361233480177</v>
      </c>
    </row>
    <row r="391" spans="1:9" x14ac:dyDescent="0.2">
      <c r="A391" s="2">
        <f ca="1">IFERROR(__xludf.DUMMYFUNCTION("""COMPUTED_VALUE"""),45901.6666666666)</f>
        <v>45901.666666666599</v>
      </c>
      <c r="B391" s="6"/>
      <c r="C391">
        <v>3930</v>
      </c>
      <c r="D391">
        <v>4010</v>
      </c>
      <c r="E391">
        <v>3860</v>
      </c>
      <c r="F391">
        <v>3980</v>
      </c>
      <c r="G391">
        <v>234206100</v>
      </c>
      <c r="H391" s="4">
        <f t="shared" si="12"/>
        <v>-1.7283950617283949E-2</v>
      </c>
      <c r="I391" s="4">
        <f t="shared" si="13"/>
        <v>-0.29867841409691631</v>
      </c>
    </row>
    <row r="392" spans="1:9" x14ac:dyDescent="0.2">
      <c r="A392" s="2">
        <f ca="1">IFERROR(__xludf.DUMMYFUNCTION("""COMPUTED_VALUE"""),45902.6666666666)</f>
        <v>45902.666666666599</v>
      </c>
      <c r="B392" s="6"/>
      <c r="C392">
        <v>3980</v>
      </c>
      <c r="D392">
        <v>4050</v>
      </c>
      <c r="E392">
        <v>3960</v>
      </c>
      <c r="F392">
        <v>3960</v>
      </c>
      <c r="G392">
        <v>111856000</v>
      </c>
      <c r="H392" s="4">
        <f t="shared" si="12"/>
        <v>-5.0251256281407036E-3</v>
      </c>
      <c r="I392" s="4">
        <f t="shared" si="13"/>
        <v>-0.30220264317180617</v>
      </c>
    </row>
    <row r="393" spans="1:9" x14ac:dyDescent="0.2">
      <c r="A393" s="2">
        <f ca="1">IFERROR(__xludf.DUMMYFUNCTION("""COMPUTED_VALUE"""),45903.6666666666)</f>
        <v>45903.666666666599</v>
      </c>
      <c r="B393" s="6"/>
      <c r="C393">
        <v>4020</v>
      </c>
      <c r="D393">
        <v>4030</v>
      </c>
      <c r="E393">
        <v>3950</v>
      </c>
      <c r="F393">
        <v>4030</v>
      </c>
      <c r="G393">
        <v>112507500</v>
      </c>
      <c r="H393" s="4">
        <f t="shared" si="12"/>
        <v>1.7676767676767676E-2</v>
      </c>
      <c r="I393" s="4">
        <f t="shared" si="13"/>
        <v>-0.28986784140969163</v>
      </c>
    </row>
    <row r="394" spans="1:9" x14ac:dyDescent="0.2">
      <c r="A394" s="2">
        <f ca="1">IFERROR(__xludf.DUMMYFUNCTION("""COMPUTED_VALUE"""),45904.6666666666)</f>
        <v>45904.666666666599</v>
      </c>
      <c r="B394" s="6"/>
      <c r="C394">
        <v>3980</v>
      </c>
      <c r="D394">
        <v>4010</v>
      </c>
      <c r="E394">
        <v>3960</v>
      </c>
      <c r="F394">
        <v>4000</v>
      </c>
      <c r="G394">
        <v>87402700</v>
      </c>
      <c r="H394" s="4">
        <f t="shared" si="12"/>
        <v>-7.4441687344913151E-3</v>
      </c>
      <c r="I394" s="4">
        <f t="shared" si="13"/>
        <v>-0.29515418502202645</v>
      </c>
    </row>
    <row r="395" spans="1:9" x14ac:dyDescent="0.2">
      <c r="A395" s="2">
        <f ca="1">IFERROR(__xludf.DUMMYFUNCTION("""COMPUTED_VALUE"""),45908.6666666666)</f>
        <v>45908.666666666599</v>
      </c>
      <c r="B395" s="6"/>
      <c r="C395">
        <v>4070</v>
      </c>
      <c r="D395">
        <v>4070</v>
      </c>
      <c r="E395">
        <v>3890</v>
      </c>
      <c r="F395">
        <v>3900</v>
      </c>
      <c r="G395">
        <v>143993900</v>
      </c>
      <c r="H395" s="4">
        <f t="shared" si="12"/>
        <v>-2.5000000000000001E-2</v>
      </c>
      <c r="I395" s="4">
        <f t="shared" si="13"/>
        <v>-0.31277533039647576</v>
      </c>
    </row>
    <row r="396" spans="1:9" x14ac:dyDescent="0.2">
      <c r="A396" s="2">
        <f ca="1">IFERROR(__xludf.DUMMYFUNCTION("""COMPUTED_VALUE"""),45909.6666666666)</f>
        <v>45909.666666666599</v>
      </c>
      <c r="B396" s="6"/>
      <c r="C396">
        <v>3870</v>
      </c>
      <c r="D396">
        <v>3890</v>
      </c>
      <c r="E396">
        <v>3750</v>
      </c>
      <c r="F396">
        <v>3790</v>
      </c>
      <c r="G396">
        <v>327167200</v>
      </c>
      <c r="H396" s="4">
        <f t="shared" si="12"/>
        <v>-2.8205128205128206E-2</v>
      </c>
      <c r="I396" s="4">
        <f t="shared" si="13"/>
        <v>-0.33215859030837003</v>
      </c>
    </row>
    <row r="397" spans="1:9" x14ac:dyDescent="0.2">
      <c r="A397" s="2">
        <f ca="1">IFERROR(__xludf.DUMMYFUNCTION("""COMPUTED_VALUE"""),45910.6666666666)</f>
        <v>45910.666666666599</v>
      </c>
      <c r="B397" s="6"/>
      <c r="C397">
        <v>3880</v>
      </c>
      <c r="D397">
        <v>3880</v>
      </c>
      <c r="E397">
        <v>3880</v>
      </c>
      <c r="F397">
        <v>3880</v>
      </c>
      <c r="G397">
        <v>1109200</v>
      </c>
      <c r="H397" s="4">
        <f t="shared" si="12"/>
        <v>2.3746701846965697E-2</v>
      </c>
      <c r="I397" s="4">
        <f t="shared" si="13"/>
        <v>-0.31629955947136562</v>
      </c>
    </row>
    <row r="398" spans="1:9" x14ac:dyDescent="0.2">
      <c r="A398" s="2">
        <f ca="1">IFERROR(__xludf.DUMMYFUNCTION("""COMPUTED_VALUE"""),45911.6666666666)</f>
        <v>45911.666666666599</v>
      </c>
      <c r="B398" s="6"/>
      <c r="C398">
        <v>4000</v>
      </c>
      <c r="D398">
        <v>4120</v>
      </c>
      <c r="E398">
        <v>3980</v>
      </c>
      <c r="F398">
        <v>4080</v>
      </c>
      <c r="G398">
        <v>281910400</v>
      </c>
      <c r="H398" s="4">
        <f t="shared" si="12"/>
        <v>5.1546391752577317E-2</v>
      </c>
      <c r="I398" s="4">
        <f t="shared" si="13"/>
        <v>-0.28105726872246695</v>
      </c>
    </row>
    <row r="399" spans="1:9" x14ac:dyDescent="0.2">
      <c r="A399" s="2">
        <f ca="1">IFERROR(__xludf.DUMMYFUNCTION("""COMPUTED_VALUE"""),45912.6666666666)</f>
        <v>45912.666666666599</v>
      </c>
      <c r="B399" s="6"/>
      <c r="C399">
        <v>4180</v>
      </c>
      <c r="D399">
        <v>4190</v>
      </c>
      <c r="E399">
        <v>4110</v>
      </c>
      <c r="F399">
        <v>4180</v>
      </c>
      <c r="G399">
        <v>235383800</v>
      </c>
      <c r="H399" s="4">
        <f t="shared" si="12"/>
        <v>2.4509803921568627E-2</v>
      </c>
      <c r="I399" s="4">
        <f t="shared" si="13"/>
        <v>-0.26343612334801764</v>
      </c>
    </row>
    <row r="400" spans="1:9" x14ac:dyDescent="0.2">
      <c r="A400" s="2">
        <f ca="1">IFERROR(__xludf.DUMMYFUNCTION("""COMPUTED_VALUE"""),45915.6666666666)</f>
        <v>45915.666666666599</v>
      </c>
      <c r="B400" s="6"/>
      <c r="C400">
        <v>4200</v>
      </c>
      <c r="D400">
        <v>4220</v>
      </c>
      <c r="E400">
        <v>4120</v>
      </c>
      <c r="F400">
        <v>4140</v>
      </c>
      <c r="G400">
        <v>157482000</v>
      </c>
      <c r="H400" s="4">
        <f t="shared" si="12"/>
        <v>-9.5693779904306216E-3</v>
      </c>
      <c r="I400" s="4">
        <f t="shared" si="13"/>
        <v>-0.27048458149779736</v>
      </c>
    </row>
    <row r="401" spans="1:9" x14ac:dyDescent="0.2">
      <c r="A401" s="2">
        <f ca="1">IFERROR(__xludf.DUMMYFUNCTION("""COMPUTED_VALUE"""),45916.6666666666)</f>
        <v>45916.666666666599</v>
      </c>
      <c r="B401" s="6"/>
      <c r="C401">
        <v>4160</v>
      </c>
      <c r="D401">
        <v>4170</v>
      </c>
      <c r="E401">
        <v>4080</v>
      </c>
      <c r="F401">
        <v>4130</v>
      </c>
      <c r="G401">
        <v>167511900</v>
      </c>
      <c r="H401" s="4">
        <f t="shared" si="12"/>
        <v>-2.4154589371980675E-3</v>
      </c>
      <c r="I401" s="4">
        <f t="shared" si="13"/>
        <v>-0.27224669603524226</v>
      </c>
    </row>
    <row r="402" spans="1:9" x14ac:dyDescent="0.2">
      <c r="A402" s="2">
        <f ca="1">IFERROR(__xludf.DUMMYFUNCTION("""COMPUTED_VALUE"""),45917.6666666666)</f>
        <v>45917.666666666599</v>
      </c>
      <c r="B402" s="6"/>
      <c r="C402">
        <v>4160</v>
      </c>
      <c r="D402">
        <v>4220</v>
      </c>
      <c r="E402">
        <v>4120</v>
      </c>
      <c r="F402">
        <v>4220</v>
      </c>
      <c r="G402">
        <v>245154800</v>
      </c>
      <c r="H402" s="4">
        <f t="shared" si="12"/>
        <v>2.1791767554479417E-2</v>
      </c>
      <c r="I402" s="4">
        <f t="shared" si="13"/>
        <v>-0.25638766519823791</v>
      </c>
    </row>
    <row r="403" spans="1:9" x14ac:dyDescent="0.2">
      <c r="A403" s="2">
        <f ca="1">IFERROR(__xludf.DUMMYFUNCTION("""COMPUTED_VALUE"""),45918.6666666666)</f>
        <v>45918.666666666599</v>
      </c>
      <c r="B403" s="6"/>
      <c r="C403">
        <v>4270</v>
      </c>
      <c r="D403">
        <v>4270</v>
      </c>
      <c r="E403">
        <v>4210</v>
      </c>
      <c r="F403">
        <v>4250</v>
      </c>
      <c r="G403">
        <v>332670300</v>
      </c>
      <c r="H403" s="4">
        <f t="shared" si="12"/>
        <v>7.1090047393364926E-3</v>
      </c>
      <c r="I403" s="4">
        <f t="shared" si="13"/>
        <v>-0.25110132158590309</v>
      </c>
    </row>
    <row r="404" spans="1:9" x14ac:dyDescent="0.2">
      <c r="A404" s="2">
        <f ca="1">IFERROR(__xludf.DUMMYFUNCTION("""COMPUTED_VALUE"""),45919.6666666666)</f>
        <v>45919.666666666599</v>
      </c>
      <c r="B404" s="6"/>
      <c r="C404">
        <v>4230</v>
      </c>
      <c r="D404">
        <v>4250</v>
      </c>
      <c r="E404">
        <v>4180</v>
      </c>
      <c r="F404">
        <v>4250</v>
      </c>
      <c r="G404">
        <v>211373200</v>
      </c>
      <c r="H404" s="4">
        <f t="shared" si="12"/>
        <v>0</v>
      </c>
      <c r="I404" s="4">
        <f t="shared" si="13"/>
        <v>-0.25110132158590309</v>
      </c>
    </row>
    <row r="405" spans="1:9" x14ac:dyDescent="0.2">
      <c r="A405" s="2">
        <f ca="1">IFERROR(__xludf.DUMMYFUNCTION("""COMPUTED_VALUE"""),45922.6666666666)</f>
        <v>45922.666666666599</v>
      </c>
      <c r="B405" s="6"/>
      <c r="C405">
        <v>4250</v>
      </c>
      <c r="D405">
        <v>4250</v>
      </c>
      <c r="E405">
        <v>4110</v>
      </c>
      <c r="F405">
        <v>4160</v>
      </c>
      <c r="G405">
        <v>157592800</v>
      </c>
      <c r="H405" s="4">
        <f t="shared" si="12"/>
        <v>-2.1176470588235293E-2</v>
      </c>
      <c r="I405" s="4">
        <f t="shared" si="13"/>
        <v>-0.2669603524229075</v>
      </c>
    </row>
    <row r="406" spans="1:9" x14ac:dyDescent="0.2">
      <c r="A406" s="2">
        <f ca="1">IFERROR(__xludf.DUMMYFUNCTION("""COMPUTED_VALUE"""),45923.6666666666)</f>
        <v>45923.666666666599</v>
      </c>
      <c r="B406" s="6"/>
      <c r="C406">
        <v>4120</v>
      </c>
      <c r="D406">
        <v>4170</v>
      </c>
      <c r="E406">
        <v>4110</v>
      </c>
      <c r="F406">
        <v>4140</v>
      </c>
      <c r="G406">
        <v>110771700</v>
      </c>
      <c r="H406" s="4">
        <f t="shared" si="12"/>
        <v>-4.807692307692308E-3</v>
      </c>
      <c r="I406" s="4">
        <f t="shared" si="13"/>
        <v>-0.27048458149779736</v>
      </c>
    </row>
    <row r="407" spans="1:9" x14ac:dyDescent="0.2">
      <c r="A407" s="2">
        <f ca="1">IFERROR(__xludf.DUMMYFUNCTION("""COMPUTED_VALUE"""),45924.6666666666)</f>
        <v>45924.666666666599</v>
      </c>
      <c r="B407" s="6"/>
      <c r="C407">
        <v>4140</v>
      </c>
      <c r="D407">
        <v>4170</v>
      </c>
      <c r="E407">
        <v>4100</v>
      </c>
      <c r="F407">
        <v>4170</v>
      </c>
      <c r="G407">
        <v>124591600</v>
      </c>
      <c r="H407" s="4">
        <f t="shared" si="12"/>
        <v>7.246376811594203E-3</v>
      </c>
      <c r="I407" s="4">
        <f t="shared" si="13"/>
        <v>-0.26519823788546254</v>
      </c>
    </row>
    <row r="408" spans="1:9" x14ac:dyDescent="0.2">
      <c r="A408" s="2">
        <f ca="1">IFERROR(__xludf.DUMMYFUNCTION("""COMPUTED_VALUE"""),45925.6666666666)</f>
        <v>45925.666666666599</v>
      </c>
      <c r="B408" s="6"/>
      <c r="C408">
        <v>4170</v>
      </c>
      <c r="D408">
        <v>4170</v>
      </c>
      <c r="E408">
        <v>4050</v>
      </c>
      <c r="F408">
        <v>4070</v>
      </c>
      <c r="G408">
        <v>129656800</v>
      </c>
      <c r="H408" s="4">
        <f t="shared" si="12"/>
        <v>-2.3980815347721823E-2</v>
      </c>
      <c r="I408" s="4">
        <f t="shared" si="13"/>
        <v>-0.28281938325991191</v>
      </c>
    </row>
    <row r="409" spans="1:9" x14ac:dyDescent="0.2">
      <c r="A409" s="2">
        <f ca="1">IFERROR(__xludf.DUMMYFUNCTION("""COMPUTED_VALUE"""),45926.6666666666)</f>
        <v>45926.666666666599</v>
      </c>
      <c r="B409" s="6"/>
      <c r="C409">
        <v>4050</v>
      </c>
      <c r="D409">
        <v>4080</v>
      </c>
      <c r="E409">
        <v>4000</v>
      </c>
      <c r="F409">
        <v>4040</v>
      </c>
      <c r="G409">
        <v>146229200</v>
      </c>
      <c r="H409" s="4">
        <f t="shared" si="12"/>
        <v>-7.3710073710073713E-3</v>
      </c>
      <c r="I409" s="4">
        <f t="shared" si="13"/>
        <v>-0.28810572687224667</v>
      </c>
    </row>
    <row r="410" spans="1:9" x14ac:dyDescent="0.2">
      <c r="A410" s="2">
        <f ca="1">IFERROR(__xludf.DUMMYFUNCTION("""COMPUTED_VALUE"""),45929.6666666666)</f>
        <v>45929.666666666599</v>
      </c>
      <c r="B410" s="6"/>
      <c r="C410">
        <v>4040</v>
      </c>
      <c r="D410">
        <v>4040</v>
      </c>
      <c r="E410">
        <v>3960</v>
      </c>
      <c r="F410">
        <v>3980</v>
      </c>
      <c r="G410">
        <v>126611800</v>
      </c>
      <c r="H410" s="4">
        <f t="shared" si="12"/>
        <v>-1.4851485148514851E-2</v>
      </c>
      <c r="I410" s="4">
        <f t="shared" si="13"/>
        <v>-0.29867841409691631</v>
      </c>
    </row>
    <row r="411" spans="1:9" x14ac:dyDescent="0.2">
      <c r="A411" s="2">
        <f ca="1">IFERROR(__xludf.DUMMYFUNCTION("""COMPUTED_VALUE"""),45930.6666666666)</f>
        <v>45930.666666666599</v>
      </c>
      <c r="B411" s="6"/>
      <c r="C411">
        <v>3980</v>
      </c>
      <c r="D411">
        <v>3980</v>
      </c>
      <c r="E411">
        <v>3900</v>
      </c>
      <c r="F411">
        <v>3900</v>
      </c>
      <c r="G411">
        <v>217357100</v>
      </c>
      <c r="H411" s="4">
        <f t="shared" si="12"/>
        <v>-2.0100502512562814E-2</v>
      </c>
      <c r="I411" s="4">
        <f t="shared" si="13"/>
        <v>-0.31277533039647576</v>
      </c>
    </row>
    <row r="412" spans="1:9" x14ac:dyDescent="0.2">
      <c r="A412" s="2">
        <f ca="1">IFERROR(__xludf.DUMMYFUNCTION("""COMPUTED_VALUE"""),45931.6666666666)</f>
        <v>45931.666666666599</v>
      </c>
      <c r="B412" s="6"/>
      <c r="C412">
        <v>3860</v>
      </c>
      <c r="D412">
        <v>3940</v>
      </c>
      <c r="E412">
        <v>3800</v>
      </c>
      <c r="F412">
        <v>3810</v>
      </c>
      <c r="G412">
        <v>223133600</v>
      </c>
      <c r="H412" s="4">
        <f t="shared" si="12"/>
        <v>-2.3076923076923078E-2</v>
      </c>
      <c r="I412" s="4">
        <f t="shared" si="13"/>
        <v>-0.32863436123348017</v>
      </c>
    </row>
    <row r="413" spans="1:9" x14ac:dyDescent="0.2">
      <c r="A413" s="2">
        <f ca="1">IFERROR(__xludf.DUMMYFUNCTION("""COMPUTED_VALUE"""),45932.6666666666)</f>
        <v>45932.666666666599</v>
      </c>
      <c r="B413" s="6"/>
      <c r="C413">
        <v>3760</v>
      </c>
      <c r="D413">
        <v>3790</v>
      </c>
      <c r="E413">
        <v>3710</v>
      </c>
      <c r="F413">
        <v>3710</v>
      </c>
      <c r="G413">
        <v>379620000</v>
      </c>
      <c r="H413" s="4">
        <f t="shared" si="12"/>
        <v>-2.6246719160104987E-2</v>
      </c>
      <c r="I413" s="4">
        <f t="shared" si="13"/>
        <v>-0.34625550660792953</v>
      </c>
    </row>
    <row r="414" spans="1:9" x14ac:dyDescent="0.2">
      <c r="A414" s="2">
        <f ca="1">IFERROR(__xludf.DUMMYFUNCTION("""COMPUTED_VALUE"""),45933.6666666666)</f>
        <v>45933.666666666599</v>
      </c>
      <c r="B414" s="6"/>
      <c r="C414">
        <v>3710</v>
      </c>
      <c r="D414">
        <v>3750</v>
      </c>
      <c r="E414">
        <v>3680</v>
      </c>
      <c r="F414">
        <v>3690</v>
      </c>
      <c r="G414">
        <v>214737100</v>
      </c>
      <c r="H414" s="4">
        <f t="shared" si="12"/>
        <v>-5.3908355795148251E-3</v>
      </c>
      <c r="I414" s="4">
        <f t="shared" si="13"/>
        <v>-0.34977973568281939</v>
      </c>
    </row>
    <row r="415" spans="1:9" x14ac:dyDescent="0.2">
      <c r="A415" s="2">
        <f ca="1">IFERROR(__xludf.DUMMYFUNCTION("""COMPUTED_VALUE"""),45936.6666666666)</f>
        <v>45936.666666666599</v>
      </c>
      <c r="B415" s="6"/>
      <c r="C415">
        <v>3700</v>
      </c>
      <c r="D415">
        <v>3740</v>
      </c>
      <c r="E415">
        <v>3640</v>
      </c>
      <c r="F415">
        <v>3660</v>
      </c>
      <c r="G415">
        <v>190283900</v>
      </c>
      <c r="H415" s="4">
        <f t="shared" si="12"/>
        <v>-8.130081300813009E-3</v>
      </c>
      <c r="I415" s="4">
        <f t="shared" si="13"/>
        <v>-0.35506607929515416</v>
      </c>
    </row>
    <row r="416" spans="1:9" x14ac:dyDescent="0.2">
      <c r="A416" s="2">
        <f ca="1">IFERROR(__xludf.DUMMYFUNCTION("""COMPUTED_VALUE"""),45937.6666666666)</f>
        <v>45937.666666666599</v>
      </c>
      <c r="B416" s="6"/>
      <c r="C416">
        <v>3690</v>
      </c>
      <c r="D416">
        <v>3720</v>
      </c>
      <c r="E416">
        <v>3670</v>
      </c>
      <c r="F416">
        <v>3710</v>
      </c>
      <c r="G416">
        <v>155933000</v>
      </c>
      <c r="H416" s="4">
        <f t="shared" si="12"/>
        <v>1.3661202185792349E-2</v>
      </c>
      <c r="I416" s="4">
        <f t="shared" si="13"/>
        <v>-0.34625550660792953</v>
      </c>
    </row>
    <row r="417" spans="1:9" x14ac:dyDescent="0.2">
      <c r="A417" s="2">
        <f ca="1">IFERROR(__xludf.DUMMYFUNCTION("""COMPUTED_VALUE"""),45938.6666666666)</f>
        <v>45938.666666666599</v>
      </c>
      <c r="B417" s="6"/>
      <c r="C417">
        <v>3730</v>
      </c>
      <c r="D417">
        <v>3740</v>
      </c>
      <c r="E417">
        <v>3670</v>
      </c>
      <c r="F417">
        <v>3720</v>
      </c>
      <c r="G417">
        <v>148263700</v>
      </c>
      <c r="H417" s="4">
        <f t="shared" si="12"/>
        <v>2.6954177897574125E-3</v>
      </c>
      <c r="I417" s="4">
        <f t="shared" si="13"/>
        <v>-0.34449339207048457</v>
      </c>
    </row>
    <row r="418" spans="1:9" x14ac:dyDescent="0.2">
      <c r="A418" s="2">
        <f ca="1">IFERROR(__xludf.DUMMYFUNCTION("""COMPUTED_VALUE"""),45939.6666666666)</f>
        <v>45939.666666666599</v>
      </c>
      <c r="B418" s="6"/>
      <c r="C418">
        <v>3690</v>
      </c>
      <c r="D418">
        <v>3930</v>
      </c>
      <c r="E418">
        <v>3640</v>
      </c>
      <c r="F418">
        <v>3860</v>
      </c>
      <c r="G418">
        <v>479239500</v>
      </c>
      <c r="H418" s="4">
        <f t="shared" si="12"/>
        <v>3.7634408602150539E-2</v>
      </c>
      <c r="I418" s="4">
        <f t="shared" si="13"/>
        <v>-0.31982378854625548</v>
      </c>
    </row>
    <row r="419" spans="1:9" x14ac:dyDescent="0.2">
      <c r="A419" s="2">
        <f ca="1">IFERROR(__xludf.DUMMYFUNCTION("""COMPUTED_VALUE"""),45940.6666666666)</f>
        <v>45940.666666666599</v>
      </c>
      <c r="B419" s="6"/>
      <c r="C419">
        <v>3790</v>
      </c>
      <c r="D419">
        <v>3790</v>
      </c>
      <c r="E419">
        <v>3690</v>
      </c>
      <c r="F419">
        <v>3730</v>
      </c>
      <c r="G419">
        <v>277252300</v>
      </c>
      <c r="H419" s="4">
        <f t="shared" si="12"/>
        <v>-3.367875647668394E-2</v>
      </c>
      <c r="I419" s="4">
        <f t="shared" si="13"/>
        <v>-0.34273127753303967</v>
      </c>
    </row>
    <row r="420" spans="1:9" x14ac:dyDescent="0.2">
      <c r="A420" s="2">
        <f ca="1">IFERROR(__xludf.DUMMYFUNCTION("""COMPUTED_VALUE"""),45943.6666666666)</f>
        <v>45943.666666666599</v>
      </c>
      <c r="B420" s="6"/>
      <c r="C420">
        <v>3680</v>
      </c>
      <c r="D420">
        <v>3710</v>
      </c>
      <c r="E420">
        <v>3660</v>
      </c>
      <c r="F420">
        <v>3660</v>
      </c>
      <c r="G420">
        <v>181694400</v>
      </c>
      <c r="H420" s="4">
        <f t="shared" si="12"/>
        <v>-1.876675603217158E-2</v>
      </c>
      <c r="I420" s="4">
        <f t="shared" si="13"/>
        <v>-0.35506607929515416</v>
      </c>
    </row>
    <row r="421" spans="1:9" x14ac:dyDescent="0.2">
      <c r="A421" s="2">
        <f ca="1">IFERROR(__xludf.DUMMYFUNCTION("""COMPUTED_VALUE"""),45944.6666666666)</f>
        <v>45944.666666666599</v>
      </c>
      <c r="B421" s="6"/>
      <c r="C421">
        <v>3640</v>
      </c>
      <c r="D421">
        <v>3690</v>
      </c>
      <c r="E421">
        <v>3550</v>
      </c>
      <c r="F421">
        <v>3550</v>
      </c>
      <c r="G421">
        <v>278639100</v>
      </c>
      <c r="H421" s="4">
        <f t="shared" si="12"/>
        <v>-3.0054644808743168E-2</v>
      </c>
      <c r="I421" s="4">
        <f t="shared" si="13"/>
        <v>-0.37444933920704848</v>
      </c>
    </row>
    <row r="422" spans="1:9" x14ac:dyDescent="0.2">
      <c r="A422" s="2">
        <f ca="1">IFERROR(__xludf.DUMMYFUNCTION("""COMPUTED_VALUE"""),45945.6666666666)</f>
        <v>45945.666666666599</v>
      </c>
      <c r="B422" s="6"/>
      <c r="C422">
        <v>3570</v>
      </c>
      <c r="D422">
        <v>3590</v>
      </c>
      <c r="E422">
        <v>3450</v>
      </c>
      <c r="F422">
        <v>3500</v>
      </c>
      <c r="G422">
        <v>468733500</v>
      </c>
      <c r="H422" s="4">
        <f t="shared" si="12"/>
        <v>-1.4084507042253521E-2</v>
      </c>
      <c r="I422" s="4">
        <f t="shared" si="13"/>
        <v>-0.38325991189427311</v>
      </c>
    </row>
    <row r="423" spans="1:9" x14ac:dyDescent="0.2">
      <c r="A423" s="2">
        <f ca="1">IFERROR(__xludf.DUMMYFUNCTION("""COMPUTED_VALUE"""),45946.6666666666)</f>
        <v>45946.666666666599</v>
      </c>
      <c r="B423" s="6"/>
      <c r="C423">
        <v>3500</v>
      </c>
      <c r="D423">
        <v>3580</v>
      </c>
      <c r="E423">
        <v>3480</v>
      </c>
      <c r="F423">
        <v>3530</v>
      </c>
      <c r="G423">
        <v>227629500</v>
      </c>
      <c r="H423" s="4">
        <f t="shared" si="12"/>
        <v>8.5714285714285719E-3</v>
      </c>
      <c r="I423" s="4">
        <f t="shared" si="13"/>
        <v>-0.37797356828193834</v>
      </c>
    </row>
    <row r="424" spans="1:9" x14ac:dyDescent="0.2">
      <c r="A424" s="2">
        <f ca="1">IFERROR(__xludf.DUMMYFUNCTION("""COMPUTED_VALUE"""),45947.6666666666)</f>
        <v>45947.666666666599</v>
      </c>
      <c r="B424" s="6"/>
      <c r="C424">
        <v>3530</v>
      </c>
      <c r="D424">
        <v>3570</v>
      </c>
      <c r="E424">
        <v>3490</v>
      </c>
      <c r="F424">
        <v>3500</v>
      </c>
      <c r="G424">
        <v>244442400</v>
      </c>
      <c r="H424" s="4">
        <f t="shared" si="12"/>
        <v>-8.4985835694051E-3</v>
      </c>
      <c r="I424" s="4">
        <f t="shared" si="13"/>
        <v>-0.38325991189427311</v>
      </c>
    </row>
    <row r="425" spans="1:9" x14ac:dyDescent="0.2">
      <c r="A425" s="2">
        <f ca="1">IFERROR(__xludf.DUMMYFUNCTION("""COMPUTED_VALUE"""),45950.6666666666)</f>
        <v>45950.666666666599</v>
      </c>
      <c r="B425" s="6"/>
      <c r="C425">
        <v>3550</v>
      </c>
      <c r="D425">
        <v>3730</v>
      </c>
      <c r="E425">
        <v>3540</v>
      </c>
      <c r="F425">
        <v>3680</v>
      </c>
      <c r="G425">
        <v>391510300</v>
      </c>
      <c r="H425" s="4">
        <f t="shared" si="12"/>
        <v>5.1428571428571428E-2</v>
      </c>
      <c r="I425" s="4">
        <f t="shared" si="13"/>
        <v>-0.3515418502202643</v>
      </c>
    </row>
    <row r="426" spans="1:9" x14ac:dyDescent="0.2">
      <c r="A426" s="2">
        <f ca="1">IFERROR(__xludf.DUMMYFUNCTION("""COMPUTED_VALUE"""),45951.6666666666)</f>
        <v>45951.666666666599</v>
      </c>
      <c r="B426" s="6"/>
      <c r="C426">
        <v>3780</v>
      </c>
      <c r="D426">
        <v>3790</v>
      </c>
      <c r="E426">
        <v>3710</v>
      </c>
      <c r="F426">
        <v>3760</v>
      </c>
      <c r="G426">
        <v>293000200</v>
      </c>
      <c r="H426" s="4">
        <f t="shared" si="12"/>
        <v>2.1739130434782608E-2</v>
      </c>
      <c r="I426" s="4">
        <f t="shared" si="13"/>
        <v>-0.33744493392070485</v>
      </c>
    </row>
    <row r="427" spans="1:9" x14ac:dyDescent="0.2">
      <c r="A427" s="2">
        <f ca="1">IFERROR(__xludf.DUMMYFUNCTION("""COMPUTED_VALUE"""),45952.6666666666)</f>
        <v>45952.666666666599</v>
      </c>
      <c r="B427" s="6"/>
      <c r="C427">
        <v>3790</v>
      </c>
      <c r="D427">
        <v>3820</v>
      </c>
      <c r="E427">
        <v>3680</v>
      </c>
      <c r="F427">
        <v>3700</v>
      </c>
      <c r="G427">
        <v>329470700</v>
      </c>
      <c r="H427" s="4">
        <f t="shared" si="12"/>
        <v>-1.5957446808510637E-2</v>
      </c>
      <c r="I427" s="4">
        <f t="shared" si="13"/>
        <v>-0.34801762114537443</v>
      </c>
    </row>
    <row r="428" spans="1:9" x14ac:dyDescent="0.2">
      <c r="A428" s="2">
        <f ca="1">IFERROR(__xludf.DUMMYFUNCTION("""COMPUTED_VALUE"""),45953.6666666666)</f>
        <v>45953.666666666599</v>
      </c>
      <c r="B428" s="6"/>
      <c r="C428">
        <v>3720</v>
      </c>
      <c r="D428">
        <v>3820</v>
      </c>
      <c r="E428">
        <v>3700</v>
      </c>
      <c r="F428">
        <v>3820</v>
      </c>
      <c r="G428">
        <v>225902700</v>
      </c>
      <c r="H428" s="4">
        <f t="shared" si="12"/>
        <v>3.2432432432432434E-2</v>
      </c>
      <c r="I428" s="4">
        <f t="shared" si="13"/>
        <v>-0.32687224669603526</v>
      </c>
    </row>
    <row r="429" spans="1:9" x14ac:dyDescent="0.2">
      <c r="A429" s="2">
        <f ca="1">IFERROR(__xludf.DUMMYFUNCTION("""COMPUTED_VALUE"""),45954.6666666666)</f>
        <v>45954.666666666599</v>
      </c>
      <c r="B429" s="6"/>
      <c r="C429">
        <v>3820</v>
      </c>
      <c r="D429">
        <v>3910</v>
      </c>
      <c r="E429">
        <v>3820</v>
      </c>
      <c r="F429">
        <v>3850</v>
      </c>
      <c r="G429">
        <v>313903600</v>
      </c>
      <c r="H429" s="4">
        <f t="shared" si="12"/>
        <v>7.8534031413612562E-3</v>
      </c>
      <c r="I429" s="4">
        <f t="shared" si="13"/>
        <v>-0.32158590308370044</v>
      </c>
    </row>
    <row r="430" spans="1:9" x14ac:dyDescent="0.2">
      <c r="A430" s="2">
        <f ca="1">IFERROR(__xludf.DUMMYFUNCTION("""COMPUTED_VALUE"""),45957.6666666666)</f>
        <v>45957.666666666599</v>
      </c>
      <c r="B430" s="6"/>
      <c r="C430">
        <v>3880</v>
      </c>
      <c r="D430">
        <v>3930</v>
      </c>
      <c r="E430">
        <v>3750</v>
      </c>
      <c r="F430">
        <v>3860</v>
      </c>
      <c r="G430">
        <v>332539600</v>
      </c>
      <c r="H430" s="4">
        <f t="shared" si="12"/>
        <v>2.5974025974025974E-3</v>
      </c>
      <c r="I430" s="4">
        <f t="shared" si="13"/>
        <v>-0.31982378854625548</v>
      </c>
    </row>
    <row r="431" spans="1:9" x14ac:dyDescent="0.2">
      <c r="A431" s="2">
        <f ca="1">IFERROR(__xludf.DUMMYFUNCTION("""COMPUTED_VALUE"""),45958.6666666666)</f>
        <v>45958.666666666599</v>
      </c>
      <c r="B431" s="6"/>
      <c r="C431">
        <v>3850</v>
      </c>
      <c r="D431">
        <v>3860</v>
      </c>
      <c r="E431">
        <v>3780</v>
      </c>
      <c r="F431">
        <v>3850</v>
      </c>
      <c r="G431">
        <v>239026800</v>
      </c>
      <c r="H431" s="4">
        <f t="shared" si="12"/>
        <v>-2.5906735751295338E-3</v>
      </c>
      <c r="I431" s="4">
        <f t="shared" si="13"/>
        <v>-0.32158590308370044</v>
      </c>
    </row>
    <row r="432" spans="1:9" x14ac:dyDescent="0.2">
      <c r="A432" s="2">
        <f ca="1">IFERROR(__xludf.DUMMYFUNCTION("""COMPUTED_VALUE"""),45959.6666666666)</f>
        <v>45959.666666666599</v>
      </c>
      <c r="B432" s="6"/>
      <c r="C432">
        <v>3830</v>
      </c>
      <c r="D432">
        <v>3890</v>
      </c>
      <c r="E432">
        <v>3790</v>
      </c>
      <c r="F432">
        <v>3890</v>
      </c>
      <c r="G432">
        <v>215008600</v>
      </c>
      <c r="H432" s="4">
        <f t="shared" si="12"/>
        <v>1.038961038961039E-2</v>
      </c>
      <c r="I432" s="4">
        <f t="shared" si="13"/>
        <v>-0.31453744493392072</v>
      </c>
    </row>
    <row r="433" spans="1:9" x14ac:dyDescent="0.2">
      <c r="A433" s="2">
        <f ca="1">IFERROR(__xludf.DUMMYFUNCTION("""COMPUTED_VALUE"""),45960.6666666666)</f>
        <v>45960.666666666599</v>
      </c>
      <c r="B433" s="6"/>
      <c r="C433">
        <v>3900</v>
      </c>
      <c r="D433">
        <v>3990</v>
      </c>
      <c r="E433">
        <v>3870</v>
      </c>
      <c r="F433">
        <v>3910</v>
      </c>
      <c r="G433">
        <v>287905300</v>
      </c>
      <c r="H433" s="4">
        <f t="shared" si="12"/>
        <v>5.1413881748071976E-3</v>
      </c>
      <c r="I433" s="4">
        <f t="shared" si="13"/>
        <v>-0.31101321585903086</v>
      </c>
    </row>
    <row r="434" spans="1:9" x14ac:dyDescent="0.2">
      <c r="A434" s="2">
        <f ca="1">IFERROR(__xludf.DUMMYFUNCTION("""COMPUTED_VALUE"""),45961.6666666666)</f>
        <v>45961.666666666599</v>
      </c>
      <c r="B434" s="6"/>
      <c r="C434">
        <v>3930</v>
      </c>
      <c r="D434">
        <v>4020</v>
      </c>
      <c r="E434">
        <v>3920</v>
      </c>
      <c r="F434">
        <v>3980</v>
      </c>
      <c r="G434">
        <v>348755700</v>
      </c>
      <c r="H434" s="4">
        <f t="shared" si="12"/>
        <v>1.7902813299232736E-2</v>
      </c>
      <c r="I434" s="4">
        <f t="shared" si="13"/>
        <v>-0.29867841409691631</v>
      </c>
    </row>
    <row r="435" spans="1:9" x14ac:dyDescent="0.2">
      <c r="A435" s="2">
        <f ca="1">IFERROR(__xludf.DUMMYFUNCTION("""COMPUTED_VALUE"""),45964.6666666666)</f>
        <v>45964.666666666599</v>
      </c>
      <c r="B435" s="6"/>
      <c r="C435">
        <v>4050</v>
      </c>
      <c r="D435">
        <v>4050</v>
      </c>
      <c r="E435">
        <v>4010</v>
      </c>
      <c r="F435">
        <v>4040</v>
      </c>
      <c r="G435">
        <v>163770500</v>
      </c>
      <c r="H435" s="4">
        <f t="shared" si="12"/>
        <v>1.507537688442211E-2</v>
      </c>
      <c r="I435" s="4">
        <f t="shared" si="13"/>
        <v>-0.28810572687224667</v>
      </c>
    </row>
    <row r="436" spans="1:9" x14ac:dyDescent="0.2">
      <c r="A436" s="2">
        <f ca="1">IFERROR(__xludf.DUMMYFUNCTION("""COMPUTED_VALUE"""),45965.6666666666)</f>
        <v>45965.666666666599</v>
      </c>
      <c r="B436" s="6"/>
      <c r="C436">
        <v>4030</v>
      </c>
      <c r="D436">
        <v>4050</v>
      </c>
      <c r="E436">
        <v>3970</v>
      </c>
      <c r="F436">
        <v>3970</v>
      </c>
      <c r="G436">
        <v>241154700</v>
      </c>
      <c r="H436" s="4">
        <f t="shared" si="12"/>
        <v>-1.7326732673267328E-2</v>
      </c>
      <c r="I436" s="4">
        <f t="shared" si="13"/>
        <v>-0.30044052863436121</v>
      </c>
    </row>
    <row r="437" spans="1:9" x14ac:dyDescent="0.2">
      <c r="A437" s="2">
        <f ca="1">IFERROR(__xludf.DUMMYFUNCTION("""COMPUTED_VALUE"""),45966.6666666666)</f>
        <v>45966.666666666599</v>
      </c>
      <c r="B437" s="6"/>
      <c r="C437">
        <v>3940</v>
      </c>
      <c r="D437">
        <v>3990</v>
      </c>
      <c r="E437">
        <v>3910</v>
      </c>
      <c r="F437">
        <v>3980</v>
      </c>
      <c r="G437">
        <v>139859100</v>
      </c>
      <c r="H437" s="4">
        <f t="shared" si="12"/>
        <v>2.5188916876574307E-3</v>
      </c>
      <c r="I437" s="4">
        <f t="shared" si="13"/>
        <v>-0.29867841409691631</v>
      </c>
    </row>
    <row r="438" spans="1:9" x14ac:dyDescent="0.2">
      <c r="A438" s="2">
        <f ca="1">IFERROR(__xludf.DUMMYFUNCTION("""COMPUTED_VALUE"""),45967.6666666666)</f>
        <v>45967.666666666599</v>
      </c>
      <c r="B438" s="6"/>
      <c r="C438">
        <v>3980</v>
      </c>
      <c r="D438">
        <v>4010</v>
      </c>
      <c r="E438">
        <v>3950</v>
      </c>
      <c r="F438">
        <v>4000</v>
      </c>
      <c r="G438">
        <v>130808100</v>
      </c>
      <c r="H438" s="4">
        <f t="shared" si="12"/>
        <v>5.0251256281407036E-3</v>
      </c>
      <c r="I438" s="4">
        <f t="shared" si="13"/>
        <v>-0.29515418502202645</v>
      </c>
    </row>
    <row r="439" spans="1:9" x14ac:dyDescent="0.2">
      <c r="A439" s="2">
        <f ca="1">IFERROR(__xludf.DUMMYFUNCTION("""COMPUTED_VALUE"""),45968.6666666666)</f>
        <v>45968.666666666599</v>
      </c>
      <c r="B439" s="6"/>
      <c r="C439">
        <v>4000</v>
      </c>
      <c r="D439">
        <v>4010</v>
      </c>
      <c r="E439">
        <v>3980</v>
      </c>
      <c r="F439">
        <v>3980</v>
      </c>
      <c r="G439">
        <v>87287600</v>
      </c>
      <c r="H439" s="4">
        <f t="shared" si="12"/>
        <v>-5.0000000000000001E-3</v>
      </c>
      <c r="I439" s="4">
        <f t="shared" si="13"/>
        <v>-0.29867841409691631</v>
      </c>
    </row>
    <row r="440" spans="1:9" x14ac:dyDescent="0.2">
      <c r="A440" s="2">
        <f ca="1">IFERROR(__xludf.DUMMYFUNCTION("""COMPUTED_VALUE"""),45971.6666666666)</f>
        <v>45971.666666666599</v>
      </c>
      <c r="B440" s="6"/>
      <c r="C440">
        <v>4010</v>
      </c>
      <c r="D440">
        <v>4020</v>
      </c>
      <c r="E440">
        <v>3930</v>
      </c>
      <c r="F440">
        <v>3930</v>
      </c>
      <c r="G440">
        <v>148552900</v>
      </c>
      <c r="H440" s="4">
        <f t="shared" si="12"/>
        <v>-1.2562814070351759E-2</v>
      </c>
      <c r="I440" s="4">
        <f t="shared" si="13"/>
        <v>-0.30748898678414099</v>
      </c>
    </row>
    <row r="441" spans="1:9" x14ac:dyDescent="0.2">
      <c r="A441" s="2">
        <f ca="1">IFERROR(__xludf.DUMMYFUNCTION("""COMPUTED_VALUE"""),45972.6666666666)</f>
        <v>45972.666666666599</v>
      </c>
      <c r="B441" s="6"/>
      <c r="C441">
        <v>3940</v>
      </c>
      <c r="D441">
        <v>3960</v>
      </c>
      <c r="E441">
        <v>3860</v>
      </c>
      <c r="F441">
        <v>3890</v>
      </c>
      <c r="G441">
        <v>179000200</v>
      </c>
      <c r="H441" s="4">
        <f t="shared" si="12"/>
        <v>-1.0178117048346057E-2</v>
      </c>
      <c r="I441" s="4">
        <f t="shared" si="13"/>
        <v>-0.31453744493392072</v>
      </c>
    </row>
    <row r="442" spans="1:9" x14ac:dyDescent="0.2">
      <c r="A442" s="2">
        <f ca="1">IFERROR(__xludf.DUMMYFUNCTION("""COMPUTED_VALUE"""),45973.6666666666)</f>
        <v>45973.666666666599</v>
      </c>
      <c r="B442" s="6"/>
      <c r="C442">
        <v>3890</v>
      </c>
      <c r="D442">
        <v>3950</v>
      </c>
      <c r="E442">
        <v>3890</v>
      </c>
      <c r="F442">
        <v>3900</v>
      </c>
      <c r="G442">
        <v>111115400</v>
      </c>
      <c r="H442" s="4">
        <f t="shared" si="12"/>
        <v>2.5706940874035988E-3</v>
      </c>
      <c r="I442" s="4">
        <f t="shared" si="13"/>
        <v>-0.31277533039647576</v>
      </c>
    </row>
    <row r="443" spans="1:9" x14ac:dyDescent="0.2">
      <c r="A443" s="2">
        <f ca="1">IFERROR(__xludf.DUMMYFUNCTION("""COMPUTED_VALUE"""),45974.6666666666)</f>
        <v>45974.666666666599</v>
      </c>
      <c r="B443" s="6"/>
      <c r="C443">
        <v>3900</v>
      </c>
      <c r="D443">
        <v>3910</v>
      </c>
      <c r="E443">
        <v>3870</v>
      </c>
      <c r="F443">
        <v>3870</v>
      </c>
      <c r="G443">
        <v>99373200</v>
      </c>
      <c r="H443" s="4">
        <f t="shared" si="12"/>
        <v>-7.6923076923076927E-3</v>
      </c>
      <c r="I443" s="4">
        <f t="shared" si="13"/>
        <v>-0.31806167400881058</v>
      </c>
    </row>
    <row r="444" spans="1:9" x14ac:dyDescent="0.2">
      <c r="A444" s="2">
        <f ca="1">IFERROR(__xludf.DUMMYFUNCTION("""COMPUTED_VALUE"""),45975.6666666666)</f>
        <v>45975.666666666599</v>
      </c>
      <c r="B444" s="6"/>
      <c r="C444">
        <v>3860</v>
      </c>
      <c r="D444">
        <v>3930</v>
      </c>
      <c r="E444">
        <v>3860</v>
      </c>
      <c r="F444">
        <v>3900</v>
      </c>
      <c r="G444">
        <v>100717300</v>
      </c>
      <c r="H444" s="4">
        <f t="shared" si="12"/>
        <v>7.7519379844961239E-3</v>
      </c>
      <c r="I444" s="4">
        <f t="shared" si="13"/>
        <v>-0.31277533039647576</v>
      </c>
    </row>
    <row r="445" spans="1:9" x14ac:dyDescent="0.2">
      <c r="A445" s="2">
        <f ca="1">IFERROR(__xludf.DUMMYFUNCTION("""COMPUTED_VALUE"""),45978.6666666666)</f>
        <v>45978.666666666599</v>
      </c>
      <c r="B445" s="6"/>
      <c r="C445">
        <v>3880</v>
      </c>
      <c r="D445">
        <v>3950</v>
      </c>
      <c r="E445">
        <v>3880</v>
      </c>
      <c r="F445">
        <v>3940</v>
      </c>
      <c r="G445">
        <v>140868100</v>
      </c>
      <c r="H445" s="4">
        <f t="shared" si="12"/>
        <v>1.0256410256410256E-2</v>
      </c>
      <c r="I445" s="4">
        <f t="shared" si="13"/>
        <v>-0.30572687224669604</v>
      </c>
    </row>
    <row r="446" spans="1:9" x14ac:dyDescent="0.2">
      <c r="A446" s="2">
        <f ca="1">IFERROR(__xludf.DUMMYFUNCTION("""COMPUTED_VALUE"""),45979.6666666666)</f>
        <v>45979.666666666599</v>
      </c>
      <c r="B446" s="6"/>
      <c r="C446">
        <v>3950</v>
      </c>
      <c r="D446">
        <v>3990</v>
      </c>
      <c r="E446">
        <v>3930</v>
      </c>
      <c r="F446">
        <v>3970</v>
      </c>
      <c r="G446">
        <v>205257700</v>
      </c>
      <c r="H446" s="4">
        <f t="shared" si="12"/>
        <v>7.6142131979695434E-3</v>
      </c>
      <c r="I446" s="4">
        <f t="shared" si="13"/>
        <v>-0.30044052863436121</v>
      </c>
    </row>
    <row r="447" spans="1:9" x14ac:dyDescent="0.2">
      <c r="A447" s="2">
        <f ca="1">IFERROR(__xludf.DUMMYFUNCTION("""COMPUTED_VALUE"""),45980.6666666666)</f>
        <v>45980.666666666599</v>
      </c>
      <c r="B447" s="6"/>
      <c r="C447">
        <v>3990</v>
      </c>
      <c r="D447">
        <v>4000</v>
      </c>
      <c r="E447">
        <v>3970</v>
      </c>
      <c r="F447">
        <v>4000</v>
      </c>
      <c r="G447">
        <v>107451000</v>
      </c>
      <c r="H447" s="4">
        <f t="shared" si="12"/>
        <v>7.556675062972292E-3</v>
      </c>
      <c r="I447" s="4">
        <f t="shared" si="13"/>
        <v>-0.29515418502202645</v>
      </c>
    </row>
    <row r="448" spans="1:9" x14ac:dyDescent="0.2">
      <c r="A448" s="2">
        <f ca="1">IFERROR(__xludf.DUMMYFUNCTION("""COMPUTED_VALUE"""),45981.6666666666)</f>
        <v>45981.666666666599</v>
      </c>
      <c r="B448" s="6"/>
      <c r="C448">
        <v>4020</v>
      </c>
      <c r="D448">
        <v>4050</v>
      </c>
      <c r="E448">
        <v>3990</v>
      </c>
      <c r="F448">
        <v>3990</v>
      </c>
      <c r="G448">
        <v>183008400</v>
      </c>
      <c r="H448" s="4">
        <f t="shared" si="12"/>
        <v>-2.5000000000000001E-3</v>
      </c>
      <c r="I448" s="4">
        <f t="shared" si="13"/>
        <v>-0.29691629955947135</v>
      </c>
    </row>
    <row r="449" spans="1:9" x14ac:dyDescent="0.2">
      <c r="A449" s="2">
        <f ca="1">IFERROR(__xludf.DUMMYFUNCTION("""COMPUTED_VALUE"""),45982.6666666666)</f>
        <v>45982.666666666599</v>
      </c>
      <c r="B449" s="6"/>
      <c r="C449">
        <v>3980</v>
      </c>
      <c r="D449">
        <v>4000</v>
      </c>
      <c r="E449">
        <v>3940</v>
      </c>
      <c r="F449">
        <v>3960</v>
      </c>
      <c r="G449">
        <v>112666100</v>
      </c>
      <c r="H449" s="4">
        <f t="shared" si="12"/>
        <v>-7.5187969924812026E-3</v>
      </c>
      <c r="I449" s="4">
        <f t="shared" si="13"/>
        <v>-0.30220264317180617</v>
      </c>
    </row>
    <row r="450" spans="1:9" x14ac:dyDescent="0.2">
      <c r="A450" s="2">
        <f ca="1">IFERROR(__xludf.DUMMYFUNCTION("""COMPUTED_VALUE"""),45985.6666666666)</f>
        <v>45985.666666666599</v>
      </c>
      <c r="B450" s="6"/>
      <c r="C450">
        <v>4000</v>
      </c>
      <c r="D450">
        <v>4000</v>
      </c>
      <c r="E450">
        <v>3940</v>
      </c>
      <c r="F450">
        <v>3980</v>
      </c>
      <c r="G450">
        <v>262302000</v>
      </c>
      <c r="H450" s="4">
        <f t="shared" si="12"/>
        <v>5.0505050505050509E-3</v>
      </c>
      <c r="I450" s="4">
        <f t="shared" si="13"/>
        <v>-0.29867841409691631</v>
      </c>
    </row>
    <row r="451" spans="1:9" x14ac:dyDescent="0.2">
      <c r="A451" s="2">
        <f ca="1">IFERROR(__xludf.DUMMYFUNCTION("""COMPUTED_VALUE"""),45986.6666666666)</f>
        <v>45986.666666666599</v>
      </c>
      <c r="B451" s="6"/>
      <c r="C451">
        <v>3980</v>
      </c>
      <c r="D451">
        <v>3980</v>
      </c>
      <c r="E451">
        <v>3830</v>
      </c>
      <c r="F451">
        <v>3830</v>
      </c>
      <c r="G451">
        <v>396959100</v>
      </c>
      <c r="H451" s="4">
        <f t="shared" si="12"/>
        <v>-3.7688442211055273E-2</v>
      </c>
      <c r="I451" s="4">
        <f t="shared" si="13"/>
        <v>-0.3251101321585903</v>
      </c>
    </row>
    <row r="452" spans="1:9" x14ac:dyDescent="0.2">
      <c r="A452" s="2">
        <f ca="1">IFERROR(__xludf.DUMMYFUNCTION("""COMPUTED_VALUE"""),45987.6666666666)</f>
        <v>45987.666666666599</v>
      </c>
      <c r="B452" s="6"/>
      <c r="C452">
        <v>3800</v>
      </c>
      <c r="D452">
        <v>3830</v>
      </c>
      <c r="E452">
        <v>3780</v>
      </c>
      <c r="F452">
        <v>3790</v>
      </c>
      <c r="G452">
        <v>288419400</v>
      </c>
      <c r="H452" s="4">
        <f t="shared" ref="H452:H474" si="14">(F452-F451)/F451</f>
        <v>-1.0443864229765013E-2</v>
      </c>
      <c r="I452" s="4">
        <f t="shared" ref="I452:I474" si="15">(F452-$F$2)/$F$2</f>
        <v>-0.33215859030837003</v>
      </c>
    </row>
    <row r="453" spans="1:9" x14ac:dyDescent="0.2">
      <c r="A453" s="2">
        <f ca="1">IFERROR(__xludf.DUMMYFUNCTION("""COMPUTED_VALUE"""),45988.6666666666)</f>
        <v>45988.666666666599</v>
      </c>
      <c r="B453" s="6"/>
      <c r="C453">
        <v>3800</v>
      </c>
      <c r="D453">
        <v>3810</v>
      </c>
      <c r="E453">
        <v>3720</v>
      </c>
      <c r="F453">
        <v>3740</v>
      </c>
      <c r="G453">
        <v>283451800</v>
      </c>
      <c r="H453" s="4">
        <f t="shared" si="14"/>
        <v>-1.3192612137203167E-2</v>
      </c>
      <c r="I453" s="4">
        <f t="shared" si="15"/>
        <v>-0.34096916299559471</v>
      </c>
    </row>
    <row r="454" spans="1:9" x14ac:dyDescent="0.2">
      <c r="A454" s="2">
        <f ca="1">IFERROR(__xludf.DUMMYFUNCTION("""COMPUTED_VALUE"""),45989.6666666666)</f>
        <v>45989.666666666599</v>
      </c>
      <c r="B454" s="6"/>
      <c r="C454">
        <v>3710</v>
      </c>
      <c r="D454">
        <v>3750</v>
      </c>
      <c r="E454">
        <v>3680</v>
      </c>
      <c r="F454">
        <v>3680</v>
      </c>
      <c r="G454">
        <v>353872800</v>
      </c>
      <c r="H454" s="4">
        <f t="shared" si="14"/>
        <v>-1.6042780748663103E-2</v>
      </c>
      <c r="I454" s="4">
        <f t="shared" si="15"/>
        <v>-0.3515418502202643</v>
      </c>
    </row>
    <row r="455" spans="1:9" x14ac:dyDescent="0.2">
      <c r="A455" s="2">
        <f ca="1">IFERROR(__xludf.DUMMYFUNCTION("""COMPUTED_VALUE"""),45992.6666666666)</f>
        <v>45992.666666666599</v>
      </c>
      <c r="B455" s="6"/>
      <c r="C455">
        <v>3680</v>
      </c>
      <c r="D455">
        <v>3730</v>
      </c>
      <c r="E455">
        <v>3660</v>
      </c>
      <c r="F455">
        <v>3670</v>
      </c>
      <c r="G455">
        <v>299669500</v>
      </c>
      <c r="H455" s="4">
        <f t="shared" si="14"/>
        <v>-2.717391304347826E-3</v>
      </c>
      <c r="I455" s="4">
        <f t="shared" si="15"/>
        <v>-0.35330396475770925</v>
      </c>
    </row>
    <row r="456" spans="1:9" x14ac:dyDescent="0.2">
      <c r="A456" s="2">
        <f ca="1">IFERROR(__xludf.DUMMYFUNCTION("""COMPUTED_VALUE"""),45993.6666666666)</f>
        <v>45993.666666666599</v>
      </c>
      <c r="B456" s="6"/>
      <c r="C456">
        <v>3690</v>
      </c>
      <c r="D456">
        <v>3730</v>
      </c>
      <c r="E456">
        <v>3670</v>
      </c>
      <c r="F456">
        <v>3710</v>
      </c>
      <c r="G456">
        <v>277714300</v>
      </c>
      <c r="H456" s="4">
        <f t="shared" si="14"/>
        <v>1.0899182561307902E-2</v>
      </c>
      <c r="I456" s="4">
        <f t="shared" si="15"/>
        <v>-0.34625550660792953</v>
      </c>
    </row>
    <row r="457" spans="1:9" x14ac:dyDescent="0.2">
      <c r="A457" s="2">
        <f ca="1">IFERROR(__xludf.DUMMYFUNCTION("""COMPUTED_VALUE"""),45994.6666666666)</f>
        <v>45994.666666666599</v>
      </c>
      <c r="B457" s="6"/>
      <c r="C457">
        <v>3690</v>
      </c>
      <c r="D457">
        <v>3700</v>
      </c>
      <c r="E457">
        <v>3660</v>
      </c>
      <c r="F457">
        <v>3660</v>
      </c>
      <c r="G457">
        <v>225357100</v>
      </c>
      <c r="H457" s="4">
        <f t="shared" si="14"/>
        <v>-1.3477088948787063E-2</v>
      </c>
      <c r="I457" s="4">
        <f t="shared" si="15"/>
        <v>-0.35506607929515416</v>
      </c>
    </row>
    <row r="458" spans="1:9" x14ac:dyDescent="0.2">
      <c r="A458" s="2">
        <f ca="1">IFERROR(__xludf.DUMMYFUNCTION("""COMPUTED_VALUE"""),45995.6666666666)</f>
        <v>45995.666666666599</v>
      </c>
      <c r="B458" s="6"/>
      <c r="C458">
        <v>3660</v>
      </c>
      <c r="D458">
        <v>3690</v>
      </c>
      <c r="E458">
        <v>3650</v>
      </c>
      <c r="F458">
        <v>3690</v>
      </c>
      <c r="G458">
        <v>221121100</v>
      </c>
      <c r="H458" s="4">
        <f t="shared" si="14"/>
        <v>8.1967213114754103E-3</v>
      </c>
      <c r="I458" s="4">
        <f t="shared" si="15"/>
        <v>-0.34977973568281939</v>
      </c>
    </row>
    <row r="459" spans="1:9" x14ac:dyDescent="0.2">
      <c r="A459" s="2">
        <f ca="1">IFERROR(__xludf.DUMMYFUNCTION("""COMPUTED_VALUE"""),45996.6666666666)</f>
        <v>45996.666666666599</v>
      </c>
      <c r="B459" s="6"/>
      <c r="C459">
        <v>3700</v>
      </c>
      <c r="D459">
        <v>3700</v>
      </c>
      <c r="E459">
        <v>3650</v>
      </c>
      <c r="F459">
        <v>3650</v>
      </c>
      <c r="G459">
        <v>156161100</v>
      </c>
      <c r="H459" s="4">
        <f t="shared" si="14"/>
        <v>-1.0840108401084011E-2</v>
      </c>
      <c r="I459" s="4">
        <f t="shared" si="15"/>
        <v>-0.35682819383259912</v>
      </c>
    </row>
    <row r="460" spans="1:9" x14ac:dyDescent="0.2">
      <c r="A460" s="2">
        <f ca="1">IFERROR(__xludf.DUMMYFUNCTION("""COMPUTED_VALUE"""),45999.6666666666)</f>
        <v>45999.666666666599</v>
      </c>
      <c r="B460" s="6"/>
      <c r="C460">
        <v>3680</v>
      </c>
      <c r="D460">
        <v>3690</v>
      </c>
      <c r="E460">
        <v>3660</v>
      </c>
      <c r="F460">
        <v>3670</v>
      </c>
      <c r="G460">
        <v>124094700</v>
      </c>
      <c r="H460" s="4">
        <f t="shared" si="14"/>
        <v>5.4794520547945206E-3</v>
      </c>
      <c r="I460" s="4">
        <f t="shared" si="15"/>
        <v>-0.35330396475770925</v>
      </c>
    </row>
    <row r="461" spans="1:9" x14ac:dyDescent="0.2">
      <c r="A461" s="2">
        <f ca="1">IFERROR(__xludf.DUMMYFUNCTION("""COMPUTED_VALUE"""),46000.6666666666)</f>
        <v>46000.666666666599</v>
      </c>
      <c r="B461" s="6"/>
      <c r="C461">
        <v>3700</v>
      </c>
      <c r="D461">
        <v>3700</v>
      </c>
      <c r="E461">
        <v>3650</v>
      </c>
      <c r="F461">
        <v>3680</v>
      </c>
      <c r="G461">
        <v>201089800</v>
      </c>
      <c r="H461" s="4">
        <f t="shared" si="14"/>
        <v>2.7247956403269754E-3</v>
      </c>
      <c r="I461" s="4">
        <f t="shared" si="15"/>
        <v>-0.3515418502202643</v>
      </c>
    </row>
    <row r="462" spans="1:9" x14ac:dyDescent="0.2">
      <c r="A462" s="2">
        <f ca="1">IFERROR(__xludf.DUMMYFUNCTION("""COMPUTED_VALUE"""),46001.6666666666)</f>
        <v>46001.666666666599</v>
      </c>
      <c r="B462" s="6"/>
      <c r="C462">
        <v>3680</v>
      </c>
      <c r="D462">
        <v>3680</v>
      </c>
      <c r="E462">
        <v>3650</v>
      </c>
      <c r="F462">
        <v>3660</v>
      </c>
      <c r="G462">
        <v>172677700</v>
      </c>
      <c r="H462" s="4">
        <f t="shared" si="14"/>
        <v>-5.434782608695652E-3</v>
      </c>
      <c r="I462" s="4">
        <f t="shared" si="15"/>
        <v>-0.35506607929515416</v>
      </c>
    </row>
    <row r="463" spans="1:9" x14ac:dyDescent="0.2">
      <c r="A463" s="2">
        <f ca="1">IFERROR(__xludf.DUMMYFUNCTION("""COMPUTED_VALUE"""),46002.6666666666)</f>
        <v>46002.666666666599</v>
      </c>
      <c r="B463" s="6"/>
      <c r="C463">
        <v>3680</v>
      </c>
      <c r="D463">
        <v>3700</v>
      </c>
      <c r="E463">
        <v>3580</v>
      </c>
      <c r="F463">
        <v>3620</v>
      </c>
      <c r="G463">
        <v>327591200</v>
      </c>
      <c r="H463" s="4">
        <f t="shared" si="14"/>
        <v>-1.092896174863388E-2</v>
      </c>
      <c r="I463" s="4">
        <f t="shared" si="15"/>
        <v>-0.36211453744493394</v>
      </c>
    </row>
    <row r="464" spans="1:9" x14ac:dyDescent="0.2">
      <c r="A464" s="2">
        <f ca="1">IFERROR(__xludf.DUMMYFUNCTION("""COMPUTED_VALUE"""),46003.6666666666)</f>
        <v>46003.666666666599</v>
      </c>
      <c r="B464" s="6"/>
      <c r="C464">
        <v>3640</v>
      </c>
      <c r="D464">
        <v>3640</v>
      </c>
      <c r="E464">
        <v>3580</v>
      </c>
      <c r="F464">
        <v>3630</v>
      </c>
      <c r="G464">
        <v>169747600</v>
      </c>
      <c r="H464" s="4">
        <f t="shared" si="14"/>
        <v>2.7624309392265192E-3</v>
      </c>
      <c r="I464" s="4">
        <f t="shared" si="15"/>
        <v>-0.36035242290748898</v>
      </c>
    </row>
    <row r="465" spans="1:9" x14ac:dyDescent="0.2">
      <c r="A465" s="2">
        <f ca="1">IFERROR(__xludf.DUMMYFUNCTION("""COMPUTED_VALUE"""),46006.6666666666)</f>
        <v>46006.666666666599</v>
      </c>
      <c r="B465" s="6"/>
      <c r="C465">
        <v>3650</v>
      </c>
      <c r="D465">
        <v>3810</v>
      </c>
      <c r="E465">
        <v>3630</v>
      </c>
      <c r="F465">
        <v>3780</v>
      </c>
      <c r="G465">
        <v>312694100</v>
      </c>
      <c r="H465" s="4">
        <f t="shared" si="14"/>
        <v>4.1322314049586778E-2</v>
      </c>
      <c r="I465" s="4">
        <f t="shared" si="15"/>
        <v>-0.33392070484581499</v>
      </c>
    </row>
    <row r="466" spans="1:9" x14ac:dyDescent="0.2">
      <c r="A466" s="2">
        <f ca="1">IFERROR(__xludf.DUMMYFUNCTION("""COMPUTED_VALUE"""),46007.6666666666)</f>
        <v>46007.666666666599</v>
      </c>
      <c r="B466" s="6"/>
      <c r="C466">
        <v>3800</v>
      </c>
      <c r="D466">
        <v>3810</v>
      </c>
      <c r="E466">
        <v>3680</v>
      </c>
      <c r="F466">
        <v>3690</v>
      </c>
      <c r="G466">
        <v>237949900</v>
      </c>
      <c r="H466" s="4">
        <f t="shared" si="14"/>
        <v>-2.3809523809523808E-2</v>
      </c>
      <c r="I466" s="4">
        <f t="shared" si="15"/>
        <v>-0.34977973568281939</v>
      </c>
    </row>
    <row r="467" spans="1:9" x14ac:dyDescent="0.2">
      <c r="A467" s="2">
        <f ca="1">IFERROR(__xludf.DUMMYFUNCTION("""COMPUTED_VALUE"""),46008.6666666666)</f>
        <v>46008.666666666599</v>
      </c>
      <c r="B467" s="6"/>
      <c r="C467">
        <v>3690</v>
      </c>
      <c r="D467">
        <v>3780</v>
      </c>
      <c r="E467">
        <v>3680</v>
      </c>
      <c r="F467">
        <v>3750</v>
      </c>
      <c r="G467">
        <v>273544100</v>
      </c>
      <c r="H467" s="4">
        <f t="shared" si="14"/>
        <v>1.6260162601626018E-2</v>
      </c>
      <c r="I467" s="4">
        <f t="shared" si="15"/>
        <v>-0.33920704845814981</v>
      </c>
    </row>
    <row r="468" spans="1:9" x14ac:dyDescent="0.2">
      <c r="A468" s="2">
        <f ca="1">IFERROR(__xludf.DUMMYFUNCTION("""COMPUTED_VALUE"""),46009.6666666666)</f>
        <v>46009.666666666599</v>
      </c>
      <c r="B468" s="6"/>
      <c r="C468">
        <v>3750</v>
      </c>
      <c r="D468">
        <v>3820</v>
      </c>
      <c r="E468">
        <v>3750</v>
      </c>
      <c r="F468">
        <v>3780</v>
      </c>
      <c r="G468">
        <v>262527300</v>
      </c>
      <c r="H468" s="4">
        <f t="shared" si="14"/>
        <v>8.0000000000000002E-3</v>
      </c>
      <c r="I468" s="4">
        <f t="shared" si="15"/>
        <v>-0.33392070484581499</v>
      </c>
    </row>
    <row r="469" spans="1:9" x14ac:dyDescent="0.2">
      <c r="A469" s="2">
        <f ca="1">IFERROR(__xludf.DUMMYFUNCTION("""COMPUTED_VALUE"""),46010.6666666666)</f>
        <v>46010.666666666599</v>
      </c>
      <c r="B469" s="6"/>
      <c r="C469">
        <v>3800</v>
      </c>
      <c r="D469">
        <v>3810</v>
      </c>
      <c r="E469">
        <v>3760</v>
      </c>
      <c r="F469">
        <v>3770</v>
      </c>
      <c r="G469">
        <v>228583500</v>
      </c>
      <c r="H469" s="4">
        <f t="shared" si="14"/>
        <v>-2.6455026455026454E-3</v>
      </c>
      <c r="I469" s="4">
        <f t="shared" si="15"/>
        <v>-0.33568281938325989</v>
      </c>
    </row>
    <row r="470" spans="1:9" x14ac:dyDescent="0.2">
      <c r="A470" s="2">
        <f ca="1">IFERROR(__xludf.DUMMYFUNCTION("""COMPUTED_VALUE"""),46013.6666666666)</f>
        <v>46013.666666666599</v>
      </c>
      <c r="B470" s="6"/>
      <c r="C470">
        <v>3770</v>
      </c>
      <c r="D470">
        <v>3780</v>
      </c>
      <c r="E470">
        <v>3750</v>
      </c>
      <c r="F470">
        <v>3760</v>
      </c>
      <c r="G470">
        <v>161680300</v>
      </c>
      <c r="H470" s="4">
        <f t="shared" si="14"/>
        <v>-2.6525198938992041E-3</v>
      </c>
      <c r="I470" s="4">
        <f t="shared" si="15"/>
        <v>-0.33744493392070485</v>
      </c>
    </row>
    <row r="471" spans="1:9" x14ac:dyDescent="0.2">
      <c r="A471" s="2">
        <f ca="1">IFERROR(__xludf.DUMMYFUNCTION("""COMPUTED_VALUE"""),46014.6666666666)</f>
        <v>46014.666666666599</v>
      </c>
      <c r="B471" s="6"/>
      <c r="C471">
        <v>3760</v>
      </c>
      <c r="D471">
        <v>3780</v>
      </c>
      <c r="E471">
        <v>3730</v>
      </c>
      <c r="F471">
        <v>3770</v>
      </c>
      <c r="G471">
        <v>138427000</v>
      </c>
      <c r="H471" s="4">
        <f t="shared" si="14"/>
        <v>2.6595744680851063E-3</v>
      </c>
      <c r="I471" s="4">
        <f t="shared" si="15"/>
        <v>-0.33568281938325989</v>
      </c>
    </row>
    <row r="472" spans="1:9" x14ac:dyDescent="0.2">
      <c r="A472" s="2">
        <f ca="1">IFERROR(__xludf.DUMMYFUNCTION("""COMPUTED_VALUE"""),46015.6666666666)</f>
        <v>46015.666666666599</v>
      </c>
      <c r="B472" s="6"/>
      <c r="C472">
        <v>3770</v>
      </c>
      <c r="D472">
        <v>3790</v>
      </c>
      <c r="E472">
        <v>3750</v>
      </c>
      <c r="F472">
        <v>3770</v>
      </c>
      <c r="G472">
        <v>121073600</v>
      </c>
      <c r="H472" s="4">
        <f t="shared" si="14"/>
        <v>0</v>
      </c>
      <c r="I472" s="4">
        <f t="shared" si="15"/>
        <v>-0.33568281938325989</v>
      </c>
    </row>
    <row r="473" spans="1:9" x14ac:dyDescent="0.2">
      <c r="A473" s="2">
        <f ca="1">IFERROR(__xludf.DUMMYFUNCTION("""COMPUTED_VALUE"""),46020.6666666666)</f>
        <v>46020.666666666599</v>
      </c>
      <c r="B473" s="6"/>
      <c r="C473">
        <v>3780</v>
      </c>
      <c r="D473">
        <v>3790</v>
      </c>
      <c r="E473">
        <v>3760</v>
      </c>
      <c r="F473">
        <v>3780</v>
      </c>
      <c r="G473">
        <v>238061500</v>
      </c>
      <c r="H473" s="4">
        <f t="shared" si="14"/>
        <v>2.6525198938992041E-3</v>
      </c>
      <c r="I473" s="4">
        <f t="shared" si="15"/>
        <v>-0.33392070484581499</v>
      </c>
    </row>
    <row r="474" spans="1:9" x14ac:dyDescent="0.2">
      <c r="A474" s="2">
        <f ca="1">IFERROR(__xludf.DUMMYFUNCTION("""COMPUTED_VALUE"""),46021.6666666666)</f>
        <v>46021.666666666599</v>
      </c>
      <c r="B474" s="6"/>
      <c r="C474">
        <v>3690</v>
      </c>
      <c r="D474">
        <v>3690</v>
      </c>
      <c r="E474">
        <v>3650</v>
      </c>
      <c r="F474">
        <v>3660</v>
      </c>
      <c r="G474">
        <v>274402200</v>
      </c>
      <c r="H474" s="4">
        <f t="shared" si="14"/>
        <v>-3.1746031746031744E-2</v>
      </c>
      <c r="I474" s="4">
        <f t="shared" si="15"/>
        <v>-0.35506607929515416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474"/>
  <sheetViews>
    <sheetView topLeftCell="A456" workbookViewId="0">
      <selection activeCell="A2" sqref="A2:I474"/>
    </sheetView>
  </sheetViews>
  <sheetFormatPr defaultColWidth="12.5703125" defaultRowHeight="15.75" customHeight="1" x14ac:dyDescent="0.2"/>
  <cols>
    <col min="1" max="1" width="18.140625" bestFit="1" customWidth="1"/>
    <col min="2" max="2" width="14.140625" bestFit="1" customWidth="1"/>
  </cols>
  <sheetData>
    <row r="1" spans="1:9" x14ac:dyDescent="0.2">
      <c r="A1" s="1" t="s">
        <v>40</v>
      </c>
      <c r="B1" s="17" t="s">
        <v>40</v>
      </c>
      <c r="C1" s="17" t="s">
        <v>41</v>
      </c>
      <c r="D1" s="17" t="s">
        <v>42</v>
      </c>
      <c r="E1" s="17" t="s">
        <v>43</v>
      </c>
      <c r="F1" s="17" t="s">
        <v>44</v>
      </c>
      <c r="G1" s="17" t="s">
        <v>45</v>
      </c>
      <c r="H1" s="1" t="s">
        <v>0</v>
      </c>
    </row>
    <row r="2" spans="1:9" x14ac:dyDescent="0.2">
      <c r="A2" s="2">
        <f ca="1">IFERROR(__xludf.DUMMYFUNCTION("""COMPUTED_VALUE"""),45293.6666666666)</f>
        <v>45293.666666666599</v>
      </c>
      <c r="B2" s="18">
        <v>45293</v>
      </c>
      <c r="C2" s="17">
        <v>9400</v>
      </c>
      <c r="D2" s="17">
        <v>9425</v>
      </c>
      <c r="E2" s="17">
        <v>9350</v>
      </c>
      <c r="F2" s="17">
        <v>9425</v>
      </c>
      <c r="G2" s="17">
        <v>30545200</v>
      </c>
      <c r="H2" s="4">
        <v>0</v>
      </c>
      <c r="I2" s="4">
        <v>0</v>
      </c>
    </row>
    <row r="3" spans="1:9" x14ac:dyDescent="0.2">
      <c r="A3" s="2">
        <f ca="1">IFERROR(__xludf.DUMMYFUNCTION("""COMPUTED_VALUE"""),45294.6666666666)</f>
        <v>45294.666666666599</v>
      </c>
      <c r="B3" s="18">
        <v>45294</v>
      </c>
      <c r="C3" s="17">
        <v>9425</v>
      </c>
      <c r="D3" s="17">
        <v>9425</v>
      </c>
      <c r="E3" s="17">
        <v>9325</v>
      </c>
      <c r="F3" s="17">
        <v>9350</v>
      </c>
      <c r="G3" s="17">
        <v>34603300</v>
      </c>
      <c r="H3" s="4">
        <f>(F3-F2)/F2</f>
        <v>-7.9575596816976128E-3</v>
      </c>
      <c r="I3" s="4">
        <f>(F3-$F$2)/$F$2</f>
        <v>-7.9575596816976128E-3</v>
      </c>
    </row>
    <row r="4" spans="1:9" x14ac:dyDescent="0.2">
      <c r="A4" s="2">
        <f ca="1">IFERROR(__xludf.DUMMYFUNCTION("""COMPUTED_VALUE"""),45295.6666666666)</f>
        <v>45295.666666666599</v>
      </c>
      <c r="B4" s="18">
        <v>45295</v>
      </c>
      <c r="C4" s="17">
        <v>9400</v>
      </c>
      <c r="D4" s="17">
        <v>9475</v>
      </c>
      <c r="E4" s="17">
        <v>9375</v>
      </c>
      <c r="F4" s="17">
        <v>9475</v>
      </c>
      <c r="G4" s="17">
        <v>56501800</v>
      </c>
      <c r="H4" s="4">
        <f t="shared" ref="H4:H67" si="0">(F4-F3)/F3</f>
        <v>1.3368983957219251E-2</v>
      </c>
      <c r="I4" s="4">
        <f t="shared" ref="I4:I67" si="1">(F4-$F$2)/$F$2</f>
        <v>5.3050397877984082E-3</v>
      </c>
    </row>
    <row r="5" spans="1:9" x14ac:dyDescent="0.2">
      <c r="A5" s="2">
        <f ca="1">IFERROR(__xludf.DUMMYFUNCTION("""COMPUTED_VALUE"""),45296.6666666666)</f>
        <v>45296.666666666599</v>
      </c>
      <c r="B5" s="18">
        <v>45296</v>
      </c>
      <c r="C5" s="17">
        <v>9500</v>
      </c>
      <c r="D5" s="17">
        <v>9600</v>
      </c>
      <c r="E5" s="17">
        <v>9475</v>
      </c>
      <c r="F5" s="17">
        <v>9575</v>
      </c>
      <c r="G5" s="17">
        <v>85290100</v>
      </c>
      <c r="H5" s="4">
        <f t="shared" si="0"/>
        <v>1.0554089709762533E-2</v>
      </c>
      <c r="I5" s="4">
        <f t="shared" si="1"/>
        <v>1.5915119363395226E-2</v>
      </c>
    </row>
    <row r="6" spans="1:9" x14ac:dyDescent="0.2">
      <c r="A6" s="2">
        <f ca="1">IFERROR(__xludf.DUMMYFUNCTION("""COMPUTED_VALUE"""),45299.6666666666)</f>
        <v>45299.666666666599</v>
      </c>
      <c r="B6" s="18">
        <v>45299</v>
      </c>
      <c r="C6" s="17">
        <v>9600</v>
      </c>
      <c r="D6" s="17">
        <v>9625</v>
      </c>
      <c r="E6" s="17">
        <v>9475</v>
      </c>
      <c r="F6" s="17">
        <v>9575</v>
      </c>
      <c r="G6" s="17">
        <v>50896000</v>
      </c>
      <c r="H6" s="4">
        <f t="shared" si="0"/>
        <v>0</v>
      </c>
      <c r="I6" s="4">
        <f t="shared" si="1"/>
        <v>1.5915119363395226E-2</v>
      </c>
    </row>
    <row r="7" spans="1:9" x14ac:dyDescent="0.2">
      <c r="A7" s="2">
        <f ca="1">IFERROR(__xludf.DUMMYFUNCTION("""COMPUTED_VALUE"""),45300.6666666666)</f>
        <v>45300.666666666599</v>
      </c>
      <c r="B7" s="18">
        <v>45300</v>
      </c>
      <c r="C7" s="17">
        <v>9600</v>
      </c>
      <c r="D7" s="17">
        <v>9625</v>
      </c>
      <c r="E7" s="17">
        <v>9575</v>
      </c>
      <c r="F7" s="17">
        <v>9625</v>
      </c>
      <c r="G7" s="17">
        <v>59848600</v>
      </c>
      <c r="H7" s="4">
        <f t="shared" si="0"/>
        <v>5.2219321148825066E-3</v>
      </c>
      <c r="I7" s="4">
        <f t="shared" si="1"/>
        <v>2.1220159151193633E-2</v>
      </c>
    </row>
    <row r="8" spans="1:9" x14ac:dyDescent="0.2">
      <c r="A8" s="2">
        <f ca="1">IFERROR(__xludf.DUMMYFUNCTION("""COMPUTED_VALUE"""),45301.6666666666)</f>
        <v>45301.666666666599</v>
      </c>
      <c r="B8" s="18">
        <v>45301</v>
      </c>
      <c r="C8" s="17">
        <v>9650</v>
      </c>
      <c r="D8" s="17">
        <v>9650</v>
      </c>
      <c r="E8" s="17">
        <v>9550</v>
      </c>
      <c r="F8" s="17">
        <v>9550</v>
      </c>
      <c r="G8" s="17">
        <v>52774900</v>
      </c>
      <c r="H8" s="4">
        <f t="shared" si="0"/>
        <v>-7.7922077922077922E-3</v>
      </c>
      <c r="I8" s="4">
        <f t="shared" si="1"/>
        <v>1.3262599469496022E-2</v>
      </c>
    </row>
    <row r="9" spans="1:9" x14ac:dyDescent="0.2">
      <c r="A9" s="2">
        <f ca="1">IFERROR(__xludf.DUMMYFUNCTION("""COMPUTED_VALUE"""),45302.6666666666)</f>
        <v>45302.666666666599</v>
      </c>
      <c r="B9" s="18">
        <v>45302</v>
      </c>
      <c r="C9" s="17">
        <v>9625</v>
      </c>
      <c r="D9" s="17">
        <v>9650</v>
      </c>
      <c r="E9" s="17">
        <v>9575</v>
      </c>
      <c r="F9" s="17">
        <v>9575</v>
      </c>
      <c r="G9" s="17">
        <v>39381500</v>
      </c>
      <c r="H9" s="4">
        <f t="shared" si="0"/>
        <v>2.617801047120419E-3</v>
      </c>
      <c r="I9" s="4">
        <f t="shared" si="1"/>
        <v>1.5915119363395226E-2</v>
      </c>
    </row>
    <row r="10" spans="1:9" x14ac:dyDescent="0.2">
      <c r="A10" s="2">
        <f ca="1">IFERROR(__xludf.DUMMYFUNCTION("""COMPUTED_VALUE"""),45303.6666666666)</f>
        <v>45303.666666666599</v>
      </c>
      <c r="B10" s="18">
        <v>45303</v>
      </c>
      <c r="C10" s="17">
        <v>9650</v>
      </c>
      <c r="D10" s="17">
        <v>9700</v>
      </c>
      <c r="E10" s="17">
        <v>9600</v>
      </c>
      <c r="F10" s="17">
        <v>9700</v>
      </c>
      <c r="G10" s="17">
        <v>68253400</v>
      </c>
      <c r="H10" s="4">
        <f t="shared" si="0"/>
        <v>1.3054830287206266E-2</v>
      </c>
      <c r="I10" s="4">
        <f t="shared" si="1"/>
        <v>2.9177718832891247E-2</v>
      </c>
    </row>
    <row r="11" spans="1:9" x14ac:dyDescent="0.2">
      <c r="A11" s="2">
        <f ca="1">IFERROR(__xludf.DUMMYFUNCTION("""COMPUTED_VALUE"""),45306.6666666666)</f>
        <v>45306.666666666599</v>
      </c>
      <c r="B11" s="20">
        <v>45306</v>
      </c>
      <c r="C11" s="17">
        <v>9750</v>
      </c>
      <c r="D11" s="17">
        <v>9750</v>
      </c>
      <c r="E11" s="17">
        <v>9650</v>
      </c>
      <c r="F11" s="17">
        <v>9725</v>
      </c>
      <c r="G11" s="17">
        <v>88399500</v>
      </c>
      <c r="H11" s="4">
        <f t="shared" si="0"/>
        <v>2.5773195876288659E-3</v>
      </c>
      <c r="I11" s="4">
        <f t="shared" si="1"/>
        <v>3.1830238726790451E-2</v>
      </c>
    </row>
    <row r="12" spans="1:9" x14ac:dyDescent="0.2">
      <c r="A12" s="2">
        <f ca="1">IFERROR(__xludf.DUMMYFUNCTION("""COMPUTED_VALUE"""),45307.6666666666)</f>
        <v>45307.666666666599</v>
      </c>
      <c r="B12" s="20">
        <v>45307</v>
      </c>
      <c r="C12" s="17">
        <v>9700</v>
      </c>
      <c r="D12" s="17">
        <v>9750</v>
      </c>
      <c r="E12" s="17">
        <v>9675</v>
      </c>
      <c r="F12" s="17">
        <v>9700</v>
      </c>
      <c r="G12" s="17">
        <v>44869200</v>
      </c>
      <c r="H12" s="4">
        <f t="shared" si="0"/>
        <v>-2.5706940874035988E-3</v>
      </c>
      <c r="I12" s="4">
        <f t="shared" si="1"/>
        <v>2.9177718832891247E-2</v>
      </c>
    </row>
    <row r="13" spans="1:9" x14ac:dyDescent="0.2">
      <c r="A13" s="2">
        <f ca="1">IFERROR(__xludf.DUMMYFUNCTION("""COMPUTED_VALUE"""),45308.6666666666)</f>
        <v>45308.666666666599</v>
      </c>
      <c r="B13" s="20">
        <v>45308</v>
      </c>
      <c r="C13" s="17">
        <v>9750</v>
      </c>
      <c r="D13" s="17">
        <v>9750</v>
      </c>
      <c r="E13" s="17">
        <v>9650</v>
      </c>
      <c r="F13" s="17">
        <v>9750</v>
      </c>
      <c r="G13" s="17">
        <v>107706100</v>
      </c>
      <c r="H13" s="4">
        <f t="shared" si="0"/>
        <v>5.1546391752577319E-3</v>
      </c>
      <c r="I13" s="4">
        <f t="shared" si="1"/>
        <v>3.4482758620689655E-2</v>
      </c>
    </row>
    <row r="14" spans="1:9" x14ac:dyDescent="0.2">
      <c r="A14" s="2">
        <f ca="1">IFERROR(__xludf.DUMMYFUNCTION("""COMPUTED_VALUE"""),45309.6666666666)</f>
        <v>45309.666666666599</v>
      </c>
      <c r="B14" s="20">
        <v>45309</v>
      </c>
      <c r="C14" s="17">
        <v>9675</v>
      </c>
      <c r="D14" s="17">
        <v>9750</v>
      </c>
      <c r="E14" s="17">
        <v>9625</v>
      </c>
      <c r="F14" s="17">
        <v>9675</v>
      </c>
      <c r="G14" s="17">
        <v>71048900</v>
      </c>
      <c r="H14" s="4">
        <f t="shared" si="0"/>
        <v>-7.6923076923076927E-3</v>
      </c>
      <c r="I14" s="4">
        <f t="shared" si="1"/>
        <v>2.6525198938992044E-2</v>
      </c>
    </row>
    <row r="15" spans="1:9" x14ac:dyDescent="0.2">
      <c r="A15" s="2">
        <f ca="1">IFERROR(__xludf.DUMMYFUNCTION("""COMPUTED_VALUE"""),45310.6666666666)</f>
        <v>45310.666666666599</v>
      </c>
      <c r="B15" s="2"/>
      <c r="C15" s="1">
        <v>9775</v>
      </c>
      <c r="D15" s="1">
        <v>9775</v>
      </c>
      <c r="E15" s="1">
        <v>9600</v>
      </c>
      <c r="F15" s="1">
        <v>9625</v>
      </c>
      <c r="G15" s="1">
        <v>63176500</v>
      </c>
      <c r="H15" s="4">
        <f t="shared" si="0"/>
        <v>-5.1679586563307496E-3</v>
      </c>
      <c r="I15" s="4">
        <f t="shared" si="1"/>
        <v>2.1220159151193633E-2</v>
      </c>
    </row>
    <row r="16" spans="1:9" x14ac:dyDescent="0.2">
      <c r="A16" s="2">
        <f ca="1">IFERROR(__xludf.DUMMYFUNCTION("""COMPUTED_VALUE"""),45313.6666666666)</f>
        <v>45313.666666666599</v>
      </c>
      <c r="B16" s="2"/>
      <c r="C16" s="1">
        <v>9600</v>
      </c>
      <c r="D16" s="1">
        <v>9650</v>
      </c>
      <c r="E16" s="1">
        <v>9525</v>
      </c>
      <c r="F16" s="1">
        <v>9625</v>
      </c>
      <c r="G16" s="1">
        <v>52868300</v>
      </c>
      <c r="H16" s="4">
        <f t="shared" si="0"/>
        <v>0</v>
      </c>
      <c r="I16" s="4">
        <f t="shared" si="1"/>
        <v>2.1220159151193633E-2</v>
      </c>
    </row>
    <row r="17" spans="1:10" x14ac:dyDescent="0.2">
      <c r="A17" s="2">
        <f ca="1">IFERROR(__xludf.DUMMYFUNCTION("""COMPUTED_VALUE"""),45314.6666666666)</f>
        <v>45314.666666666599</v>
      </c>
      <c r="B17" s="2"/>
      <c r="C17" s="1">
        <v>9450</v>
      </c>
      <c r="D17" s="1">
        <v>9600</v>
      </c>
      <c r="E17" s="1">
        <v>9450</v>
      </c>
      <c r="F17" s="1">
        <v>9600</v>
      </c>
      <c r="G17" s="1">
        <v>92348600</v>
      </c>
      <c r="H17" s="4">
        <f t="shared" si="0"/>
        <v>-2.5974025974025974E-3</v>
      </c>
      <c r="I17" s="4">
        <f t="shared" si="1"/>
        <v>1.8567639257294429E-2</v>
      </c>
    </row>
    <row r="18" spans="1:10" x14ac:dyDescent="0.2">
      <c r="A18" s="2">
        <f ca="1">IFERROR(__xludf.DUMMYFUNCTION("""COMPUTED_VALUE"""),45315.6666666666)</f>
        <v>45315.666666666599</v>
      </c>
      <c r="B18" s="2"/>
      <c r="C18" s="1">
        <v>9600</v>
      </c>
      <c r="D18" s="1">
        <v>9600</v>
      </c>
      <c r="E18" s="1">
        <v>9475</v>
      </c>
      <c r="F18" s="1">
        <v>9525</v>
      </c>
      <c r="G18" s="1">
        <v>84906000</v>
      </c>
      <c r="H18" s="4">
        <f t="shared" si="0"/>
        <v>-7.8125E-3</v>
      </c>
      <c r="I18" s="4">
        <f t="shared" si="1"/>
        <v>1.0610079575596816E-2</v>
      </c>
    </row>
    <row r="19" spans="1:10" x14ac:dyDescent="0.2">
      <c r="A19" s="2">
        <f ca="1">IFERROR(__xludf.DUMMYFUNCTION("""COMPUTED_VALUE"""),45316.6666666666)</f>
        <v>45316.666666666599</v>
      </c>
      <c r="B19" s="2"/>
      <c r="C19" s="1">
        <v>9450</v>
      </c>
      <c r="D19" s="1">
        <v>9575</v>
      </c>
      <c r="E19" s="1">
        <v>9450</v>
      </c>
      <c r="F19" s="1">
        <v>9500</v>
      </c>
      <c r="G19" s="1">
        <v>63212700</v>
      </c>
      <c r="H19" s="4">
        <f t="shared" si="0"/>
        <v>-2.6246719160104987E-3</v>
      </c>
      <c r="I19" s="4">
        <f t="shared" si="1"/>
        <v>7.9575596816976128E-3</v>
      </c>
    </row>
    <row r="20" spans="1:10" x14ac:dyDescent="0.2">
      <c r="A20" s="2">
        <f ca="1">IFERROR(__xludf.DUMMYFUNCTION("""COMPUTED_VALUE"""),45317.6666666666)</f>
        <v>45317.666666666599</v>
      </c>
      <c r="B20" s="2"/>
      <c r="C20" s="1">
        <v>9400</v>
      </c>
      <c r="D20" s="1">
        <v>9450</v>
      </c>
      <c r="E20" s="1">
        <v>9300</v>
      </c>
      <c r="F20" s="1">
        <v>9350</v>
      </c>
      <c r="G20" s="1">
        <v>78977300</v>
      </c>
      <c r="H20" s="4">
        <f t="shared" si="0"/>
        <v>-1.5789473684210527E-2</v>
      </c>
      <c r="I20" s="4">
        <f t="shared" si="1"/>
        <v>-7.9575596816976128E-3</v>
      </c>
    </row>
    <row r="21" spans="1:10" s="15" customFormat="1" x14ac:dyDescent="0.2">
      <c r="A21" s="12">
        <f ca="1">IFERROR(__xludf.DUMMYFUNCTION("""COMPUTED_VALUE"""),45320.6666666666)</f>
        <v>45320.666666666599</v>
      </c>
      <c r="B21" s="12"/>
      <c r="C21" s="13">
        <v>9400</v>
      </c>
      <c r="D21" s="13">
        <v>9550</v>
      </c>
      <c r="E21" s="13">
        <v>9375</v>
      </c>
      <c r="F21" s="13">
        <v>9550</v>
      </c>
      <c r="G21" s="13">
        <v>73452800</v>
      </c>
      <c r="H21" s="14">
        <f t="shared" si="0"/>
        <v>2.1390374331550801E-2</v>
      </c>
      <c r="I21" s="14">
        <f t="shared" si="1"/>
        <v>1.3262599469496022E-2</v>
      </c>
      <c r="J21" s="16">
        <f>AVERAGE(F2:F21)</f>
        <v>9573.75</v>
      </c>
    </row>
    <row r="22" spans="1:10" x14ac:dyDescent="0.2">
      <c r="A22" s="2">
        <f ca="1">IFERROR(__xludf.DUMMYFUNCTION("""COMPUTED_VALUE"""),45321.6666666666)</f>
        <v>45321.666666666599</v>
      </c>
      <c r="B22" s="2"/>
      <c r="C22" s="1">
        <v>9500</v>
      </c>
      <c r="D22" s="1">
        <v>9650</v>
      </c>
      <c r="E22" s="1">
        <v>9475</v>
      </c>
      <c r="F22" s="1">
        <v>9650</v>
      </c>
      <c r="G22" s="1">
        <v>73136400</v>
      </c>
      <c r="H22" s="4">
        <f t="shared" si="0"/>
        <v>1.0471204188481676E-2</v>
      </c>
      <c r="I22" s="4">
        <f t="shared" si="1"/>
        <v>2.3872679045092837E-2</v>
      </c>
      <c r="J22" s="16">
        <f t="shared" ref="J22:J85" si="2">AVERAGE(F3:F22)</f>
        <v>9585</v>
      </c>
    </row>
    <row r="23" spans="1:10" x14ac:dyDescent="0.2">
      <c r="A23" s="2">
        <f ca="1">IFERROR(__xludf.DUMMYFUNCTION("""COMPUTED_VALUE"""),45322.6666666666)</f>
        <v>45322.666666666599</v>
      </c>
      <c r="B23" s="2"/>
      <c r="C23" s="1">
        <v>9700</v>
      </c>
      <c r="D23" s="1">
        <v>9700</v>
      </c>
      <c r="E23" s="1">
        <v>9550</v>
      </c>
      <c r="F23" s="1">
        <v>9550</v>
      </c>
      <c r="G23" s="1">
        <v>102581200</v>
      </c>
      <c r="H23" s="4">
        <f t="shared" si="0"/>
        <v>-1.0362694300518135E-2</v>
      </c>
      <c r="I23" s="4">
        <f t="shared" si="1"/>
        <v>1.3262599469496022E-2</v>
      </c>
      <c r="J23" s="16">
        <f t="shared" si="2"/>
        <v>9595</v>
      </c>
    </row>
    <row r="24" spans="1:10" x14ac:dyDescent="0.2">
      <c r="A24" s="2">
        <f ca="1">IFERROR(__xludf.DUMMYFUNCTION("""COMPUTED_VALUE"""),45323.6666666666)</f>
        <v>45323.666666666599</v>
      </c>
      <c r="B24" s="2"/>
      <c r="C24" s="1">
        <v>9650</v>
      </c>
      <c r="D24" s="1">
        <v>9725</v>
      </c>
      <c r="E24" s="1">
        <v>9575</v>
      </c>
      <c r="F24" s="1">
        <v>9700</v>
      </c>
      <c r="G24" s="1">
        <v>104208700</v>
      </c>
      <c r="H24" s="4">
        <f t="shared" si="0"/>
        <v>1.5706806282722512E-2</v>
      </c>
      <c r="I24" s="4">
        <f t="shared" si="1"/>
        <v>2.9177718832891247E-2</v>
      </c>
      <c r="J24" s="16">
        <f t="shared" si="2"/>
        <v>9606.25</v>
      </c>
    </row>
    <row r="25" spans="1:10" x14ac:dyDescent="0.2">
      <c r="A25" s="2">
        <f ca="1">IFERROR(__xludf.DUMMYFUNCTION("""COMPUTED_VALUE"""),45324.6666666666)</f>
        <v>45324.666666666599</v>
      </c>
      <c r="B25" s="2"/>
      <c r="C25" s="1">
        <v>9775</v>
      </c>
      <c r="D25" s="1">
        <v>9800</v>
      </c>
      <c r="E25" s="1">
        <v>9625</v>
      </c>
      <c r="F25" s="1">
        <v>9700</v>
      </c>
      <c r="G25" s="1">
        <v>99324000</v>
      </c>
      <c r="H25" s="4">
        <f t="shared" si="0"/>
        <v>0</v>
      </c>
      <c r="I25" s="4">
        <f t="shared" si="1"/>
        <v>2.9177718832891247E-2</v>
      </c>
      <c r="J25" s="16">
        <f t="shared" si="2"/>
        <v>9612.5</v>
      </c>
    </row>
    <row r="26" spans="1:10" x14ac:dyDescent="0.2">
      <c r="A26" s="2">
        <f ca="1">IFERROR(__xludf.DUMMYFUNCTION("""COMPUTED_VALUE"""),45327.6666666666)</f>
        <v>45327.666666666599</v>
      </c>
      <c r="B26" s="2"/>
      <c r="C26" s="1">
        <v>9675</v>
      </c>
      <c r="D26" s="1">
        <v>9675</v>
      </c>
      <c r="E26" s="1">
        <v>9525</v>
      </c>
      <c r="F26" s="1">
        <v>9575</v>
      </c>
      <c r="G26" s="1">
        <v>57983300</v>
      </c>
      <c r="H26" s="4">
        <f t="shared" si="0"/>
        <v>-1.2886597938144329E-2</v>
      </c>
      <c r="I26" s="4">
        <f t="shared" si="1"/>
        <v>1.5915119363395226E-2</v>
      </c>
      <c r="J26" s="16">
        <f t="shared" si="2"/>
        <v>9612.5</v>
      </c>
    </row>
    <row r="27" spans="1:10" x14ac:dyDescent="0.2">
      <c r="A27" s="2">
        <f ca="1">IFERROR(__xludf.DUMMYFUNCTION("""COMPUTED_VALUE"""),45328.6666666666)</f>
        <v>45328.666666666599</v>
      </c>
      <c r="B27" s="2"/>
      <c r="C27" s="1">
        <v>9750</v>
      </c>
      <c r="D27" s="1">
        <v>9750</v>
      </c>
      <c r="E27" s="1">
        <v>9625</v>
      </c>
      <c r="F27" s="1">
        <v>9625</v>
      </c>
      <c r="G27" s="1">
        <v>87651000</v>
      </c>
      <c r="H27" s="4">
        <f t="shared" si="0"/>
        <v>5.2219321148825066E-3</v>
      </c>
      <c r="I27" s="4">
        <f t="shared" si="1"/>
        <v>2.1220159151193633E-2</v>
      </c>
      <c r="J27" s="16">
        <f t="shared" si="2"/>
        <v>9612.5</v>
      </c>
    </row>
    <row r="28" spans="1:10" x14ac:dyDescent="0.2">
      <c r="A28" s="2">
        <f ca="1">IFERROR(__xludf.DUMMYFUNCTION("""COMPUTED_VALUE"""),45329.6666666666)</f>
        <v>45329.666666666599</v>
      </c>
      <c r="B28" s="2"/>
      <c r="C28" s="1">
        <v>9700</v>
      </c>
      <c r="D28" s="1">
        <v>9725</v>
      </c>
      <c r="E28" s="1">
        <v>9650</v>
      </c>
      <c r="F28" s="1">
        <v>9700</v>
      </c>
      <c r="G28" s="1">
        <v>92953500</v>
      </c>
      <c r="H28" s="4">
        <f t="shared" si="0"/>
        <v>7.7922077922077922E-3</v>
      </c>
      <c r="I28" s="4">
        <f t="shared" si="1"/>
        <v>2.9177718832891247E-2</v>
      </c>
      <c r="J28" s="16">
        <f t="shared" si="2"/>
        <v>9620</v>
      </c>
    </row>
    <row r="29" spans="1:10" x14ac:dyDescent="0.2">
      <c r="A29" s="2">
        <f ca="1">IFERROR(__xludf.DUMMYFUNCTION("""COMPUTED_VALUE"""),45334.6666666666)</f>
        <v>45334.666666666599</v>
      </c>
      <c r="B29" s="2"/>
      <c r="C29" s="1">
        <v>9750</v>
      </c>
      <c r="D29" s="1">
        <v>9800</v>
      </c>
      <c r="E29" s="1">
        <v>9700</v>
      </c>
      <c r="F29" s="1">
        <v>9800</v>
      </c>
      <c r="G29" s="1">
        <v>87949400</v>
      </c>
      <c r="H29" s="4">
        <f t="shared" si="0"/>
        <v>1.0309278350515464E-2</v>
      </c>
      <c r="I29" s="4">
        <f t="shared" si="1"/>
        <v>3.9787798408488062E-2</v>
      </c>
      <c r="J29" s="16">
        <f t="shared" si="2"/>
        <v>9631.25</v>
      </c>
    </row>
    <row r="30" spans="1:10" x14ac:dyDescent="0.2">
      <c r="A30" s="2">
        <f ca="1">IFERROR(__xludf.DUMMYFUNCTION("""COMPUTED_VALUE"""),45335.6666666666)</f>
        <v>45335.666666666599</v>
      </c>
      <c r="B30" s="2"/>
      <c r="C30" s="1">
        <v>9750</v>
      </c>
      <c r="D30" s="1">
        <v>9800</v>
      </c>
      <c r="E30" s="1">
        <v>9700</v>
      </c>
      <c r="F30" s="1">
        <v>9725</v>
      </c>
      <c r="G30" s="1">
        <v>66072400</v>
      </c>
      <c r="H30" s="4">
        <f t="shared" si="0"/>
        <v>-7.6530612244897957E-3</v>
      </c>
      <c r="I30" s="4">
        <f t="shared" si="1"/>
        <v>3.1830238726790451E-2</v>
      </c>
      <c r="J30" s="16">
        <f t="shared" si="2"/>
        <v>9632.5</v>
      </c>
    </row>
    <row r="31" spans="1:10" x14ac:dyDescent="0.2">
      <c r="A31" s="2">
        <f ca="1">IFERROR(__xludf.DUMMYFUNCTION("""COMPUTED_VALUE"""),45337.6666666666)</f>
        <v>45337.666666666599</v>
      </c>
      <c r="B31" s="2"/>
      <c r="C31" s="1">
        <v>9950</v>
      </c>
      <c r="D31" s="1">
        <v>9975</v>
      </c>
      <c r="E31" s="1">
        <v>9850</v>
      </c>
      <c r="F31" s="1">
        <v>9850</v>
      </c>
      <c r="G31" s="1">
        <v>164748900</v>
      </c>
      <c r="H31" s="4">
        <f t="shared" si="0"/>
        <v>1.2853470437017995E-2</v>
      </c>
      <c r="I31" s="4">
        <f t="shared" si="1"/>
        <v>4.5092838196286469E-2</v>
      </c>
      <c r="J31" s="16">
        <f t="shared" si="2"/>
        <v>9638.75</v>
      </c>
    </row>
    <row r="32" spans="1:10" x14ac:dyDescent="0.2">
      <c r="A32" s="2">
        <f ca="1">IFERROR(__xludf.DUMMYFUNCTION("""COMPUTED_VALUE"""),45338.6666666666)</f>
        <v>45338.666666666599</v>
      </c>
      <c r="B32" s="2"/>
      <c r="C32" s="1">
        <v>9975</v>
      </c>
      <c r="D32" s="1">
        <v>10000</v>
      </c>
      <c r="E32" s="1">
        <v>9875</v>
      </c>
      <c r="F32" s="1">
        <v>9950</v>
      </c>
      <c r="G32" s="1">
        <v>142277200</v>
      </c>
      <c r="H32" s="4">
        <f t="shared" si="0"/>
        <v>1.015228426395939E-2</v>
      </c>
      <c r="I32" s="4">
        <f t="shared" si="1"/>
        <v>5.5702917771883291E-2</v>
      </c>
      <c r="J32" s="16">
        <f t="shared" si="2"/>
        <v>9651.25</v>
      </c>
    </row>
    <row r="33" spans="1:10" x14ac:dyDescent="0.2">
      <c r="A33" s="2">
        <f ca="1">IFERROR(__xludf.DUMMYFUNCTION("""COMPUTED_VALUE"""),45341.6666666666)</f>
        <v>45341.666666666599</v>
      </c>
      <c r="B33" s="2"/>
      <c r="C33" s="1">
        <v>9900</v>
      </c>
      <c r="D33" s="1">
        <v>9975</v>
      </c>
      <c r="E33" s="1">
        <v>9825</v>
      </c>
      <c r="F33" s="1">
        <v>9875</v>
      </c>
      <c r="G33" s="1">
        <v>53341300</v>
      </c>
      <c r="H33" s="4">
        <f t="shared" si="0"/>
        <v>-7.537688442211055E-3</v>
      </c>
      <c r="I33" s="4">
        <f t="shared" si="1"/>
        <v>4.7745358090185673E-2</v>
      </c>
      <c r="J33" s="16">
        <f t="shared" si="2"/>
        <v>9657.5</v>
      </c>
    </row>
    <row r="34" spans="1:10" x14ac:dyDescent="0.2">
      <c r="A34" s="2">
        <f ca="1">IFERROR(__xludf.DUMMYFUNCTION("""COMPUTED_VALUE"""),45342.6666666666)</f>
        <v>45342.666666666599</v>
      </c>
      <c r="B34" s="2"/>
      <c r="C34" s="1">
        <v>9850</v>
      </c>
      <c r="D34" s="1">
        <v>10025</v>
      </c>
      <c r="E34" s="1">
        <v>9850</v>
      </c>
      <c r="F34" s="1">
        <v>10025</v>
      </c>
      <c r="G34" s="1">
        <v>63997700</v>
      </c>
      <c r="H34" s="4">
        <f t="shared" si="0"/>
        <v>1.5189873417721518E-2</v>
      </c>
      <c r="I34" s="4">
        <f t="shared" si="1"/>
        <v>6.3660477453580902E-2</v>
      </c>
      <c r="J34" s="16">
        <f t="shared" si="2"/>
        <v>9675</v>
      </c>
    </row>
    <row r="35" spans="1:10" x14ac:dyDescent="0.2">
      <c r="A35" s="2">
        <f ca="1">IFERROR(__xludf.DUMMYFUNCTION("""COMPUTED_VALUE"""),45343.6666666666)</f>
        <v>45343.666666666599</v>
      </c>
      <c r="B35" s="2"/>
      <c r="C35" s="1">
        <v>9950</v>
      </c>
      <c r="D35" s="1">
        <v>10000</v>
      </c>
      <c r="E35" s="1">
        <v>9850</v>
      </c>
      <c r="F35" s="1">
        <v>9975</v>
      </c>
      <c r="G35" s="1">
        <v>75371600</v>
      </c>
      <c r="H35" s="4">
        <f t="shared" si="0"/>
        <v>-4.9875311720698253E-3</v>
      </c>
      <c r="I35" s="4">
        <f t="shared" si="1"/>
        <v>5.8355437665782495E-2</v>
      </c>
      <c r="J35" s="16">
        <f t="shared" si="2"/>
        <v>9692.5</v>
      </c>
    </row>
    <row r="36" spans="1:10" x14ac:dyDescent="0.2">
      <c r="A36" s="2">
        <f ca="1">IFERROR(__xludf.DUMMYFUNCTION("""COMPUTED_VALUE"""),45344.6666666666)</f>
        <v>45344.666666666599</v>
      </c>
      <c r="B36" s="2"/>
      <c r="C36" s="1">
        <v>9975</v>
      </c>
      <c r="D36" s="1">
        <v>9975</v>
      </c>
      <c r="E36" s="1">
        <v>9875</v>
      </c>
      <c r="F36" s="1">
        <v>9875</v>
      </c>
      <c r="G36" s="1">
        <v>66913000</v>
      </c>
      <c r="H36" s="4">
        <f t="shared" si="0"/>
        <v>-1.0025062656641603E-2</v>
      </c>
      <c r="I36" s="4">
        <f t="shared" si="1"/>
        <v>4.7745358090185673E-2</v>
      </c>
      <c r="J36" s="16">
        <f t="shared" si="2"/>
        <v>9705</v>
      </c>
    </row>
    <row r="37" spans="1:10" x14ac:dyDescent="0.2">
      <c r="A37" s="2">
        <f ca="1">IFERROR(__xludf.DUMMYFUNCTION("""COMPUTED_VALUE"""),45345.6666666666)</f>
        <v>45345.666666666599</v>
      </c>
      <c r="B37" s="2"/>
      <c r="C37" s="1">
        <v>9900</v>
      </c>
      <c r="D37" s="1">
        <v>9925</v>
      </c>
      <c r="E37" s="1">
        <v>9800</v>
      </c>
      <c r="F37" s="1">
        <v>9825</v>
      </c>
      <c r="G37" s="1">
        <v>55192300</v>
      </c>
      <c r="H37" s="4">
        <f t="shared" si="0"/>
        <v>-5.0632911392405064E-3</v>
      </c>
      <c r="I37" s="4">
        <f t="shared" si="1"/>
        <v>4.2440318302387266E-2</v>
      </c>
      <c r="J37" s="16">
        <f t="shared" si="2"/>
        <v>9716.25</v>
      </c>
    </row>
    <row r="38" spans="1:10" x14ac:dyDescent="0.2">
      <c r="A38" s="2">
        <f ca="1">IFERROR(__xludf.DUMMYFUNCTION("""COMPUTED_VALUE"""),45348.6666666666)</f>
        <v>45348.666666666599</v>
      </c>
      <c r="B38" s="2"/>
      <c r="C38" s="1">
        <v>9750</v>
      </c>
      <c r="D38" s="1">
        <v>9875</v>
      </c>
      <c r="E38" s="1">
        <v>9725</v>
      </c>
      <c r="F38" s="1">
        <v>9800</v>
      </c>
      <c r="G38" s="1">
        <v>41356000</v>
      </c>
      <c r="H38" s="4">
        <f t="shared" si="0"/>
        <v>-2.5445292620865142E-3</v>
      </c>
      <c r="I38" s="4">
        <f t="shared" si="1"/>
        <v>3.9787798408488062E-2</v>
      </c>
      <c r="J38" s="16">
        <f t="shared" si="2"/>
        <v>9730</v>
      </c>
    </row>
    <row r="39" spans="1:10" x14ac:dyDescent="0.2">
      <c r="A39" s="2">
        <f ca="1">IFERROR(__xludf.DUMMYFUNCTION("""COMPUTED_VALUE"""),45349.6666666666)</f>
        <v>45349.666666666599</v>
      </c>
      <c r="B39" s="2"/>
      <c r="C39" s="1">
        <v>9750</v>
      </c>
      <c r="D39" s="1">
        <v>9900</v>
      </c>
      <c r="E39" s="1">
        <v>9750</v>
      </c>
      <c r="F39" s="1">
        <v>9875</v>
      </c>
      <c r="G39" s="1">
        <v>43735800</v>
      </c>
      <c r="H39" s="4">
        <f t="shared" si="0"/>
        <v>7.6530612244897957E-3</v>
      </c>
      <c r="I39" s="4">
        <f t="shared" si="1"/>
        <v>4.7745358090185673E-2</v>
      </c>
      <c r="J39" s="16">
        <f t="shared" si="2"/>
        <v>9748.75</v>
      </c>
    </row>
    <row r="40" spans="1:10" x14ac:dyDescent="0.2">
      <c r="A40" s="2">
        <f ca="1">IFERROR(__xludf.DUMMYFUNCTION("""COMPUTED_VALUE"""),45350.6666666666)</f>
        <v>45350.666666666599</v>
      </c>
      <c r="B40" s="2"/>
      <c r="C40" s="1">
        <v>9975</v>
      </c>
      <c r="D40" s="1">
        <v>10000</v>
      </c>
      <c r="E40" s="1">
        <v>9900</v>
      </c>
      <c r="F40" s="1">
        <v>10000</v>
      </c>
      <c r="G40" s="1">
        <v>54043100</v>
      </c>
      <c r="H40" s="4">
        <f t="shared" si="0"/>
        <v>1.2658227848101266E-2</v>
      </c>
      <c r="I40" s="4">
        <f t="shared" si="1"/>
        <v>6.1007957559681698E-2</v>
      </c>
      <c r="J40" s="16">
        <f t="shared" si="2"/>
        <v>9781.25</v>
      </c>
    </row>
    <row r="41" spans="1:10" x14ac:dyDescent="0.2">
      <c r="A41" s="2">
        <f ca="1">IFERROR(__xludf.DUMMYFUNCTION("""COMPUTED_VALUE"""),45351.6666666666)</f>
        <v>45351.666666666599</v>
      </c>
      <c r="B41" s="2"/>
      <c r="C41" s="1">
        <v>10000</v>
      </c>
      <c r="D41" s="1">
        <v>10000</v>
      </c>
      <c r="E41" s="1">
        <v>9850</v>
      </c>
      <c r="F41" s="1">
        <v>9875</v>
      </c>
      <c r="G41" s="1">
        <v>126671200</v>
      </c>
      <c r="H41" s="4">
        <f t="shared" si="0"/>
        <v>-1.2500000000000001E-2</v>
      </c>
      <c r="I41" s="4">
        <f t="shared" si="1"/>
        <v>4.7745358090185673E-2</v>
      </c>
      <c r="J41" s="16">
        <f t="shared" si="2"/>
        <v>9797.5</v>
      </c>
    </row>
    <row r="42" spans="1:10" x14ac:dyDescent="0.2">
      <c r="A42" s="2">
        <f ca="1">IFERROR(__xludf.DUMMYFUNCTION("""COMPUTED_VALUE"""),45352.6666666666)</f>
        <v>45352.666666666599</v>
      </c>
      <c r="B42" s="2"/>
      <c r="C42" s="1">
        <v>9900</v>
      </c>
      <c r="D42" s="1">
        <v>9925</v>
      </c>
      <c r="E42" s="1">
        <v>9800</v>
      </c>
      <c r="F42" s="1">
        <v>9825</v>
      </c>
      <c r="G42" s="1">
        <v>51520600</v>
      </c>
      <c r="H42" s="4">
        <f t="shared" si="0"/>
        <v>-5.0632911392405064E-3</v>
      </c>
      <c r="I42" s="4">
        <f t="shared" si="1"/>
        <v>4.2440318302387266E-2</v>
      </c>
      <c r="J42" s="16">
        <f t="shared" si="2"/>
        <v>9806.25</v>
      </c>
    </row>
    <row r="43" spans="1:10" x14ac:dyDescent="0.2">
      <c r="A43" s="2">
        <f ca="1">IFERROR(__xludf.DUMMYFUNCTION("""COMPUTED_VALUE"""),45355.6666666666)</f>
        <v>45355.666666666599</v>
      </c>
      <c r="B43" s="2"/>
      <c r="C43" s="1">
        <v>9800</v>
      </c>
      <c r="D43" s="1">
        <v>9825</v>
      </c>
      <c r="E43" s="1">
        <v>9750</v>
      </c>
      <c r="F43" s="1">
        <v>9750</v>
      </c>
      <c r="G43" s="1">
        <v>43822900</v>
      </c>
      <c r="H43" s="4">
        <f t="shared" si="0"/>
        <v>-7.6335877862595417E-3</v>
      </c>
      <c r="I43" s="4">
        <f t="shared" si="1"/>
        <v>3.4482758620689655E-2</v>
      </c>
      <c r="J43" s="16">
        <f t="shared" si="2"/>
        <v>9816.25</v>
      </c>
    </row>
    <row r="44" spans="1:10" x14ac:dyDescent="0.2">
      <c r="A44" s="2">
        <f ca="1">IFERROR(__xludf.DUMMYFUNCTION("""COMPUTED_VALUE"""),45356.6666666666)</f>
        <v>45356.666666666599</v>
      </c>
      <c r="B44" s="2"/>
      <c r="C44" s="1">
        <v>9900</v>
      </c>
      <c r="D44" s="1">
        <v>9900</v>
      </c>
      <c r="E44" s="1">
        <v>9775</v>
      </c>
      <c r="F44" s="1">
        <v>9800</v>
      </c>
      <c r="G44" s="1">
        <v>61952900</v>
      </c>
      <c r="H44" s="4">
        <f t="shared" si="0"/>
        <v>5.1282051282051282E-3</v>
      </c>
      <c r="I44" s="4">
        <f t="shared" si="1"/>
        <v>3.9787798408488062E-2</v>
      </c>
      <c r="J44" s="16">
        <f t="shared" si="2"/>
        <v>9821.25</v>
      </c>
    </row>
    <row r="45" spans="1:10" x14ac:dyDescent="0.2">
      <c r="A45" s="2">
        <f ca="1">IFERROR(__xludf.DUMMYFUNCTION("""COMPUTED_VALUE"""),45357.6666666666)</f>
        <v>45357.666666666599</v>
      </c>
      <c r="B45" s="2"/>
      <c r="C45" s="1">
        <v>9900</v>
      </c>
      <c r="D45" s="1">
        <v>10000</v>
      </c>
      <c r="E45" s="1">
        <v>9775</v>
      </c>
      <c r="F45" s="1">
        <v>9950</v>
      </c>
      <c r="G45" s="1">
        <v>70242200</v>
      </c>
      <c r="H45" s="4">
        <f t="shared" si="0"/>
        <v>1.5306122448979591E-2</v>
      </c>
      <c r="I45" s="4">
        <f t="shared" si="1"/>
        <v>5.5702917771883291E-2</v>
      </c>
      <c r="J45" s="16">
        <f t="shared" si="2"/>
        <v>9833.75</v>
      </c>
    </row>
    <row r="46" spans="1:10" x14ac:dyDescent="0.2">
      <c r="A46" s="2">
        <f ca="1">IFERROR(__xludf.DUMMYFUNCTION("""COMPUTED_VALUE"""),45358.6666666666)</f>
        <v>45358.666666666599</v>
      </c>
      <c r="B46" s="2"/>
      <c r="C46" s="1">
        <v>10050</v>
      </c>
      <c r="D46" s="1">
        <v>10175</v>
      </c>
      <c r="E46" s="1">
        <v>10000</v>
      </c>
      <c r="F46" s="1">
        <v>10125</v>
      </c>
      <c r="G46" s="1">
        <v>118369300</v>
      </c>
      <c r="H46" s="4">
        <f t="shared" si="0"/>
        <v>1.7587939698492462E-2</v>
      </c>
      <c r="I46" s="4">
        <f t="shared" si="1"/>
        <v>7.4270557029177717E-2</v>
      </c>
      <c r="J46" s="16">
        <f t="shared" si="2"/>
        <v>9861.25</v>
      </c>
    </row>
    <row r="47" spans="1:10" x14ac:dyDescent="0.2">
      <c r="A47" s="2">
        <f ca="1">IFERROR(__xludf.DUMMYFUNCTION("""COMPUTED_VALUE"""),45359.6666666666)</f>
        <v>45359.666666666599</v>
      </c>
      <c r="B47" s="2"/>
      <c r="C47" s="1">
        <v>10250</v>
      </c>
      <c r="D47" s="1">
        <v>10300</v>
      </c>
      <c r="E47" s="1">
        <v>10125</v>
      </c>
      <c r="F47" s="1">
        <v>10150</v>
      </c>
      <c r="G47" s="1">
        <v>100947200</v>
      </c>
      <c r="H47" s="4">
        <f t="shared" si="0"/>
        <v>2.4691358024691358E-3</v>
      </c>
      <c r="I47" s="4">
        <f t="shared" si="1"/>
        <v>7.6923076923076927E-2</v>
      </c>
      <c r="J47" s="16">
        <f t="shared" si="2"/>
        <v>9887.5</v>
      </c>
    </row>
    <row r="48" spans="1:10" x14ac:dyDescent="0.2">
      <c r="A48" s="2">
        <f ca="1">IFERROR(__xludf.DUMMYFUNCTION("""COMPUTED_VALUE"""),45364.6666666666)</f>
        <v>45364.666666666599</v>
      </c>
      <c r="B48" s="2"/>
      <c r="C48" s="1">
        <v>10400</v>
      </c>
      <c r="D48" s="1">
        <v>10400</v>
      </c>
      <c r="E48" s="1">
        <v>10000</v>
      </c>
      <c r="F48" s="1">
        <v>10000</v>
      </c>
      <c r="G48" s="1">
        <v>141622600</v>
      </c>
      <c r="H48" s="4">
        <f t="shared" si="0"/>
        <v>-1.4778325123152709E-2</v>
      </c>
      <c r="I48" s="4">
        <f t="shared" si="1"/>
        <v>6.1007957559681698E-2</v>
      </c>
      <c r="J48" s="16">
        <f t="shared" si="2"/>
        <v>9902.5</v>
      </c>
    </row>
    <row r="49" spans="1:11" x14ac:dyDescent="0.2">
      <c r="A49" s="2">
        <f ca="1">IFERROR(__xludf.DUMMYFUNCTION("""COMPUTED_VALUE"""),45365.6666666666)</f>
        <v>45365.666666666599</v>
      </c>
      <c r="B49" s="2"/>
      <c r="C49" s="1">
        <v>10050</v>
      </c>
      <c r="D49" s="1">
        <v>10325</v>
      </c>
      <c r="E49" s="1">
        <v>10025</v>
      </c>
      <c r="F49" s="1">
        <v>10325</v>
      </c>
      <c r="G49" s="1">
        <v>110681100</v>
      </c>
      <c r="H49" s="4">
        <f t="shared" si="0"/>
        <v>3.2500000000000001E-2</v>
      </c>
      <c r="I49" s="4">
        <f t="shared" si="1"/>
        <v>9.5490716180371346E-2</v>
      </c>
      <c r="J49" s="16">
        <f t="shared" si="2"/>
        <v>9928.75</v>
      </c>
    </row>
    <row r="50" spans="1:11" x14ac:dyDescent="0.2">
      <c r="A50" s="2">
        <f ca="1">IFERROR(__xludf.DUMMYFUNCTION("""COMPUTED_VALUE"""),45366.6666666666)</f>
        <v>45366.666666666599</v>
      </c>
      <c r="B50" s="2"/>
      <c r="C50" s="1">
        <v>10200</v>
      </c>
      <c r="D50" s="1">
        <v>10300</v>
      </c>
      <c r="E50" s="1">
        <v>10050</v>
      </c>
      <c r="F50" s="1">
        <v>10150</v>
      </c>
      <c r="G50" s="1">
        <v>154176800</v>
      </c>
      <c r="H50" s="4">
        <f t="shared" si="0"/>
        <v>-1.6949152542372881E-2</v>
      </c>
      <c r="I50" s="4">
        <f t="shared" si="1"/>
        <v>7.6923076923076927E-2</v>
      </c>
      <c r="J50" s="16">
        <f t="shared" si="2"/>
        <v>9950</v>
      </c>
    </row>
    <row r="51" spans="1:11" s="15" customFormat="1" x14ac:dyDescent="0.2">
      <c r="A51" s="12">
        <f ca="1">IFERROR(__xludf.DUMMYFUNCTION("""COMPUTED_VALUE"""),45369.6666666666)</f>
        <v>45369.666666666599</v>
      </c>
      <c r="B51" s="12"/>
      <c r="C51" s="13">
        <v>10175</v>
      </c>
      <c r="D51" s="13">
        <v>10275</v>
      </c>
      <c r="E51" s="13">
        <v>10150</v>
      </c>
      <c r="F51" s="13">
        <v>10150</v>
      </c>
      <c r="G51" s="13">
        <v>62444100</v>
      </c>
      <c r="H51" s="14">
        <f t="shared" si="0"/>
        <v>0</v>
      </c>
      <c r="I51" s="14">
        <f t="shared" si="1"/>
        <v>7.6923076923076927E-2</v>
      </c>
      <c r="J51" s="16">
        <f t="shared" si="2"/>
        <v>9965</v>
      </c>
      <c r="K51" s="16">
        <f>AVERAGE(F2:F51)</f>
        <v>9753</v>
      </c>
    </row>
    <row r="52" spans="1:11" x14ac:dyDescent="0.2">
      <c r="A52" s="2">
        <f ca="1">IFERROR(__xludf.DUMMYFUNCTION("""COMPUTED_VALUE"""),45370.6666666666)</f>
        <v>45370.666666666599</v>
      </c>
      <c r="B52" s="2"/>
      <c r="C52" s="1">
        <v>10150</v>
      </c>
      <c r="D52" s="1">
        <v>10250</v>
      </c>
      <c r="E52" s="1">
        <v>10150</v>
      </c>
      <c r="F52" s="1">
        <v>10175</v>
      </c>
      <c r="G52" s="1">
        <v>55004800</v>
      </c>
      <c r="H52" s="4">
        <f t="shared" si="0"/>
        <v>2.4630541871921183E-3</v>
      </c>
      <c r="I52" s="4">
        <f t="shared" si="1"/>
        <v>7.9575596816976124E-2</v>
      </c>
      <c r="J52" s="16">
        <f t="shared" si="2"/>
        <v>9976.25</v>
      </c>
      <c r="K52" s="16">
        <f t="shared" ref="K52:K115" si="3">AVERAGE(F3:F52)</f>
        <v>9768</v>
      </c>
    </row>
    <row r="53" spans="1:11" x14ac:dyDescent="0.2">
      <c r="A53" s="2">
        <f ca="1">IFERROR(__xludf.DUMMYFUNCTION("""COMPUTED_VALUE"""),45371.6666666666)</f>
        <v>45371.666666666599</v>
      </c>
      <c r="B53" s="2"/>
      <c r="C53" s="1">
        <v>10100</v>
      </c>
      <c r="D53" s="1">
        <v>10150</v>
      </c>
      <c r="E53" s="1">
        <v>10075</v>
      </c>
      <c r="F53" s="1">
        <v>10125</v>
      </c>
      <c r="G53" s="1">
        <v>66269700</v>
      </c>
      <c r="H53" s="4">
        <f t="shared" si="0"/>
        <v>-4.9140049140049139E-3</v>
      </c>
      <c r="I53" s="4">
        <f t="shared" si="1"/>
        <v>7.4270557029177717E-2</v>
      </c>
      <c r="J53" s="16">
        <f t="shared" si="2"/>
        <v>9988.75</v>
      </c>
      <c r="K53" s="16">
        <f t="shared" si="3"/>
        <v>9783.5</v>
      </c>
    </row>
    <row r="54" spans="1:11" x14ac:dyDescent="0.2">
      <c r="A54" s="2">
        <f ca="1">IFERROR(__xludf.DUMMYFUNCTION("""COMPUTED_VALUE"""),45372.6666666666)</f>
        <v>45372.666666666599</v>
      </c>
      <c r="B54" s="2"/>
      <c r="C54" s="1">
        <v>10175</v>
      </c>
      <c r="D54" s="1">
        <v>10225</v>
      </c>
      <c r="E54" s="1">
        <v>10050</v>
      </c>
      <c r="F54" s="1">
        <v>10125</v>
      </c>
      <c r="G54" s="1">
        <v>90279400</v>
      </c>
      <c r="H54" s="4">
        <f t="shared" si="0"/>
        <v>0</v>
      </c>
      <c r="I54" s="4">
        <f t="shared" si="1"/>
        <v>7.4270557029177717E-2</v>
      </c>
      <c r="J54" s="16">
        <f t="shared" si="2"/>
        <v>9993.75</v>
      </c>
      <c r="K54" s="16">
        <f t="shared" si="3"/>
        <v>9796.5</v>
      </c>
    </row>
    <row r="55" spans="1:11" x14ac:dyDescent="0.2">
      <c r="A55" s="2">
        <f ca="1">IFERROR(__xludf.DUMMYFUNCTION("""COMPUTED_VALUE"""),45373.6666666666)</f>
        <v>45373.666666666599</v>
      </c>
      <c r="B55" s="2"/>
      <c r="C55" s="1">
        <v>10000</v>
      </c>
      <c r="D55" s="1">
        <v>10125</v>
      </c>
      <c r="E55" s="1">
        <v>9950</v>
      </c>
      <c r="F55" s="1">
        <v>10100</v>
      </c>
      <c r="G55" s="1">
        <v>91968200</v>
      </c>
      <c r="H55" s="4">
        <f t="shared" si="0"/>
        <v>-2.4691358024691358E-3</v>
      </c>
      <c r="I55" s="4">
        <f t="shared" si="1"/>
        <v>7.161803713527852E-2</v>
      </c>
      <c r="J55" s="16">
        <f t="shared" si="2"/>
        <v>10000</v>
      </c>
      <c r="K55" s="16">
        <f t="shared" si="3"/>
        <v>9807</v>
      </c>
    </row>
    <row r="56" spans="1:11" x14ac:dyDescent="0.2">
      <c r="A56" s="2">
        <f ca="1">IFERROR(__xludf.DUMMYFUNCTION("""COMPUTED_VALUE"""),45376.6666666666)</f>
        <v>45376.666666666599</v>
      </c>
      <c r="B56" s="2"/>
      <c r="C56" s="1">
        <v>10075</v>
      </c>
      <c r="D56" s="1">
        <v>10075</v>
      </c>
      <c r="E56" s="1">
        <v>9925</v>
      </c>
      <c r="F56" s="1">
        <v>10075</v>
      </c>
      <c r="G56" s="1">
        <v>66971000</v>
      </c>
      <c r="H56" s="4">
        <f t="shared" si="0"/>
        <v>-2.4752475247524753E-3</v>
      </c>
      <c r="I56" s="4">
        <f t="shared" si="1"/>
        <v>6.8965517241379309E-2</v>
      </c>
      <c r="J56" s="16">
        <f t="shared" si="2"/>
        <v>10010</v>
      </c>
      <c r="K56" s="16">
        <f t="shared" si="3"/>
        <v>9817</v>
      </c>
    </row>
    <row r="57" spans="1:11" x14ac:dyDescent="0.2">
      <c r="A57" s="2">
        <f ca="1">IFERROR(__xludf.DUMMYFUNCTION("""COMPUTED_VALUE"""),45377.6666666666)</f>
        <v>45377.666666666599</v>
      </c>
      <c r="B57" s="2"/>
      <c r="C57" s="1">
        <v>10050</v>
      </c>
      <c r="D57" s="1">
        <v>10050</v>
      </c>
      <c r="E57" s="1">
        <v>9950</v>
      </c>
      <c r="F57" s="1">
        <v>10050</v>
      </c>
      <c r="G57" s="1">
        <v>65742700</v>
      </c>
      <c r="H57" s="4">
        <f t="shared" si="0"/>
        <v>-2.4813895781637717E-3</v>
      </c>
      <c r="I57" s="4">
        <f t="shared" si="1"/>
        <v>6.6312997347480113E-2</v>
      </c>
      <c r="J57" s="16">
        <f t="shared" si="2"/>
        <v>10021.25</v>
      </c>
      <c r="K57" s="16">
        <f t="shared" si="3"/>
        <v>9825.5</v>
      </c>
    </row>
    <row r="58" spans="1:11" x14ac:dyDescent="0.2">
      <c r="A58" s="2">
        <f ca="1">IFERROR(__xludf.DUMMYFUNCTION("""COMPUTED_VALUE"""),45378.6666666666)</f>
        <v>45378.666666666599</v>
      </c>
      <c r="B58" s="2"/>
      <c r="C58" s="1">
        <v>10025</v>
      </c>
      <c r="D58" s="1">
        <v>10075</v>
      </c>
      <c r="E58" s="1">
        <v>10000</v>
      </c>
      <c r="F58" s="1">
        <v>10075</v>
      </c>
      <c r="G58" s="1">
        <v>39514100</v>
      </c>
      <c r="H58" s="4">
        <f t="shared" si="0"/>
        <v>2.4875621890547263E-3</v>
      </c>
      <c r="I58" s="4">
        <f t="shared" si="1"/>
        <v>6.8965517241379309E-2</v>
      </c>
      <c r="J58" s="16">
        <f t="shared" si="2"/>
        <v>10035</v>
      </c>
      <c r="K58" s="16">
        <f t="shared" si="3"/>
        <v>9836</v>
      </c>
    </row>
    <row r="59" spans="1:11" x14ac:dyDescent="0.2">
      <c r="A59" s="2">
        <f ca="1">IFERROR(__xludf.DUMMYFUNCTION("""COMPUTED_VALUE"""),45379.6666666666)</f>
        <v>45379.666666666599</v>
      </c>
      <c r="B59" s="2"/>
      <c r="C59" s="1">
        <v>10025</v>
      </c>
      <c r="D59" s="1">
        <v>10100</v>
      </c>
      <c r="E59" s="1">
        <v>9975</v>
      </c>
      <c r="F59" s="1">
        <v>10075</v>
      </c>
      <c r="G59" s="1">
        <v>79229700</v>
      </c>
      <c r="H59" s="4">
        <f t="shared" si="0"/>
        <v>0</v>
      </c>
      <c r="I59" s="4">
        <f t="shared" si="1"/>
        <v>6.8965517241379309E-2</v>
      </c>
      <c r="J59" s="16">
        <f t="shared" si="2"/>
        <v>10045</v>
      </c>
      <c r="K59" s="16">
        <f t="shared" si="3"/>
        <v>9846</v>
      </c>
    </row>
    <row r="60" spans="1:11" x14ac:dyDescent="0.2">
      <c r="A60" s="2">
        <f ca="1">IFERROR(__xludf.DUMMYFUNCTION("""COMPUTED_VALUE"""),45383.6666666666)</f>
        <v>45383.666666666599</v>
      </c>
      <c r="B60" s="2"/>
      <c r="C60" s="1">
        <v>10075</v>
      </c>
      <c r="D60" s="1">
        <v>10100</v>
      </c>
      <c r="E60" s="1">
        <v>9825</v>
      </c>
      <c r="F60" s="1">
        <v>9850</v>
      </c>
      <c r="G60" s="1">
        <v>79248700</v>
      </c>
      <c r="H60" s="4">
        <f t="shared" si="0"/>
        <v>-2.2332506203473945E-2</v>
      </c>
      <c r="I60" s="4">
        <f t="shared" si="1"/>
        <v>4.5092838196286469E-2</v>
      </c>
      <c r="J60" s="16">
        <f t="shared" si="2"/>
        <v>10037.5</v>
      </c>
      <c r="K60" s="16">
        <f t="shared" si="3"/>
        <v>9849</v>
      </c>
    </row>
    <row r="61" spans="1:11" x14ac:dyDescent="0.2">
      <c r="A61" s="2">
        <f ca="1">IFERROR(__xludf.DUMMYFUNCTION("""COMPUTED_VALUE"""),45384.6666666666)</f>
        <v>45384.666666666599</v>
      </c>
      <c r="B61" s="2"/>
      <c r="C61" s="1">
        <v>9925</v>
      </c>
      <c r="D61" s="1">
        <v>9950</v>
      </c>
      <c r="E61" s="1">
        <v>9800</v>
      </c>
      <c r="F61" s="1">
        <v>9900</v>
      </c>
      <c r="G61" s="1">
        <v>76763100</v>
      </c>
      <c r="H61" s="4">
        <f t="shared" si="0"/>
        <v>5.076142131979695E-3</v>
      </c>
      <c r="I61" s="4">
        <f t="shared" si="1"/>
        <v>5.0397877984084884E-2</v>
      </c>
      <c r="J61" s="16">
        <f t="shared" si="2"/>
        <v>10038.75</v>
      </c>
      <c r="K61" s="16">
        <f t="shared" si="3"/>
        <v>9852.5</v>
      </c>
    </row>
    <row r="62" spans="1:11" x14ac:dyDescent="0.2">
      <c r="A62" s="2">
        <f ca="1">IFERROR(__xludf.DUMMYFUNCTION("""COMPUTED_VALUE"""),45385.6666666666)</f>
        <v>45385.666666666599</v>
      </c>
      <c r="B62" s="2"/>
      <c r="C62" s="1">
        <v>9750</v>
      </c>
      <c r="D62" s="1">
        <v>9800</v>
      </c>
      <c r="E62" s="1">
        <v>9525</v>
      </c>
      <c r="F62" s="1">
        <v>9525</v>
      </c>
      <c r="G62" s="1">
        <v>177418400</v>
      </c>
      <c r="H62" s="4">
        <f t="shared" si="0"/>
        <v>-3.787878787878788E-2</v>
      </c>
      <c r="I62" s="4">
        <f t="shared" si="1"/>
        <v>1.0610079575596816E-2</v>
      </c>
      <c r="J62" s="16">
        <f t="shared" si="2"/>
        <v>10023.75</v>
      </c>
      <c r="K62" s="16">
        <f t="shared" si="3"/>
        <v>9849</v>
      </c>
    </row>
    <row r="63" spans="1:11" x14ac:dyDescent="0.2">
      <c r="A63" s="2">
        <f ca="1">IFERROR(__xludf.DUMMYFUNCTION("""COMPUTED_VALUE"""),45386.6666666666)</f>
        <v>45386.666666666599</v>
      </c>
      <c r="B63" s="2"/>
      <c r="C63" s="1">
        <v>9575</v>
      </c>
      <c r="D63" s="1">
        <v>9850</v>
      </c>
      <c r="E63" s="1">
        <v>9575</v>
      </c>
      <c r="F63" s="1">
        <v>9850</v>
      </c>
      <c r="G63" s="1">
        <v>75993500</v>
      </c>
      <c r="H63" s="4">
        <f t="shared" si="0"/>
        <v>3.4120734908136482E-2</v>
      </c>
      <c r="I63" s="4">
        <f t="shared" si="1"/>
        <v>4.5092838196286469E-2</v>
      </c>
      <c r="J63" s="16">
        <f t="shared" si="2"/>
        <v>10028.75</v>
      </c>
      <c r="K63" s="16">
        <f t="shared" si="3"/>
        <v>9851</v>
      </c>
    </row>
    <row r="64" spans="1:11" x14ac:dyDescent="0.2">
      <c r="A64" s="2">
        <f ca="1">IFERROR(__xludf.DUMMYFUNCTION("""COMPUTED_VALUE"""),45387.6666666666)</f>
        <v>45387.666666666599</v>
      </c>
      <c r="B64" s="2"/>
      <c r="C64" s="1">
        <v>9950</v>
      </c>
      <c r="D64" s="1">
        <v>9950</v>
      </c>
      <c r="E64" s="1">
        <v>9825</v>
      </c>
      <c r="F64" s="1">
        <v>9825</v>
      </c>
      <c r="G64" s="1">
        <v>70428600</v>
      </c>
      <c r="H64" s="4">
        <f t="shared" si="0"/>
        <v>-2.5380710659898475E-3</v>
      </c>
      <c r="I64" s="4">
        <f t="shared" si="1"/>
        <v>4.2440318302387266E-2</v>
      </c>
      <c r="J64" s="16">
        <f t="shared" si="2"/>
        <v>10030</v>
      </c>
      <c r="K64" s="16">
        <f t="shared" si="3"/>
        <v>9854</v>
      </c>
    </row>
    <row r="65" spans="1:11" x14ac:dyDescent="0.2">
      <c r="A65" s="2">
        <f ca="1">IFERROR(__xludf.DUMMYFUNCTION("""COMPUTED_VALUE"""),45398.6666666666)</f>
        <v>45398.666666666599</v>
      </c>
      <c r="B65" s="2"/>
      <c r="C65" s="1">
        <v>9350</v>
      </c>
      <c r="D65" s="1">
        <v>9575</v>
      </c>
      <c r="E65" s="1">
        <v>9250</v>
      </c>
      <c r="F65" s="1">
        <v>9475</v>
      </c>
      <c r="G65" s="1">
        <v>283265900</v>
      </c>
      <c r="H65" s="4">
        <f t="shared" si="0"/>
        <v>-3.5623409669211195E-2</v>
      </c>
      <c r="I65" s="4">
        <f t="shared" si="1"/>
        <v>5.3050397877984082E-3</v>
      </c>
      <c r="J65" s="16">
        <f t="shared" si="2"/>
        <v>10006.25</v>
      </c>
      <c r="K65" s="16">
        <f t="shared" si="3"/>
        <v>9851</v>
      </c>
    </row>
    <row r="66" spans="1:11" x14ac:dyDescent="0.2">
      <c r="A66" s="2">
        <f ca="1">IFERROR(__xludf.DUMMYFUNCTION("""COMPUTED_VALUE"""),45399.6666666666)</f>
        <v>45399.666666666599</v>
      </c>
      <c r="B66" s="2"/>
      <c r="C66" s="1">
        <v>9550</v>
      </c>
      <c r="D66" s="1">
        <v>9675</v>
      </c>
      <c r="E66" s="1">
        <v>9525</v>
      </c>
      <c r="F66" s="1">
        <v>9525</v>
      </c>
      <c r="G66" s="1">
        <v>95620700</v>
      </c>
      <c r="H66" s="4">
        <f t="shared" si="0"/>
        <v>5.2770448548812663E-3</v>
      </c>
      <c r="I66" s="4">
        <f t="shared" si="1"/>
        <v>1.0610079575596816E-2</v>
      </c>
      <c r="J66" s="16">
        <f t="shared" si="2"/>
        <v>9976.25</v>
      </c>
      <c r="K66" s="16">
        <f t="shared" si="3"/>
        <v>9849</v>
      </c>
    </row>
    <row r="67" spans="1:11" x14ac:dyDescent="0.2">
      <c r="A67" s="2">
        <f ca="1">IFERROR(__xludf.DUMMYFUNCTION("""COMPUTED_VALUE"""),45400.6666666666)</f>
        <v>45400.666666666599</v>
      </c>
      <c r="B67" s="2"/>
      <c r="C67" s="1">
        <v>9525</v>
      </c>
      <c r="D67" s="1">
        <v>9575</v>
      </c>
      <c r="E67" s="1">
        <v>9450</v>
      </c>
      <c r="F67" s="1">
        <v>9475</v>
      </c>
      <c r="G67" s="1">
        <v>127134000</v>
      </c>
      <c r="H67" s="4">
        <f t="shared" si="0"/>
        <v>-5.2493438320209973E-3</v>
      </c>
      <c r="I67" s="4">
        <f t="shared" si="1"/>
        <v>5.3050397877984082E-3</v>
      </c>
      <c r="J67" s="16">
        <f t="shared" si="2"/>
        <v>9942.5</v>
      </c>
      <c r="K67" s="16">
        <f t="shared" si="3"/>
        <v>9846.5</v>
      </c>
    </row>
    <row r="68" spans="1:11" x14ac:dyDescent="0.2">
      <c r="A68" s="2">
        <f ca="1">IFERROR(__xludf.DUMMYFUNCTION("""COMPUTED_VALUE"""),45401.6666666666)</f>
        <v>45401.666666666599</v>
      </c>
      <c r="B68" s="2"/>
      <c r="C68" s="1">
        <v>9350</v>
      </c>
      <c r="D68" s="1">
        <v>9500</v>
      </c>
      <c r="E68" s="1">
        <v>9300</v>
      </c>
      <c r="F68" s="1">
        <v>9475</v>
      </c>
      <c r="G68" s="1">
        <v>147784300</v>
      </c>
      <c r="H68" s="4">
        <f t="shared" ref="H68:H131" si="4">(F68-F67)/F67</f>
        <v>0</v>
      </c>
      <c r="I68" s="4">
        <f t="shared" ref="I68:I131" si="5">(F68-$F$2)/$F$2</f>
        <v>5.3050397877984082E-3</v>
      </c>
      <c r="J68" s="16">
        <f t="shared" si="2"/>
        <v>9916.25</v>
      </c>
      <c r="K68" s="16">
        <f t="shared" si="3"/>
        <v>9845.5</v>
      </c>
    </row>
    <row r="69" spans="1:11" x14ac:dyDescent="0.2">
      <c r="A69" s="2">
        <f ca="1">IFERROR(__xludf.DUMMYFUNCTION("""COMPUTED_VALUE"""),45404.6666666666)</f>
        <v>45404.666666666599</v>
      </c>
      <c r="B69" s="2"/>
      <c r="C69" s="1">
        <v>9400</v>
      </c>
      <c r="D69" s="1">
        <v>9425</v>
      </c>
      <c r="E69" s="1">
        <v>9350</v>
      </c>
      <c r="F69" s="1">
        <v>9350</v>
      </c>
      <c r="G69" s="1">
        <v>128908000</v>
      </c>
      <c r="H69" s="4">
        <f t="shared" si="4"/>
        <v>-1.3192612137203167E-2</v>
      </c>
      <c r="I69" s="4">
        <f t="shared" si="5"/>
        <v>-7.9575596816976128E-3</v>
      </c>
      <c r="J69" s="16">
        <f t="shared" si="2"/>
        <v>9867.5</v>
      </c>
      <c r="K69" s="16">
        <f t="shared" si="3"/>
        <v>9842.5</v>
      </c>
    </row>
    <row r="70" spans="1:11" x14ac:dyDescent="0.2">
      <c r="A70" s="2">
        <f ca="1">IFERROR(__xludf.DUMMYFUNCTION("""COMPUTED_VALUE"""),45405.6666666666)</f>
        <v>45405.666666666599</v>
      </c>
      <c r="B70" s="2"/>
      <c r="C70" s="1">
        <v>9400</v>
      </c>
      <c r="D70" s="1">
        <v>9775</v>
      </c>
      <c r="E70" s="1">
        <v>9400</v>
      </c>
      <c r="F70" s="1">
        <v>9725</v>
      </c>
      <c r="G70" s="1">
        <v>178833000</v>
      </c>
      <c r="H70" s="4">
        <f t="shared" si="4"/>
        <v>4.0106951871657755E-2</v>
      </c>
      <c r="I70" s="4">
        <f t="shared" si="5"/>
        <v>3.1830238726790451E-2</v>
      </c>
      <c r="J70" s="16">
        <f t="shared" si="2"/>
        <v>9846.25</v>
      </c>
      <c r="K70" s="16">
        <f t="shared" si="3"/>
        <v>9850</v>
      </c>
    </row>
    <row r="71" spans="1:11" x14ac:dyDescent="0.2">
      <c r="A71" s="2">
        <f ca="1">IFERROR(__xludf.DUMMYFUNCTION("""COMPUTED_VALUE"""),45406.6666666666)</f>
        <v>45406.666666666599</v>
      </c>
      <c r="B71" s="2"/>
      <c r="C71" s="1">
        <v>9825</v>
      </c>
      <c r="D71" s="1">
        <v>9950</v>
      </c>
      <c r="E71" s="1">
        <v>9750</v>
      </c>
      <c r="F71" s="1">
        <v>9950</v>
      </c>
      <c r="G71" s="1">
        <v>132832700</v>
      </c>
      <c r="H71" s="4">
        <f t="shared" si="4"/>
        <v>2.313624678663239E-2</v>
      </c>
      <c r="I71" s="4">
        <f t="shared" si="5"/>
        <v>5.5702917771883291E-2</v>
      </c>
      <c r="J71" s="16">
        <f t="shared" si="2"/>
        <v>9836.25</v>
      </c>
      <c r="K71" s="16">
        <f t="shared" si="3"/>
        <v>9858</v>
      </c>
    </row>
    <row r="72" spans="1:11" x14ac:dyDescent="0.2">
      <c r="A72" s="2">
        <f ca="1">IFERROR(__xludf.DUMMYFUNCTION("""COMPUTED_VALUE"""),45407.6666666666)</f>
        <v>45407.666666666599</v>
      </c>
      <c r="B72" s="2"/>
      <c r="C72" s="1">
        <v>10000</v>
      </c>
      <c r="D72" s="1">
        <v>10000</v>
      </c>
      <c r="E72" s="1">
        <v>9700</v>
      </c>
      <c r="F72" s="1">
        <v>9775</v>
      </c>
      <c r="G72" s="1">
        <v>104874100</v>
      </c>
      <c r="H72" s="4">
        <f t="shared" si="4"/>
        <v>-1.7587939698492462E-2</v>
      </c>
      <c r="I72" s="4">
        <f t="shared" si="5"/>
        <v>3.7135278514588858E-2</v>
      </c>
      <c r="J72" s="16">
        <f t="shared" si="2"/>
        <v>9816.25</v>
      </c>
      <c r="K72" s="16">
        <f t="shared" si="3"/>
        <v>9860.5</v>
      </c>
    </row>
    <row r="73" spans="1:11" x14ac:dyDescent="0.2">
      <c r="A73" s="2">
        <f ca="1">IFERROR(__xludf.DUMMYFUNCTION("""COMPUTED_VALUE"""),45408.6666666666)</f>
        <v>45408.666666666599</v>
      </c>
      <c r="B73" s="2"/>
      <c r="C73" s="1">
        <v>9700</v>
      </c>
      <c r="D73" s="1">
        <v>9825</v>
      </c>
      <c r="E73" s="1">
        <v>9625</v>
      </c>
      <c r="F73" s="1">
        <v>9625</v>
      </c>
      <c r="G73" s="1">
        <v>100932900</v>
      </c>
      <c r="H73" s="4">
        <f t="shared" si="4"/>
        <v>-1.5345268542199489E-2</v>
      </c>
      <c r="I73" s="4">
        <f t="shared" si="5"/>
        <v>2.1220159151193633E-2</v>
      </c>
      <c r="J73" s="16">
        <f t="shared" si="2"/>
        <v>9791.25</v>
      </c>
      <c r="K73" s="16">
        <f t="shared" si="3"/>
        <v>9862</v>
      </c>
    </row>
    <row r="74" spans="1:11" x14ac:dyDescent="0.2">
      <c r="A74" s="2">
        <f ca="1">IFERROR(__xludf.DUMMYFUNCTION("""COMPUTED_VALUE"""),45411.6666666666)</f>
        <v>45411.666666666599</v>
      </c>
      <c r="B74" s="2"/>
      <c r="C74" s="1">
        <v>9525</v>
      </c>
      <c r="D74" s="1">
        <v>9850</v>
      </c>
      <c r="E74" s="1">
        <v>9525</v>
      </c>
      <c r="F74" s="1">
        <v>9800</v>
      </c>
      <c r="G74" s="1">
        <v>90063500</v>
      </c>
      <c r="H74" s="4">
        <f t="shared" si="4"/>
        <v>1.8181818181818181E-2</v>
      </c>
      <c r="I74" s="4">
        <f t="shared" si="5"/>
        <v>3.9787798408488062E-2</v>
      </c>
      <c r="J74" s="16">
        <f t="shared" si="2"/>
        <v>9775</v>
      </c>
      <c r="K74" s="16">
        <f t="shared" si="3"/>
        <v>9864</v>
      </c>
    </row>
    <row r="75" spans="1:11" x14ac:dyDescent="0.2">
      <c r="A75" s="2">
        <f ca="1">IFERROR(__xludf.DUMMYFUNCTION("""COMPUTED_VALUE"""),45412.6666666666)</f>
        <v>45412.666666666599</v>
      </c>
      <c r="B75" s="2"/>
      <c r="C75" s="1">
        <v>10050</v>
      </c>
      <c r="D75" s="1">
        <v>10050</v>
      </c>
      <c r="E75" s="1">
        <v>9800</v>
      </c>
      <c r="F75" s="1">
        <v>9800</v>
      </c>
      <c r="G75" s="1">
        <v>109623000</v>
      </c>
      <c r="H75" s="4">
        <f t="shared" si="4"/>
        <v>0</v>
      </c>
      <c r="I75" s="4">
        <f t="shared" si="5"/>
        <v>3.9787798408488062E-2</v>
      </c>
      <c r="J75" s="16">
        <f t="shared" si="2"/>
        <v>9760</v>
      </c>
      <c r="K75" s="16">
        <f t="shared" si="3"/>
        <v>9866</v>
      </c>
    </row>
    <row r="76" spans="1:11" x14ac:dyDescent="0.2">
      <c r="A76" s="2">
        <f ca="1">IFERROR(__xludf.DUMMYFUNCTION("""COMPUTED_VALUE"""),45414.6666666666)</f>
        <v>45414.666666666599</v>
      </c>
      <c r="B76" s="2"/>
      <c r="C76" s="1">
        <v>9900</v>
      </c>
      <c r="D76" s="1">
        <v>9900</v>
      </c>
      <c r="E76" s="1">
        <v>9500</v>
      </c>
      <c r="F76" s="1">
        <v>9550</v>
      </c>
      <c r="G76" s="1">
        <v>97079400</v>
      </c>
      <c r="H76" s="4">
        <f t="shared" si="4"/>
        <v>-2.5510204081632654E-2</v>
      </c>
      <c r="I76" s="4">
        <f t="shared" si="5"/>
        <v>1.3262599469496022E-2</v>
      </c>
      <c r="J76" s="16">
        <f t="shared" si="2"/>
        <v>9733.75</v>
      </c>
      <c r="K76" s="16">
        <f t="shared" si="3"/>
        <v>9865.5</v>
      </c>
    </row>
    <row r="77" spans="1:11" x14ac:dyDescent="0.2">
      <c r="A77" s="2">
        <f ca="1">IFERROR(__xludf.DUMMYFUNCTION("""COMPUTED_VALUE"""),45415.6666666666)</f>
        <v>45415.666666666599</v>
      </c>
      <c r="B77" s="2"/>
      <c r="C77" s="1">
        <v>9750</v>
      </c>
      <c r="D77" s="1">
        <v>9850</v>
      </c>
      <c r="E77" s="1">
        <v>9675</v>
      </c>
      <c r="F77" s="1">
        <v>9850</v>
      </c>
      <c r="G77" s="1">
        <v>81200400</v>
      </c>
      <c r="H77" s="4">
        <f t="shared" si="4"/>
        <v>3.1413612565445025E-2</v>
      </c>
      <c r="I77" s="4">
        <f t="shared" si="5"/>
        <v>4.5092838196286469E-2</v>
      </c>
      <c r="J77" s="16">
        <f t="shared" si="2"/>
        <v>9723.75</v>
      </c>
      <c r="K77" s="16">
        <f t="shared" si="3"/>
        <v>9870</v>
      </c>
    </row>
    <row r="78" spans="1:11" x14ac:dyDescent="0.2">
      <c r="A78" s="2">
        <f ca="1">IFERROR(__xludf.DUMMYFUNCTION("""COMPUTED_VALUE"""),45418.6666666666)</f>
        <v>45418.666666666599</v>
      </c>
      <c r="B78" s="2"/>
      <c r="C78" s="1">
        <v>9850</v>
      </c>
      <c r="D78" s="1">
        <v>9875</v>
      </c>
      <c r="E78" s="1">
        <v>9775</v>
      </c>
      <c r="F78" s="1">
        <v>9800</v>
      </c>
      <c r="G78" s="1">
        <v>53076200</v>
      </c>
      <c r="H78" s="4">
        <f t="shared" si="4"/>
        <v>-5.076142131979695E-3</v>
      </c>
      <c r="I78" s="4">
        <f t="shared" si="5"/>
        <v>3.9787798408488062E-2</v>
      </c>
      <c r="J78" s="16">
        <f t="shared" si="2"/>
        <v>9710</v>
      </c>
      <c r="K78" s="16">
        <f t="shared" si="3"/>
        <v>9872</v>
      </c>
    </row>
    <row r="79" spans="1:11" x14ac:dyDescent="0.2">
      <c r="A79" s="2">
        <f ca="1">IFERROR(__xludf.DUMMYFUNCTION("""COMPUTED_VALUE"""),45419.6666666666)</f>
        <v>45419.666666666599</v>
      </c>
      <c r="B79" s="2"/>
      <c r="C79" s="1">
        <v>9700</v>
      </c>
      <c r="D79" s="1">
        <v>9750</v>
      </c>
      <c r="E79" s="1">
        <v>9625</v>
      </c>
      <c r="F79" s="1">
        <v>9700</v>
      </c>
      <c r="G79" s="1">
        <v>66746800</v>
      </c>
      <c r="H79" s="4">
        <f t="shared" si="4"/>
        <v>-1.020408163265306E-2</v>
      </c>
      <c r="I79" s="4">
        <f t="shared" si="5"/>
        <v>2.9177718832891247E-2</v>
      </c>
      <c r="J79" s="16">
        <f t="shared" si="2"/>
        <v>9691.25</v>
      </c>
      <c r="K79" s="16">
        <f t="shared" si="3"/>
        <v>9870</v>
      </c>
    </row>
    <row r="80" spans="1:11" x14ac:dyDescent="0.2">
      <c r="A80" s="2">
        <f ca="1">IFERROR(__xludf.DUMMYFUNCTION("""COMPUTED_VALUE"""),45420.6666666666)</f>
        <v>45420.666666666599</v>
      </c>
      <c r="B80" s="2"/>
      <c r="C80" s="1">
        <v>9600</v>
      </c>
      <c r="D80" s="1">
        <v>9700</v>
      </c>
      <c r="E80" s="1">
        <v>9375</v>
      </c>
      <c r="F80" s="1">
        <v>9375</v>
      </c>
      <c r="G80" s="1">
        <v>112808900</v>
      </c>
      <c r="H80" s="4">
        <f t="shared" si="4"/>
        <v>-3.3505154639175257E-2</v>
      </c>
      <c r="I80" s="4">
        <f t="shared" si="5"/>
        <v>-5.3050397877984082E-3</v>
      </c>
      <c r="J80" s="16">
        <f t="shared" si="2"/>
        <v>9667.5</v>
      </c>
      <c r="K80" s="16">
        <f t="shared" si="3"/>
        <v>9863</v>
      </c>
    </row>
    <row r="81" spans="1:11" x14ac:dyDescent="0.2">
      <c r="A81" s="2">
        <f ca="1">IFERROR(__xludf.DUMMYFUNCTION("""COMPUTED_VALUE"""),45425.6666666666)</f>
        <v>45425.666666666599</v>
      </c>
      <c r="B81" s="2"/>
      <c r="C81" s="1">
        <v>9200</v>
      </c>
      <c r="D81" s="1">
        <v>9525</v>
      </c>
      <c r="E81" s="1">
        <v>9200</v>
      </c>
      <c r="F81" s="1">
        <v>9525</v>
      </c>
      <c r="G81" s="1">
        <v>145469900</v>
      </c>
      <c r="H81" s="4">
        <f t="shared" si="4"/>
        <v>1.6E-2</v>
      </c>
      <c r="I81" s="4">
        <f t="shared" si="5"/>
        <v>1.0610079575596816E-2</v>
      </c>
      <c r="J81" s="16">
        <f t="shared" si="2"/>
        <v>9648.75</v>
      </c>
      <c r="K81" s="16">
        <f t="shared" si="3"/>
        <v>9856.5</v>
      </c>
    </row>
    <row r="82" spans="1:11" x14ac:dyDescent="0.2">
      <c r="A82" s="2">
        <f ca="1">IFERROR(__xludf.DUMMYFUNCTION("""COMPUTED_VALUE"""),45426.6666666666)</f>
        <v>45426.666666666599</v>
      </c>
      <c r="B82" s="2"/>
      <c r="C82" s="1">
        <v>9625</v>
      </c>
      <c r="D82" s="1">
        <v>9675</v>
      </c>
      <c r="E82" s="1">
        <v>9525</v>
      </c>
      <c r="F82" s="1">
        <v>9550</v>
      </c>
      <c r="G82" s="1">
        <v>95363500</v>
      </c>
      <c r="H82" s="4">
        <f t="shared" si="4"/>
        <v>2.6246719160104987E-3</v>
      </c>
      <c r="I82" s="4">
        <f t="shared" si="5"/>
        <v>1.3262599469496022E-2</v>
      </c>
      <c r="J82" s="16">
        <f t="shared" si="2"/>
        <v>9650</v>
      </c>
      <c r="K82" s="16">
        <f t="shared" si="3"/>
        <v>9848.5</v>
      </c>
    </row>
    <row r="83" spans="1:11" x14ac:dyDescent="0.2">
      <c r="A83" s="2">
        <f ca="1">IFERROR(__xludf.DUMMYFUNCTION("""COMPUTED_VALUE"""),45427.6666666666)</f>
        <v>45427.666666666599</v>
      </c>
      <c r="B83" s="2"/>
      <c r="C83" s="1">
        <v>9500</v>
      </c>
      <c r="D83" s="1">
        <v>9600</v>
      </c>
      <c r="E83" s="1">
        <v>9425</v>
      </c>
      <c r="F83" s="1">
        <v>9500</v>
      </c>
      <c r="G83" s="1">
        <v>54741900</v>
      </c>
      <c r="H83" s="4">
        <f t="shared" si="4"/>
        <v>-5.235602094240838E-3</v>
      </c>
      <c r="I83" s="4">
        <f t="shared" si="5"/>
        <v>7.9575596816976128E-3</v>
      </c>
      <c r="J83" s="16">
        <f t="shared" si="2"/>
        <v>9632.5</v>
      </c>
      <c r="K83" s="16">
        <f t="shared" si="3"/>
        <v>9841</v>
      </c>
    </row>
    <row r="84" spans="1:11" x14ac:dyDescent="0.2">
      <c r="A84" s="2">
        <f ca="1">IFERROR(__xludf.DUMMYFUNCTION("""COMPUTED_VALUE"""),45428.6666666666)</f>
        <v>45428.666666666599</v>
      </c>
      <c r="B84" s="2"/>
      <c r="C84" s="1">
        <v>9575</v>
      </c>
      <c r="D84" s="1">
        <v>9675</v>
      </c>
      <c r="E84" s="1">
        <v>9525</v>
      </c>
      <c r="F84" s="1">
        <v>9600</v>
      </c>
      <c r="G84" s="1">
        <v>61126000</v>
      </c>
      <c r="H84" s="4">
        <f t="shared" si="4"/>
        <v>1.0526315789473684E-2</v>
      </c>
      <c r="I84" s="4">
        <f t="shared" si="5"/>
        <v>1.8567639257294429E-2</v>
      </c>
      <c r="J84" s="16">
        <f t="shared" si="2"/>
        <v>9621.25</v>
      </c>
      <c r="K84" s="16">
        <f t="shared" si="3"/>
        <v>9832.5</v>
      </c>
    </row>
    <row r="85" spans="1:11" x14ac:dyDescent="0.2">
      <c r="A85" s="2">
        <f ca="1">IFERROR(__xludf.DUMMYFUNCTION("""COMPUTED_VALUE"""),45429.6666666666)</f>
        <v>45429.666666666599</v>
      </c>
      <c r="B85" s="2"/>
      <c r="C85" s="1">
        <v>9600</v>
      </c>
      <c r="D85" s="1">
        <v>9850</v>
      </c>
      <c r="E85" s="1">
        <v>9575</v>
      </c>
      <c r="F85" s="1">
        <v>9750</v>
      </c>
      <c r="G85" s="1">
        <v>99848500</v>
      </c>
      <c r="H85" s="4">
        <f t="shared" si="4"/>
        <v>1.5625E-2</v>
      </c>
      <c r="I85" s="4">
        <f t="shared" si="5"/>
        <v>3.4482758620689655E-2</v>
      </c>
      <c r="J85" s="16">
        <f t="shared" si="2"/>
        <v>9635</v>
      </c>
      <c r="K85" s="16">
        <f t="shared" si="3"/>
        <v>9828</v>
      </c>
    </row>
    <row r="86" spans="1:11" x14ac:dyDescent="0.2">
      <c r="A86" s="2">
        <f ca="1">IFERROR(__xludf.DUMMYFUNCTION("""COMPUTED_VALUE"""),45432.6666666666)</f>
        <v>45432.666666666599</v>
      </c>
      <c r="B86" s="2"/>
      <c r="C86" s="1">
        <v>9700</v>
      </c>
      <c r="D86" s="1">
        <v>9800</v>
      </c>
      <c r="E86" s="1">
        <v>9475</v>
      </c>
      <c r="F86" s="1">
        <v>9475</v>
      </c>
      <c r="G86" s="1">
        <v>87890100</v>
      </c>
      <c r="H86" s="4">
        <f t="shared" si="4"/>
        <v>-2.8205128205128206E-2</v>
      </c>
      <c r="I86" s="4">
        <f t="shared" si="5"/>
        <v>5.3050397877984082E-3</v>
      </c>
      <c r="J86" s="16">
        <f t="shared" ref="J86:J149" si="6">AVERAGE(F67:F86)</f>
        <v>9632.5</v>
      </c>
      <c r="K86" s="16">
        <f t="shared" si="3"/>
        <v>9820</v>
      </c>
    </row>
    <row r="87" spans="1:11" x14ac:dyDescent="0.2">
      <c r="A87" s="2">
        <f ca="1">IFERROR(__xludf.DUMMYFUNCTION("""COMPUTED_VALUE"""),45433.6666666666)</f>
        <v>45433.666666666599</v>
      </c>
      <c r="B87" s="2"/>
      <c r="C87" s="1">
        <v>9450</v>
      </c>
      <c r="D87" s="1">
        <v>9575</v>
      </c>
      <c r="E87" s="1">
        <v>9375</v>
      </c>
      <c r="F87" s="1">
        <v>9375</v>
      </c>
      <c r="G87" s="1">
        <v>75311400</v>
      </c>
      <c r="H87" s="4">
        <f t="shared" si="4"/>
        <v>-1.0554089709762533E-2</v>
      </c>
      <c r="I87" s="4">
        <f t="shared" si="5"/>
        <v>-5.3050397877984082E-3</v>
      </c>
      <c r="J87" s="16">
        <f t="shared" si="6"/>
        <v>9627.5</v>
      </c>
      <c r="K87" s="16">
        <f t="shared" si="3"/>
        <v>9811</v>
      </c>
    </row>
    <row r="88" spans="1:11" x14ac:dyDescent="0.2">
      <c r="A88" s="2">
        <f ca="1">IFERROR(__xludf.DUMMYFUNCTION("""COMPUTED_VALUE"""),45434.6666666666)</f>
        <v>45434.666666666599</v>
      </c>
      <c r="B88" s="2"/>
      <c r="C88" s="1">
        <v>9475</v>
      </c>
      <c r="D88" s="1">
        <v>9575</v>
      </c>
      <c r="E88" s="1">
        <v>9325</v>
      </c>
      <c r="F88" s="1">
        <v>9425</v>
      </c>
      <c r="G88" s="1">
        <v>121712700</v>
      </c>
      <c r="H88" s="4">
        <f t="shared" si="4"/>
        <v>5.3333333333333332E-3</v>
      </c>
      <c r="I88" s="4">
        <f t="shared" si="5"/>
        <v>0</v>
      </c>
      <c r="J88" s="16">
        <f t="shared" si="6"/>
        <v>9625</v>
      </c>
      <c r="K88" s="16">
        <f t="shared" si="3"/>
        <v>9803.5</v>
      </c>
    </row>
    <row r="89" spans="1:11" x14ac:dyDescent="0.2">
      <c r="A89" s="2">
        <f ca="1">IFERROR(__xludf.DUMMYFUNCTION("""COMPUTED_VALUE"""),45439.6666666666)</f>
        <v>45439.666666666599</v>
      </c>
      <c r="B89" s="2"/>
      <c r="C89" s="1">
        <v>9300</v>
      </c>
      <c r="D89" s="1">
        <v>9375</v>
      </c>
      <c r="E89" s="1">
        <v>9275</v>
      </c>
      <c r="F89" s="1">
        <v>9300</v>
      </c>
      <c r="G89" s="1">
        <v>128578500</v>
      </c>
      <c r="H89" s="4">
        <f t="shared" si="4"/>
        <v>-1.3262599469496022E-2</v>
      </c>
      <c r="I89" s="4">
        <f t="shared" si="5"/>
        <v>-1.3262599469496022E-2</v>
      </c>
      <c r="J89" s="16">
        <f t="shared" si="6"/>
        <v>9622.5</v>
      </c>
      <c r="K89" s="16">
        <f t="shared" si="3"/>
        <v>9792</v>
      </c>
    </row>
    <row r="90" spans="1:11" x14ac:dyDescent="0.2">
      <c r="A90" s="2">
        <f ca="1">IFERROR(__xludf.DUMMYFUNCTION("""COMPUTED_VALUE"""),45440.6666666666)</f>
        <v>45440.666666666599</v>
      </c>
      <c r="B90" s="2"/>
      <c r="C90" s="1">
        <v>9300</v>
      </c>
      <c r="D90" s="1">
        <v>9400</v>
      </c>
      <c r="E90" s="1">
        <v>9300</v>
      </c>
      <c r="F90" s="1">
        <v>9300</v>
      </c>
      <c r="G90" s="1">
        <v>73945700</v>
      </c>
      <c r="H90" s="4">
        <f t="shared" si="4"/>
        <v>0</v>
      </c>
      <c r="I90" s="4">
        <f t="shared" si="5"/>
        <v>-1.3262599469496022E-2</v>
      </c>
      <c r="J90" s="16">
        <f t="shared" si="6"/>
        <v>9601.25</v>
      </c>
      <c r="K90" s="16">
        <f t="shared" si="3"/>
        <v>9778</v>
      </c>
    </row>
    <row r="91" spans="1:11" x14ac:dyDescent="0.2">
      <c r="A91" s="2">
        <f ca="1">IFERROR(__xludf.DUMMYFUNCTION("""COMPUTED_VALUE"""),45441.6666666666)</f>
        <v>45441.666666666599</v>
      </c>
      <c r="B91" s="2"/>
      <c r="C91" s="1">
        <v>9275</v>
      </c>
      <c r="D91" s="1">
        <v>9325</v>
      </c>
      <c r="E91" s="1">
        <v>9150</v>
      </c>
      <c r="F91" s="1">
        <v>9150</v>
      </c>
      <c r="G91" s="1">
        <v>117351600</v>
      </c>
      <c r="H91" s="4">
        <f t="shared" si="4"/>
        <v>-1.6129032258064516E-2</v>
      </c>
      <c r="I91" s="4">
        <f t="shared" si="5"/>
        <v>-2.9177718832891247E-2</v>
      </c>
      <c r="J91" s="16">
        <f t="shared" si="6"/>
        <v>9561.25</v>
      </c>
      <c r="K91" s="16">
        <f t="shared" si="3"/>
        <v>9763.5</v>
      </c>
    </row>
    <row r="92" spans="1:11" x14ac:dyDescent="0.2">
      <c r="A92" s="2">
        <f ca="1">IFERROR(__xludf.DUMMYFUNCTION("""COMPUTED_VALUE"""),45442.6666666666)</f>
        <v>45442.666666666599</v>
      </c>
      <c r="B92" s="2"/>
      <c r="C92" s="1">
        <v>9000</v>
      </c>
      <c r="D92" s="1">
        <v>9250</v>
      </c>
      <c r="E92" s="1">
        <v>8775</v>
      </c>
      <c r="F92" s="1">
        <v>9000</v>
      </c>
      <c r="G92" s="1">
        <v>207115100</v>
      </c>
      <c r="H92" s="4">
        <f t="shared" si="4"/>
        <v>-1.6393442622950821E-2</v>
      </c>
      <c r="I92" s="4">
        <f t="shared" si="5"/>
        <v>-4.5092838196286469E-2</v>
      </c>
      <c r="J92" s="16">
        <f t="shared" si="6"/>
        <v>9522.5</v>
      </c>
      <c r="K92" s="16">
        <f t="shared" si="3"/>
        <v>9747</v>
      </c>
    </row>
    <row r="93" spans="1:11" x14ac:dyDescent="0.2">
      <c r="A93" s="2">
        <f ca="1">IFERROR(__xludf.DUMMYFUNCTION("""COMPUTED_VALUE"""),45443.6666666666)</f>
        <v>45443.666666666599</v>
      </c>
      <c r="B93" s="2"/>
      <c r="C93" s="1">
        <v>9100</v>
      </c>
      <c r="D93" s="1">
        <v>9250</v>
      </c>
      <c r="E93" s="1">
        <v>9025</v>
      </c>
      <c r="F93" s="1">
        <v>9250</v>
      </c>
      <c r="G93" s="1">
        <v>756431600</v>
      </c>
      <c r="H93" s="4">
        <f t="shared" si="4"/>
        <v>2.7777777777777776E-2</v>
      </c>
      <c r="I93" s="4">
        <f t="shared" si="5"/>
        <v>-1.8567639257294429E-2</v>
      </c>
      <c r="J93" s="16">
        <f t="shared" si="6"/>
        <v>9503.75</v>
      </c>
      <c r="K93" s="16">
        <f t="shared" si="3"/>
        <v>9737</v>
      </c>
    </row>
    <row r="94" spans="1:11" x14ac:dyDescent="0.2">
      <c r="A94" s="2">
        <f ca="1">IFERROR(__xludf.DUMMYFUNCTION("""COMPUTED_VALUE"""),45446.6666666666)</f>
        <v>45446.666666666599</v>
      </c>
      <c r="B94" s="2"/>
      <c r="C94" s="1">
        <v>9350</v>
      </c>
      <c r="D94" s="1">
        <v>9350</v>
      </c>
      <c r="E94" s="1">
        <v>9225</v>
      </c>
      <c r="F94" s="1">
        <v>9275</v>
      </c>
      <c r="G94" s="1">
        <v>72197700</v>
      </c>
      <c r="H94" s="4">
        <f t="shared" si="4"/>
        <v>2.7027027027027029E-3</v>
      </c>
      <c r="I94" s="4">
        <f t="shared" si="5"/>
        <v>-1.5915119363395226E-2</v>
      </c>
      <c r="J94" s="16">
        <f t="shared" si="6"/>
        <v>9477.5</v>
      </c>
      <c r="K94" s="16">
        <f t="shared" si="3"/>
        <v>9726.5</v>
      </c>
    </row>
    <row r="95" spans="1:11" x14ac:dyDescent="0.2">
      <c r="A95" s="2">
        <f ca="1">IFERROR(__xludf.DUMMYFUNCTION("""COMPUTED_VALUE"""),45447.6666666666)</f>
        <v>45447.666666666599</v>
      </c>
      <c r="B95" s="2"/>
      <c r="C95" s="1">
        <v>9525</v>
      </c>
      <c r="D95" s="1">
        <v>9525</v>
      </c>
      <c r="E95" s="1">
        <v>9350</v>
      </c>
      <c r="F95" s="1">
        <v>9350</v>
      </c>
      <c r="G95" s="1">
        <v>75353100</v>
      </c>
      <c r="H95" s="4">
        <f t="shared" si="4"/>
        <v>8.0862533692722376E-3</v>
      </c>
      <c r="I95" s="4">
        <f t="shared" si="5"/>
        <v>-7.9575596816976128E-3</v>
      </c>
      <c r="J95" s="16">
        <f t="shared" si="6"/>
        <v>9455</v>
      </c>
      <c r="K95" s="16">
        <f t="shared" si="3"/>
        <v>9714.5</v>
      </c>
    </row>
    <row r="96" spans="1:11" x14ac:dyDescent="0.2">
      <c r="A96" s="2">
        <f ca="1">IFERROR(__xludf.DUMMYFUNCTION("""COMPUTED_VALUE"""),45448.6666666666)</f>
        <v>45448.666666666599</v>
      </c>
      <c r="B96" s="2"/>
      <c r="C96" s="1">
        <v>9500</v>
      </c>
      <c r="D96" s="1">
        <v>9500</v>
      </c>
      <c r="E96" s="1">
        <v>9300</v>
      </c>
      <c r="F96" s="1">
        <v>9450</v>
      </c>
      <c r="G96" s="1">
        <v>82087300</v>
      </c>
      <c r="H96" s="4">
        <f t="shared" si="4"/>
        <v>1.06951871657754E-2</v>
      </c>
      <c r="I96" s="4">
        <f t="shared" si="5"/>
        <v>2.6525198938992041E-3</v>
      </c>
      <c r="J96" s="16">
        <f t="shared" si="6"/>
        <v>9450</v>
      </c>
      <c r="K96" s="16">
        <f t="shared" si="3"/>
        <v>9701</v>
      </c>
    </row>
    <row r="97" spans="1:11" x14ac:dyDescent="0.2">
      <c r="A97" s="2">
        <f ca="1">IFERROR(__xludf.DUMMYFUNCTION("""COMPUTED_VALUE"""),45449.6666666666)</f>
        <v>45449.666666666599</v>
      </c>
      <c r="B97" s="2"/>
      <c r="C97" s="1">
        <v>9525</v>
      </c>
      <c r="D97" s="1">
        <v>9525</v>
      </c>
      <c r="E97" s="1">
        <v>9450</v>
      </c>
      <c r="F97" s="1">
        <v>9475</v>
      </c>
      <c r="G97" s="1">
        <v>44991300</v>
      </c>
      <c r="H97" s="4">
        <f t="shared" si="4"/>
        <v>2.6455026455026454E-3</v>
      </c>
      <c r="I97" s="4">
        <f t="shared" si="5"/>
        <v>5.3050397877984082E-3</v>
      </c>
      <c r="J97" s="16">
        <f t="shared" si="6"/>
        <v>9431.25</v>
      </c>
      <c r="K97" s="16">
        <f t="shared" si="3"/>
        <v>9687.5</v>
      </c>
    </row>
    <row r="98" spans="1:11" x14ac:dyDescent="0.2">
      <c r="A98" s="2">
        <f ca="1">IFERROR(__xludf.DUMMYFUNCTION("""COMPUTED_VALUE"""),45450.6666666666)</f>
        <v>45450.666666666599</v>
      </c>
      <c r="B98" s="2"/>
      <c r="C98" s="1">
        <v>9500</v>
      </c>
      <c r="D98" s="1">
        <v>9500</v>
      </c>
      <c r="E98" s="1">
        <v>9325</v>
      </c>
      <c r="F98" s="1">
        <v>9325</v>
      </c>
      <c r="G98" s="1">
        <v>51599800</v>
      </c>
      <c r="H98" s="4">
        <f t="shared" si="4"/>
        <v>-1.5831134564643801E-2</v>
      </c>
      <c r="I98" s="4">
        <f t="shared" si="5"/>
        <v>-1.0610079575596816E-2</v>
      </c>
      <c r="J98" s="16">
        <f t="shared" si="6"/>
        <v>9407.5</v>
      </c>
      <c r="K98" s="16">
        <f t="shared" si="3"/>
        <v>9674</v>
      </c>
    </row>
    <row r="99" spans="1:11" x14ac:dyDescent="0.2">
      <c r="A99" s="2">
        <f ca="1">IFERROR(__xludf.DUMMYFUNCTION("""COMPUTED_VALUE"""),45453.6666666666)</f>
        <v>45453.666666666599</v>
      </c>
      <c r="B99" s="2"/>
      <c r="C99" s="1">
        <v>9500</v>
      </c>
      <c r="D99" s="1">
        <v>9525</v>
      </c>
      <c r="E99" s="1">
        <v>9450</v>
      </c>
      <c r="F99" s="1">
        <v>9525</v>
      </c>
      <c r="G99" s="1">
        <v>45584700</v>
      </c>
      <c r="H99" s="4">
        <f t="shared" si="4"/>
        <v>2.1447721179624665E-2</v>
      </c>
      <c r="I99" s="4">
        <f t="shared" si="5"/>
        <v>1.0610079575596816E-2</v>
      </c>
      <c r="J99" s="16">
        <f t="shared" si="6"/>
        <v>9398.75</v>
      </c>
      <c r="K99" s="16">
        <f t="shared" si="3"/>
        <v>9658</v>
      </c>
    </row>
    <row r="100" spans="1:11" x14ac:dyDescent="0.2">
      <c r="A100" s="2">
        <f ca="1">IFERROR(__xludf.DUMMYFUNCTION("""COMPUTED_VALUE"""),45454.6666666666)</f>
        <v>45454.666666666599</v>
      </c>
      <c r="B100" s="2"/>
      <c r="C100" s="1">
        <v>9550</v>
      </c>
      <c r="D100" s="1">
        <v>9550</v>
      </c>
      <c r="E100" s="1">
        <v>9300</v>
      </c>
      <c r="F100" s="1">
        <v>9300</v>
      </c>
      <c r="G100" s="1">
        <v>68690900</v>
      </c>
      <c r="H100" s="4">
        <f t="shared" si="4"/>
        <v>-2.3622047244094488E-2</v>
      </c>
      <c r="I100" s="4">
        <f t="shared" si="5"/>
        <v>-1.3262599469496022E-2</v>
      </c>
      <c r="J100" s="16">
        <f t="shared" si="6"/>
        <v>9395</v>
      </c>
      <c r="K100" s="16">
        <f t="shared" si="3"/>
        <v>9641</v>
      </c>
    </row>
    <row r="101" spans="1:11" x14ac:dyDescent="0.2">
      <c r="A101" s="2">
        <f ca="1">IFERROR(__xludf.DUMMYFUNCTION("""COMPUTED_VALUE"""),45455.6666666666)</f>
        <v>45455.666666666599</v>
      </c>
      <c r="B101" s="2"/>
      <c r="C101" s="1">
        <v>9300</v>
      </c>
      <c r="D101" s="1">
        <v>9325</v>
      </c>
      <c r="E101" s="1">
        <v>9250</v>
      </c>
      <c r="F101" s="1">
        <v>9250</v>
      </c>
      <c r="G101" s="1">
        <v>49785700</v>
      </c>
      <c r="H101" s="4">
        <f t="shared" si="4"/>
        <v>-5.3763440860215058E-3</v>
      </c>
      <c r="I101" s="4">
        <f t="shared" si="5"/>
        <v>-1.8567639257294429E-2</v>
      </c>
      <c r="J101" s="16">
        <f t="shared" si="6"/>
        <v>9381.25</v>
      </c>
      <c r="K101" s="16">
        <f t="shared" si="3"/>
        <v>9623</v>
      </c>
    </row>
    <row r="102" spans="1:11" x14ac:dyDescent="0.2">
      <c r="A102" s="2">
        <f ca="1">IFERROR(__xludf.DUMMYFUNCTION("""COMPUTED_VALUE"""),45456.6666666666)</f>
        <v>45456.666666666599</v>
      </c>
      <c r="B102" s="2"/>
      <c r="C102" s="1">
        <v>9475</v>
      </c>
      <c r="D102" s="1">
        <v>9475</v>
      </c>
      <c r="E102" s="1">
        <v>9200</v>
      </c>
      <c r="F102" s="1">
        <v>9200</v>
      </c>
      <c r="G102" s="1">
        <v>84652200</v>
      </c>
      <c r="H102" s="4">
        <f t="shared" si="4"/>
        <v>-5.4054054054054057E-3</v>
      </c>
      <c r="I102" s="4">
        <f t="shared" si="5"/>
        <v>-2.3872679045092837E-2</v>
      </c>
      <c r="J102" s="16">
        <f t="shared" si="6"/>
        <v>9363.75</v>
      </c>
      <c r="K102" s="16">
        <f t="shared" si="3"/>
        <v>9603.5</v>
      </c>
    </row>
    <row r="103" spans="1:11" x14ac:dyDescent="0.2">
      <c r="A103" s="2">
        <f ca="1">IFERROR(__xludf.DUMMYFUNCTION("""COMPUTED_VALUE"""),45457.6666666666)</f>
        <v>45457.666666666599</v>
      </c>
      <c r="B103" s="2"/>
      <c r="C103" s="1">
        <v>9200</v>
      </c>
      <c r="D103" s="1">
        <v>9250</v>
      </c>
      <c r="E103" s="1">
        <v>9100</v>
      </c>
      <c r="F103" s="1">
        <v>9200</v>
      </c>
      <c r="G103" s="1">
        <v>52986300</v>
      </c>
      <c r="H103" s="4">
        <f t="shared" si="4"/>
        <v>0</v>
      </c>
      <c r="I103" s="4">
        <f t="shared" si="5"/>
        <v>-2.3872679045092837E-2</v>
      </c>
      <c r="J103" s="16">
        <f t="shared" si="6"/>
        <v>9348.75</v>
      </c>
      <c r="K103" s="16">
        <f t="shared" si="3"/>
        <v>9585</v>
      </c>
    </row>
    <row r="104" spans="1:11" x14ac:dyDescent="0.2">
      <c r="A104" s="2">
        <f ca="1">IFERROR(__xludf.DUMMYFUNCTION("""COMPUTED_VALUE"""),45462.6666666666)</f>
        <v>45462.666666666599</v>
      </c>
      <c r="B104" s="2"/>
      <c r="C104" s="1">
        <v>9250</v>
      </c>
      <c r="D104" s="1">
        <v>9250</v>
      </c>
      <c r="E104" s="1">
        <v>9050</v>
      </c>
      <c r="F104" s="1">
        <v>9050</v>
      </c>
      <c r="G104" s="1">
        <v>100051000</v>
      </c>
      <c r="H104" s="4">
        <f t="shared" si="4"/>
        <v>-1.6304347826086956E-2</v>
      </c>
      <c r="I104" s="4">
        <f t="shared" si="5"/>
        <v>-3.9787798408488062E-2</v>
      </c>
      <c r="J104" s="16">
        <f t="shared" si="6"/>
        <v>9321.25</v>
      </c>
      <c r="K104" s="16">
        <f t="shared" si="3"/>
        <v>9563.5</v>
      </c>
    </row>
    <row r="105" spans="1:11" x14ac:dyDescent="0.2">
      <c r="A105" s="2">
        <f ca="1">IFERROR(__xludf.DUMMYFUNCTION("""COMPUTED_VALUE"""),45463.6666666666)</f>
        <v>45463.666666666599</v>
      </c>
      <c r="B105" s="2"/>
      <c r="C105" s="1">
        <v>9150</v>
      </c>
      <c r="D105" s="1">
        <v>9425</v>
      </c>
      <c r="E105" s="1">
        <v>9100</v>
      </c>
      <c r="F105" s="1">
        <v>9425</v>
      </c>
      <c r="G105" s="1">
        <v>81474800</v>
      </c>
      <c r="H105" s="4">
        <f t="shared" si="4"/>
        <v>4.1436464088397788E-2</v>
      </c>
      <c r="I105" s="4">
        <f t="shared" si="5"/>
        <v>0</v>
      </c>
      <c r="J105" s="16">
        <f t="shared" si="6"/>
        <v>9305</v>
      </c>
      <c r="K105" s="16">
        <f t="shared" si="3"/>
        <v>9550</v>
      </c>
    </row>
    <row r="106" spans="1:11" x14ac:dyDescent="0.2">
      <c r="A106" s="2">
        <f ca="1">IFERROR(__xludf.DUMMYFUNCTION("""COMPUTED_VALUE"""),45464.6666666666)</f>
        <v>45464.666666666599</v>
      </c>
      <c r="B106" s="2"/>
      <c r="C106" s="1">
        <v>9475</v>
      </c>
      <c r="D106" s="1">
        <v>9675</v>
      </c>
      <c r="E106" s="1">
        <v>9400</v>
      </c>
      <c r="F106" s="1">
        <v>9600</v>
      </c>
      <c r="G106" s="1">
        <v>166841200</v>
      </c>
      <c r="H106" s="4">
        <f t="shared" si="4"/>
        <v>1.8567639257294429E-2</v>
      </c>
      <c r="I106" s="4">
        <f t="shared" si="5"/>
        <v>1.8567639257294429E-2</v>
      </c>
      <c r="J106" s="16">
        <f t="shared" si="6"/>
        <v>9311.25</v>
      </c>
      <c r="K106" s="16">
        <f t="shared" si="3"/>
        <v>9540.5</v>
      </c>
    </row>
    <row r="107" spans="1:11" x14ac:dyDescent="0.2">
      <c r="A107" s="2">
        <f ca="1">IFERROR(__xludf.DUMMYFUNCTION("""COMPUTED_VALUE"""),45467.6666666666)</f>
        <v>45467.666666666599</v>
      </c>
      <c r="B107" s="2"/>
      <c r="C107" s="1">
        <v>9600</v>
      </c>
      <c r="D107" s="1">
        <v>9750</v>
      </c>
      <c r="E107" s="1">
        <v>9575</v>
      </c>
      <c r="F107" s="1">
        <v>9600</v>
      </c>
      <c r="G107" s="1">
        <v>79592300</v>
      </c>
      <c r="H107" s="4">
        <f t="shared" si="4"/>
        <v>0</v>
      </c>
      <c r="I107" s="4">
        <f t="shared" si="5"/>
        <v>1.8567639257294429E-2</v>
      </c>
      <c r="J107" s="16">
        <f t="shared" si="6"/>
        <v>9322.5</v>
      </c>
      <c r="K107" s="16">
        <f t="shared" si="3"/>
        <v>9531.5</v>
      </c>
    </row>
    <row r="108" spans="1:11" x14ac:dyDescent="0.2">
      <c r="A108" s="2">
        <f ca="1">IFERROR(__xludf.DUMMYFUNCTION("""COMPUTED_VALUE"""),45468.6666666666)</f>
        <v>45468.666666666599</v>
      </c>
      <c r="B108" s="2"/>
      <c r="C108" s="1">
        <v>9600</v>
      </c>
      <c r="D108" s="1">
        <v>9600</v>
      </c>
      <c r="E108" s="1">
        <v>9450</v>
      </c>
      <c r="F108" s="1">
        <v>9600</v>
      </c>
      <c r="G108" s="1">
        <v>80029000</v>
      </c>
      <c r="H108" s="4">
        <f t="shared" si="4"/>
        <v>0</v>
      </c>
      <c r="I108" s="4">
        <f t="shared" si="5"/>
        <v>1.8567639257294429E-2</v>
      </c>
      <c r="J108" s="16">
        <f t="shared" si="6"/>
        <v>9331.25</v>
      </c>
      <c r="K108" s="16">
        <f t="shared" si="3"/>
        <v>9522</v>
      </c>
    </row>
    <row r="109" spans="1:11" x14ac:dyDescent="0.2">
      <c r="A109" s="2">
        <f ca="1">IFERROR(__xludf.DUMMYFUNCTION("""COMPUTED_VALUE"""),45469.6666666666)</f>
        <v>45469.666666666599</v>
      </c>
      <c r="B109" s="2"/>
      <c r="C109" s="1">
        <v>9525</v>
      </c>
      <c r="D109" s="1">
        <v>9650</v>
      </c>
      <c r="E109" s="1">
        <v>9450</v>
      </c>
      <c r="F109" s="1">
        <v>9500</v>
      </c>
      <c r="G109" s="1">
        <v>77913200</v>
      </c>
      <c r="H109" s="4">
        <f t="shared" si="4"/>
        <v>-1.0416666666666666E-2</v>
      </c>
      <c r="I109" s="4">
        <f t="shared" si="5"/>
        <v>7.9575596816976128E-3</v>
      </c>
      <c r="J109" s="16">
        <f t="shared" si="6"/>
        <v>9341.25</v>
      </c>
      <c r="K109" s="16">
        <f t="shared" si="3"/>
        <v>9510.5</v>
      </c>
    </row>
    <row r="110" spans="1:11" x14ac:dyDescent="0.2">
      <c r="A110" s="2">
        <f ca="1">IFERROR(__xludf.DUMMYFUNCTION("""COMPUTED_VALUE"""),45470.6666666666)</f>
        <v>45470.666666666599</v>
      </c>
      <c r="B110" s="2"/>
      <c r="C110" s="1">
        <v>9575</v>
      </c>
      <c r="D110" s="1">
        <v>9750</v>
      </c>
      <c r="E110" s="1">
        <v>9550</v>
      </c>
      <c r="F110" s="1">
        <v>9750</v>
      </c>
      <c r="G110" s="1">
        <v>89150700</v>
      </c>
      <c r="H110" s="4">
        <f t="shared" si="4"/>
        <v>2.6315789473684209E-2</v>
      </c>
      <c r="I110" s="4">
        <f t="shared" si="5"/>
        <v>3.4482758620689655E-2</v>
      </c>
      <c r="J110" s="16">
        <f t="shared" si="6"/>
        <v>9363.75</v>
      </c>
      <c r="K110" s="16">
        <f t="shared" si="3"/>
        <v>9508.5</v>
      </c>
    </row>
    <row r="111" spans="1:11" x14ac:dyDescent="0.2">
      <c r="A111" s="2">
        <f ca="1">IFERROR(__xludf.DUMMYFUNCTION("""COMPUTED_VALUE"""),45471.6666666666)</f>
        <v>45471.666666666599</v>
      </c>
      <c r="B111" s="2"/>
      <c r="C111" s="1">
        <v>9800</v>
      </c>
      <c r="D111" s="1">
        <v>9975</v>
      </c>
      <c r="E111" s="1">
        <v>9775</v>
      </c>
      <c r="F111" s="1">
        <v>9925</v>
      </c>
      <c r="G111" s="1">
        <v>166172300</v>
      </c>
      <c r="H111" s="4">
        <f t="shared" si="4"/>
        <v>1.7948717948717947E-2</v>
      </c>
      <c r="I111" s="4">
        <f t="shared" si="5"/>
        <v>5.3050397877984087E-2</v>
      </c>
      <c r="J111" s="16">
        <f t="shared" si="6"/>
        <v>9402.5</v>
      </c>
      <c r="K111" s="16">
        <f t="shared" si="3"/>
        <v>9509</v>
      </c>
    </row>
    <row r="112" spans="1:11" x14ac:dyDescent="0.2">
      <c r="A112" s="2">
        <f ca="1">IFERROR(__xludf.DUMMYFUNCTION("""COMPUTED_VALUE"""),45474.6666666666)</f>
        <v>45474.666666666599</v>
      </c>
      <c r="B112" s="2"/>
      <c r="C112" s="1">
        <v>9850</v>
      </c>
      <c r="D112" s="1">
        <v>9900</v>
      </c>
      <c r="E112" s="1">
        <v>9825</v>
      </c>
      <c r="F112" s="1">
        <v>9875</v>
      </c>
      <c r="G112" s="1">
        <v>68634600</v>
      </c>
      <c r="H112" s="4">
        <f t="shared" si="4"/>
        <v>-5.0377833753148613E-3</v>
      </c>
      <c r="I112" s="4">
        <f t="shared" si="5"/>
        <v>4.7745358090185673E-2</v>
      </c>
      <c r="J112" s="16">
        <f t="shared" si="6"/>
        <v>9446.25</v>
      </c>
      <c r="K112" s="16">
        <f t="shared" si="3"/>
        <v>9516</v>
      </c>
    </row>
    <row r="113" spans="1:11" x14ac:dyDescent="0.2">
      <c r="A113" s="2">
        <f ca="1">IFERROR(__xludf.DUMMYFUNCTION("""COMPUTED_VALUE"""),45475.6666666666)</f>
        <v>45475.666666666599</v>
      </c>
      <c r="B113" s="2"/>
      <c r="C113" s="1">
        <v>10000</v>
      </c>
      <c r="D113" s="1">
        <v>10000</v>
      </c>
      <c r="E113" s="1">
        <v>9850</v>
      </c>
      <c r="F113" s="1">
        <v>9900</v>
      </c>
      <c r="G113" s="1">
        <v>78848500</v>
      </c>
      <c r="H113" s="4">
        <f t="shared" si="4"/>
        <v>2.5316455696202532E-3</v>
      </c>
      <c r="I113" s="4">
        <f t="shared" si="5"/>
        <v>5.0397877984084884E-2</v>
      </c>
      <c r="J113" s="16">
        <f t="shared" si="6"/>
        <v>9478.75</v>
      </c>
      <c r="K113" s="16">
        <f t="shared" si="3"/>
        <v>9517</v>
      </c>
    </row>
    <row r="114" spans="1:11" x14ac:dyDescent="0.2">
      <c r="A114" s="2">
        <f ca="1">IFERROR(__xludf.DUMMYFUNCTION("""COMPUTED_VALUE"""),45476.6666666666)</f>
        <v>45476.666666666599</v>
      </c>
      <c r="B114" s="2"/>
      <c r="C114" s="1">
        <v>9975</v>
      </c>
      <c r="D114" s="1">
        <v>10000</v>
      </c>
      <c r="E114" s="1">
        <v>9925</v>
      </c>
      <c r="F114" s="1">
        <v>10000</v>
      </c>
      <c r="G114" s="1">
        <v>55860200</v>
      </c>
      <c r="H114" s="4">
        <f t="shared" si="4"/>
        <v>1.0101010101010102E-2</v>
      </c>
      <c r="I114" s="4">
        <f t="shared" si="5"/>
        <v>6.1007957559681698E-2</v>
      </c>
      <c r="J114" s="16">
        <f t="shared" si="6"/>
        <v>9515</v>
      </c>
      <c r="K114" s="16">
        <f t="shared" si="3"/>
        <v>9520.5</v>
      </c>
    </row>
    <row r="115" spans="1:11" x14ac:dyDescent="0.2">
      <c r="A115" s="2">
        <f ca="1">IFERROR(__xludf.DUMMYFUNCTION("""COMPUTED_VALUE"""),45477.6666666666)</f>
        <v>45477.666666666599</v>
      </c>
      <c r="B115" s="2"/>
      <c r="C115" s="1">
        <v>9975</v>
      </c>
      <c r="D115" s="1">
        <v>10000</v>
      </c>
      <c r="E115" s="1">
        <v>9825</v>
      </c>
      <c r="F115" s="1">
        <v>9825</v>
      </c>
      <c r="G115" s="1">
        <v>67054000</v>
      </c>
      <c r="H115" s="4">
        <f t="shared" si="4"/>
        <v>-1.7500000000000002E-2</v>
      </c>
      <c r="I115" s="4">
        <f t="shared" si="5"/>
        <v>4.2440318302387266E-2</v>
      </c>
      <c r="J115" s="16">
        <f t="shared" si="6"/>
        <v>9538.75</v>
      </c>
      <c r="K115" s="16">
        <f t="shared" si="3"/>
        <v>9527.5</v>
      </c>
    </row>
    <row r="116" spans="1:11" x14ac:dyDescent="0.2">
      <c r="A116" s="2">
        <f ca="1">IFERROR(__xludf.DUMMYFUNCTION("""COMPUTED_VALUE"""),45478.6666666666)</f>
        <v>45478.666666666599</v>
      </c>
      <c r="B116" s="2"/>
      <c r="C116" s="1">
        <v>9925</v>
      </c>
      <c r="D116" s="1">
        <v>9975</v>
      </c>
      <c r="E116" s="1">
        <v>9875</v>
      </c>
      <c r="F116" s="1">
        <v>9950</v>
      </c>
      <c r="G116" s="1">
        <v>36946900</v>
      </c>
      <c r="H116" s="4">
        <f t="shared" si="4"/>
        <v>1.2722646310432569E-2</v>
      </c>
      <c r="I116" s="4">
        <f t="shared" si="5"/>
        <v>5.5702917771883291E-2</v>
      </c>
      <c r="J116" s="16">
        <f t="shared" si="6"/>
        <v>9563.75</v>
      </c>
      <c r="K116" s="16">
        <f t="shared" ref="K116:K179" si="7">AVERAGE(F67:F116)</f>
        <v>9536</v>
      </c>
    </row>
    <row r="117" spans="1:11" x14ac:dyDescent="0.2">
      <c r="A117" s="2">
        <f ca="1">IFERROR(__xludf.DUMMYFUNCTION("""COMPUTED_VALUE"""),45481.6666666666)</f>
        <v>45481.666666666599</v>
      </c>
      <c r="B117" s="2"/>
      <c r="C117" s="1">
        <v>10000</v>
      </c>
      <c r="D117" s="1">
        <v>10050</v>
      </c>
      <c r="E117" s="1">
        <v>9950</v>
      </c>
      <c r="F117" s="1">
        <v>10050</v>
      </c>
      <c r="G117" s="1">
        <v>72903600</v>
      </c>
      <c r="H117" s="4">
        <f t="shared" si="4"/>
        <v>1.0050251256281407E-2</v>
      </c>
      <c r="I117" s="4">
        <f t="shared" si="5"/>
        <v>6.6312997347480113E-2</v>
      </c>
      <c r="J117" s="16">
        <f t="shared" si="6"/>
        <v>9592.5</v>
      </c>
      <c r="K117" s="16">
        <f t="shared" si="7"/>
        <v>9547.5</v>
      </c>
    </row>
    <row r="118" spans="1:11" x14ac:dyDescent="0.2">
      <c r="A118" s="2">
        <f ca="1">IFERROR(__xludf.DUMMYFUNCTION("""COMPUTED_VALUE"""),45482.6666666666)</f>
        <v>45482.666666666599</v>
      </c>
      <c r="B118" s="2"/>
      <c r="C118" s="1">
        <v>10100</v>
      </c>
      <c r="D118" s="1">
        <v>10150</v>
      </c>
      <c r="E118" s="1">
        <v>10075</v>
      </c>
      <c r="F118" s="1">
        <v>10075</v>
      </c>
      <c r="G118" s="1">
        <v>61853200</v>
      </c>
      <c r="H118" s="4">
        <f t="shared" si="4"/>
        <v>2.4875621890547263E-3</v>
      </c>
      <c r="I118" s="4">
        <f t="shared" si="5"/>
        <v>6.8965517241379309E-2</v>
      </c>
      <c r="J118" s="16">
        <f t="shared" si="6"/>
        <v>9630</v>
      </c>
      <c r="K118" s="16">
        <f t="shared" si="7"/>
        <v>9559.5</v>
      </c>
    </row>
    <row r="119" spans="1:11" x14ac:dyDescent="0.2">
      <c r="A119" s="2">
        <f ca="1">IFERROR(__xludf.DUMMYFUNCTION("""COMPUTED_VALUE"""),45483.6666666666)</f>
        <v>45483.666666666599</v>
      </c>
      <c r="B119" s="2"/>
      <c r="C119" s="1">
        <v>10175</v>
      </c>
      <c r="D119" s="1">
        <v>10225</v>
      </c>
      <c r="E119" s="1">
        <v>10050</v>
      </c>
      <c r="F119" s="1">
        <v>10100</v>
      </c>
      <c r="G119" s="1">
        <v>62325900</v>
      </c>
      <c r="H119" s="4">
        <f t="shared" si="4"/>
        <v>2.4813895781637717E-3</v>
      </c>
      <c r="I119" s="4">
        <f t="shared" si="5"/>
        <v>7.161803713527852E-2</v>
      </c>
      <c r="J119" s="16">
        <f t="shared" si="6"/>
        <v>9658.75</v>
      </c>
      <c r="K119" s="16">
        <f t="shared" si="7"/>
        <v>9574.5</v>
      </c>
    </row>
    <row r="120" spans="1:11" x14ac:dyDescent="0.2">
      <c r="A120" s="2">
        <f ca="1">IFERROR(__xludf.DUMMYFUNCTION("""COMPUTED_VALUE"""),45484.6666666666)</f>
        <v>45484.666666666599</v>
      </c>
      <c r="B120" s="2"/>
      <c r="C120" s="1">
        <v>10000</v>
      </c>
      <c r="D120" s="1">
        <v>10125</v>
      </c>
      <c r="E120" s="1">
        <v>10000</v>
      </c>
      <c r="F120" s="1">
        <v>10075</v>
      </c>
      <c r="G120" s="1">
        <v>55908400</v>
      </c>
      <c r="H120" s="4">
        <f t="shared" si="4"/>
        <v>-2.4752475247524753E-3</v>
      </c>
      <c r="I120" s="4">
        <f t="shared" si="5"/>
        <v>6.8965517241379309E-2</v>
      </c>
      <c r="J120" s="16">
        <f t="shared" si="6"/>
        <v>9697.5</v>
      </c>
      <c r="K120" s="16">
        <f t="shared" si="7"/>
        <v>9581.5</v>
      </c>
    </row>
    <row r="121" spans="1:11" x14ac:dyDescent="0.2">
      <c r="A121" s="2">
        <f ca="1">IFERROR(__xludf.DUMMYFUNCTION("""COMPUTED_VALUE"""),45485.6666666666)</f>
        <v>45485.666666666599</v>
      </c>
      <c r="B121" s="2"/>
      <c r="C121" s="1">
        <v>10050</v>
      </c>
      <c r="D121" s="1">
        <v>10100</v>
      </c>
      <c r="E121" s="1">
        <v>10025</v>
      </c>
      <c r="F121" s="1">
        <v>10075</v>
      </c>
      <c r="G121" s="1">
        <v>62646500</v>
      </c>
      <c r="H121" s="4">
        <f t="shared" si="4"/>
        <v>0</v>
      </c>
      <c r="I121" s="4">
        <f t="shared" si="5"/>
        <v>6.8965517241379309E-2</v>
      </c>
      <c r="J121" s="16">
        <f t="shared" si="6"/>
        <v>9738.75</v>
      </c>
      <c r="K121" s="16">
        <f t="shared" si="7"/>
        <v>9584</v>
      </c>
    </row>
    <row r="122" spans="1:11" x14ac:dyDescent="0.2">
      <c r="A122" s="2">
        <f ca="1">IFERROR(__xludf.DUMMYFUNCTION("""COMPUTED_VALUE"""),45488.6666666666)</f>
        <v>45488.666666666599</v>
      </c>
      <c r="B122" s="2"/>
      <c r="C122" s="1">
        <v>10050</v>
      </c>
      <c r="D122" s="1">
        <v>10075</v>
      </c>
      <c r="E122" s="1">
        <v>9950</v>
      </c>
      <c r="F122" s="1">
        <v>10050</v>
      </c>
      <c r="G122" s="1">
        <v>36682600</v>
      </c>
      <c r="H122" s="4">
        <f t="shared" si="4"/>
        <v>-2.4813895781637717E-3</v>
      </c>
      <c r="I122" s="4">
        <f t="shared" si="5"/>
        <v>6.6312997347480113E-2</v>
      </c>
      <c r="J122" s="16">
        <f t="shared" si="6"/>
        <v>9781.25</v>
      </c>
      <c r="K122" s="16">
        <f t="shared" si="7"/>
        <v>9589.5</v>
      </c>
    </row>
    <row r="123" spans="1:11" x14ac:dyDescent="0.2">
      <c r="A123" s="2">
        <f ca="1">IFERROR(__xludf.DUMMYFUNCTION("""COMPUTED_VALUE"""),45489.6666666666)</f>
        <v>45489.666666666599</v>
      </c>
      <c r="B123" s="2"/>
      <c r="C123" s="1">
        <v>9975</v>
      </c>
      <c r="D123" s="1">
        <v>10025</v>
      </c>
      <c r="E123" s="1">
        <v>9950</v>
      </c>
      <c r="F123" s="1">
        <v>9950</v>
      </c>
      <c r="G123" s="1">
        <v>37192700</v>
      </c>
      <c r="H123" s="4">
        <f t="shared" si="4"/>
        <v>-9.9502487562189053E-3</v>
      </c>
      <c r="I123" s="4">
        <f t="shared" si="5"/>
        <v>5.5702917771883291E-2</v>
      </c>
      <c r="J123" s="16">
        <f t="shared" si="6"/>
        <v>9818.75</v>
      </c>
      <c r="K123" s="16">
        <f t="shared" si="7"/>
        <v>9596</v>
      </c>
    </row>
    <row r="124" spans="1:11" x14ac:dyDescent="0.2">
      <c r="A124" s="2">
        <f ca="1">IFERROR(__xludf.DUMMYFUNCTION("""COMPUTED_VALUE"""),45490.6666666666)</f>
        <v>45490.666666666599</v>
      </c>
      <c r="B124" s="2"/>
      <c r="C124" s="1">
        <v>9900</v>
      </c>
      <c r="D124" s="1">
        <v>9950</v>
      </c>
      <c r="E124" s="1">
        <v>9800</v>
      </c>
      <c r="F124" s="1">
        <v>9800</v>
      </c>
      <c r="G124" s="1">
        <v>90666000</v>
      </c>
      <c r="H124" s="4">
        <f t="shared" si="4"/>
        <v>-1.507537688442211E-2</v>
      </c>
      <c r="I124" s="4">
        <f t="shared" si="5"/>
        <v>3.9787798408488062E-2</v>
      </c>
      <c r="J124" s="16">
        <f t="shared" si="6"/>
        <v>9856.25</v>
      </c>
      <c r="K124" s="16">
        <f t="shared" si="7"/>
        <v>9596</v>
      </c>
    </row>
    <row r="125" spans="1:11" x14ac:dyDescent="0.2">
      <c r="A125" s="2">
        <f ca="1">IFERROR(__xludf.DUMMYFUNCTION("""COMPUTED_VALUE"""),45491.6666666666)</f>
        <v>45491.666666666599</v>
      </c>
      <c r="B125" s="2"/>
      <c r="C125" s="1">
        <v>9800</v>
      </c>
      <c r="D125" s="1">
        <v>10100</v>
      </c>
      <c r="E125" s="1">
        <v>9800</v>
      </c>
      <c r="F125" s="1">
        <v>10100</v>
      </c>
      <c r="G125" s="1">
        <v>65383200</v>
      </c>
      <c r="H125" s="4">
        <f t="shared" si="4"/>
        <v>3.0612244897959183E-2</v>
      </c>
      <c r="I125" s="4">
        <f t="shared" si="5"/>
        <v>7.161803713527852E-2</v>
      </c>
      <c r="J125" s="16">
        <f t="shared" si="6"/>
        <v>9890</v>
      </c>
      <c r="K125" s="16">
        <f t="shared" si="7"/>
        <v>9602</v>
      </c>
    </row>
    <row r="126" spans="1:11" x14ac:dyDescent="0.2">
      <c r="A126" s="2">
        <f ca="1">IFERROR(__xludf.DUMMYFUNCTION("""COMPUTED_VALUE"""),45492.6666666666)</f>
        <v>45492.666666666599</v>
      </c>
      <c r="B126" s="2"/>
      <c r="C126" s="1">
        <v>10050</v>
      </c>
      <c r="D126" s="1">
        <v>10125</v>
      </c>
      <c r="E126" s="1">
        <v>9975</v>
      </c>
      <c r="F126" s="1">
        <v>10125</v>
      </c>
      <c r="G126" s="1">
        <v>53880300</v>
      </c>
      <c r="H126" s="4">
        <f t="shared" si="4"/>
        <v>2.4752475247524753E-3</v>
      </c>
      <c r="I126" s="4">
        <f t="shared" si="5"/>
        <v>7.4270557029177717E-2</v>
      </c>
      <c r="J126" s="16">
        <f t="shared" si="6"/>
        <v>9916.25</v>
      </c>
      <c r="K126" s="16">
        <f t="shared" si="7"/>
        <v>9613.5</v>
      </c>
    </row>
    <row r="127" spans="1:11" x14ac:dyDescent="0.2">
      <c r="A127" s="2">
        <f ca="1">IFERROR(__xludf.DUMMYFUNCTION("""COMPUTED_VALUE"""),45495.6666666666)</f>
        <v>45495.666666666599</v>
      </c>
      <c r="B127" s="2"/>
      <c r="C127" s="1">
        <v>10125</v>
      </c>
      <c r="D127" s="1">
        <v>10150</v>
      </c>
      <c r="E127" s="1">
        <v>10100</v>
      </c>
      <c r="F127" s="1">
        <v>10100</v>
      </c>
      <c r="G127" s="1">
        <v>31285300</v>
      </c>
      <c r="H127" s="4">
        <f t="shared" si="4"/>
        <v>-2.4691358024691358E-3</v>
      </c>
      <c r="I127" s="4">
        <f t="shared" si="5"/>
        <v>7.161803713527852E-2</v>
      </c>
      <c r="J127" s="16">
        <f t="shared" si="6"/>
        <v>9941.25</v>
      </c>
      <c r="K127" s="16">
        <f t="shared" si="7"/>
        <v>9618.5</v>
      </c>
    </row>
    <row r="128" spans="1:11" x14ac:dyDescent="0.2">
      <c r="A128" s="2">
        <f ca="1">IFERROR(__xludf.DUMMYFUNCTION("""COMPUTED_VALUE"""),45496.6666666666)</f>
        <v>45496.666666666599</v>
      </c>
      <c r="B128" s="2"/>
      <c r="C128" s="1">
        <v>10200</v>
      </c>
      <c r="D128" s="1">
        <v>10200</v>
      </c>
      <c r="E128" s="1">
        <v>10125</v>
      </c>
      <c r="F128" s="1">
        <v>10175</v>
      </c>
      <c r="G128" s="1">
        <v>39321100</v>
      </c>
      <c r="H128" s="4">
        <f t="shared" si="4"/>
        <v>7.4257425742574254E-3</v>
      </c>
      <c r="I128" s="4">
        <f t="shared" si="5"/>
        <v>7.9575596816976124E-2</v>
      </c>
      <c r="J128" s="16">
        <f t="shared" si="6"/>
        <v>9970</v>
      </c>
      <c r="K128" s="16">
        <f t="shared" si="7"/>
        <v>9626</v>
      </c>
    </row>
    <row r="129" spans="1:11" x14ac:dyDescent="0.2">
      <c r="A129" s="2">
        <f ca="1">IFERROR(__xludf.DUMMYFUNCTION("""COMPUTED_VALUE"""),45497.6666666666)</f>
        <v>45497.666666666599</v>
      </c>
      <c r="B129" s="2"/>
      <c r="C129" s="1">
        <v>10125</v>
      </c>
      <c r="D129" s="1">
        <v>10175</v>
      </c>
      <c r="E129" s="1">
        <v>10075</v>
      </c>
      <c r="F129" s="1">
        <v>10075</v>
      </c>
      <c r="G129" s="1">
        <v>24658000</v>
      </c>
      <c r="H129" s="4">
        <f t="shared" si="4"/>
        <v>-9.8280098280098278E-3</v>
      </c>
      <c r="I129" s="4">
        <f t="shared" si="5"/>
        <v>6.8965517241379309E-2</v>
      </c>
      <c r="J129" s="16">
        <f t="shared" si="6"/>
        <v>9998.75</v>
      </c>
      <c r="K129" s="16">
        <f t="shared" si="7"/>
        <v>9633.5</v>
      </c>
    </row>
    <row r="130" spans="1:11" x14ac:dyDescent="0.2">
      <c r="A130" s="2">
        <f ca="1">IFERROR(__xludf.DUMMYFUNCTION("""COMPUTED_VALUE"""),45498.6666666666)</f>
        <v>45498.666666666599</v>
      </c>
      <c r="B130" s="2"/>
      <c r="C130" s="1">
        <v>10225</v>
      </c>
      <c r="D130" s="1">
        <v>10300</v>
      </c>
      <c r="E130" s="1">
        <v>10200</v>
      </c>
      <c r="F130" s="1">
        <v>10300</v>
      </c>
      <c r="G130" s="1">
        <v>98088100</v>
      </c>
      <c r="H130" s="4">
        <f t="shared" si="4"/>
        <v>2.2332506203473945E-2</v>
      </c>
      <c r="I130" s="4">
        <f t="shared" si="5"/>
        <v>9.2838196286472149E-2</v>
      </c>
      <c r="J130" s="16">
        <f t="shared" si="6"/>
        <v>10026.25</v>
      </c>
      <c r="K130" s="16">
        <f t="shared" si="7"/>
        <v>9652</v>
      </c>
    </row>
    <row r="131" spans="1:11" x14ac:dyDescent="0.2">
      <c r="A131" s="2">
        <f ca="1">IFERROR(__xludf.DUMMYFUNCTION("""COMPUTED_VALUE"""),45499.6666666666)</f>
        <v>45499.666666666599</v>
      </c>
      <c r="B131" s="2"/>
      <c r="C131" s="1">
        <v>10375</v>
      </c>
      <c r="D131" s="1">
        <v>10400</v>
      </c>
      <c r="E131" s="1">
        <v>10300</v>
      </c>
      <c r="F131" s="1">
        <v>10325</v>
      </c>
      <c r="G131" s="1">
        <v>75565800</v>
      </c>
      <c r="H131" s="4">
        <f t="shared" si="4"/>
        <v>2.4271844660194173E-3</v>
      </c>
      <c r="I131" s="4">
        <f t="shared" si="5"/>
        <v>9.5490716180371346E-2</v>
      </c>
      <c r="J131" s="16">
        <f t="shared" si="6"/>
        <v>10046.25</v>
      </c>
      <c r="K131" s="16">
        <f t="shared" si="7"/>
        <v>9668</v>
      </c>
    </row>
    <row r="132" spans="1:11" x14ac:dyDescent="0.2">
      <c r="A132" s="2">
        <f ca="1">IFERROR(__xludf.DUMMYFUNCTION("""COMPUTED_VALUE"""),45502.6666666666)</f>
        <v>45502.666666666599</v>
      </c>
      <c r="B132" s="2"/>
      <c r="C132" s="1">
        <v>10400</v>
      </c>
      <c r="D132" s="1">
        <v>10425</v>
      </c>
      <c r="E132" s="1">
        <v>10175</v>
      </c>
      <c r="F132" s="1">
        <v>10250</v>
      </c>
      <c r="G132" s="1">
        <v>69092500</v>
      </c>
      <c r="H132" s="4">
        <f t="shared" ref="H132:H195" si="8">(F132-F131)/F131</f>
        <v>-7.2639225181598066E-3</v>
      </c>
      <c r="I132" s="4">
        <f t="shared" ref="I132:I195" si="9">(F132-$F$2)/$F$2</f>
        <v>8.7533156498673742E-2</v>
      </c>
      <c r="J132" s="16">
        <f t="shared" si="6"/>
        <v>10065</v>
      </c>
      <c r="K132" s="16">
        <f t="shared" si="7"/>
        <v>9682</v>
      </c>
    </row>
    <row r="133" spans="1:11" x14ac:dyDescent="0.2">
      <c r="A133" s="2">
        <f ca="1">IFERROR(__xludf.DUMMYFUNCTION("""COMPUTED_VALUE"""),45503.6666666666)</f>
        <v>45503.666666666599</v>
      </c>
      <c r="B133" s="2"/>
      <c r="C133" s="1">
        <v>10300</v>
      </c>
      <c r="D133" s="1">
        <v>10300</v>
      </c>
      <c r="E133" s="1">
        <v>10175</v>
      </c>
      <c r="F133" s="1">
        <v>10175</v>
      </c>
      <c r="G133" s="1">
        <v>32122900</v>
      </c>
      <c r="H133" s="4">
        <f t="shared" si="8"/>
        <v>-7.3170731707317077E-3</v>
      </c>
      <c r="I133" s="4">
        <f t="shared" si="9"/>
        <v>7.9575596816976124E-2</v>
      </c>
      <c r="J133" s="16">
        <f t="shared" si="6"/>
        <v>10078.75</v>
      </c>
      <c r="K133" s="16">
        <f t="shared" si="7"/>
        <v>9695.5</v>
      </c>
    </row>
    <row r="134" spans="1:11" x14ac:dyDescent="0.2">
      <c r="A134" s="2">
        <f ca="1">IFERROR(__xludf.DUMMYFUNCTION("""COMPUTED_VALUE"""),45504.6666666666)</f>
        <v>45504.666666666599</v>
      </c>
      <c r="B134" s="2"/>
      <c r="C134" s="1">
        <v>10350</v>
      </c>
      <c r="D134" s="1">
        <v>10350</v>
      </c>
      <c r="E134" s="1">
        <v>10225</v>
      </c>
      <c r="F134" s="1">
        <v>10275</v>
      </c>
      <c r="G134" s="1">
        <v>82519900</v>
      </c>
      <c r="H134" s="4">
        <f t="shared" si="8"/>
        <v>9.8280098280098278E-3</v>
      </c>
      <c r="I134" s="4">
        <f t="shared" si="9"/>
        <v>9.0185676392572939E-2</v>
      </c>
      <c r="J134" s="16">
        <f t="shared" si="6"/>
        <v>10092.5</v>
      </c>
      <c r="K134" s="16">
        <f t="shared" si="7"/>
        <v>9709</v>
      </c>
    </row>
    <row r="135" spans="1:11" x14ac:dyDescent="0.2">
      <c r="A135" s="2">
        <f ca="1">IFERROR(__xludf.DUMMYFUNCTION("""COMPUTED_VALUE"""),45505.6666666666)</f>
        <v>45505.666666666599</v>
      </c>
      <c r="B135" s="2"/>
      <c r="C135" s="1">
        <v>10200</v>
      </c>
      <c r="D135" s="1">
        <v>10375</v>
      </c>
      <c r="E135" s="1">
        <v>10200</v>
      </c>
      <c r="F135" s="1">
        <v>10375</v>
      </c>
      <c r="G135" s="1">
        <v>61176200</v>
      </c>
      <c r="H135" s="4">
        <f t="shared" si="8"/>
        <v>9.7323600973236012E-3</v>
      </c>
      <c r="I135" s="4">
        <f t="shared" si="9"/>
        <v>0.10079575596816977</v>
      </c>
      <c r="J135" s="16">
        <f t="shared" si="6"/>
        <v>10120</v>
      </c>
      <c r="K135" s="16">
        <f t="shared" si="7"/>
        <v>9721.5</v>
      </c>
    </row>
    <row r="136" spans="1:11" x14ac:dyDescent="0.2">
      <c r="A136" s="2">
        <f ca="1">IFERROR(__xludf.DUMMYFUNCTION("""COMPUTED_VALUE"""),45506.6666666666)</f>
        <v>45506.666666666599</v>
      </c>
      <c r="B136" s="2"/>
      <c r="C136" s="1">
        <v>10275</v>
      </c>
      <c r="D136" s="1">
        <v>10350</v>
      </c>
      <c r="E136" s="1">
        <v>10200</v>
      </c>
      <c r="F136" s="1">
        <v>10200</v>
      </c>
      <c r="G136" s="1">
        <v>55774800</v>
      </c>
      <c r="H136" s="4">
        <f t="shared" si="8"/>
        <v>-1.6867469879518072E-2</v>
      </c>
      <c r="I136" s="4">
        <f t="shared" si="9"/>
        <v>8.2228116710875335E-2</v>
      </c>
      <c r="J136" s="16">
        <f t="shared" si="6"/>
        <v>10132.5</v>
      </c>
      <c r="K136" s="16">
        <f t="shared" si="7"/>
        <v>9736</v>
      </c>
    </row>
    <row r="137" spans="1:11" x14ac:dyDescent="0.2">
      <c r="A137" s="2">
        <f ca="1">IFERROR(__xludf.DUMMYFUNCTION("""COMPUTED_VALUE"""),45509.6666666666)</f>
        <v>45509.666666666599</v>
      </c>
      <c r="B137" s="2"/>
      <c r="C137" s="1">
        <v>10000</v>
      </c>
      <c r="D137" s="1">
        <v>10150</v>
      </c>
      <c r="E137" s="1">
        <v>9875</v>
      </c>
      <c r="F137" s="1">
        <v>9875</v>
      </c>
      <c r="G137" s="1">
        <v>126328300</v>
      </c>
      <c r="H137" s="4">
        <f t="shared" si="8"/>
        <v>-3.1862745098039214E-2</v>
      </c>
      <c r="I137" s="4">
        <f t="shared" si="9"/>
        <v>4.7745358090185673E-2</v>
      </c>
      <c r="J137" s="16">
        <f t="shared" si="6"/>
        <v>10123.75</v>
      </c>
      <c r="K137" s="16">
        <f t="shared" si="7"/>
        <v>9746</v>
      </c>
    </row>
    <row r="138" spans="1:11" x14ac:dyDescent="0.2">
      <c r="A138" s="2">
        <f ca="1">IFERROR(__xludf.DUMMYFUNCTION("""COMPUTED_VALUE"""),45510.6666666666)</f>
        <v>45510.666666666599</v>
      </c>
      <c r="B138" s="2"/>
      <c r="C138" s="1">
        <v>10075</v>
      </c>
      <c r="D138" s="1">
        <v>10075</v>
      </c>
      <c r="E138" s="1">
        <v>9950</v>
      </c>
      <c r="F138" s="1">
        <v>10000</v>
      </c>
      <c r="G138" s="1">
        <v>78473900</v>
      </c>
      <c r="H138" s="4">
        <f t="shared" si="8"/>
        <v>1.2658227848101266E-2</v>
      </c>
      <c r="I138" s="4">
        <f t="shared" si="9"/>
        <v>6.1007957559681698E-2</v>
      </c>
      <c r="J138" s="16">
        <f t="shared" si="6"/>
        <v>10120</v>
      </c>
      <c r="K138" s="16">
        <f t="shared" si="7"/>
        <v>9757.5</v>
      </c>
    </row>
    <row r="139" spans="1:11" x14ac:dyDescent="0.2">
      <c r="A139" s="2">
        <f ca="1">IFERROR(__xludf.DUMMYFUNCTION("""COMPUTED_VALUE"""),45511.6666666666)</f>
        <v>45511.666666666599</v>
      </c>
      <c r="B139" s="2"/>
      <c r="C139" s="1">
        <v>10000</v>
      </c>
      <c r="D139" s="1">
        <v>10100</v>
      </c>
      <c r="E139" s="1">
        <v>10000</v>
      </c>
      <c r="F139" s="1">
        <v>10100</v>
      </c>
      <c r="G139" s="1">
        <v>52347100</v>
      </c>
      <c r="H139" s="4">
        <f t="shared" si="8"/>
        <v>0.01</v>
      </c>
      <c r="I139" s="4">
        <f t="shared" si="9"/>
        <v>7.161803713527852E-2</v>
      </c>
      <c r="J139" s="16">
        <f t="shared" si="6"/>
        <v>10120</v>
      </c>
      <c r="K139" s="16">
        <f t="shared" si="7"/>
        <v>9773.5</v>
      </c>
    </row>
    <row r="140" spans="1:11" x14ac:dyDescent="0.2">
      <c r="A140" s="2">
        <f ca="1">IFERROR(__xludf.DUMMYFUNCTION("""COMPUTED_VALUE"""),45512.6666666666)</f>
        <v>45512.666666666599</v>
      </c>
      <c r="B140" s="2"/>
      <c r="C140" s="1">
        <v>10150</v>
      </c>
      <c r="D140" s="1">
        <v>10225</v>
      </c>
      <c r="E140" s="1">
        <v>10075</v>
      </c>
      <c r="F140" s="1">
        <v>10225</v>
      </c>
      <c r="G140" s="1">
        <v>54162100</v>
      </c>
      <c r="H140" s="4">
        <f t="shared" si="8"/>
        <v>1.2376237623762377E-2</v>
      </c>
      <c r="I140" s="4">
        <f t="shared" si="9"/>
        <v>8.4880636604774531E-2</v>
      </c>
      <c r="J140" s="16">
        <f t="shared" si="6"/>
        <v>10127.5</v>
      </c>
      <c r="K140" s="16">
        <f t="shared" si="7"/>
        <v>9792</v>
      </c>
    </row>
    <row r="141" spans="1:11" x14ac:dyDescent="0.2">
      <c r="A141" s="2">
        <f ca="1">IFERROR(__xludf.DUMMYFUNCTION("""COMPUTED_VALUE"""),45513.6666666666)</f>
        <v>45513.666666666599</v>
      </c>
      <c r="B141" s="2"/>
      <c r="C141" s="1">
        <v>10225</v>
      </c>
      <c r="D141" s="1">
        <v>10250</v>
      </c>
      <c r="E141" s="1">
        <v>10100</v>
      </c>
      <c r="F141" s="1">
        <v>10150</v>
      </c>
      <c r="G141" s="1">
        <v>47062400</v>
      </c>
      <c r="H141" s="4">
        <f t="shared" si="8"/>
        <v>-7.3349633251833741E-3</v>
      </c>
      <c r="I141" s="4">
        <f t="shared" si="9"/>
        <v>7.6923076923076927E-2</v>
      </c>
      <c r="J141" s="16">
        <f t="shared" si="6"/>
        <v>10131.25</v>
      </c>
      <c r="K141" s="16">
        <f t="shared" si="7"/>
        <v>9812</v>
      </c>
    </row>
    <row r="142" spans="1:11" x14ac:dyDescent="0.2">
      <c r="A142" s="2">
        <f ca="1">IFERROR(__xludf.DUMMYFUNCTION("""COMPUTED_VALUE"""),45516.6666666666)</f>
        <v>45516.666666666599</v>
      </c>
      <c r="B142" s="2"/>
      <c r="C142" s="1">
        <v>10100</v>
      </c>
      <c r="D142" s="1">
        <v>10200</v>
      </c>
      <c r="E142" s="1">
        <v>10075</v>
      </c>
      <c r="F142" s="1">
        <v>10200</v>
      </c>
      <c r="G142" s="1">
        <v>40364100</v>
      </c>
      <c r="H142" s="4">
        <f t="shared" si="8"/>
        <v>4.9261083743842365E-3</v>
      </c>
      <c r="I142" s="4">
        <f t="shared" si="9"/>
        <v>8.2228116710875335E-2</v>
      </c>
      <c r="J142" s="16">
        <f t="shared" si="6"/>
        <v>10138.75</v>
      </c>
      <c r="K142" s="16">
        <f t="shared" si="7"/>
        <v>9836</v>
      </c>
    </row>
    <row r="143" spans="1:11" x14ac:dyDescent="0.2">
      <c r="A143" s="2">
        <f ca="1">IFERROR(__xludf.DUMMYFUNCTION("""COMPUTED_VALUE"""),45517.6666666666)</f>
        <v>45517.666666666599</v>
      </c>
      <c r="B143" s="2"/>
      <c r="C143" s="1">
        <v>10250</v>
      </c>
      <c r="D143" s="1">
        <v>10300</v>
      </c>
      <c r="E143" s="1">
        <v>10175</v>
      </c>
      <c r="F143" s="1">
        <v>10300</v>
      </c>
      <c r="G143" s="1">
        <v>55207100</v>
      </c>
      <c r="H143" s="4">
        <f t="shared" si="8"/>
        <v>9.8039215686274508E-3</v>
      </c>
      <c r="I143" s="4">
        <f t="shared" si="9"/>
        <v>9.2838196286472149E-2</v>
      </c>
      <c r="J143" s="16">
        <f t="shared" si="6"/>
        <v>10156.25</v>
      </c>
      <c r="K143" s="16">
        <f t="shared" si="7"/>
        <v>9857</v>
      </c>
    </row>
    <row r="144" spans="1:11" x14ac:dyDescent="0.2">
      <c r="A144" s="2">
        <f ca="1">IFERROR(__xludf.DUMMYFUNCTION("""COMPUTED_VALUE"""),45518.6666666666)</f>
        <v>45518.666666666599</v>
      </c>
      <c r="B144" s="2"/>
      <c r="C144" s="1">
        <v>10300</v>
      </c>
      <c r="D144" s="1">
        <v>10300</v>
      </c>
      <c r="E144" s="1">
        <v>10200</v>
      </c>
      <c r="F144" s="1">
        <v>10200</v>
      </c>
      <c r="G144" s="1">
        <v>47999100</v>
      </c>
      <c r="H144" s="4">
        <f t="shared" si="8"/>
        <v>-9.7087378640776691E-3</v>
      </c>
      <c r="I144" s="4">
        <f t="shared" si="9"/>
        <v>8.2228116710875335E-2</v>
      </c>
      <c r="J144" s="16">
        <f t="shared" si="6"/>
        <v>10176.25</v>
      </c>
      <c r="K144" s="16">
        <f t="shared" si="7"/>
        <v>9875.5</v>
      </c>
    </row>
    <row r="145" spans="1:11" x14ac:dyDescent="0.2">
      <c r="A145" s="2">
        <f ca="1">IFERROR(__xludf.DUMMYFUNCTION("""COMPUTED_VALUE"""),45519.6666666666)</f>
        <v>45519.666666666599</v>
      </c>
      <c r="B145" s="2"/>
      <c r="C145" s="1">
        <v>10200</v>
      </c>
      <c r="D145" s="1">
        <v>10300</v>
      </c>
      <c r="E145" s="1">
        <v>10175</v>
      </c>
      <c r="F145" s="1">
        <v>10225</v>
      </c>
      <c r="G145" s="1">
        <v>33396600</v>
      </c>
      <c r="H145" s="4">
        <f t="shared" si="8"/>
        <v>2.4509803921568627E-3</v>
      </c>
      <c r="I145" s="4">
        <f t="shared" si="9"/>
        <v>8.4880636604774531E-2</v>
      </c>
      <c r="J145" s="16">
        <f t="shared" si="6"/>
        <v>10182.5</v>
      </c>
      <c r="K145" s="16">
        <f t="shared" si="7"/>
        <v>9893</v>
      </c>
    </row>
    <row r="146" spans="1:11" x14ac:dyDescent="0.2">
      <c r="A146" s="2">
        <f ca="1">IFERROR(__xludf.DUMMYFUNCTION("""COMPUTED_VALUE"""),45520.6666666666)</f>
        <v>45520.666666666599</v>
      </c>
      <c r="B146" s="2"/>
      <c r="C146" s="1">
        <v>10300</v>
      </c>
      <c r="D146" s="1">
        <v>10325</v>
      </c>
      <c r="E146" s="1">
        <v>10250</v>
      </c>
      <c r="F146" s="1">
        <v>10325</v>
      </c>
      <c r="G146" s="1">
        <v>40731400</v>
      </c>
      <c r="H146" s="4">
        <f t="shared" si="8"/>
        <v>9.7799511002444987E-3</v>
      </c>
      <c r="I146" s="4">
        <f t="shared" si="9"/>
        <v>9.5490716180371346E-2</v>
      </c>
      <c r="J146" s="16">
        <f t="shared" si="6"/>
        <v>10192.5</v>
      </c>
      <c r="K146" s="16">
        <f t="shared" si="7"/>
        <v>9910.5</v>
      </c>
    </row>
    <row r="147" spans="1:11" x14ac:dyDescent="0.2">
      <c r="A147" s="2">
        <f ca="1">IFERROR(__xludf.DUMMYFUNCTION("""COMPUTED_VALUE"""),45523.6666666666)</f>
        <v>45523.666666666599</v>
      </c>
      <c r="B147" s="2"/>
      <c r="C147" s="1">
        <v>10325</v>
      </c>
      <c r="D147" s="1">
        <v>10425</v>
      </c>
      <c r="E147" s="1">
        <v>10275</v>
      </c>
      <c r="F147" s="1">
        <v>10375</v>
      </c>
      <c r="G147" s="1">
        <v>51054400</v>
      </c>
      <c r="H147" s="4">
        <f t="shared" si="8"/>
        <v>4.8426150121065378E-3</v>
      </c>
      <c r="I147" s="4">
        <f t="shared" si="9"/>
        <v>0.10079575596816977</v>
      </c>
      <c r="J147" s="16">
        <f t="shared" si="6"/>
        <v>10206.25</v>
      </c>
      <c r="K147" s="16">
        <f t="shared" si="7"/>
        <v>9928.5</v>
      </c>
    </row>
    <row r="148" spans="1:11" x14ac:dyDescent="0.2">
      <c r="A148" s="2">
        <f ca="1">IFERROR(__xludf.DUMMYFUNCTION("""COMPUTED_VALUE"""),45524.6666666666)</f>
        <v>45524.666666666599</v>
      </c>
      <c r="B148" s="2"/>
      <c r="C148" s="1">
        <v>10325</v>
      </c>
      <c r="D148" s="1">
        <v>10450</v>
      </c>
      <c r="E148" s="1">
        <v>10300</v>
      </c>
      <c r="F148" s="1">
        <v>10425</v>
      </c>
      <c r="G148" s="1">
        <v>60304400</v>
      </c>
      <c r="H148" s="4">
        <f t="shared" si="8"/>
        <v>4.8192771084337354E-3</v>
      </c>
      <c r="I148" s="4">
        <f t="shared" si="9"/>
        <v>0.10610079575596817</v>
      </c>
      <c r="J148" s="16">
        <f t="shared" si="6"/>
        <v>10218.75</v>
      </c>
      <c r="K148" s="16">
        <f t="shared" si="7"/>
        <v>9950.5</v>
      </c>
    </row>
    <row r="149" spans="1:11" x14ac:dyDescent="0.2">
      <c r="A149" s="2">
        <f ca="1">IFERROR(__xludf.DUMMYFUNCTION("""COMPUTED_VALUE"""),45525.6666666666)</f>
        <v>45525.666666666599</v>
      </c>
      <c r="B149" s="2"/>
      <c r="C149" s="1">
        <v>10500</v>
      </c>
      <c r="D149" s="1">
        <v>10500</v>
      </c>
      <c r="E149" s="1">
        <v>10425</v>
      </c>
      <c r="F149" s="1">
        <v>10425</v>
      </c>
      <c r="G149" s="1">
        <v>84848800</v>
      </c>
      <c r="H149" s="4">
        <f t="shared" si="8"/>
        <v>0</v>
      </c>
      <c r="I149" s="4">
        <f t="shared" si="9"/>
        <v>0.10610079575596817</v>
      </c>
      <c r="J149" s="16">
        <f t="shared" si="6"/>
        <v>10236.25</v>
      </c>
      <c r="K149" s="16">
        <f t="shared" si="7"/>
        <v>9968.5</v>
      </c>
    </row>
    <row r="150" spans="1:11" x14ac:dyDescent="0.2">
      <c r="A150" s="2">
        <f ca="1">IFERROR(__xludf.DUMMYFUNCTION("""COMPUTED_VALUE"""),45526.6666666666)</f>
        <v>45526.666666666599</v>
      </c>
      <c r="B150" s="2"/>
      <c r="C150" s="1">
        <v>10350</v>
      </c>
      <c r="D150" s="1">
        <v>10400</v>
      </c>
      <c r="E150" s="1">
        <v>10225</v>
      </c>
      <c r="F150" s="1">
        <v>10325</v>
      </c>
      <c r="G150" s="1">
        <v>56611600</v>
      </c>
      <c r="H150" s="4">
        <f t="shared" si="8"/>
        <v>-9.5923261390887284E-3</v>
      </c>
      <c r="I150" s="4">
        <f t="shared" si="9"/>
        <v>9.5490716180371346E-2</v>
      </c>
      <c r="J150" s="16">
        <f t="shared" ref="J150:J213" si="10">AVERAGE(F131:F150)</f>
        <v>10237.5</v>
      </c>
      <c r="K150" s="16">
        <f t="shared" si="7"/>
        <v>9989</v>
      </c>
    </row>
    <row r="151" spans="1:11" x14ac:dyDescent="0.2">
      <c r="A151" s="2">
        <f ca="1">IFERROR(__xludf.DUMMYFUNCTION("""COMPUTED_VALUE"""),45527.6666666666)</f>
        <v>45527.666666666599</v>
      </c>
      <c r="B151" s="2"/>
      <c r="C151" s="1">
        <v>10325</v>
      </c>
      <c r="D151" s="1">
        <v>10375</v>
      </c>
      <c r="E151" s="1">
        <v>10300</v>
      </c>
      <c r="F151" s="1">
        <v>10325</v>
      </c>
      <c r="G151" s="1">
        <v>46651600</v>
      </c>
      <c r="H151" s="4">
        <f t="shared" si="8"/>
        <v>0</v>
      </c>
      <c r="I151" s="4">
        <f t="shared" si="9"/>
        <v>9.5490716180371346E-2</v>
      </c>
      <c r="J151" s="16">
        <f t="shared" si="10"/>
        <v>10237.5</v>
      </c>
      <c r="K151" s="16">
        <f t="shared" si="7"/>
        <v>10010.5</v>
      </c>
    </row>
    <row r="152" spans="1:11" x14ac:dyDescent="0.2">
      <c r="A152" s="2">
        <f ca="1">IFERROR(__xludf.DUMMYFUNCTION("""COMPUTED_VALUE"""),45530.6666666666)</f>
        <v>45530.666666666599</v>
      </c>
      <c r="B152" s="2"/>
      <c r="C152" s="1">
        <v>10275</v>
      </c>
      <c r="D152" s="1">
        <v>10375</v>
      </c>
      <c r="E152" s="1">
        <v>10250</v>
      </c>
      <c r="F152" s="1">
        <v>10325</v>
      </c>
      <c r="G152" s="1">
        <v>35145600</v>
      </c>
      <c r="H152" s="4">
        <f t="shared" si="8"/>
        <v>0</v>
      </c>
      <c r="I152" s="4">
        <f t="shared" si="9"/>
        <v>9.5490716180371346E-2</v>
      </c>
      <c r="J152" s="16">
        <f t="shared" si="10"/>
        <v>10241.25</v>
      </c>
      <c r="K152" s="16">
        <f t="shared" si="7"/>
        <v>10033</v>
      </c>
    </row>
    <row r="153" spans="1:11" x14ac:dyDescent="0.2">
      <c r="A153" s="2">
        <f ca="1">IFERROR(__xludf.DUMMYFUNCTION("""COMPUTED_VALUE"""),45531.6666666666)</f>
        <v>45531.666666666599</v>
      </c>
      <c r="B153" s="2"/>
      <c r="C153" s="1">
        <v>10275</v>
      </c>
      <c r="D153" s="1">
        <v>10300</v>
      </c>
      <c r="E153" s="1">
        <v>10175</v>
      </c>
      <c r="F153" s="1">
        <v>10200</v>
      </c>
      <c r="G153" s="1">
        <v>60448400</v>
      </c>
      <c r="H153" s="4">
        <f t="shared" si="8"/>
        <v>-1.2106537530266344E-2</v>
      </c>
      <c r="I153" s="4">
        <f t="shared" si="9"/>
        <v>8.2228116710875335E-2</v>
      </c>
      <c r="J153" s="16">
        <f t="shared" si="10"/>
        <v>10242.5</v>
      </c>
      <c r="K153" s="16">
        <f t="shared" si="7"/>
        <v>10053</v>
      </c>
    </row>
    <row r="154" spans="1:11" x14ac:dyDescent="0.2">
      <c r="A154" s="2">
        <f ca="1">IFERROR(__xludf.DUMMYFUNCTION("""COMPUTED_VALUE"""),45532.6666666666)</f>
        <v>45532.666666666599</v>
      </c>
      <c r="B154" s="2"/>
      <c r="C154" s="1">
        <v>10300</v>
      </c>
      <c r="D154" s="1">
        <v>10350</v>
      </c>
      <c r="E154" s="1">
        <v>10250</v>
      </c>
      <c r="F154" s="1">
        <v>10350</v>
      </c>
      <c r="G154" s="1">
        <v>38489900</v>
      </c>
      <c r="H154" s="4">
        <f t="shared" si="8"/>
        <v>1.4705882352941176E-2</v>
      </c>
      <c r="I154" s="4">
        <f t="shared" si="9"/>
        <v>9.8143236074270557E-2</v>
      </c>
      <c r="J154" s="16">
        <f t="shared" si="10"/>
        <v>10246.25</v>
      </c>
      <c r="K154" s="16">
        <f t="shared" si="7"/>
        <v>10079</v>
      </c>
    </row>
    <row r="155" spans="1:11" x14ac:dyDescent="0.2">
      <c r="A155" s="2">
        <f ca="1">IFERROR(__xludf.DUMMYFUNCTION("""COMPUTED_VALUE"""),45533.6666666666)</f>
        <v>45533.666666666599</v>
      </c>
      <c r="B155" s="2"/>
      <c r="C155" s="1">
        <v>10500</v>
      </c>
      <c r="D155" s="1">
        <v>10500</v>
      </c>
      <c r="E155" s="1">
        <v>10225</v>
      </c>
      <c r="F155" s="1">
        <v>10225</v>
      </c>
      <c r="G155" s="1">
        <v>53004700</v>
      </c>
      <c r="H155" s="4">
        <f t="shared" si="8"/>
        <v>-1.2077294685990338E-2</v>
      </c>
      <c r="I155" s="4">
        <f t="shared" si="9"/>
        <v>8.4880636604774531E-2</v>
      </c>
      <c r="J155" s="16">
        <f t="shared" si="10"/>
        <v>10238.75</v>
      </c>
      <c r="K155" s="16">
        <f t="shared" si="7"/>
        <v>10095</v>
      </c>
    </row>
    <row r="156" spans="1:11" x14ac:dyDescent="0.2">
      <c r="A156" s="2">
        <f ca="1">IFERROR(__xludf.DUMMYFUNCTION("""COMPUTED_VALUE"""),45534.6666666666)</f>
        <v>45534.666666666599</v>
      </c>
      <c r="B156" s="2"/>
      <c r="C156" s="1">
        <v>10325</v>
      </c>
      <c r="D156" s="1">
        <v>10325</v>
      </c>
      <c r="E156" s="1">
        <v>10200</v>
      </c>
      <c r="F156" s="1">
        <v>10325</v>
      </c>
      <c r="G156" s="1">
        <v>158403700</v>
      </c>
      <c r="H156" s="4">
        <f t="shared" si="8"/>
        <v>9.7799511002444987E-3</v>
      </c>
      <c r="I156" s="4">
        <f t="shared" si="9"/>
        <v>9.5490716180371346E-2</v>
      </c>
      <c r="J156" s="16">
        <f t="shared" si="10"/>
        <v>10245</v>
      </c>
      <c r="K156" s="16">
        <f t="shared" si="7"/>
        <v>10109.5</v>
      </c>
    </row>
    <row r="157" spans="1:11" x14ac:dyDescent="0.2">
      <c r="A157" s="2">
        <f ca="1">IFERROR(__xludf.DUMMYFUNCTION("""COMPUTED_VALUE"""),45537.6666666666)</f>
        <v>45537.666666666599</v>
      </c>
      <c r="B157" s="2"/>
      <c r="C157" s="1">
        <v>10375</v>
      </c>
      <c r="D157" s="1">
        <v>10375</v>
      </c>
      <c r="E157" s="1">
        <v>10200</v>
      </c>
      <c r="F157" s="1">
        <v>10275</v>
      </c>
      <c r="G157" s="1">
        <v>72008600</v>
      </c>
      <c r="H157" s="4">
        <f t="shared" si="8"/>
        <v>-4.8426150121065378E-3</v>
      </c>
      <c r="I157" s="4">
        <f t="shared" si="9"/>
        <v>9.0185676392572939E-2</v>
      </c>
      <c r="J157" s="16">
        <f t="shared" si="10"/>
        <v>10265</v>
      </c>
      <c r="K157" s="16">
        <f t="shared" si="7"/>
        <v>10123</v>
      </c>
    </row>
    <row r="158" spans="1:11" x14ac:dyDescent="0.2">
      <c r="A158" s="2">
        <f ca="1">IFERROR(__xludf.DUMMYFUNCTION("""COMPUTED_VALUE"""),45538.6666666666)</f>
        <v>45538.666666666599</v>
      </c>
      <c r="B158" s="2"/>
      <c r="C158" s="1">
        <v>10325</v>
      </c>
      <c r="D158" s="1">
        <v>10325</v>
      </c>
      <c r="E158" s="1">
        <v>10150</v>
      </c>
      <c r="F158" s="1">
        <v>10175</v>
      </c>
      <c r="G158" s="1">
        <v>50950200</v>
      </c>
      <c r="H158" s="4">
        <f t="shared" si="8"/>
        <v>-9.7323600973236012E-3</v>
      </c>
      <c r="I158" s="4">
        <f t="shared" si="9"/>
        <v>7.9575596816976124E-2</v>
      </c>
      <c r="J158" s="16">
        <f t="shared" si="10"/>
        <v>10273.75</v>
      </c>
      <c r="K158" s="16">
        <f t="shared" si="7"/>
        <v>10134.5</v>
      </c>
    </row>
    <row r="159" spans="1:11" x14ac:dyDescent="0.2">
      <c r="A159" s="2">
        <f ca="1">IFERROR(__xludf.DUMMYFUNCTION("""COMPUTED_VALUE"""),45539.6666666666)</f>
        <v>45539.666666666599</v>
      </c>
      <c r="B159" s="2"/>
      <c r="C159" s="1">
        <v>10150</v>
      </c>
      <c r="D159" s="1">
        <v>10300</v>
      </c>
      <c r="E159" s="1">
        <v>10125</v>
      </c>
      <c r="F159" s="1">
        <v>10300</v>
      </c>
      <c r="G159" s="1">
        <v>44817000</v>
      </c>
      <c r="H159" s="4">
        <f t="shared" si="8"/>
        <v>1.2285012285012284E-2</v>
      </c>
      <c r="I159" s="4">
        <f t="shared" si="9"/>
        <v>9.2838196286472149E-2</v>
      </c>
      <c r="J159" s="16">
        <f t="shared" si="10"/>
        <v>10283.75</v>
      </c>
      <c r="K159" s="16">
        <f t="shared" si="7"/>
        <v>10150.5</v>
      </c>
    </row>
    <row r="160" spans="1:11" x14ac:dyDescent="0.2">
      <c r="A160" s="2">
        <f ca="1">IFERROR(__xludf.DUMMYFUNCTION("""COMPUTED_VALUE"""),45540.6666666666)</f>
        <v>45540.666666666599</v>
      </c>
      <c r="B160" s="2"/>
      <c r="C160" s="1">
        <v>10350</v>
      </c>
      <c r="D160" s="1">
        <v>10350</v>
      </c>
      <c r="E160" s="1">
        <v>10250</v>
      </c>
      <c r="F160" s="1">
        <v>10250</v>
      </c>
      <c r="G160" s="1">
        <v>39332900</v>
      </c>
      <c r="H160" s="4">
        <f t="shared" si="8"/>
        <v>-4.8543689320388345E-3</v>
      </c>
      <c r="I160" s="4">
        <f t="shared" si="9"/>
        <v>8.7533156498673742E-2</v>
      </c>
      <c r="J160" s="16">
        <f t="shared" si="10"/>
        <v>10285</v>
      </c>
      <c r="K160" s="16">
        <f t="shared" si="7"/>
        <v>10160.5</v>
      </c>
    </row>
    <row r="161" spans="1:11" x14ac:dyDescent="0.2">
      <c r="A161" s="2">
        <f ca="1">IFERROR(__xludf.DUMMYFUNCTION("""COMPUTED_VALUE"""),45541.6666666666)</f>
        <v>45541.666666666599</v>
      </c>
      <c r="B161" s="2"/>
      <c r="C161" s="1">
        <v>10225</v>
      </c>
      <c r="D161" s="1">
        <v>10300</v>
      </c>
      <c r="E161" s="1">
        <v>10225</v>
      </c>
      <c r="F161" s="1">
        <v>10300</v>
      </c>
      <c r="G161" s="1">
        <v>31541800</v>
      </c>
      <c r="H161" s="4">
        <f t="shared" si="8"/>
        <v>4.8780487804878049E-3</v>
      </c>
      <c r="I161" s="4">
        <f t="shared" si="9"/>
        <v>9.2838196286472149E-2</v>
      </c>
      <c r="J161" s="16">
        <f t="shared" si="10"/>
        <v>10292.5</v>
      </c>
      <c r="K161" s="16">
        <f t="shared" si="7"/>
        <v>10168</v>
      </c>
    </row>
    <row r="162" spans="1:11" x14ac:dyDescent="0.2">
      <c r="A162" s="2">
        <f ca="1">IFERROR(__xludf.DUMMYFUNCTION("""COMPUTED_VALUE"""),45544.6666666666)</f>
        <v>45544.666666666599</v>
      </c>
      <c r="B162" s="2"/>
      <c r="C162" s="1">
        <v>10300</v>
      </c>
      <c r="D162" s="1">
        <v>10350</v>
      </c>
      <c r="E162" s="1">
        <v>10200</v>
      </c>
      <c r="F162" s="1">
        <v>10275</v>
      </c>
      <c r="G162" s="1">
        <v>36185100</v>
      </c>
      <c r="H162" s="4">
        <f t="shared" si="8"/>
        <v>-2.4271844660194173E-3</v>
      </c>
      <c r="I162" s="4">
        <f t="shared" si="9"/>
        <v>9.0185676392572939E-2</v>
      </c>
      <c r="J162" s="16">
        <f t="shared" si="10"/>
        <v>10296.25</v>
      </c>
      <c r="K162" s="16">
        <f t="shared" si="7"/>
        <v>10176</v>
      </c>
    </row>
    <row r="163" spans="1:11" x14ac:dyDescent="0.2">
      <c r="A163" s="2">
        <f ca="1">IFERROR(__xludf.DUMMYFUNCTION("""COMPUTED_VALUE"""),45545.6666666666)</f>
        <v>45545.666666666599</v>
      </c>
      <c r="B163" s="2"/>
      <c r="C163" s="1">
        <v>10350</v>
      </c>
      <c r="D163" s="1">
        <v>10350</v>
      </c>
      <c r="E163" s="1">
        <v>10275</v>
      </c>
      <c r="F163" s="1">
        <v>10350</v>
      </c>
      <c r="G163" s="1">
        <v>55093100</v>
      </c>
      <c r="H163" s="4">
        <f t="shared" si="8"/>
        <v>7.2992700729927005E-3</v>
      </c>
      <c r="I163" s="4">
        <f t="shared" si="9"/>
        <v>9.8143236074270557E-2</v>
      </c>
      <c r="J163" s="16">
        <f t="shared" si="10"/>
        <v>10298.75</v>
      </c>
      <c r="K163" s="16">
        <f t="shared" si="7"/>
        <v>10185</v>
      </c>
    </row>
    <row r="164" spans="1:11" x14ac:dyDescent="0.2">
      <c r="A164" s="2">
        <f ca="1">IFERROR(__xludf.DUMMYFUNCTION("""COMPUTED_VALUE"""),45546.6666666666)</f>
        <v>45546.666666666599</v>
      </c>
      <c r="B164" s="2"/>
      <c r="C164" s="1">
        <v>10425</v>
      </c>
      <c r="D164" s="1">
        <v>10425</v>
      </c>
      <c r="E164" s="1">
        <v>10350</v>
      </c>
      <c r="F164" s="1">
        <v>10425</v>
      </c>
      <c r="G164" s="1">
        <v>64621300</v>
      </c>
      <c r="H164" s="4">
        <f t="shared" si="8"/>
        <v>7.246376811594203E-3</v>
      </c>
      <c r="I164" s="4">
        <f t="shared" si="9"/>
        <v>0.10610079575596817</v>
      </c>
      <c r="J164" s="16">
        <f t="shared" si="10"/>
        <v>10310</v>
      </c>
      <c r="K164" s="16">
        <f t="shared" si="7"/>
        <v>10193.5</v>
      </c>
    </row>
    <row r="165" spans="1:11" x14ac:dyDescent="0.2">
      <c r="A165" s="2">
        <f ca="1">IFERROR(__xludf.DUMMYFUNCTION("""COMPUTED_VALUE"""),45547.6666666666)</f>
        <v>45547.666666666599</v>
      </c>
      <c r="B165" s="2"/>
      <c r="C165" s="1">
        <v>10450</v>
      </c>
      <c r="D165" s="1">
        <v>10500</v>
      </c>
      <c r="E165" s="1">
        <v>10375</v>
      </c>
      <c r="F165" s="1">
        <v>10475</v>
      </c>
      <c r="G165" s="1">
        <v>70759100</v>
      </c>
      <c r="H165" s="4">
        <f t="shared" si="8"/>
        <v>4.7961630695443642E-3</v>
      </c>
      <c r="I165" s="4">
        <f t="shared" si="9"/>
        <v>0.11140583554376658</v>
      </c>
      <c r="J165" s="16">
        <f t="shared" si="10"/>
        <v>10322.5</v>
      </c>
      <c r="K165" s="16">
        <f t="shared" si="7"/>
        <v>10206.5</v>
      </c>
    </row>
    <row r="166" spans="1:11" x14ac:dyDescent="0.2">
      <c r="A166" s="2">
        <f ca="1">IFERROR(__xludf.DUMMYFUNCTION("""COMPUTED_VALUE"""),45548.6666666666)</f>
        <v>45548.666666666599</v>
      </c>
      <c r="B166" s="2"/>
      <c r="C166" s="1">
        <v>10400</v>
      </c>
      <c r="D166" s="1">
        <v>10425</v>
      </c>
      <c r="E166" s="1">
        <v>10325</v>
      </c>
      <c r="F166" s="1">
        <v>10425</v>
      </c>
      <c r="G166" s="1">
        <v>70057100</v>
      </c>
      <c r="H166" s="4">
        <f t="shared" si="8"/>
        <v>-4.7732696897374704E-3</v>
      </c>
      <c r="I166" s="4">
        <f t="shared" si="9"/>
        <v>0.10610079575596817</v>
      </c>
      <c r="J166" s="16">
        <f t="shared" si="10"/>
        <v>10327.5</v>
      </c>
      <c r="K166" s="16">
        <f t="shared" si="7"/>
        <v>10216</v>
      </c>
    </row>
    <row r="167" spans="1:11" x14ac:dyDescent="0.2">
      <c r="A167" s="2">
        <f ca="1">IFERROR(__xludf.DUMMYFUNCTION("""COMPUTED_VALUE"""),45552.6666666666)</f>
        <v>45552.666666666599</v>
      </c>
      <c r="B167" s="2"/>
      <c r="C167" s="1">
        <v>10450</v>
      </c>
      <c r="D167" s="1">
        <v>10500</v>
      </c>
      <c r="E167" s="1">
        <v>10350</v>
      </c>
      <c r="F167" s="1">
        <v>10500</v>
      </c>
      <c r="G167" s="1">
        <v>89745000</v>
      </c>
      <c r="H167" s="4">
        <f t="shared" si="8"/>
        <v>7.1942446043165471E-3</v>
      </c>
      <c r="I167" s="4">
        <f t="shared" si="9"/>
        <v>0.11405835543766578</v>
      </c>
      <c r="J167" s="16">
        <f t="shared" si="10"/>
        <v>10333.75</v>
      </c>
      <c r="K167" s="16">
        <f t="shared" si="7"/>
        <v>10225</v>
      </c>
    </row>
    <row r="168" spans="1:11" x14ac:dyDescent="0.2">
      <c r="A168" s="2">
        <f ca="1">IFERROR(__xludf.DUMMYFUNCTION("""COMPUTED_VALUE"""),45553.6666666666)</f>
        <v>45553.666666666599</v>
      </c>
      <c r="B168" s="2"/>
      <c r="C168" s="1">
        <v>10500</v>
      </c>
      <c r="D168" s="1">
        <v>10625</v>
      </c>
      <c r="E168" s="1">
        <v>10450</v>
      </c>
      <c r="F168" s="1">
        <v>10625</v>
      </c>
      <c r="G168" s="1">
        <v>65420200</v>
      </c>
      <c r="H168" s="4">
        <f t="shared" si="8"/>
        <v>1.1904761904761904E-2</v>
      </c>
      <c r="I168" s="4">
        <f t="shared" si="9"/>
        <v>0.1273209549071618</v>
      </c>
      <c r="J168" s="16">
        <f t="shared" si="10"/>
        <v>10343.75</v>
      </c>
      <c r="K168" s="16">
        <f t="shared" si="7"/>
        <v>10236</v>
      </c>
    </row>
    <row r="169" spans="1:11" x14ac:dyDescent="0.2">
      <c r="A169" s="2">
        <f ca="1">IFERROR(__xludf.DUMMYFUNCTION("""COMPUTED_VALUE"""),45554.6666666666)</f>
        <v>45554.666666666599</v>
      </c>
      <c r="B169" s="2"/>
      <c r="C169" s="1">
        <v>10700</v>
      </c>
      <c r="D169" s="1">
        <v>10900</v>
      </c>
      <c r="E169" s="1">
        <v>10650</v>
      </c>
      <c r="F169" s="1">
        <v>10900</v>
      </c>
      <c r="G169" s="1">
        <v>140886600</v>
      </c>
      <c r="H169" s="4">
        <f t="shared" si="8"/>
        <v>2.5882352941176471E-2</v>
      </c>
      <c r="I169" s="4">
        <f t="shared" si="9"/>
        <v>0.15649867374005305</v>
      </c>
      <c r="J169" s="16">
        <f t="shared" si="10"/>
        <v>10367.5</v>
      </c>
      <c r="K169" s="16">
        <f t="shared" si="7"/>
        <v>10252</v>
      </c>
    </row>
    <row r="170" spans="1:11" x14ac:dyDescent="0.2">
      <c r="A170" s="2">
        <f ca="1">IFERROR(__xludf.DUMMYFUNCTION("""COMPUTED_VALUE"""),45555.6666666666)</f>
        <v>45555.666666666599</v>
      </c>
      <c r="B170" s="2"/>
      <c r="C170" s="1">
        <v>10900</v>
      </c>
      <c r="D170" s="1">
        <v>10900</v>
      </c>
      <c r="E170" s="1">
        <v>10775</v>
      </c>
      <c r="F170" s="1">
        <v>10775</v>
      </c>
      <c r="G170" s="1">
        <v>142194600</v>
      </c>
      <c r="H170" s="4">
        <f t="shared" si="8"/>
        <v>-1.1467889908256881E-2</v>
      </c>
      <c r="I170" s="4">
        <f t="shared" si="9"/>
        <v>0.14323607427055704</v>
      </c>
      <c r="J170" s="16">
        <f t="shared" si="10"/>
        <v>10390</v>
      </c>
      <c r="K170" s="16">
        <f t="shared" si="7"/>
        <v>10266</v>
      </c>
    </row>
    <row r="171" spans="1:11" x14ac:dyDescent="0.2">
      <c r="A171" s="2">
        <f ca="1">IFERROR(__xludf.DUMMYFUNCTION("""COMPUTED_VALUE"""),45558.6666666666)</f>
        <v>45558.666666666599</v>
      </c>
      <c r="B171" s="2"/>
      <c r="C171" s="1">
        <v>10725</v>
      </c>
      <c r="D171" s="1">
        <v>10950</v>
      </c>
      <c r="E171" s="1">
        <v>10725</v>
      </c>
      <c r="F171" s="1">
        <v>10950</v>
      </c>
      <c r="G171" s="1">
        <v>72553800</v>
      </c>
      <c r="H171" s="4">
        <f t="shared" si="8"/>
        <v>1.6241299303944315E-2</v>
      </c>
      <c r="I171" s="4">
        <f t="shared" si="9"/>
        <v>0.16180371352785147</v>
      </c>
      <c r="J171" s="16">
        <f t="shared" si="10"/>
        <v>10421.25</v>
      </c>
      <c r="K171" s="16">
        <f t="shared" si="7"/>
        <v>10283.5</v>
      </c>
    </row>
    <row r="172" spans="1:11" x14ac:dyDescent="0.2">
      <c r="A172" s="2">
        <f ca="1">IFERROR(__xludf.DUMMYFUNCTION("""COMPUTED_VALUE"""),45559.6666666666)</f>
        <v>45559.666666666599</v>
      </c>
      <c r="B172" s="2"/>
      <c r="C172" s="1">
        <v>10775</v>
      </c>
      <c r="D172" s="1">
        <v>10950</v>
      </c>
      <c r="E172" s="1">
        <v>10775</v>
      </c>
      <c r="F172" s="1">
        <v>10800</v>
      </c>
      <c r="G172" s="1">
        <v>105191100</v>
      </c>
      <c r="H172" s="4">
        <f t="shared" si="8"/>
        <v>-1.3698630136986301E-2</v>
      </c>
      <c r="I172" s="4">
        <f t="shared" si="9"/>
        <v>0.14588859416445624</v>
      </c>
      <c r="J172" s="16">
        <f t="shared" si="10"/>
        <v>10445</v>
      </c>
      <c r="K172" s="16">
        <f t="shared" si="7"/>
        <v>10298.5</v>
      </c>
    </row>
    <row r="173" spans="1:11" x14ac:dyDescent="0.2">
      <c r="A173" s="2">
        <f ca="1">IFERROR(__xludf.DUMMYFUNCTION("""COMPUTED_VALUE"""),45560.6666666666)</f>
        <v>45560.666666666599</v>
      </c>
      <c r="B173" s="2"/>
      <c r="C173" s="1">
        <v>10675</v>
      </c>
      <c r="D173" s="1">
        <v>10850</v>
      </c>
      <c r="E173" s="1">
        <v>10525</v>
      </c>
      <c r="F173" s="1">
        <v>10850</v>
      </c>
      <c r="G173" s="1">
        <v>158369100</v>
      </c>
      <c r="H173" s="4">
        <f t="shared" si="8"/>
        <v>4.6296296296296294E-3</v>
      </c>
      <c r="I173" s="4">
        <f t="shared" si="9"/>
        <v>0.15119363395225463</v>
      </c>
      <c r="J173" s="16">
        <f t="shared" si="10"/>
        <v>10477.5</v>
      </c>
      <c r="K173" s="16">
        <f t="shared" si="7"/>
        <v>10316.5</v>
      </c>
    </row>
    <row r="174" spans="1:11" x14ac:dyDescent="0.2">
      <c r="A174" s="2">
        <f ca="1">IFERROR(__xludf.DUMMYFUNCTION("""COMPUTED_VALUE"""),45561.6666666666)</f>
        <v>45561.666666666599</v>
      </c>
      <c r="B174" s="2"/>
      <c r="C174" s="1">
        <v>10875</v>
      </c>
      <c r="D174" s="1">
        <v>10875</v>
      </c>
      <c r="E174" s="1">
        <v>10675</v>
      </c>
      <c r="F174" s="1">
        <v>10700</v>
      </c>
      <c r="G174" s="1">
        <v>84960100</v>
      </c>
      <c r="H174" s="4">
        <f t="shared" si="8"/>
        <v>-1.3824884792626729E-2</v>
      </c>
      <c r="I174" s="4">
        <f t="shared" si="9"/>
        <v>0.13527851458885942</v>
      </c>
      <c r="J174" s="16">
        <f t="shared" si="10"/>
        <v>10495</v>
      </c>
      <c r="K174" s="16">
        <f t="shared" si="7"/>
        <v>10334.5</v>
      </c>
    </row>
    <row r="175" spans="1:11" x14ac:dyDescent="0.2">
      <c r="A175" s="2">
        <f ca="1">IFERROR(__xludf.DUMMYFUNCTION("""COMPUTED_VALUE"""),45562.6666666666)</f>
        <v>45562.666666666599</v>
      </c>
      <c r="B175" s="2"/>
      <c r="C175" s="1">
        <v>10500</v>
      </c>
      <c r="D175" s="1">
        <v>10750</v>
      </c>
      <c r="E175" s="1">
        <v>10400</v>
      </c>
      <c r="F175" s="1">
        <v>10650</v>
      </c>
      <c r="G175" s="1">
        <v>93027400</v>
      </c>
      <c r="H175" s="4">
        <f t="shared" si="8"/>
        <v>-4.6728971962616819E-3</v>
      </c>
      <c r="I175" s="4">
        <f t="shared" si="9"/>
        <v>0.129973474801061</v>
      </c>
      <c r="J175" s="16">
        <f t="shared" si="10"/>
        <v>10516.25</v>
      </c>
      <c r="K175" s="16">
        <f t="shared" si="7"/>
        <v>10345.5</v>
      </c>
    </row>
    <row r="176" spans="1:11" x14ac:dyDescent="0.2">
      <c r="A176" s="2">
        <f ca="1">IFERROR(__xludf.DUMMYFUNCTION("""COMPUTED_VALUE"""),45565.6666666666)</f>
        <v>45565.666666666599</v>
      </c>
      <c r="B176" s="2"/>
      <c r="C176" s="1">
        <v>10475</v>
      </c>
      <c r="D176" s="1">
        <v>10550</v>
      </c>
      <c r="E176" s="1">
        <v>10325</v>
      </c>
      <c r="F176" s="1">
        <v>10325</v>
      </c>
      <c r="G176" s="1">
        <v>144692100</v>
      </c>
      <c r="H176" s="4">
        <f t="shared" si="8"/>
        <v>-3.0516431924882629E-2</v>
      </c>
      <c r="I176" s="4">
        <f t="shared" si="9"/>
        <v>9.5490716180371346E-2</v>
      </c>
      <c r="J176" s="16">
        <f t="shared" si="10"/>
        <v>10516.25</v>
      </c>
      <c r="K176" s="16">
        <f t="shared" si="7"/>
        <v>10349.5</v>
      </c>
    </row>
    <row r="177" spans="1:11" x14ac:dyDescent="0.2">
      <c r="A177" s="2">
        <f ca="1">IFERROR(__xludf.DUMMYFUNCTION("""COMPUTED_VALUE"""),45566.6666666666)</f>
        <v>45566.666666666599</v>
      </c>
      <c r="B177" s="2"/>
      <c r="C177" s="1">
        <v>10400</v>
      </c>
      <c r="D177" s="1">
        <v>10550</v>
      </c>
      <c r="E177" s="1">
        <v>10375</v>
      </c>
      <c r="F177" s="1">
        <v>10550</v>
      </c>
      <c r="G177" s="1">
        <v>59797700</v>
      </c>
      <c r="H177" s="4">
        <f t="shared" si="8"/>
        <v>2.1791767554479417E-2</v>
      </c>
      <c r="I177" s="4">
        <f t="shared" si="9"/>
        <v>0.11936339522546419</v>
      </c>
      <c r="J177" s="16">
        <f t="shared" si="10"/>
        <v>10530</v>
      </c>
      <c r="K177" s="16">
        <f t="shared" si="7"/>
        <v>10358.5</v>
      </c>
    </row>
    <row r="178" spans="1:11" x14ac:dyDescent="0.2">
      <c r="A178" s="2">
        <f ca="1">IFERROR(__xludf.DUMMYFUNCTION("""COMPUTED_VALUE"""),45567.6666666666)</f>
        <v>45567.666666666599</v>
      </c>
      <c r="B178" s="2"/>
      <c r="C178" s="1">
        <v>10325</v>
      </c>
      <c r="D178" s="1">
        <v>10550</v>
      </c>
      <c r="E178" s="1">
        <v>10325</v>
      </c>
      <c r="F178" s="1">
        <v>10500</v>
      </c>
      <c r="G178" s="1">
        <v>86746200</v>
      </c>
      <c r="H178" s="4">
        <f t="shared" si="8"/>
        <v>-4.7393364928909956E-3</v>
      </c>
      <c r="I178" s="4">
        <f t="shared" si="9"/>
        <v>0.11405835543766578</v>
      </c>
      <c r="J178" s="16">
        <f t="shared" si="10"/>
        <v>10546.25</v>
      </c>
      <c r="K178" s="16">
        <f t="shared" si="7"/>
        <v>10365</v>
      </c>
    </row>
    <row r="179" spans="1:11" x14ac:dyDescent="0.2">
      <c r="A179" s="2">
        <f ca="1">IFERROR(__xludf.DUMMYFUNCTION("""COMPUTED_VALUE"""),45568.6666666666)</f>
        <v>45568.666666666599</v>
      </c>
      <c r="B179" s="2"/>
      <c r="C179" s="1">
        <v>10450</v>
      </c>
      <c r="D179" s="1">
        <v>10525</v>
      </c>
      <c r="E179" s="1">
        <v>10400</v>
      </c>
      <c r="F179" s="1">
        <v>10450</v>
      </c>
      <c r="G179" s="1">
        <v>60887000</v>
      </c>
      <c r="H179" s="4">
        <f t="shared" si="8"/>
        <v>-4.7619047619047623E-3</v>
      </c>
      <c r="I179" s="4">
        <f t="shared" si="9"/>
        <v>0.10875331564986737</v>
      </c>
      <c r="J179" s="16">
        <f t="shared" si="10"/>
        <v>10553.75</v>
      </c>
      <c r="K179" s="16">
        <f t="shared" si="7"/>
        <v>10372.5</v>
      </c>
    </row>
    <row r="180" spans="1:11" x14ac:dyDescent="0.2">
      <c r="A180" s="2">
        <f ca="1">IFERROR(__xludf.DUMMYFUNCTION("""COMPUTED_VALUE"""),45569.6666666666)</f>
        <v>45569.666666666599</v>
      </c>
      <c r="B180" s="2"/>
      <c r="C180" s="1">
        <v>10400</v>
      </c>
      <c r="D180" s="1">
        <v>10475</v>
      </c>
      <c r="E180" s="1">
        <v>10350</v>
      </c>
      <c r="F180" s="1">
        <v>10475</v>
      </c>
      <c r="G180" s="1">
        <v>58500400</v>
      </c>
      <c r="H180" s="4">
        <f t="shared" si="8"/>
        <v>2.3923444976076554E-3</v>
      </c>
      <c r="I180" s="4">
        <f t="shared" si="9"/>
        <v>0.11140583554376658</v>
      </c>
      <c r="J180" s="16">
        <f t="shared" si="10"/>
        <v>10565</v>
      </c>
      <c r="K180" s="16">
        <f t="shared" ref="K180:K243" si="11">AVERAGE(F131:F180)</f>
        <v>10376</v>
      </c>
    </row>
    <row r="181" spans="1:11" x14ac:dyDescent="0.2">
      <c r="A181" s="2">
        <f ca="1">IFERROR(__xludf.DUMMYFUNCTION("""COMPUTED_VALUE"""),45572.6666666666)</f>
        <v>45572.666666666599</v>
      </c>
      <c r="B181" s="2"/>
      <c r="C181" s="1">
        <v>10350</v>
      </c>
      <c r="D181" s="1">
        <v>10375</v>
      </c>
      <c r="E181" s="1">
        <v>10250</v>
      </c>
      <c r="F181" s="1">
        <v>10300</v>
      </c>
      <c r="G181" s="1">
        <v>91867900</v>
      </c>
      <c r="H181" s="4">
        <f t="shared" si="8"/>
        <v>-1.6706443914081145E-2</v>
      </c>
      <c r="I181" s="4">
        <f t="shared" si="9"/>
        <v>9.2838196286472149E-2</v>
      </c>
      <c r="J181" s="16">
        <f t="shared" si="10"/>
        <v>10565</v>
      </c>
      <c r="K181" s="16">
        <f t="shared" si="11"/>
        <v>10375.5</v>
      </c>
    </row>
    <row r="182" spans="1:11" x14ac:dyDescent="0.2">
      <c r="A182" s="2">
        <f ca="1">IFERROR(__xludf.DUMMYFUNCTION("""COMPUTED_VALUE"""),45573.6666666666)</f>
        <v>45573.666666666599</v>
      </c>
      <c r="B182" s="2"/>
      <c r="C182" s="1">
        <v>10200</v>
      </c>
      <c r="D182" s="1">
        <v>10500</v>
      </c>
      <c r="E182" s="1">
        <v>10150</v>
      </c>
      <c r="F182" s="1">
        <v>10400</v>
      </c>
      <c r="G182" s="1">
        <v>99622900</v>
      </c>
      <c r="H182" s="4">
        <f t="shared" si="8"/>
        <v>9.7087378640776691E-3</v>
      </c>
      <c r="I182" s="4">
        <f t="shared" si="9"/>
        <v>0.10344827586206896</v>
      </c>
      <c r="J182" s="16">
        <f t="shared" si="10"/>
        <v>10571.25</v>
      </c>
      <c r="K182" s="16">
        <f t="shared" si="11"/>
        <v>10378.5</v>
      </c>
    </row>
    <row r="183" spans="1:11" x14ac:dyDescent="0.2">
      <c r="A183" s="2">
        <f ca="1">IFERROR(__xludf.DUMMYFUNCTION("""COMPUTED_VALUE"""),45574.6666666666)</f>
        <v>45574.666666666599</v>
      </c>
      <c r="B183" s="2"/>
      <c r="C183" s="1">
        <v>10400</v>
      </c>
      <c r="D183" s="1">
        <v>10525</v>
      </c>
      <c r="E183" s="1">
        <v>10400</v>
      </c>
      <c r="F183" s="1">
        <v>10425</v>
      </c>
      <c r="G183" s="1">
        <v>56835200</v>
      </c>
      <c r="H183" s="4">
        <f t="shared" si="8"/>
        <v>2.403846153846154E-3</v>
      </c>
      <c r="I183" s="4">
        <f t="shared" si="9"/>
        <v>0.10610079575596817</v>
      </c>
      <c r="J183" s="16">
        <f t="shared" si="10"/>
        <v>10575</v>
      </c>
      <c r="K183" s="16">
        <f t="shared" si="11"/>
        <v>10383.5</v>
      </c>
    </row>
    <row r="184" spans="1:11" x14ac:dyDescent="0.2">
      <c r="A184" s="2">
        <f ca="1">IFERROR(__xludf.DUMMYFUNCTION("""COMPUTED_VALUE"""),45575.6666666666)</f>
        <v>45575.666666666599</v>
      </c>
      <c r="B184" s="2"/>
      <c r="C184" s="1">
        <v>10425</v>
      </c>
      <c r="D184" s="1">
        <v>10500</v>
      </c>
      <c r="E184" s="1">
        <v>10400</v>
      </c>
      <c r="F184" s="1">
        <v>10500</v>
      </c>
      <c r="G184" s="1">
        <v>51080000</v>
      </c>
      <c r="H184" s="4">
        <f t="shared" si="8"/>
        <v>7.1942446043165471E-3</v>
      </c>
      <c r="I184" s="4">
        <f t="shared" si="9"/>
        <v>0.11405835543766578</v>
      </c>
      <c r="J184" s="16">
        <f t="shared" si="10"/>
        <v>10578.75</v>
      </c>
      <c r="K184" s="16">
        <f t="shared" si="11"/>
        <v>10388</v>
      </c>
    </row>
    <row r="185" spans="1:11" x14ac:dyDescent="0.2">
      <c r="A185" s="2">
        <f ca="1">IFERROR(__xludf.DUMMYFUNCTION("""COMPUTED_VALUE"""),45576.6666666666)</f>
        <v>45576.666666666599</v>
      </c>
      <c r="B185" s="2"/>
      <c r="C185" s="1">
        <v>10575</v>
      </c>
      <c r="D185" s="1">
        <v>10575</v>
      </c>
      <c r="E185" s="1">
        <v>10375</v>
      </c>
      <c r="F185" s="1">
        <v>10375</v>
      </c>
      <c r="G185" s="1">
        <v>44632100</v>
      </c>
      <c r="H185" s="4">
        <f t="shared" si="8"/>
        <v>-1.1904761904761904E-2</v>
      </c>
      <c r="I185" s="4">
        <f t="shared" si="9"/>
        <v>0.10079575596816977</v>
      </c>
      <c r="J185" s="16">
        <f t="shared" si="10"/>
        <v>10573.75</v>
      </c>
      <c r="K185" s="16">
        <f t="shared" si="11"/>
        <v>10388</v>
      </c>
    </row>
    <row r="186" spans="1:11" x14ac:dyDescent="0.2">
      <c r="A186" s="2">
        <f ca="1">IFERROR(__xludf.DUMMYFUNCTION("""COMPUTED_VALUE"""),45579.6666666666)</f>
        <v>45579.666666666599</v>
      </c>
      <c r="B186" s="2"/>
      <c r="C186" s="1">
        <v>10375</v>
      </c>
      <c r="D186" s="1">
        <v>10500</v>
      </c>
      <c r="E186" s="1">
        <v>10375</v>
      </c>
      <c r="F186" s="1">
        <v>10500</v>
      </c>
      <c r="G186" s="1">
        <v>31738600</v>
      </c>
      <c r="H186" s="4">
        <f t="shared" si="8"/>
        <v>1.2048192771084338E-2</v>
      </c>
      <c r="I186" s="4">
        <f t="shared" si="9"/>
        <v>0.11405835543766578</v>
      </c>
      <c r="J186" s="16">
        <f t="shared" si="10"/>
        <v>10577.5</v>
      </c>
      <c r="K186" s="16">
        <f t="shared" si="11"/>
        <v>10394</v>
      </c>
    </row>
    <row r="187" spans="1:11" x14ac:dyDescent="0.2">
      <c r="A187" s="2">
        <f ca="1">IFERROR(__xludf.DUMMYFUNCTION("""COMPUTED_VALUE"""),45580.6666666666)</f>
        <v>45580.666666666599</v>
      </c>
      <c r="B187" s="2"/>
      <c r="C187" s="1">
        <v>10550</v>
      </c>
      <c r="D187" s="1">
        <v>10625</v>
      </c>
      <c r="E187" s="1">
        <v>10450</v>
      </c>
      <c r="F187" s="1">
        <v>10625</v>
      </c>
      <c r="G187" s="1">
        <v>66635200</v>
      </c>
      <c r="H187" s="4">
        <f t="shared" si="8"/>
        <v>1.1904761904761904E-2</v>
      </c>
      <c r="I187" s="4">
        <f t="shared" si="9"/>
        <v>0.1273209549071618</v>
      </c>
      <c r="J187" s="16">
        <f t="shared" si="10"/>
        <v>10583.75</v>
      </c>
      <c r="K187" s="16">
        <f t="shared" si="11"/>
        <v>10409</v>
      </c>
    </row>
    <row r="188" spans="1:11" x14ac:dyDescent="0.2">
      <c r="A188" s="2">
        <f ca="1">IFERROR(__xludf.DUMMYFUNCTION("""COMPUTED_VALUE"""),45581.6666666666)</f>
        <v>45581.666666666599</v>
      </c>
      <c r="B188" s="2"/>
      <c r="C188" s="1">
        <v>10700</v>
      </c>
      <c r="D188" s="1">
        <v>10725</v>
      </c>
      <c r="E188" s="1">
        <v>10475</v>
      </c>
      <c r="F188" s="1">
        <v>10475</v>
      </c>
      <c r="G188" s="1">
        <v>63255900</v>
      </c>
      <c r="H188" s="4">
        <f t="shared" si="8"/>
        <v>-1.411764705882353E-2</v>
      </c>
      <c r="I188" s="4">
        <f t="shared" si="9"/>
        <v>0.11140583554376658</v>
      </c>
      <c r="J188" s="16">
        <f t="shared" si="10"/>
        <v>10576.25</v>
      </c>
      <c r="K188" s="16">
        <f t="shared" si="11"/>
        <v>10418.5</v>
      </c>
    </row>
    <row r="189" spans="1:11" x14ac:dyDescent="0.2">
      <c r="A189" s="2">
        <f ca="1">IFERROR(__xludf.DUMMYFUNCTION("""COMPUTED_VALUE"""),45582.6666666666)</f>
        <v>45582.666666666599</v>
      </c>
      <c r="B189" s="2"/>
      <c r="C189" s="1">
        <v>10550</v>
      </c>
      <c r="D189" s="1">
        <v>10800</v>
      </c>
      <c r="E189" s="1">
        <v>10500</v>
      </c>
      <c r="F189" s="1">
        <v>10725</v>
      </c>
      <c r="G189" s="1">
        <v>66993300</v>
      </c>
      <c r="H189" s="4">
        <f t="shared" si="8"/>
        <v>2.386634844868735E-2</v>
      </c>
      <c r="I189" s="4">
        <f t="shared" si="9"/>
        <v>0.13793103448275862</v>
      </c>
      <c r="J189" s="16">
        <f t="shared" si="10"/>
        <v>10567.5</v>
      </c>
      <c r="K189" s="16">
        <f t="shared" si="11"/>
        <v>10431</v>
      </c>
    </row>
    <row r="190" spans="1:11" x14ac:dyDescent="0.2">
      <c r="A190" s="2">
        <f ca="1">IFERROR(__xludf.DUMMYFUNCTION("""COMPUTED_VALUE"""),45583.6666666666)</f>
        <v>45583.666666666599</v>
      </c>
      <c r="B190" s="2"/>
      <c r="C190" s="1">
        <v>10875</v>
      </c>
      <c r="D190" s="1">
        <v>10875</v>
      </c>
      <c r="E190" s="1">
        <v>10725</v>
      </c>
      <c r="F190" s="1">
        <v>10750</v>
      </c>
      <c r="G190" s="1">
        <v>56299600</v>
      </c>
      <c r="H190" s="4">
        <f t="shared" si="8"/>
        <v>2.331002331002331E-3</v>
      </c>
      <c r="I190" s="4">
        <f t="shared" si="9"/>
        <v>0.14058355437665782</v>
      </c>
      <c r="J190" s="16">
        <f t="shared" si="10"/>
        <v>10566.25</v>
      </c>
      <c r="K190" s="16">
        <f t="shared" si="11"/>
        <v>10441.5</v>
      </c>
    </row>
    <row r="191" spans="1:11" x14ac:dyDescent="0.2">
      <c r="A191" s="2">
        <f ca="1">IFERROR(__xludf.DUMMYFUNCTION("""COMPUTED_VALUE"""),45586.6666666666)</f>
        <v>45586.666666666599</v>
      </c>
      <c r="B191" s="2"/>
      <c r="C191" s="1">
        <v>10850</v>
      </c>
      <c r="D191" s="1">
        <v>10850</v>
      </c>
      <c r="E191" s="1">
        <v>10675</v>
      </c>
      <c r="F191" s="1">
        <v>10675</v>
      </c>
      <c r="G191" s="1">
        <v>36472500</v>
      </c>
      <c r="H191" s="4">
        <f t="shared" si="8"/>
        <v>-6.9767441860465115E-3</v>
      </c>
      <c r="I191" s="4">
        <f t="shared" si="9"/>
        <v>0.13262599469496023</v>
      </c>
      <c r="J191" s="16">
        <f t="shared" si="10"/>
        <v>10552.5</v>
      </c>
      <c r="K191" s="16">
        <f t="shared" si="11"/>
        <v>10452</v>
      </c>
    </row>
    <row r="192" spans="1:11" x14ac:dyDescent="0.2">
      <c r="A192" s="2">
        <f ca="1">IFERROR(__xludf.DUMMYFUNCTION("""COMPUTED_VALUE"""),45587.6666666666)</f>
        <v>45587.666666666599</v>
      </c>
      <c r="B192" s="2"/>
      <c r="C192" s="1">
        <v>10475</v>
      </c>
      <c r="D192" s="1">
        <v>10600</v>
      </c>
      <c r="E192" s="1">
        <v>10475</v>
      </c>
      <c r="F192" s="1">
        <v>10500</v>
      </c>
      <c r="G192" s="1">
        <v>94799500</v>
      </c>
      <c r="H192" s="4">
        <f t="shared" si="8"/>
        <v>-1.6393442622950821E-2</v>
      </c>
      <c r="I192" s="4">
        <f t="shared" si="9"/>
        <v>0.11405835543766578</v>
      </c>
      <c r="J192" s="16">
        <f t="shared" si="10"/>
        <v>10537.5</v>
      </c>
      <c r="K192" s="16">
        <f t="shared" si="11"/>
        <v>10458</v>
      </c>
    </row>
    <row r="193" spans="1:11" x14ac:dyDescent="0.2">
      <c r="A193" s="2">
        <f ca="1">IFERROR(__xludf.DUMMYFUNCTION("""COMPUTED_VALUE"""),45588.6666666666)</f>
        <v>45588.666666666599</v>
      </c>
      <c r="B193" s="2"/>
      <c r="C193" s="1">
        <v>10475</v>
      </c>
      <c r="D193" s="1">
        <v>10650</v>
      </c>
      <c r="E193" s="1">
        <v>10475</v>
      </c>
      <c r="F193" s="1">
        <v>10650</v>
      </c>
      <c r="G193" s="1">
        <v>48903000</v>
      </c>
      <c r="H193" s="4">
        <f t="shared" si="8"/>
        <v>1.4285714285714285E-2</v>
      </c>
      <c r="I193" s="4">
        <f t="shared" si="9"/>
        <v>0.129973474801061</v>
      </c>
      <c r="J193" s="16">
        <f t="shared" si="10"/>
        <v>10527.5</v>
      </c>
      <c r="K193" s="16">
        <f t="shared" si="11"/>
        <v>10465</v>
      </c>
    </row>
    <row r="194" spans="1:11" x14ac:dyDescent="0.2">
      <c r="A194" s="2">
        <f ca="1">IFERROR(__xludf.DUMMYFUNCTION("""COMPUTED_VALUE"""),45589.6666666666)</f>
        <v>45589.666666666599</v>
      </c>
      <c r="B194" s="2"/>
      <c r="C194" s="1">
        <v>10725</v>
      </c>
      <c r="D194" s="1">
        <v>10850</v>
      </c>
      <c r="E194" s="1">
        <v>10700</v>
      </c>
      <c r="F194" s="1">
        <v>10700</v>
      </c>
      <c r="G194" s="1">
        <v>85341200</v>
      </c>
      <c r="H194" s="4">
        <f t="shared" si="8"/>
        <v>4.6948356807511738E-3</v>
      </c>
      <c r="I194" s="4">
        <f t="shared" si="9"/>
        <v>0.13527851458885942</v>
      </c>
      <c r="J194" s="16">
        <f t="shared" si="10"/>
        <v>10527.5</v>
      </c>
      <c r="K194" s="16">
        <f t="shared" si="11"/>
        <v>10475</v>
      </c>
    </row>
    <row r="195" spans="1:11" x14ac:dyDescent="0.2">
      <c r="A195" s="2">
        <f ca="1">IFERROR(__xludf.DUMMYFUNCTION("""COMPUTED_VALUE"""),45590.6666666666)</f>
        <v>45590.666666666599</v>
      </c>
      <c r="B195" s="2"/>
      <c r="C195" s="1">
        <v>10650</v>
      </c>
      <c r="D195" s="1">
        <v>10750</v>
      </c>
      <c r="E195" s="1">
        <v>10625</v>
      </c>
      <c r="F195" s="1">
        <v>10750</v>
      </c>
      <c r="G195" s="1">
        <v>34847500</v>
      </c>
      <c r="H195" s="4">
        <f t="shared" si="8"/>
        <v>4.6728971962616819E-3</v>
      </c>
      <c r="I195" s="4">
        <f t="shared" si="9"/>
        <v>0.14058355437665782</v>
      </c>
      <c r="J195" s="16">
        <f t="shared" si="10"/>
        <v>10532.5</v>
      </c>
      <c r="K195" s="16">
        <f t="shared" si="11"/>
        <v>10485.5</v>
      </c>
    </row>
    <row r="196" spans="1:11" x14ac:dyDescent="0.2">
      <c r="A196" s="2">
        <f ca="1">IFERROR(__xludf.DUMMYFUNCTION("""COMPUTED_VALUE"""),45593.6666666666)</f>
        <v>45593.666666666599</v>
      </c>
      <c r="B196" s="2"/>
      <c r="C196" s="1">
        <v>10825</v>
      </c>
      <c r="D196" s="1">
        <v>10825</v>
      </c>
      <c r="E196" s="1">
        <v>10600</v>
      </c>
      <c r="F196" s="1">
        <v>10600</v>
      </c>
      <c r="G196" s="1">
        <v>39061500</v>
      </c>
      <c r="H196" s="4">
        <f t="shared" ref="H196:H259" si="12">(F196-F195)/F195</f>
        <v>-1.3953488372093023E-2</v>
      </c>
      <c r="I196" s="4">
        <f t="shared" ref="I196:I259" si="13">(F196-$F$2)/$F$2</f>
        <v>0.12466843501326259</v>
      </c>
      <c r="J196" s="16">
        <f t="shared" si="10"/>
        <v>10546.25</v>
      </c>
      <c r="K196" s="16">
        <f t="shared" si="11"/>
        <v>10491</v>
      </c>
    </row>
    <row r="197" spans="1:11" x14ac:dyDescent="0.2">
      <c r="A197" s="2">
        <f ca="1">IFERROR(__xludf.DUMMYFUNCTION("""COMPUTED_VALUE"""),45594.6666666666)</f>
        <v>45594.666666666599</v>
      </c>
      <c r="B197" s="2"/>
      <c r="C197" s="1">
        <v>10525</v>
      </c>
      <c r="D197" s="1">
        <v>10575</v>
      </c>
      <c r="E197" s="1">
        <v>10500</v>
      </c>
      <c r="F197" s="1">
        <v>10500</v>
      </c>
      <c r="G197" s="1">
        <v>49680100</v>
      </c>
      <c r="H197" s="4">
        <f t="shared" si="12"/>
        <v>-9.433962264150943E-3</v>
      </c>
      <c r="I197" s="4">
        <f t="shared" si="13"/>
        <v>0.11405835543766578</v>
      </c>
      <c r="J197" s="16">
        <f t="shared" si="10"/>
        <v>10543.75</v>
      </c>
      <c r="K197" s="16">
        <f t="shared" si="11"/>
        <v>10493.5</v>
      </c>
    </row>
    <row r="198" spans="1:11" x14ac:dyDescent="0.2">
      <c r="A198" s="2">
        <f ca="1">IFERROR(__xludf.DUMMYFUNCTION("""COMPUTED_VALUE"""),45595.6666666666)</f>
        <v>45595.666666666599</v>
      </c>
      <c r="B198" s="2"/>
      <c r="C198" s="1">
        <v>10350</v>
      </c>
      <c r="D198" s="1">
        <v>10375</v>
      </c>
      <c r="E198" s="1">
        <v>10325</v>
      </c>
      <c r="F198" s="1">
        <v>10350</v>
      </c>
      <c r="G198" s="1">
        <v>32114000</v>
      </c>
      <c r="H198" s="4">
        <f t="shared" si="12"/>
        <v>-1.4285714285714285E-2</v>
      </c>
      <c r="I198" s="4">
        <f t="shared" si="13"/>
        <v>9.8143236074270557E-2</v>
      </c>
      <c r="J198" s="16">
        <f t="shared" si="10"/>
        <v>10536.25</v>
      </c>
      <c r="K198" s="16">
        <f t="shared" si="11"/>
        <v>10492</v>
      </c>
    </row>
    <row r="199" spans="1:11" x14ac:dyDescent="0.2">
      <c r="A199" s="2">
        <f ca="1">IFERROR(__xludf.DUMMYFUNCTION("""COMPUTED_VALUE"""),45596.6666666666)</f>
        <v>45596.666666666599</v>
      </c>
      <c r="B199" s="2"/>
      <c r="C199" s="1">
        <v>10325</v>
      </c>
      <c r="D199" s="1">
        <v>10475</v>
      </c>
      <c r="E199" s="1">
        <v>10250</v>
      </c>
      <c r="F199" s="1">
        <v>10250</v>
      </c>
      <c r="G199" s="1">
        <v>97553400</v>
      </c>
      <c r="H199" s="4">
        <f t="shared" si="12"/>
        <v>-9.6618357487922701E-3</v>
      </c>
      <c r="I199" s="4">
        <f t="shared" si="13"/>
        <v>8.7533156498673742E-2</v>
      </c>
      <c r="J199" s="16">
        <f t="shared" si="10"/>
        <v>10526.25</v>
      </c>
      <c r="K199" s="16">
        <f t="shared" si="11"/>
        <v>10488.5</v>
      </c>
    </row>
    <row r="200" spans="1:11" x14ac:dyDescent="0.2">
      <c r="A200" s="2">
        <f ca="1">IFERROR(__xludf.DUMMYFUNCTION("""COMPUTED_VALUE"""),45597.6666666666)</f>
        <v>45597.666666666599</v>
      </c>
      <c r="B200" s="2"/>
      <c r="C200" s="1">
        <v>10275</v>
      </c>
      <c r="D200" s="1">
        <v>10425</v>
      </c>
      <c r="E200" s="1">
        <v>10275</v>
      </c>
      <c r="F200" s="1">
        <v>10425</v>
      </c>
      <c r="G200" s="1">
        <v>47710000</v>
      </c>
      <c r="H200" s="4">
        <f t="shared" si="12"/>
        <v>1.7073170731707318E-2</v>
      </c>
      <c r="I200" s="4">
        <f t="shared" si="13"/>
        <v>0.10610079575596817</v>
      </c>
      <c r="J200" s="16">
        <f t="shared" si="10"/>
        <v>10523.75</v>
      </c>
      <c r="K200" s="16">
        <f t="shared" si="11"/>
        <v>10490.5</v>
      </c>
    </row>
    <row r="201" spans="1:11" x14ac:dyDescent="0.2">
      <c r="A201" s="2">
        <f ca="1">IFERROR(__xludf.DUMMYFUNCTION("""COMPUTED_VALUE"""),45600.6666666666)</f>
        <v>45600.666666666599</v>
      </c>
      <c r="B201" s="2"/>
      <c r="C201" s="1">
        <v>10425</v>
      </c>
      <c r="D201" s="1">
        <v>10500</v>
      </c>
      <c r="E201" s="1">
        <v>10300</v>
      </c>
      <c r="F201" s="1">
        <v>10375</v>
      </c>
      <c r="G201" s="1">
        <v>49275700</v>
      </c>
      <c r="H201" s="4">
        <f t="shared" si="12"/>
        <v>-4.7961630695443642E-3</v>
      </c>
      <c r="I201" s="4">
        <f t="shared" si="13"/>
        <v>0.10079575596816977</v>
      </c>
      <c r="J201" s="16">
        <f t="shared" si="10"/>
        <v>10527.5</v>
      </c>
      <c r="K201" s="16">
        <f t="shared" si="11"/>
        <v>10491.5</v>
      </c>
    </row>
    <row r="202" spans="1:11" x14ac:dyDescent="0.2">
      <c r="A202" s="2">
        <f ca="1">IFERROR(__xludf.DUMMYFUNCTION("""COMPUTED_VALUE"""),45601.6666666666)</f>
        <v>45601.666666666599</v>
      </c>
      <c r="B202" s="2"/>
      <c r="C202" s="1">
        <v>10300</v>
      </c>
      <c r="D202" s="1">
        <v>10575</v>
      </c>
      <c r="E202" s="1">
        <v>10300</v>
      </c>
      <c r="F202" s="1">
        <v>10500</v>
      </c>
      <c r="G202" s="1">
        <v>50296500</v>
      </c>
      <c r="H202" s="4">
        <f t="shared" si="12"/>
        <v>1.2048192771084338E-2</v>
      </c>
      <c r="I202" s="4">
        <f t="shared" si="13"/>
        <v>0.11405835543766578</v>
      </c>
      <c r="J202" s="16">
        <f t="shared" si="10"/>
        <v>10532.5</v>
      </c>
      <c r="K202" s="16">
        <f t="shared" si="11"/>
        <v>10495</v>
      </c>
    </row>
    <row r="203" spans="1:11" x14ac:dyDescent="0.2">
      <c r="A203" s="2">
        <f ca="1">IFERROR(__xludf.DUMMYFUNCTION("""COMPUTED_VALUE"""),45602.6666666666)</f>
        <v>45602.666666666599</v>
      </c>
      <c r="B203" s="2"/>
      <c r="C203" s="1">
        <v>10475</v>
      </c>
      <c r="D203" s="1">
        <v>10500</v>
      </c>
      <c r="E203" s="1">
        <v>10375</v>
      </c>
      <c r="F203" s="1">
        <v>10450</v>
      </c>
      <c r="G203" s="1">
        <v>50324900</v>
      </c>
      <c r="H203" s="4">
        <f t="shared" si="12"/>
        <v>-4.7619047619047623E-3</v>
      </c>
      <c r="I203" s="4">
        <f t="shared" si="13"/>
        <v>0.10875331564986737</v>
      </c>
      <c r="J203" s="16">
        <f t="shared" si="10"/>
        <v>10533.75</v>
      </c>
      <c r="K203" s="16">
        <f t="shared" si="11"/>
        <v>10500</v>
      </c>
    </row>
    <row r="204" spans="1:11" x14ac:dyDescent="0.2">
      <c r="A204" s="2">
        <f ca="1">IFERROR(__xludf.DUMMYFUNCTION("""COMPUTED_VALUE"""),45603.6666666666)</f>
        <v>45603.666666666599</v>
      </c>
      <c r="B204" s="2"/>
      <c r="C204" s="1">
        <v>10325</v>
      </c>
      <c r="D204" s="1">
        <v>10450</v>
      </c>
      <c r="E204" s="1">
        <v>10175</v>
      </c>
      <c r="F204" s="1">
        <v>10175</v>
      </c>
      <c r="G204" s="1">
        <v>131579100</v>
      </c>
      <c r="H204" s="4">
        <f t="shared" si="12"/>
        <v>-2.6315789473684209E-2</v>
      </c>
      <c r="I204" s="4">
        <f t="shared" si="13"/>
        <v>7.9575596816976124E-2</v>
      </c>
      <c r="J204" s="16">
        <f t="shared" si="10"/>
        <v>10517.5</v>
      </c>
      <c r="K204" s="16">
        <f t="shared" si="11"/>
        <v>10496.5</v>
      </c>
    </row>
    <row r="205" spans="1:11" x14ac:dyDescent="0.2">
      <c r="A205" s="2">
        <f ca="1">IFERROR(__xludf.DUMMYFUNCTION("""COMPUTED_VALUE"""),45604.6666666666)</f>
        <v>45604.666666666599</v>
      </c>
      <c r="B205" s="2"/>
      <c r="C205" s="1">
        <v>10200</v>
      </c>
      <c r="D205" s="1">
        <v>10225</v>
      </c>
      <c r="E205" s="1">
        <v>10050</v>
      </c>
      <c r="F205" s="1">
        <v>10075</v>
      </c>
      <c r="G205" s="1">
        <v>92166100</v>
      </c>
      <c r="H205" s="4">
        <f t="shared" si="12"/>
        <v>-9.8280098280098278E-3</v>
      </c>
      <c r="I205" s="4">
        <f t="shared" si="13"/>
        <v>6.8965517241379309E-2</v>
      </c>
      <c r="J205" s="16">
        <f t="shared" si="10"/>
        <v>10502.5</v>
      </c>
      <c r="K205" s="16">
        <f t="shared" si="11"/>
        <v>10493.5</v>
      </c>
    </row>
    <row r="206" spans="1:11" x14ac:dyDescent="0.2">
      <c r="A206" s="2">
        <f ca="1">IFERROR(__xludf.DUMMYFUNCTION("""COMPUTED_VALUE"""),45607.6666666666)</f>
        <v>45607.666666666599</v>
      </c>
      <c r="B206" s="2"/>
      <c r="C206" s="1">
        <v>9800</v>
      </c>
      <c r="D206" s="1">
        <v>10050</v>
      </c>
      <c r="E206" s="1">
        <v>9800</v>
      </c>
      <c r="F206" s="1">
        <v>10050</v>
      </c>
      <c r="G206" s="1">
        <v>128707600</v>
      </c>
      <c r="H206" s="4">
        <f t="shared" si="12"/>
        <v>-2.4813895781637717E-3</v>
      </c>
      <c r="I206" s="4">
        <f t="shared" si="13"/>
        <v>6.6312997347480113E-2</v>
      </c>
      <c r="J206" s="16">
        <f t="shared" si="10"/>
        <v>10480</v>
      </c>
      <c r="K206" s="16">
        <f t="shared" si="11"/>
        <v>10488</v>
      </c>
    </row>
    <row r="207" spans="1:11" x14ac:dyDescent="0.2">
      <c r="A207" s="2">
        <f ca="1">IFERROR(__xludf.DUMMYFUNCTION("""COMPUTED_VALUE"""),45608.6666666666)</f>
        <v>45608.666666666599</v>
      </c>
      <c r="B207" s="2"/>
      <c r="C207" s="1">
        <v>10100</v>
      </c>
      <c r="D207" s="1">
        <v>10225</v>
      </c>
      <c r="E207" s="1">
        <v>10000</v>
      </c>
      <c r="F207" s="1">
        <v>10150</v>
      </c>
      <c r="G207" s="1">
        <v>80378500</v>
      </c>
      <c r="H207" s="4">
        <f t="shared" si="12"/>
        <v>9.9502487562189053E-3</v>
      </c>
      <c r="I207" s="4">
        <f t="shared" si="13"/>
        <v>7.6923076923076927E-2</v>
      </c>
      <c r="J207" s="16">
        <f t="shared" si="10"/>
        <v>10456.25</v>
      </c>
      <c r="K207" s="16">
        <f t="shared" si="11"/>
        <v>10485.5</v>
      </c>
    </row>
    <row r="208" spans="1:11" x14ac:dyDescent="0.2">
      <c r="A208" s="2">
        <f ca="1">IFERROR(__xludf.DUMMYFUNCTION("""COMPUTED_VALUE"""),45609.6666666666)</f>
        <v>45609.666666666599</v>
      </c>
      <c r="B208" s="2"/>
      <c r="C208" s="1">
        <v>10225</v>
      </c>
      <c r="D208" s="1">
        <v>10250</v>
      </c>
      <c r="E208" s="1">
        <v>10150</v>
      </c>
      <c r="F208" s="1">
        <v>10150</v>
      </c>
      <c r="G208" s="1">
        <v>62933100</v>
      </c>
      <c r="H208" s="4">
        <f t="shared" si="12"/>
        <v>0</v>
      </c>
      <c r="I208" s="4">
        <f t="shared" si="13"/>
        <v>7.6923076923076927E-2</v>
      </c>
      <c r="J208" s="16">
        <f t="shared" si="10"/>
        <v>10440</v>
      </c>
      <c r="K208" s="16">
        <f t="shared" si="11"/>
        <v>10485</v>
      </c>
    </row>
    <row r="209" spans="1:11" x14ac:dyDescent="0.2">
      <c r="A209" s="2">
        <f ca="1">IFERROR(__xludf.DUMMYFUNCTION("""COMPUTED_VALUE"""),45610.6666666666)</f>
        <v>45610.666666666599</v>
      </c>
      <c r="B209" s="2"/>
      <c r="C209" s="1">
        <v>10125</v>
      </c>
      <c r="D209" s="1">
        <v>10175</v>
      </c>
      <c r="E209" s="1">
        <v>10050</v>
      </c>
      <c r="F209" s="1">
        <v>10100</v>
      </c>
      <c r="G209" s="1">
        <v>56381400</v>
      </c>
      <c r="H209" s="4">
        <f t="shared" si="12"/>
        <v>-4.9261083743842365E-3</v>
      </c>
      <c r="I209" s="4">
        <f t="shared" si="13"/>
        <v>7.161803713527852E-2</v>
      </c>
      <c r="J209" s="16">
        <f t="shared" si="10"/>
        <v>10408.75</v>
      </c>
      <c r="K209" s="16">
        <f t="shared" si="11"/>
        <v>10481</v>
      </c>
    </row>
    <row r="210" spans="1:11" x14ac:dyDescent="0.2">
      <c r="A210" s="2">
        <f ca="1">IFERROR(__xludf.DUMMYFUNCTION("""COMPUTED_VALUE"""),45611.6666666666)</f>
        <v>45611.666666666599</v>
      </c>
      <c r="B210" s="2"/>
      <c r="C210" s="1">
        <v>10050</v>
      </c>
      <c r="D210" s="1">
        <v>10275</v>
      </c>
      <c r="E210" s="1">
        <v>10050</v>
      </c>
      <c r="F210" s="1">
        <v>10175</v>
      </c>
      <c r="G210" s="1">
        <v>63598200</v>
      </c>
      <c r="H210" s="4">
        <f t="shared" si="12"/>
        <v>7.4257425742574254E-3</v>
      </c>
      <c r="I210" s="4">
        <f t="shared" si="13"/>
        <v>7.9575596816976124E-2</v>
      </c>
      <c r="J210" s="16">
        <f t="shared" si="10"/>
        <v>10380</v>
      </c>
      <c r="K210" s="16">
        <f t="shared" si="11"/>
        <v>10479.5</v>
      </c>
    </row>
    <row r="211" spans="1:11" x14ac:dyDescent="0.2">
      <c r="A211" s="2">
        <f ca="1">IFERROR(__xludf.DUMMYFUNCTION("""COMPUTED_VALUE"""),45614.6666666666)</f>
        <v>45614.666666666599</v>
      </c>
      <c r="B211" s="2"/>
      <c r="C211" s="1">
        <v>10075</v>
      </c>
      <c r="D211" s="1">
        <v>10125</v>
      </c>
      <c r="E211" s="1">
        <v>10000</v>
      </c>
      <c r="F211" s="1">
        <v>10000</v>
      </c>
      <c r="G211" s="1">
        <v>65716200</v>
      </c>
      <c r="H211" s="4">
        <f t="shared" si="12"/>
        <v>-1.7199017199017199E-2</v>
      </c>
      <c r="I211" s="4">
        <f t="shared" si="13"/>
        <v>6.1007957559681698E-2</v>
      </c>
      <c r="J211" s="16">
        <f t="shared" si="10"/>
        <v>10346.25</v>
      </c>
      <c r="K211" s="16">
        <f t="shared" si="11"/>
        <v>10473.5</v>
      </c>
    </row>
    <row r="212" spans="1:11" x14ac:dyDescent="0.2">
      <c r="A212" s="2">
        <f ca="1">IFERROR(__xludf.DUMMYFUNCTION("""COMPUTED_VALUE"""),45615.6666666666)</f>
        <v>45615.666666666599</v>
      </c>
      <c r="B212" s="2"/>
      <c r="C212" s="1">
        <v>9900</v>
      </c>
      <c r="D212" s="1">
        <v>10025</v>
      </c>
      <c r="E212" s="1">
        <v>9900</v>
      </c>
      <c r="F212" s="1">
        <v>9925</v>
      </c>
      <c r="G212" s="1">
        <v>85295300</v>
      </c>
      <c r="H212" s="4">
        <f t="shared" si="12"/>
        <v>-7.4999999999999997E-3</v>
      </c>
      <c r="I212" s="4">
        <f t="shared" si="13"/>
        <v>5.3050397877984087E-2</v>
      </c>
      <c r="J212" s="16">
        <f t="shared" si="10"/>
        <v>10317.5</v>
      </c>
      <c r="K212" s="16">
        <f t="shared" si="11"/>
        <v>10466.5</v>
      </c>
    </row>
    <row r="213" spans="1:11" x14ac:dyDescent="0.2">
      <c r="A213" s="2">
        <f ca="1">IFERROR(__xludf.DUMMYFUNCTION("""COMPUTED_VALUE"""),45616.6666666666)</f>
        <v>45616.666666666599</v>
      </c>
      <c r="B213" s="2"/>
      <c r="C213" s="1">
        <v>10025</v>
      </c>
      <c r="D213" s="1">
        <v>10150</v>
      </c>
      <c r="E213" s="1">
        <v>10000</v>
      </c>
      <c r="F213" s="1">
        <v>10075</v>
      </c>
      <c r="G213" s="1">
        <v>58584400</v>
      </c>
      <c r="H213" s="4">
        <f t="shared" si="12"/>
        <v>1.5113350125944584E-2</v>
      </c>
      <c r="I213" s="4">
        <f t="shared" si="13"/>
        <v>6.8965517241379309E-2</v>
      </c>
      <c r="J213" s="16">
        <f t="shared" si="10"/>
        <v>10288.75</v>
      </c>
      <c r="K213" s="16">
        <f t="shared" si="11"/>
        <v>10461</v>
      </c>
    </row>
    <row r="214" spans="1:11" x14ac:dyDescent="0.2">
      <c r="A214" s="2">
        <f ca="1">IFERROR(__xludf.DUMMYFUNCTION("""COMPUTED_VALUE"""),45617.6666666666)</f>
        <v>45617.666666666599</v>
      </c>
      <c r="B214" s="2"/>
      <c r="C214" s="1">
        <v>10000</v>
      </c>
      <c r="D214" s="1">
        <v>10000</v>
      </c>
      <c r="E214" s="1">
        <v>9850</v>
      </c>
      <c r="F214" s="1">
        <v>9850</v>
      </c>
      <c r="G214" s="1">
        <v>93181200</v>
      </c>
      <c r="H214" s="4">
        <f t="shared" si="12"/>
        <v>-2.2332506203473945E-2</v>
      </c>
      <c r="I214" s="4">
        <f t="shared" si="13"/>
        <v>4.5092838196286469E-2</v>
      </c>
      <c r="J214" s="16">
        <f t="shared" ref="J214:J277" si="14">AVERAGE(F195:F214)</f>
        <v>10246.25</v>
      </c>
      <c r="K214" s="16">
        <f t="shared" si="11"/>
        <v>10449.5</v>
      </c>
    </row>
    <row r="215" spans="1:11" x14ac:dyDescent="0.2">
      <c r="A215" s="2">
        <f ca="1">IFERROR(__xludf.DUMMYFUNCTION("""COMPUTED_VALUE"""),45618.6666666666)</f>
        <v>45618.666666666599</v>
      </c>
      <c r="B215" s="2"/>
      <c r="C215" s="1">
        <v>9925</v>
      </c>
      <c r="D215" s="1">
        <v>9950</v>
      </c>
      <c r="E215" s="1">
        <v>9850</v>
      </c>
      <c r="F215" s="1">
        <v>9850</v>
      </c>
      <c r="G215" s="1">
        <v>58396100</v>
      </c>
      <c r="H215" s="4">
        <f t="shared" si="12"/>
        <v>0</v>
      </c>
      <c r="I215" s="4">
        <f t="shared" si="13"/>
        <v>4.5092838196286469E-2</v>
      </c>
      <c r="J215" s="16">
        <f t="shared" si="14"/>
        <v>10201.25</v>
      </c>
      <c r="K215" s="16">
        <f t="shared" si="11"/>
        <v>10437</v>
      </c>
    </row>
    <row r="216" spans="1:11" x14ac:dyDescent="0.2">
      <c r="A216" s="2">
        <f ca="1">IFERROR(__xludf.DUMMYFUNCTION("""COMPUTED_VALUE"""),45621.6666666666)</f>
        <v>45621.666666666599</v>
      </c>
      <c r="B216" s="2"/>
      <c r="C216" s="1">
        <v>9950</v>
      </c>
      <c r="D216" s="1">
        <v>10200</v>
      </c>
      <c r="E216" s="1">
        <v>9900</v>
      </c>
      <c r="F216" s="1">
        <v>10175</v>
      </c>
      <c r="G216" s="1">
        <v>165369400</v>
      </c>
      <c r="H216" s="4">
        <f t="shared" si="12"/>
        <v>3.2994923857868022E-2</v>
      </c>
      <c r="I216" s="4">
        <f t="shared" si="13"/>
        <v>7.9575596816976124E-2</v>
      </c>
      <c r="J216" s="16">
        <f t="shared" si="14"/>
        <v>10180</v>
      </c>
      <c r="K216" s="16">
        <f t="shared" si="11"/>
        <v>10432</v>
      </c>
    </row>
    <row r="217" spans="1:11" x14ac:dyDescent="0.2">
      <c r="A217" s="2">
        <f ca="1">IFERROR(__xludf.DUMMYFUNCTION("""COMPUTED_VALUE"""),45622.6666666666)</f>
        <v>45622.666666666599</v>
      </c>
      <c r="B217" s="2"/>
      <c r="C217" s="1">
        <v>10250</v>
      </c>
      <c r="D217" s="1">
        <v>10250</v>
      </c>
      <c r="E217" s="1">
        <v>10000</v>
      </c>
      <c r="F217" s="1">
        <v>10000</v>
      </c>
      <c r="G217" s="1">
        <v>62310100</v>
      </c>
      <c r="H217" s="4">
        <f t="shared" si="12"/>
        <v>-1.7199017199017199E-2</v>
      </c>
      <c r="I217" s="4">
        <f t="shared" si="13"/>
        <v>6.1007957559681698E-2</v>
      </c>
      <c r="J217" s="16">
        <f t="shared" si="14"/>
        <v>10155</v>
      </c>
      <c r="K217" s="16">
        <f t="shared" si="11"/>
        <v>10422</v>
      </c>
    </row>
    <row r="218" spans="1:11" x14ac:dyDescent="0.2">
      <c r="A218" s="2">
        <f ca="1">IFERROR(__xludf.DUMMYFUNCTION("""COMPUTED_VALUE"""),45624.6666666666)</f>
        <v>45624.666666666599</v>
      </c>
      <c r="B218" s="2"/>
      <c r="C218" s="1">
        <v>9975</v>
      </c>
      <c r="D218" s="1">
        <v>10075</v>
      </c>
      <c r="E218" s="1">
        <v>9925</v>
      </c>
      <c r="F218" s="1">
        <v>10000</v>
      </c>
      <c r="G218" s="1">
        <v>57443500</v>
      </c>
      <c r="H218" s="4">
        <f t="shared" si="12"/>
        <v>0</v>
      </c>
      <c r="I218" s="4">
        <f t="shared" si="13"/>
        <v>6.1007957559681698E-2</v>
      </c>
      <c r="J218" s="16">
        <f t="shared" si="14"/>
        <v>10137.5</v>
      </c>
      <c r="K218" s="16">
        <f t="shared" si="11"/>
        <v>10409.5</v>
      </c>
    </row>
    <row r="219" spans="1:11" x14ac:dyDescent="0.2">
      <c r="A219" s="2">
        <f ca="1">IFERROR(__xludf.DUMMYFUNCTION("""COMPUTED_VALUE"""),45625.6666666666)</f>
        <v>45625.666666666599</v>
      </c>
      <c r="B219" s="2"/>
      <c r="C219" s="1">
        <v>10000</v>
      </c>
      <c r="D219" s="1">
        <v>10100</v>
      </c>
      <c r="E219" s="1">
        <v>9950</v>
      </c>
      <c r="F219" s="1">
        <v>10000</v>
      </c>
      <c r="G219" s="1">
        <v>76886000</v>
      </c>
      <c r="H219" s="4">
        <f t="shared" si="12"/>
        <v>0</v>
      </c>
      <c r="I219" s="4">
        <f t="shared" si="13"/>
        <v>6.1007957559681698E-2</v>
      </c>
      <c r="J219" s="16">
        <f t="shared" si="14"/>
        <v>10125</v>
      </c>
      <c r="K219" s="16">
        <f t="shared" si="11"/>
        <v>10391.5</v>
      </c>
    </row>
    <row r="220" spans="1:11" x14ac:dyDescent="0.2">
      <c r="A220" s="2">
        <f ca="1">IFERROR(__xludf.DUMMYFUNCTION("""COMPUTED_VALUE"""),45628.6666666666)</f>
        <v>45628.666666666599</v>
      </c>
      <c r="B220" s="2"/>
      <c r="C220" s="1">
        <v>10000</v>
      </c>
      <c r="D220" s="1">
        <v>10050</v>
      </c>
      <c r="E220" s="1">
        <v>9750</v>
      </c>
      <c r="F220" s="1">
        <v>9750</v>
      </c>
      <c r="G220" s="1">
        <v>87879600</v>
      </c>
      <c r="H220" s="4">
        <f t="shared" si="12"/>
        <v>-2.5000000000000001E-2</v>
      </c>
      <c r="I220" s="4">
        <f t="shared" si="13"/>
        <v>3.4482758620689655E-2</v>
      </c>
      <c r="J220" s="16">
        <f t="shared" si="14"/>
        <v>10091.25</v>
      </c>
      <c r="K220" s="16">
        <f t="shared" si="11"/>
        <v>10371</v>
      </c>
    </row>
    <row r="221" spans="1:11" x14ac:dyDescent="0.2">
      <c r="A221" s="2">
        <f ca="1">IFERROR(__xludf.DUMMYFUNCTION("""COMPUTED_VALUE"""),45629.6666666666)</f>
        <v>45629.666666666599</v>
      </c>
      <c r="B221" s="2"/>
      <c r="C221" s="1">
        <v>10025</v>
      </c>
      <c r="D221" s="1">
        <v>10225</v>
      </c>
      <c r="E221" s="1">
        <v>9900</v>
      </c>
      <c r="F221" s="1">
        <v>10200</v>
      </c>
      <c r="G221" s="1">
        <v>126087100</v>
      </c>
      <c r="H221" s="4">
        <f t="shared" si="12"/>
        <v>4.6153846153846156E-2</v>
      </c>
      <c r="I221" s="4">
        <f t="shared" si="13"/>
        <v>8.2228116710875335E-2</v>
      </c>
      <c r="J221" s="16">
        <f t="shared" si="14"/>
        <v>10082.5</v>
      </c>
      <c r="K221" s="16">
        <f t="shared" si="11"/>
        <v>10356</v>
      </c>
    </row>
    <row r="222" spans="1:11" x14ac:dyDescent="0.2">
      <c r="A222" s="2">
        <f ca="1">IFERROR(__xludf.DUMMYFUNCTION("""COMPUTED_VALUE"""),45630.6666666666)</f>
        <v>45630.666666666599</v>
      </c>
      <c r="B222" s="2"/>
      <c r="C222" s="1">
        <v>10175</v>
      </c>
      <c r="D222" s="1">
        <v>10250</v>
      </c>
      <c r="E222" s="1">
        <v>10050</v>
      </c>
      <c r="F222" s="1">
        <v>10200</v>
      </c>
      <c r="G222" s="1">
        <v>97876300</v>
      </c>
      <c r="H222" s="4">
        <f t="shared" si="12"/>
        <v>0</v>
      </c>
      <c r="I222" s="4">
        <f t="shared" si="13"/>
        <v>8.2228116710875335E-2</v>
      </c>
      <c r="J222" s="16">
        <f t="shared" si="14"/>
        <v>10067.5</v>
      </c>
      <c r="K222" s="16">
        <f t="shared" si="11"/>
        <v>10344</v>
      </c>
    </row>
    <row r="223" spans="1:11" x14ac:dyDescent="0.2">
      <c r="A223" s="2">
        <f ca="1">IFERROR(__xludf.DUMMYFUNCTION("""COMPUTED_VALUE"""),45631.6666666666)</f>
        <v>45631.666666666599</v>
      </c>
      <c r="B223" s="2"/>
      <c r="C223" s="1">
        <v>10250</v>
      </c>
      <c r="D223" s="1">
        <v>10350</v>
      </c>
      <c r="E223" s="1">
        <v>10225</v>
      </c>
      <c r="F223" s="1">
        <v>10250</v>
      </c>
      <c r="G223" s="1">
        <v>96904400</v>
      </c>
      <c r="H223" s="4">
        <f t="shared" si="12"/>
        <v>4.9019607843137254E-3</v>
      </c>
      <c r="I223" s="4">
        <f t="shared" si="13"/>
        <v>8.7533156498673742E-2</v>
      </c>
      <c r="J223" s="16">
        <f t="shared" si="14"/>
        <v>10057.5</v>
      </c>
      <c r="K223" s="16">
        <f t="shared" si="11"/>
        <v>10332</v>
      </c>
    </row>
    <row r="224" spans="1:11" x14ac:dyDescent="0.2">
      <c r="A224" s="2">
        <f ca="1">IFERROR(__xludf.DUMMYFUNCTION("""COMPUTED_VALUE"""),45632.6666666666)</f>
        <v>45632.666666666599</v>
      </c>
      <c r="B224" s="2"/>
      <c r="C224" s="1">
        <v>10100</v>
      </c>
      <c r="D224" s="1">
        <v>10175</v>
      </c>
      <c r="E224" s="1">
        <v>10050</v>
      </c>
      <c r="F224" s="1">
        <v>10075</v>
      </c>
      <c r="G224" s="1">
        <v>68247200</v>
      </c>
      <c r="H224" s="4">
        <f t="shared" si="12"/>
        <v>-1.7073170731707318E-2</v>
      </c>
      <c r="I224" s="4">
        <f t="shared" si="13"/>
        <v>6.8965517241379309E-2</v>
      </c>
      <c r="J224" s="16">
        <f t="shared" si="14"/>
        <v>10052.5</v>
      </c>
      <c r="K224" s="16">
        <f t="shared" si="11"/>
        <v>10319.5</v>
      </c>
    </row>
    <row r="225" spans="1:11" x14ac:dyDescent="0.2">
      <c r="A225" s="2">
        <f ca="1">IFERROR(__xludf.DUMMYFUNCTION("""COMPUTED_VALUE"""),45635.6666666666)</f>
        <v>45635.666666666599</v>
      </c>
      <c r="B225" s="2"/>
      <c r="C225" s="1">
        <v>10025</v>
      </c>
      <c r="D225" s="1">
        <v>10350</v>
      </c>
      <c r="E225" s="1">
        <v>10000</v>
      </c>
      <c r="F225" s="1">
        <v>10350</v>
      </c>
      <c r="G225" s="1">
        <v>64458400</v>
      </c>
      <c r="H225" s="4">
        <f t="shared" si="12"/>
        <v>2.729528535980149E-2</v>
      </c>
      <c r="I225" s="4">
        <f t="shared" si="13"/>
        <v>9.8143236074270557E-2</v>
      </c>
      <c r="J225" s="16">
        <f t="shared" si="14"/>
        <v>10066.25</v>
      </c>
      <c r="K225" s="16">
        <f t="shared" si="11"/>
        <v>10313.5</v>
      </c>
    </row>
    <row r="226" spans="1:11" x14ac:dyDescent="0.2">
      <c r="A226" s="2">
        <f ca="1">IFERROR(__xludf.DUMMYFUNCTION("""COMPUTED_VALUE"""),45636.6666666666)</f>
        <v>45636.666666666599</v>
      </c>
      <c r="B226" s="2"/>
      <c r="C226" s="1">
        <v>10325</v>
      </c>
      <c r="D226" s="1">
        <v>10350</v>
      </c>
      <c r="E226" s="1">
        <v>10275</v>
      </c>
      <c r="F226" s="1">
        <v>10350</v>
      </c>
      <c r="G226" s="1">
        <v>61230400</v>
      </c>
      <c r="H226" s="4">
        <f t="shared" si="12"/>
        <v>0</v>
      </c>
      <c r="I226" s="4">
        <f t="shared" si="13"/>
        <v>9.8143236074270557E-2</v>
      </c>
      <c r="J226" s="16">
        <f t="shared" si="14"/>
        <v>10081.25</v>
      </c>
      <c r="K226" s="16">
        <f t="shared" si="11"/>
        <v>10314</v>
      </c>
    </row>
    <row r="227" spans="1:11" x14ac:dyDescent="0.2">
      <c r="A227" s="2">
        <f ca="1">IFERROR(__xludf.DUMMYFUNCTION("""COMPUTED_VALUE"""),45637.6666666666)</f>
        <v>45637.666666666599</v>
      </c>
      <c r="B227" s="2"/>
      <c r="C227" s="1">
        <v>10225</v>
      </c>
      <c r="D227" s="1">
        <v>10425</v>
      </c>
      <c r="E227" s="1">
        <v>10225</v>
      </c>
      <c r="F227" s="1">
        <v>10425</v>
      </c>
      <c r="G227" s="1">
        <v>37934300</v>
      </c>
      <c r="H227" s="4">
        <f t="shared" si="12"/>
        <v>7.246376811594203E-3</v>
      </c>
      <c r="I227" s="4">
        <f t="shared" si="13"/>
        <v>0.10610079575596817</v>
      </c>
      <c r="J227" s="16">
        <f t="shared" si="14"/>
        <v>10095</v>
      </c>
      <c r="K227" s="16">
        <f t="shared" si="11"/>
        <v>10311.5</v>
      </c>
    </row>
    <row r="228" spans="1:11" x14ac:dyDescent="0.2">
      <c r="A228" s="2">
        <f ca="1">IFERROR(__xludf.DUMMYFUNCTION("""COMPUTED_VALUE"""),45638.6666666666)</f>
        <v>45638.666666666599</v>
      </c>
      <c r="B228" s="2"/>
      <c r="C228" s="1">
        <v>10300</v>
      </c>
      <c r="D228" s="1">
        <v>10375</v>
      </c>
      <c r="E228" s="1">
        <v>10175</v>
      </c>
      <c r="F228" s="1">
        <v>10175</v>
      </c>
      <c r="G228" s="1">
        <v>44780100</v>
      </c>
      <c r="H228" s="4">
        <f t="shared" si="12"/>
        <v>-2.3980815347721823E-2</v>
      </c>
      <c r="I228" s="4">
        <f t="shared" si="13"/>
        <v>7.9575596816976124E-2</v>
      </c>
      <c r="J228" s="16">
        <f t="shared" si="14"/>
        <v>10096.25</v>
      </c>
      <c r="K228" s="16">
        <f t="shared" si="11"/>
        <v>10305</v>
      </c>
    </row>
    <row r="229" spans="1:11" x14ac:dyDescent="0.2">
      <c r="A229" s="2">
        <f ca="1">IFERROR(__xludf.DUMMYFUNCTION("""COMPUTED_VALUE"""),45639.6666666666)</f>
        <v>45639.666666666599</v>
      </c>
      <c r="B229" s="2"/>
      <c r="C229" s="1">
        <v>10125</v>
      </c>
      <c r="D229" s="1">
        <v>10225</v>
      </c>
      <c r="E229" s="1">
        <v>10025</v>
      </c>
      <c r="F229" s="1">
        <v>10050</v>
      </c>
      <c r="G229" s="1">
        <v>75126400</v>
      </c>
      <c r="H229" s="4">
        <f t="shared" si="12"/>
        <v>-1.2285012285012284E-2</v>
      </c>
      <c r="I229" s="4">
        <f t="shared" si="13"/>
        <v>6.6312997347480113E-2</v>
      </c>
      <c r="J229" s="16">
        <f t="shared" si="14"/>
        <v>10093.75</v>
      </c>
      <c r="K229" s="16">
        <f t="shared" si="11"/>
        <v>10297</v>
      </c>
    </row>
    <row r="230" spans="1:11" x14ac:dyDescent="0.2">
      <c r="A230" s="2">
        <f ca="1">IFERROR(__xludf.DUMMYFUNCTION("""COMPUTED_VALUE"""),45642.6666666666)</f>
        <v>45642.666666666599</v>
      </c>
      <c r="B230" s="2"/>
      <c r="C230" s="1">
        <v>10000</v>
      </c>
      <c r="D230" s="1">
        <v>10125</v>
      </c>
      <c r="E230" s="1">
        <v>10000</v>
      </c>
      <c r="F230" s="1">
        <v>10100</v>
      </c>
      <c r="G230" s="1">
        <v>57746100</v>
      </c>
      <c r="H230" s="4">
        <f t="shared" si="12"/>
        <v>4.9751243781094526E-3</v>
      </c>
      <c r="I230" s="4">
        <f t="shared" si="13"/>
        <v>7.161803713527852E-2</v>
      </c>
      <c r="J230" s="16">
        <f t="shared" si="14"/>
        <v>10090</v>
      </c>
      <c r="K230" s="16">
        <f t="shared" si="11"/>
        <v>10289.5</v>
      </c>
    </row>
    <row r="231" spans="1:11" x14ac:dyDescent="0.2">
      <c r="A231" s="2">
        <f ca="1">IFERROR(__xludf.DUMMYFUNCTION("""COMPUTED_VALUE"""),45643.6666666666)</f>
        <v>45643.666666666599</v>
      </c>
      <c r="B231" s="2"/>
      <c r="C231" s="1">
        <v>9950</v>
      </c>
      <c r="D231" s="1">
        <v>10050</v>
      </c>
      <c r="E231" s="1">
        <v>9900</v>
      </c>
      <c r="F231" s="1">
        <v>9900</v>
      </c>
      <c r="G231" s="1">
        <v>99845900</v>
      </c>
      <c r="H231" s="4">
        <f t="shared" si="12"/>
        <v>-1.9801980198019802E-2</v>
      </c>
      <c r="I231" s="4">
        <f t="shared" si="13"/>
        <v>5.0397877984084884E-2</v>
      </c>
      <c r="J231" s="16">
        <f t="shared" si="14"/>
        <v>10085</v>
      </c>
      <c r="K231" s="16">
        <f t="shared" si="11"/>
        <v>10281.5</v>
      </c>
    </row>
    <row r="232" spans="1:11" x14ac:dyDescent="0.2">
      <c r="A232" s="2">
        <f ca="1">IFERROR(__xludf.DUMMYFUNCTION("""COMPUTED_VALUE"""),45644.6666666666)</f>
        <v>45644.666666666599</v>
      </c>
      <c r="B232" s="2"/>
      <c r="C232" s="1">
        <v>9900</v>
      </c>
      <c r="D232" s="1">
        <v>10025</v>
      </c>
      <c r="E232" s="1">
        <v>9800</v>
      </c>
      <c r="F232" s="1">
        <v>9800</v>
      </c>
      <c r="G232" s="1">
        <v>84868500</v>
      </c>
      <c r="H232" s="4">
        <f t="shared" si="12"/>
        <v>-1.0101010101010102E-2</v>
      </c>
      <c r="I232" s="4">
        <f t="shared" si="13"/>
        <v>3.9787798408488062E-2</v>
      </c>
      <c r="J232" s="16">
        <f t="shared" si="14"/>
        <v>10078.75</v>
      </c>
      <c r="K232" s="16">
        <f t="shared" si="11"/>
        <v>10269.5</v>
      </c>
    </row>
    <row r="233" spans="1:11" x14ac:dyDescent="0.2">
      <c r="A233" s="2">
        <f ca="1">IFERROR(__xludf.DUMMYFUNCTION("""COMPUTED_VALUE"""),45645.6666666666)</f>
        <v>45645.666666666599</v>
      </c>
      <c r="B233" s="2"/>
      <c r="C233" s="1">
        <v>9700</v>
      </c>
      <c r="D233" s="1">
        <v>9775</v>
      </c>
      <c r="E233" s="1">
        <v>9550</v>
      </c>
      <c r="F233" s="1">
        <v>9675</v>
      </c>
      <c r="G233" s="1">
        <v>104254100</v>
      </c>
      <c r="H233" s="4">
        <f t="shared" si="12"/>
        <v>-1.2755102040816327E-2</v>
      </c>
      <c r="I233" s="4">
        <f t="shared" si="13"/>
        <v>2.6525198938992044E-2</v>
      </c>
      <c r="J233" s="16">
        <f t="shared" si="14"/>
        <v>10058.75</v>
      </c>
      <c r="K233" s="16">
        <f t="shared" si="11"/>
        <v>10254.5</v>
      </c>
    </row>
    <row r="234" spans="1:11" x14ac:dyDescent="0.2">
      <c r="A234" s="2">
        <f ca="1">IFERROR(__xludf.DUMMYFUNCTION("""COMPUTED_VALUE"""),45646.6666666666)</f>
        <v>45646.666666666599</v>
      </c>
      <c r="B234" s="2"/>
      <c r="C234" s="1">
        <v>9650</v>
      </c>
      <c r="D234" s="1">
        <v>9750</v>
      </c>
      <c r="E234" s="1">
        <v>9625</v>
      </c>
      <c r="F234" s="1">
        <v>9650</v>
      </c>
      <c r="G234" s="1">
        <v>91576900</v>
      </c>
      <c r="H234" s="4">
        <f t="shared" si="12"/>
        <v>-2.5839793281653748E-3</v>
      </c>
      <c r="I234" s="4">
        <f t="shared" si="13"/>
        <v>2.3872679045092837E-2</v>
      </c>
      <c r="J234" s="16">
        <f t="shared" si="14"/>
        <v>10048.75</v>
      </c>
      <c r="K234" s="16">
        <f t="shared" si="11"/>
        <v>10237.5</v>
      </c>
    </row>
    <row r="235" spans="1:11" x14ac:dyDescent="0.2">
      <c r="A235" s="2">
        <f ca="1">IFERROR(__xludf.DUMMYFUNCTION("""COMPUTED_VALUE"""),45649.6666666666)</f>
        <v>45649.666666666599</v>
      </c>
      <c r="B235" s="2"/>
      <c r="C235" s="1">
        <v>9700</v>
      </c>
      <c r="D235" s="1">
        <v>9850</v>
      </c>
      <c r="E235" s="1">
        <v>9700</v>
      </c>
      <c r="F235" s="1">
        <v>9775</v>
      </c>
      <c r="G235" s="1">
        <v>43292100</v>
      </c>
      <c r="H235" s="4">
        <f t="shared" si="12"/>
        <v>1.2953367875647668E-2</v>
      </c>
      <c r="I235" s="4">
        <f t="shared" si="13"/>
        <v>3.7135278514588858E-2</v>
      </c>
      <c r="J235" s="16">
        <f t="shared" si="14"/>
        <v>10045</v>
      </c>
      <c r="K235" s="16">
        <f t="shared" si="11"/>
        <v>10225.5</v>
      </c>
    </row>
    <row r="236" spans="1:11" x14ac:dyDescent="0.2">
      <c r="A236" s="2">
        <f ca="1">IFERROR(__xludf.DUMMYFUNCTION("""COMPUTED_VALUE"""),45650.6666666666)</f>
        <v>45650.666666666599</v>
      </c>
      <c r="B236" s="2"/>
      <c r="C236" s="1">
        <v>9850</v>
      </c>
      <c r="D236" s="1">
        <v>9900</v>
      </c>
      <c r="E236" s="1">
        <v>9750</v>
      </c>
      <c r="F236" s="1">
        <v>9750</v>
      </c>
      <c r="G236" s="1">
        <v>32415700</v>
      </c>
      <c r="H236" s="4">
        <f t="shared" si="12"/>
        <v>-2.5575447570332483E-3</v>
      </c>
      <c r="I236" s="4">
        <f t="shared" si="13"/>
        <v>3.4482758620689655E-2</v>
      </c>
      <c r="J236" s="16">
        <f t="shared" si="14"/>
        <v>10023.75</v>
      </c>
      <c r="K236" s="16">
        <f t="shared" si="11"/>
        <v>10210.5</v>
      </c>
    </row>
    <row r="237" spans="1:11" x14ac:dyDescent="0.2">
      <c r="A237" s="2">
        <f ca="1">IFERROR(__xludf.DUMMYFUNCTION("""COMPUTED_VALUE"""),45653.6666666666)</f>
        <v>45653.666666666599</v>
      </c>
      <c r="B237" s="2"/>
      <c r="C237" s="1">
        <v>9800</v>
      </c>
      <c r="D237" s="1">
        <v>9825</v>
      </c>
      <c r="E237" s="1">
        <v>9725</v>
      </c>
      <c r="F237" s="1">
        <v>9800</v>
      </c>
      <c r="G237" s="1">
        <v>24016700</v>
      </c>
      <c r="H237" s="4">
        <f t="shared" si="12"/>
        <v>5.1282051282051282E-3</v>
      </c>
      <c r="I237" s="4">
        <f t="shared" si="13"/>
        <v>3.9787798408488062E-2</v>
      </c>
      <c r="J237" s="16">
        <f t="shared" si="14"/>
        <v>10013.75</v>
      </c>
      <c r="K237" s="16">
        <f t="shared" si="11"/>
        <v>10194</v>
      </c>
    </row>
    <row r="238" spans="1:11" x14ac:dyDescent="0.2">
      <c r="A238" s="2">
        <f ca="1">IFERROR(__xludf.DUMMYFUNCTION("""COMPUTED_VALUE"""),45656.6666666666)</f>
        <v>45656.666666666599</v>
      </c>
      <c r="B238" s="2"/>
      <c r="C238" s="1">
        <v>9800</v>
      </c>
      <c r="D238" s="1">
        <v>9825</v>
      </c>
      <c r="E238" s="1">
        <v>9675</v>
      </c>
      <c r="F238" s="1">
        <v>9675</v>
      </c>
      <c r="G238" s="1">
        <v>56350100</v>
      </c>
      <c r="H238" s="4">
        <f t="shared" si="12"/>
        <v>-1.2755102040816327E-2</v>
      </c>
      <c r="I238" s="4">
        <f t="shared" si="13"/>
        <v>2.6525198938992044E-2</v>
      </c>
      <c r="J238" s="16">
        <f t="shared" si="14"/>
        <v>9997.5</v>
      </c>
      <c r="K238" s="16">
        <f t="shared" si="11"/>
        <v>10178</v>
      </c>
    </row>
    <row r="239" spans="1:11" x14ac:dyDescent="0.2">
      <c r="A239" s="2">
        <f ca="1">IFERROR(__xludf.DUMMYFUNCTION("""COMPUTED_VALUE"""),45659.6666666666)</f>
        <v>45659.666666666599</v>
      </c>
      <c r="B239" s="2"/>
      <c r="C239" s="1">
        <v>9650</v>
      </c>
      <c r="D239" s="1">
        <v>9900</v>
      </c>
      <c r="E239" s="1">
        <v>9650</v>
      </c>
      <c r="F239" s="1">
        <v>9900</v>
      </c>
      <c r="G239" s="1">
        <v>38124800</v>
      </c>
      <c r="H239" s="4">
        <f t="shared" si="12"/>
        <v>2.3255813953488372E-2</v>
      </c>
      <c r="I239" s="4">
        <f t="shared" si="13"/>
        <v>5.0397877984084884E-2</v>
      </c>
      <c r="J239" s="16">
        <f t="shared" si="14"/>
        <v>9992.5</v>
      </c>
      <c r="K239" s="16">
        <f t="shared" si="11"/>
        <v>10161.5</v>
      </c>
    </row>
    <row r="240" spans="1:11" x14ac:dyDescent="0.2">
      <c r="A240" s="2">
        <f ca="1">IFERROR(__xludf.DUMMYFUNCTION("""COMPUTED_VALUE"""),45660.6666666666)</f>
        <v>45660.666666666599</v>
      </c>
      <c r="B240" s="2"/>
      <c r="C240" s="1">
        <v>9850</v>
      </c>
      <c r="D240" s="1">
        <v>9925</v>
      </c>
      <c r="E240" s="1">
        <v>9825</v>
      </c>
      <c r="F240" s="1">
        <v>9850</v>
      </c>
      <c r="G240" s="1">
        <v>41916000</v>
      </c>
      <c r="H240" s="4">
        <f t="shared" si="12"/>
        <v>-5.0505050505050509E-3</v>
      </c>
      <c r="I240" s="4">
        <f t="shared" si="13"/>
        <v>4.5092838196286469E-2</v>
      </c>
      <c r="J240" s="16">
        <f t="shared" si="14"/>
        <v>9997.5</v>
      </c>
      <c r="K240" s="16">
        <f t="shared" si="11"/>
        <v>10143.5</v>
      </c>
    </row>
    <row r="241" spans="1:11" x14ac:dyDescent="0.2">
      <c r="A241" s="2">
        <f ca="1">IFERROR(__xludf.DUMMYFUNCTION("""COMPUTED_VALUE"""),45663.6666666666)</f>
        <v>45663.666666666599</v>
      </c>
      <c r="B241" s="2"/>
      <c r="C241" s="1">
        <v>9850</v>
      </c>
      <c r="D241" s="1">
        <v>9875</v>
      </c>
      <c r="E241" s="1">
        <v>9650</v>
      </c>
      <c r="F241" s="1">
        <v>9675</v>
      </c>
      <c r="G241" s="1">
        <v>41593900</v>
      </c>
      <c r="H241" s="4">
        <f t="shared" si="12"/>
        <v>-1.7766497461928935E-2</v>
      </c>
      <c r="I241" s="4">
        <f t="shared" si="13"/>
        <v>2.6525198938992044E-2</v>
      </c>
      <c r="J241" s="16">
        <f t="shared" si="14"/>
        <v>9971.25</v>
      </c>
      <c r="K241" s="16">
        <f t="shared" si="11"/>
        <v>10123.5</v>
      </c>
    </row>
    <row r="242" spans="1:11" x14ac:dyDescent="0.2">
      <c r="A242" s="2">
        <f ca="1">IFERROR(__xludf.DUMMYFUNCTION("""COMPUTED_VALUE"""),45664.6666666666)</f>
        <v>45664.666666666599</v>
      </c>
      <c r="B242" s="2"/>
      <c r="C242" s="1">
        <v>9675</v>
      </c>
      <c r="D242" s="1">
        <v>9725</v>
      </c>
      <c r="E242" s="1">
        <v>9525</v>
      </c>
      <c r="F242" s="1">
        <v>9525</v>
      </c>
      <c r="G242" s="1">
        <v>71318600</v>
      </c>
      <c r="H242" s="4">
        <f t="shared" si="12"/>
        <v>-1.5503875968992248E-2</v>
      </c>
      <c r="I242" s="4">
        <f t="shared" si="13"/>
        <v>1.0610079575596816E-2</v>
      </c>
      <c r="J242" s="16">
        <f t="shared" si="14"/>
        <v>9937.5</v>
      </c>
      <c r="K242" s="16">
        <f t="shared" si="11"/>
        <v>10104</v>
      </c>
    </row>
    <row r="243" spans="1:11" x14ac:dyDescent="0.2">
      <c r="A243" s="2">
        <f ca="1">IFERROR(__xludf.DUMMYFUNCTION("""COMPUTED_VALUE"""),45665.6666666666)</f>
        <v>45665.666666666599</v>
      </c>
      <c r="B243" s="2"/>
      <c r="C243" s="1">
        <v>9675</v>
      </c>
      <c r="D243" s="1">
        <v>9775</v>
      </c>
      <c r="E243" s="1">
        <v>9575</v>
      </c>
      <c r="F243" s="1">
        <v>9675</v>
      </c>
      <c r="G243" s="1">
        <v>55943100</v>
      </c>
      <c r="H243" s="4">
        <f t="shared" si="12"/>
        <v>1.5748031496062992E-2</v>
      </c>
      <c r="I243" s="4">
        <f t="shared" si="13"/>
        <v>2.6525198938992044E-2</v>
      </c>
      <c r="J243" s="16">
        <f t="shared" si="14"/>
        <v>9908.75</v>
      </c>
      <c r="K243" s="16">
        <f t="shared" si="11"/>
        <v>10084.5</v>
      </c>
    </row>
    <row r="244" spans="1:11" x14ac:dyDescent="0.2">
      <c r="A244" s="2">
        <f ca="1">IFERROR(__xludf.DUMMYFUNCTION("""COMPUTED_VALUE"""),45666.6666666666)</f>
        <v>45666.666666666599</v>
      </c>
      <c r="B244" s="2"/>
      <c r="C244" s="1">
        <v>9750</v>
      </c>
      <c r="D244" s="1">
        <v>9875</v>
      </c>
      <c r="E244" s="1">
        <v>9725</v>
      </c>
      <c r="F244" s="1">
        <v>9850</v>
      </c>
      <c r="G244" s="1">
        <v>42733800</v>
      </c>
      <c r="H244" s="4">
        <f t="shared" si="12"/>
        <v>1.8087855297157621E-2</v>
      </c>
      <c r="I244" s="4">
        <f t="shared" si="13"/>
        <v>4.5092838196286469E-2</v>
      </c>
      <c r="J244" s="16">
        <f t="shared" si="14"/>
        <v>9897.5</v>
      </c>
      <c r="K244" s="16">
        <f t="shared" ref="K244:K307" si="15">AVERAGE(F195:F244)</f>
        <v>10067.5</v>
      </c>
    </row>
    <row r="245" spans="1:11" x14ac:dyDescent="0.2">
      <c r="A245" s="2">
        <f ca="1">IFERROR(__xludf.DUMMYFUNCTION("""COMPUTED_VALUE"""),45667.6666666666)</f>
        <v>45667.666666666599</v>
      </c>
      <c r="B245" s="2"/>
      <c r="C245" s="1">
        <v>9800</v>
      </c>
      <c r="D245" s="1">
        <v>9925</v>
      </c>
      <c r="E245" s="1">
        <v>9725</v>
      </c>
      <c r="F245" s="1">
        <v>9725</v>
      </c>
      <c r="G245" s="1">
        <v>72531300</v>
      </c>
      <c r="H245" s="4">
        <f t="shared" si="12"/>
        <v>-1.2690355329949238E-2</v>
      </c>
      <c r="I245" s="4">
        <f t="shared" si="13"/>
        <v>3.1830238726790451E-2</v>
      </c>
      <c r="J245" s="16">
        <f t="shared" si="14"/>
        <v>9866.25</v>
      </c>
      <c r="K245" s="16">
        <f t="shared" si="15"/>
        <v>10047</v>
      </c>
    </row>
    <row r="246" spans="1:11" x14ac:dyDescent="0.2">
      <c r="A246" s="2">
        <f ca="1">IFERROR(__xludf.DUMMYFUNCTION("""COMPUTED_VALUE"""),45670.6666666666)</f>
        <v>45670.666666666599</v>
      </c>
      <c r="B246" s="2"/>
      <c r="C246" s="1">
        <v>9625</v>
      </c>
      <c r="D246" s="1">
        <v>9725</v>
      </c>
      <c r="E246" s="1">
        <v>9625</v>
      </c>
      <c r="F246" s="1">
        <v>9675</v>
      </c>
      <c r="G246" s="1">
        <v>88270100</v>
      </c>
      <c r="H246" s="4">
        <f t="shared" si="12"/>
        <v>-5.1413881748071976E-3</v>
      </c>
      <c r="I246" s="4">
        <f t="shared" si="13"/>
        <v>2.6525198938992044E-2</v>
      </c>
      <c r="J246" s="16">
        <f t="shared" si="14"/>
        <v>9832.5</v>
      </c>
      <c r="K246" s="16">
        <f t="shared" si="15"/>
        <v>10028.5</v>
      </c>
    </row>
    <row r="247" spans="1:11" x14ac:dyDescent="0.2">
      <c r="A247" s="2">
        <f ca="1">IFERROR(__xludf.DUMMYFUNCTION("""COMPUTED_VALUE"""),45671.6666666666)</f>
        <v>45671.666666666599</v>
      </c>
      <c r="B247" s="2"/>
      <c r="C247" s="1">
        <v>9600</v>
      </c>
      <c r="D247" s="1">
        <v>9725</v>
      </c>
      <c r="E247" s="1">
        <v>9525</v>
      </c>
      <c r="F247" s="1">
        <v>9525</v>
      </c>
      <c r="G247" s="1">
        <v>70942600</v>
      </c>
      <c r="H247" s="4">
        <f t="shared" si="12"/>
        <v>-1.5503875968992248E-2</v>
      </c>
      <c r="I247" s="4">
        <f t="shared" si="13"/>
        <v>1.0610079575596816E-2</v>
      </c>
      <c r="J247" s="16">
        <f t="shared" si="14"/>
        <v>9787.5</v>
      </c>
      <c r="K247" s="16">
        <f t="shared" si="15"/>
        <v>10009</v>
      </c>
    </row>
    <row r="248" spans="1:11" x14ac:dyDescent="0.2">
      <c r="A248" s="2">
        <f ca="1">IFERROR(__xludf.DUMMYFUNCTION("""COMPUTED_VALUE"""),45672.6666666666)</f>
        <v>45672.666666666599</v>
      </c>
      <c r="B248" s="2"/>
      <c r="C248" s="1">
        <v>9575</v>
      </c>
      <c r="D248" s="1">
        <v>9800</v>
      </c>
      <c r="E248" s="1">
        <v>9550</v>
      </c>
      <c r="F248" s="1">
        <v>9800</v>
      </c>
      <c r="G248" s="1">
        <v>77098000</v>
      </c>
      <c r="H248" s="4">
        <f t="shared" si="12"/>
        <v>2.8871391076115485E-2</v>
      </c>
      <c r="I248" s="4">
        <f t="shared" si="13"/>
        <v>3.9787798408488062E-2</v>
      </c>
      <c r="J248" s="16">
        <f t="shared" si="14"/>
        <v>9768.75</v>
      </c>
      <c r="K248" s="16">
        <f t="shared" si="15"/>
        <v>9998</v>
      </c>
    </row>
    <row r="249" spans="1:11" x14ac:dyDescent="0.2">
      <c r="A249" s="2">
        <f ca="1">IFERROR(__xludf.DUMMYFUNCTION("""COMPUTED_VALUE"""),45673.6666666666)</f>
        <v>45673.666666666599</v>
      </c>
      <c r="B249" s="2"/>
      <c r="C249" s="1">
        <v>9850</v>
      </c>
      <c r="D249" s="1">
        <v>9925</v>
      </c>
      <c r="E249" s="1">
        <v>9750</v>
      </c>
      <c r="F249" s="1">
        <v>9750</v>
      </c>
      <c r="G249" s="1">
        <v>76979000</v>
      </c>
      <c r="H249" s="4">
        <f t="shared" si="12"/>
        <v>-5.1020408163265302E-3</v>
      </c>
      <c r="I249" s="4">
        <f t="shared" si="13"/>
        <v>3.4482758620689655E-2</v>
      </c>
      <c r="J249" s="16">
        <f t="shared" si="14"/>
        <v>9753.75</v>
      </c>
      <c r="K249" s="16">
        <f t="shared" si="15"/>
        <v>9988</v>
      </c>
    </row>
    <row r="250" spans="1:11" x14ac:dyDescent="0.2">
      <c r="A250" s="2">
        <f ca="1">IFERROR(__xludf.DUMMYFUNCTION("""COMPUTED_VALUE"""),45674.6666666666)</f>
        <v>45674.666666666599</v>
      </c>
      <c r="B250" s="2"/>
      <c r="C250" s="1">
        <v>9750</v>
      </c>
      <c r="D250" s="1">
        <v>9900</v>
      </c>
      <c r="E250" s="1">
        <v>9650</v>
      </c>
      <c r="F250" s="1">
        <v>9900</v>
      </c>
      <c r="G250" s="1">
        <v>71033100</v>
      </c>
      <c r="H250" s="4">
        <f t="shared" si="12"/>
        <v>1.5384615384615385E-2</v>
      </c>
      <c r="I250" s="4">
        <f t="shared" si="13"/>
        <v>5.0397877984084884E-2</v>
      </c>
      <c r="J250" s="16">
        <f t="shared" si="14"/>
        <v>9743.75</v>
      </c>
      <c r="K250" s="16">
        <f t="shared" si="15"/>
        <v>9977.5</v>
      </c>
    </row>
    <row r="251" spans="1:11" x14ac:dyDescent="0.2">
      <c r="A251" s="2">
        <f ca="1">IFERROR(__xludf.DUMMYFUNCTION("""COMPUTED_VALUE"""),45677.6666666666)</f>
        <v>45677.666666666599</v>
      </c>
      <c r="B251" s="2"/>
      <c r="C251" s="1">
        <v>9850</v>
      </c>
      <c r="D251" s="1">
        <v>9875</v>
      </c>
      <c r="E251" s="1">
        <v>9625</v>
      </c>
      <c r="F251" s="1">
        <v>9625</v>
      </c>
      <c r="G251" s="1">
        <v>112111200</v>
      </c>
      <c r="H251" s="4">
        <f t="shared" si="12"/>
        <v>-2.7777777777777776E-2</v>
      </c>
      <c r="I251" s="4">
        <f t="shared" si="13"/>
        <v>2.1220159151193633E-2</v>
      </c>
      <c r="J251" s="16">
        <f t="shared" si="14"/>
        <v>9730</v>
      </c>
      <c r="K251" s="16">
        <f t="shared" si="15"/>
        <v>9962.5</v>
      </c>
    </row>
    <row r="252" spans="1:11" x14ac:dyDescent="0.2">
      <c r="A252" s="2">
        <f ca="1">IFERROR(__xludf.DUMMYFUNCTION("""COMPUTED_VALUE"""),45678.6666666666)</f>
        <v>45678.666666666599</v>
      </c>
      <c r="B252" s="2"/>
      <c r="C252" s="1">
        <v>9600</v>
      </c>
      <c r="D252" s="1">
        <v>9675</v>
      </c>
      <c r="E252" s="1">
        <v>9550</v>
      </c>
      <c r="F252" s="1">
        <v>9575</v>
      </c>
      <c r="G252" s="1">
        <v>124547900</v>
      </c>
      <c r="H252" s="4">
        <f t="shared" si="12"/>
        <v>-5.1948051948051948E-3</v>
      </c>
      <c r="I252" s="4">
        <f t="shared" si="13"/>
        <v>1.5915119363395226E-2</v>
      </c>
      <c r="J252" s="16">
        <f t="shared" si="14"/>
        <v>9718.75</v>
      </c>
      <c r="K252" s="16">
        <f t="shared" si="15"/>
        <v>9944</v>
      </c>
    </row>
    <row r="253" spans="1:11" x14ac:dyDescent="0.2">
      <c r="A253" s="2">
        <f ca="1">IFERROR(__xludf.DUMMYFUNCTION("""COMPUTED_VALUE"""),45679.6666666666)</f>
        <v>45679.666666666599</v>
      </c>
      <c r="B253" s="2"/>
      <c r="C253" s="1">
        <v>9650</v>
      </c>
      <c r="D253" s="1">
        <v>9675</v>
      </c>
      <c r="E253" s="1">
        <v>9575</v>
      </c>
      <c r="F253" s="1">
        <v>9600</v>
      </c>
      <c r="G253" s="1">
        <v>90154800</v>
      </c>
      <c r="H253" s="4">
        <f t="shared" si="12"/>
        <v>2.6109660574412533E-3</v>
      </c>
      <c r="I253" s="4">
        <f t="shared" si="13"/>
        <v>1.8567639257294429E-2</v>
      </c>
      <c r="J253" s="16">
        <f t="shared" si="14"/>
        <v>9715</v>
      </c>
      <c r="K253" s="16">
        <f t="shared" si="15"/>
        <v>9927</v>
      </c>
    </row>
    <row r="254" spans="1:11" x14ac:dyDescent="0.2">
      <c r="A254" s="2">
        <f ca="1">IFERROR(__xludf.DUMMYFUNCTION("""COMPUTED_VALUE"""),45680.6666666666)</f>
        <v>45680.666666666599</v>
      </c>
      <c r="B254" s="2"/>
      <c r="C254" s="1">
        <v>9600</v>
      </c>
      <c r="D254" s="1">
        <v>9750</v>
      </c>
      <c r="E254" s="1">
        <v>9600</v>
      </c>
      <c r="F254" s="1">
        <v>9600</v>
      </c>
      <c r="G254" s="1">
        <v>120515400</v>
      </c>
      <c r="H254" s="4">
        <f t="shared" si="12"/>
        <v>0</v>
      </c>
      <c r="I254" s="4">
        <f t="shared" si="13"/>
        <v>1.8567639257294429E-2</v>
      </c>
      <c r="J254" s="16">
        <f t="shared" si="14"/>
        <v>9712.5</v>
      </c>
      <c r="K254" s="16">
        <f t="shared" si="15"/>
        <v>9915.5</v>
      </c>
    </row>
    <row r="255" spans="1:11" x14ac:dyDescent="0.2">
      <c r="A255" s="2">
        <f ca="1">IFERROR(__xludf.DUMMYFUNCTION("""COMPUTED_VALUE"""),45681.6666666666)</f>
        <v>45681.666666666599</v>
      </c>
      <c r="B255" s="2"/>
      <c r="C255" s="1">
        <v>9625</v>
      </c>
      <c r="D255" s="1">
        <v>9650</v>
      </c>
      <c r="E255" s="1">
        <v>9350</v>
      </c>
      <c r="F255" s="1">
        <v>9350</v>
      </c>
      <c r="G255" s="1">
        <v>152057000</v>
      </c>
      <c r="H255" s="4">
        <f t="shared" si="12"/>
        <v>-2.6041666666666668E-2</v>
      </c>
      <c r="I255" s="4">
        <f t="shared" si="13"/>
        <v>-7.9575596816976128E-3</v>
      </c>
      <c r="J255" s="16">
        <f t="shared" si="14"/>
        <v>9691.25</v>
      </c>
      <c r="K255" s="16">
        <f t="shared" si="15"/>
        <v>9901</v>
      </c>
    </row>
    <row r="256" spans="1:11" x14ac:dyDescent="0.2">
      <c r="A256" s="2">
        <f ca="1">IFERROR(__xludf.DUMMYFUNCTION("""COMPUTED_VALUE"""),45687.6666666666)</f>
        <v>45687.666666666599</v>
      </c>
      <c r="B256" s="2"/>
      <c r="C256" s="1">
        <v>9150</v>
      </c>
      <c r="D256" s="1">
        <v>9275</v>
      </c>
      <c r="E256" s="1">
        <v>9150</v>
      </c>
      <c r="F256" s="1">
        <v>9150</v>
      </c>
      <c r="G256" s="1">
        <v>154645800</v>
      </c>
      <c r="H256" s="4">
        <f t="shared" si="12"/>
        <v>-2.1390374331550801E-2</v>
      </c>
      <c r="I256" s="4">
        <f t="shared" si="13"/>
        <v>-2.9177718832891247E-2</v>
      </c>
      <c r="J256" s="16">
        <f t="shared" si="14"/>
        <v>9661.25</v>
      </c>
      <c r="K256" s="16">
        <f t="shared" si="15"/>
        <v>9883</v>
      </c>
    </row>
    <row r="257" spans="1:11" x14ac:dyDescent="0.2">
      <c r="A257" s="2">
        <f ca="1">IFERROR(__xludf.DUMMYFUNCTION("""COMPUTED_VALUE"""),45688.6666666666)</f>
        <v>45688.666666666599</v>
      </c>
      <c r="B257" s="2"/>
      <c r="C257" s="1">
        <v>9250</v>
      </c>
      <c r="D257" s="1">
        <v>9500</v>
      </c>
      <c r="E257" s="1">
        <v>9225</v>
      </c>
      <c r="F257" s="1">
        <v>9450</v>
      </c>
      <c r="G257" s="1">
        <v>112982800</v>
      </c>
      <c r="H257" s="4">
        <f t="shared" si="12"/>
        <v>3.2786885245901641E-2</v>
      </c>
      <c r="I257" s="4">
        <f t="shared" si="13"/>
        <v>2.6525198938992041E-3</v>
      </c>
      <c r="J257" s="16">
        <f t="shared" si="14"/>
        <v>9643.75</v>
      </c>
      <c r="K257" s="16">
        <f t="shared" si="15"/>
        <v>9869</v>
      </c>
    </row>
    <row r="258" spans="1:11" x14ac:dyDescent="0.2">
      <c r="A258" s="2">
        <f ca="1">IFERROR(__xludf.DUMMYFUNCTION("""COMPUTED_VALUE"""),45691.6666666666)</f>
        <v>45691.666666666599</v>
      </c>
      <c r="B258" s="2"/>
      <c r="C258" s="1">
        <v>9400</v>
      </c>
      <c r="D258" s="1">
        <v>9400</v>
      </c>
      <c r="E258" s="1">
        <v>9225</v>
      </c>
      <c r="F258" s="1">
        <v>9350</v>
      </c>
      <c r="G258" s="1">
        <v>90439900</v>
      </c>
      <c r="H258" s="4">
        <f t="shared" si="12"/>
        <v>-1.0582010582010581E-2</v>
      </c>
      <c r="I258" s="4">
        <f t="shared" si="13"/>
        <v>-7.9575596816976128E-3</v>
      </c>
      <c r="J258" s="16">
        <f t="shared" si="14"/>
        <v>9627.5</v>
      </c>
      <c r="K258" s="16">
        <f t="shared" si="15"/>
        <v>9853</v>
      </c>
    </row>
    <row r="259" spans="1:11" x14ac:dyDescent="0.2">
      <c r="A259" s="2">
        <f ca="1">IFERROR(__xludf.DUMMYFUNCTION("""COMPUTED_VALUE"""),45692.6666666666)</f>
        <v>45692.666666666599</v>
      </c>
      <c r="B259" s="2"/>
      <c r="C259" s="1">
        <v>9350</v>
      </c>
      <c r="D259" s="1">
        <v>9400</v>
      </c>
      <c r="E259" s="1">
        <v>9175</v>
      </c>
      <c r="F259" s="1">
        <v>9175</v>
      </c>
      <c r="G259" s="1">
        <v>94607700</v>
      </c>
      <c r="H259" s="4">
        <f t="shared" si="12"/>
        <v>-1.871657754010695E-2</v>
      </c>
      <c r="I259" s="4">
        <f t="shared" si="13"/>
        <v>-2.6525198938992044E-2</v>
      </c>
      <c r="J259" s="16">
        <f t="shared" si="14"/>
        <v>9591.25</v>
      </c>
      <c r="K259" s="16">
        <f t="shared" si="15"/>
        <v>9834.5</v>
      </c>
    </row>
    <row r="260" spans="1:11" x14ac:dyDescent="0.2">
      <c r="A260" s="2">
        <f ca="1">IFERROR(__xludf.DUMMYFUNCTION("""COMPUTED_VALUE"""),45693.6666666666)</f>
        <v>45693.666666666599</v>
      </c>
      <c r="B260" s="2"/>
      <c r="C260" s="1">
        <v>9100</v>
      </c>
      <c r="D260" s="1">
        <v>9175</v>
      </c>
      <c r="E260" s="1">
        <v>9100</v>
      </c>
      <c r="F260" s="1">
        <v>9125</v>
      </c>
      <c r="G260" s="1">
        <v>98229900</v>
      </c>
      <c r="H260" s="4">
        <f t="shared" ref="H260:H323" si="16">(F260-F259)/F259</f>
        <v>-5.4495912806539508E-3</v>
      </c>
      <c r="I260" s="4">
        <f t="shared" ref="I260:I323" si="17">(F260-$F$2)/$F$2</f>
        <v>-3.1830238726790451E-2</v>
      </c>
      <c r="J260" s="16">
        <f t="shared" si="14"/>
        <v>9555</v>
      </c>
      <c r="K260" s="16">
        <f t="shared" si="15"/>
        <v>9813.5</v>
      </c>
    </row>
    <row r="261" spans="1:11" x14ac:dyDescent="0.2">
      <c r="A261" s="2">
        <f ca="1">IFERROR(__xludf.DUMMYFUNCTION("""COMPUTED_VALUE"""),45694.6666666666)</f>
        <v>45694.666666666599</v>
      </c>
      <c r="B261" s="2"/>
      <c r="C261" s="1">
        <v>9075</v>
      </c>
      <c r="D261" s="1">
        <v>9100</v>
      </c>
      <c r="E261" s="1">
        <v>8850</v>
      </c>
      <c r="F261" s="1">
        <v>8950</v>
      </c>
      <c r="G261" s="1">
        <v>171477800</v>
      </c>
      <c r="H261" s="4">
        <f t="shared" si="16"/>
        <v>-1.9178082191780823E-2</v>
      </c>
      <c r="I261" s="4">
        <f t="shared" si="17"/>
        <v>-5.0397877984084884E-2</v>
      </c>
      <c r="J261" s="16">
        <f t="shared" si="14"/>
        <v>9518.75</v>
      </c>
      <c r="K261" s="16">
        <f t="shared" si="15"/>
        <v>9792.5</v>
      </c>
    </row>
    <row r="262" spans="1:11" x14ac:dyDescent="0.2">
      <c r="A262" s="2">
        <f ca="1">IFERROR(__xludf.DUMMYFUNCTION("""COMPUTED_VALUE"""),45695.6666666666)</f>
        <v>45695.666666666599</v>
      </c>
      <c r="B262" s="2"/>
      <c r="C262" s="1">
        <v>8950</v>
      </c>
      <c r="D262" s="1">
        <v>9350</v>
      </c>
      <c r="E262" s="1">
        <v>8825</v>
      </c>
      <c r="F262" s="1">
        <v>9350</v>
      </c>
      <c r="G262" s="1">
        <v>131162200</v>
      </c>
      <c r="H262" s="4">
        <f t="shared" si="16"/>
        <v>4.4692737430167599E-2</v>
      </c>
      <c r="I262" s="4">
        <f t="shared" si="17"/>
        <v>-7.9575596816976128E-3</v>
      </c>
      <c r="J262" s="16">
        <f t="shared" si="14"/>
        <v>9510</v>
      </c>
      <c r="K262" s="16">
        <f t="shared" si="15"/>
        <v>9781</v>
      </c>
    </row>
    <row r="263" spans="1:11" x14ac:dyDescent="0.2">
      <c r="A263" s="2">
        <f ca="1">IFERROR(__xludf.DUMMYFUNCTION("""COMPUTED_VALUE"""),45698.6666666666)</f>
        <v>45698.666666666599</v>
      </c>
      <c r="B263" s="2"/>
      <c r="C263" s="1">
        <v>9025</v>
      </c>
      <c r="D263" s="1">
        <v>9250</v>
      </c>
      <c r="E263" s="1">
        <v>9025</v>
      </c>
      <c r="F263" s="1">
        <v>9150</v>
      </c>
      <c r="G263" s="1">
        <v>76209100</v>
      </c>
      <c r="H263" s="4">
        <f t="shared" si="16"/>
        <v>-2.1390374331550801E-2</v>
      </c>
      <c r="I263" s="4">
        <f t="shared" si="17"/>
        <v>-2.9177718832891247E-2</v>
      </c>
      <c r="J263" s="16">
        <f t="shared" si="14"/>
        <v>9483.75</v>
      </c>
      <c r="K263" s="16">
        <f t="shared" si="15"/>
        <v>9762.5</v>
      </c>
    </row>
    <row r="264" spans="1:11" x14ac:dyDescent="0.2">
      <c r="A264" s="2">
        <f ca="1">IFERROR(__xludf.DUMMYFUNCTION("""COMPUTED_VALUE"""),45699.6666666666)</f>
        <v>45699.666666666599</v>
      </c>
      <c r="B264" s="2"/>
      <c r="C264" s="1">
        <v>9025</v>
      </c>
      <c r="D264" s="1">
        <v>9100</v>
      </c>
      <c r="E264" s="1">
        <v>9000</v>
      </c>
      <c r="F264" s="1">
        <v>9075</v>
      </c>
      <c r="G264" s="1">
        <v>71188300</v>
      </c>
      <c r="H264" s="4">
        <f t="shared" si="16"/>
        <v>-8.1967213114754103E-3</v>
      </c>
      <c r="I264" s="4">
        <f t="shared" si="17"/>
        <v>-3.7135278514588858E-2</v>
      </c>
      <c r="J264" s="16">
        <f t="shared" si="14"/>
        <v>9445</v>
      </c>
      <c r="K264" s="16">
        <f t="shared" si="15"/>
        <v>9747</v>
      </c>
    </row>
    <row r="265" spans="1:11" x14ac:dyDescent="0.2">
      <c r="A265" s="2">
        <f ca="1">IFERROR(__xludf.DUMMYFUNCTION("""COMPUTED_VALUE"""),45700.6666666666)</f>
        <v>45700.666666666599</v>
      </c>
      <c r="B265" s="2"/>
      <c r="C265" s="1">
        <v>8950</v>
      </c>
      <c r="D265" s="1">
        <v>9150</v>
      </c>
      <c r="E265" s="1">
        <v>8950</v>
      </c>
      <c r="F265" s="1">
        <v>9150</v>
      </c>
      <c r="G265" s="1">
        <v>121172600</v>
      </c>
      <c r="H265" s="4">
        <f t="shared" si="16"/>
        <v>8.2644628099173556E-3</v>
      </c>
      <c r="I265" s="4">
        <f t="shared" si="17"/>
        <v>-2.9177718832891247E-2</v>
      </c>
      <c r="J265" s="16">
        <f t="shared" si="14"/>
        <v>9416.25</v>
      </c>
      <c r="K265" s="16">
        <f t="shared" si="15"/>
        <v>9733</v>
      </c>
    </row>
    <row r="266" spans="1:11" x14ac:dyDescent="0.2">
      <c r="A266" s="2">
        <f ca="1">IFERROR(__xludf.DUMMYFUNCTION("""COMPUTED_VALUE"""),45701.6666666666)</f>
        <v>45701.666666666599</v>
      </c>
      <c r="B266" s="2"/>
      <c r="C266" s="1">
        <v>9100</v>
      </c>
      <c r="D266" s="1">
        <v>9150</v>
      </c>
      <c r="E266" s="1">
        <v>9000</v>
      </c>
      <c r="F266" s="1">
        <v>9000</v>
      </c>
      <c r="G266" s="1">
        <v>90439700</v>
      </c>
      <c r="H266" s="4">
        <f t="shared" si="16"/>
        <v>-1.6393442622950821E-2</v>
      </c>
      <c r="I266" s="4">
        <f t="shared" si="17"/>
        <v>-4.5092838196286469E-2</v>
      </c>
      <c r="J266" s="16">
        <f t="shared" si="14"/>
        <v>9382.5</v>
      </c>
      <c r="K266" s="16">
        <f t="shared" si="15"/>
        <v>9709.5</v>
      </c>
    </row>
    <row r="267" spans="1:11" x14ac:dyDescent="0.2">
      <c r="A267" s="2">
        <f ca="1">IFERROR(__xludf.DUMMYFUNCTION("""COMPUTED_VALUE"""),45702.6666666666)</f>
        <v>45702.666666666599</v>
      </c>
      <c r="B267" s="2"/>
      <c r="C267" s="1">
        <v>9000</v>
      </c>
      <c r="D267" s="1">
        <v>9075</v>
      </c>
      <c r="E267" s="1">
        <v>8950</v>
      </c>
      <c r="F267" s="1">
        <v>8975</v>
      </c>
      <c r="G267" s="1">
        <v>116274500</v>
      </c>
      <c r="H267" s="4">
        <f t="shared" si="16"/>
        <v>-2.7777777777777779E-3</v>
      </c>
      <c r="I267" s="4">
        <f t="shared" si="17"/>
        <v>-4.7745358090185673E-2</v>
      </c>
      <c r="J267" s="16">
        <f t="shared" si="14"/>
        <v>9355</v>
      </c>
      <c r="K267" s="16">
        <f t="shared" si="15"/>
        <v>9689</v>
      </c>
    </row>
    <row r="268" spans="1:11" x14ac:dyDescent="0.2">
      <c r="A268" s="2">
        <f ca="1">IFERROR(__xludf.DUMMYFUNCTION("""COMPUTED_VALUE"""),45705.6666666666)</f>
        <v>45705.666666666599</v>
      </c>
      <c r="B268" s="2"/>
      <c r="C268" s="1">
        <v>8975</v>
      </c>
      <c r="D268" s="1">
        <v>9325</v>
      </c>
      <c r="E268" s="1">
        <v>8975</v>
      </c>
      <c r="F268" s="1">
        <v>9325</v>
      </c>
      <c r="G268" s="1">
        <v>89096400</v>
      </c>
      <c r="H268" s="4">
        <f t="shared" si="16"/>
        <v>3.8997214484679667E-2</v>
      </c>
      <c r="I268" s="4">
        <f t="shared" si="17"/>
        <v>-1.0610079575596816E-2</v>
      </c>
      <c r="J268" s="16">
        <f t="shared" si="14"/>
        <v>9331.25</v>
      </c>
      <c r="K268" s="16">
        <f t="shared" si="15"/>
        <v>9675.5</v>
      </c>
    </row>
    <row r="269" spans="1:11" x14ac:dyDescent="0.2">
      <c r="A269" s="2">
        <f ca="1">IFERROR(__xludf.DUMMYFUNCTION("""COMPUTED_VALUE"""),45706.6666666666)</f>
        <v>45706.666666666599</v>
      </c>
      <c r="B269" s="2"/>
      <c r="C269" s="1">
        <v>9325</v>
      </c>
      <c r="D269" s="1">
        <v>9575</v>
      </c>
      <c r="E269" s="1">
        <v>9250</v>
      </c>
      <c r="F269" s="1">
        <v>9300</v>
      </c>
      <c r="G269" s="1">
        <v>107318300</v>
      </c>
      <c r="H269" s="4">
        <f t="shared" si="16"/>
        <v>-2.6809651474530832E-3</v>
      </c>
      <c r="I269" s="4">
        <f t="shared" si="17"/>
        <v>-1.3262599469496022E-2</v>
      </c>
      <c r="J269" s="16">
        <f t="shared" si="14"/>
        <v>9308.75</v>
      </c>
      <c r="K269" s="16">
        <f t="shared" si="15"/>
        <v>9661.5</v>
      </c>
    </row>
    <row r="270" spans="1:11" x14ac:dyDescent="0.2">
      <c r="A270" s="2">
        <f ca="1">IFERROR(__xludf.DUMMYFUNCTION("""COMPUTED_VALUE"""),45707.6666666666)</f>
        <v>45707.666666666599</v>
      </c>
      <c r="B270" s="2"/>
      <c r="C270" s="1">
        <v>9225</v>
      </c>
      <c r="D270" s="1">
        <v>9250</v>
      </c>
      <c r="E270" s="1">
        <v>8950</v>
      </c>
      <c r="F270" s="1">
        <v>8950</v>
      </c>
      <c r="G270" s="1">
        <v>154438200</v>
      </c>
      <c r="H270" s="4">
        <f t="shared" si="16"/>
        <v>-3.7634408602150539E-2</v>
      </c>
      <c r="I270" s="4">
        <f t="shared" si="17"/>
        <v>-5.0397877984084884E-2</v>
      </c>
      <c r="J270" s="16">
        <f t="shared" si="14"/>
        <v>9261.25</v>
      </c>
      <c r="K270" s="16">
        <f t="shared" si="15"/>
        <v>9645.5</v>
      </c>
    </row>
    <row r="271" spans="1:11" x14ac:dyDescent="0.2">
      <c r="A271" s="2">
        <f ca="1">IFERROR(__xludf.DUMMYFUNCTION("""COMPUTED_VALUE"""),45708.6666666666)</f>
        <v>45708.666666666599</v>
      </c>
      <c r="B271" s="2"/>
      <c r="C271" s="1">
        <v>8975</v>
      </c>
      <c r="D271" s="1">
        <v>9025</v>
      </c>
      <c r="E271" s="1">
        <v>8950</v>
      </c>
      <c r="F271" s="1">
        <v>9000</v>
      </c>
      <c r="G271" s="1">
        <v>119260800</v>
      </c>
      <c r="H271" s="4">
        <f t="shared" si="16"/>
        <v>5.5865921787709499E-3</v>
      </c>
      <c r="I271" s="4">
        <f t="shared" si="17"/>
        <v>-4.5092838196286469E-2</v>
      </c>
      <c r="J271" s="16">
        <f t="shared" si="14"/>
        <v>9230</v>
      </c>
      <c r="K271" s="16">
        <f t="shared" si="15"/>
        <v>9621.5</v>
      </c>
    </row>
    <row r="272" spans="1:11" x14ac:dyDescent="0.2">
      <c r="A272" s="2">
        <f ca="1">IFERROR(__xludf.DUMMYFUNCTION("""COMPUTED_VALUE"""),45709.6666666666)</f>
        <v>45709.666666666599</v>
      </c>
      <c r="B272" s="2"/>
      <c r="C272" s="1">
        <v>8950</v>
      </c>
      <c r="D272" s="1">
        <v>9000</v>
      </c>
      <c r="E272" s="1">
        <v>8925</v>
      </c>
      <c r="F272" s="1">
        <v>9000</v>
      </c>
      <c r="G272" s="1">
        <v>106054700</v>
      </c>
      <c r="H272" s="4">
        <f t="shared" si="16"/>
        <v>0</v>
      </c>
      <c r="I272" s="4">
        <f t="shared" si="17"/>
        <v>-4.5092838196286469E-2</v>
      </c>
      <c r="J272" s="16">
        <f t="shared" si="14"/>
        <v>9201.25</v>
      </c>
      <c r="K272" s="16">
        <f t="shared" si="15"/>
        <v>9597.5</v>
      </c>
    </row>
    <row r="273" spans="1:11" x14ac:dyDescent="0.2">
      <c r="A273" s="2">
        <f ca="1">IFERROR(__xludf.DUMMYFUNCTION("""COMPUTED_VALUE"""),45712.6666666666)</f>
        <v>45712.666666666599</v>
      </c>
      <c r="B273" s="2"/>
      <c r="C273" s="1">
        <v>8925</v>
      </c>
      <c r="D273" s="1">
        <v>8975</v>
      </c>
      <c r="E273" s="1">
        <v>8875</v>
      </c>
      <c r="F273" s="1">
        <v>8925</v>
      </c>
      <c r="G273" s="1">
        <v>108530300</v>
      </c>
      <c r="H273" s="4">
        <f t="shared" si="16"/>
        <v>-8.3333333333333332E-3</v>
      </c>
      <c r="I273" s="4">
        <f t="shared" si="17"/>
        <v>-5.3050397877984087E-2</v>
      </c>
      <c r="J273" s="16">
        <f t="shared" si="14"/>
        <v>9167.5</v>
      </c>
      <c r="K273" s="16">
        <f t="shared" si="15"/>
        <v>9571</v>
      </c>
    </row>
    <row r="274" spans="1:11" x14ac:dyDescent="0.2">
      <c r="A274" s="2">
        <f ca="1">IFERROR(__xludf.DUMMYFUNCTION("""COMPUTED_VALUE"""),45713.6666666666)</f>
        <v>45713.666666666599</v>
      </c>
      <c r="B274" s="2"/>
      <c r="C274" s="1">
        <v>8900</v>
      </c>
      <c r="D274" s="1">
        <v>9000</v>
      </c>
      <c r="E274" s="1">
        <v>8825</v>
      </c>
      <c r="F274" s="1">
        <v>8825</v>
      </c>
      <c r="G274" s="1">
        <v>101592700</v>
      </c>
      <c r="H274" s="4">
        <f t="shared" si="16"/>
        <v>-1.1204481792717087E-2</v>
      </c>
      <c r="I274" s="4">
        <f t="shared" si="17"/>
        <v>-6.3660477453580902E-2</v>
      </c>
      <c r="J274" s="16">
        <f t="shared" si="14"/>
        <v>9128.75</v>
      </c>
      <c r="K274" s="16">
        <f t="shared" si="15"/>
        <v>9546</v>
      </c>
    </row>
    <row r="275" spans="1:11" x14ac:dyDescent="0.2">
      <c r="A275" s="2">
        <f ca="1">IFERROR(__xludf.DUMMYFUNCTION("""COMPUTED_VALUE"""),45714.6666666666)</f>
        <v>45714.666666666599</v>
      </c>
      <c r="B275" s="2"/>
      <c r="C275" s="1">
        <v>8800</v>
      </c>
      <c r="D275" s="1">
        <v>8900</v>
      </c>
      <c r="E275" s="1">
        <v>8725</v>
      </c>
      <c r="F275" s="1">
        <v>8775</v>
      </c>
      <c r="G275" s="1">
        <v>117843500</v>
      </c>
      <c r="H275" s="4">
        <f t="shared" si="16"/>
        <v>-5.6657223796033997E-3</v>
      </c>
      <c r="I275" s="4">
        <f t="shared" si="17"/>
        <v>-6.8965517241379309E-2</v>
      </c>
      <c r="J275" s="16">
        <f t="shared" si="14"/>
        <v>9100</v>
      </c>
      <c r="K275" s="16">
        <f t="shared" si="15"/>
        <v>9514.5</v>
      </c>
    </row>
    <row r="276" spans="1:11" x14ac:dyDescent="0.2">
      <c r="A276" s="2">
        <f ca="1">IFERROR(__xludf.DUMMYFUNCTION("""COMPUTED_VALUE"""),45715.6666666666)</f>
        <v>45715.666666666599</v>
      </c>
      <c r="B276" s="2"/>
      <c r="C276" s="1">
        <v>8800</v>
      </c>
      <c r="D276" s="1">
        <v>8800</v>
      </c>
      <c r="E276" s="1">
        <v>8500</v>
      </c>
      <c r="F276" s="1">
        <v>8525</v>
      </c>
      <c r="G276" s="1">
        <v>199991600</v>
      </c>
      <c r="H276" s="4">
        <f t="shared" si="16"/>
        <v>-2.8490028490028491E-2</v>
      </c>
      <c r="I276" s="4">
        <f t="shared" si="17"/>
        <v>-9.5490716180371346E-2</v>
      </c>
      <c r="J276" s="16">
        <f t="shared" si="14"/>
        <v>9068.75</v>
      </c>
      <c r="K276" s="16">
        <f t="shared" si="15"/>
        <v>9478</v>
      </c>
    </row>
    <row r="277" spans="1:11" x14ac:dyDescent="0.2">
      <c r="A277" s="2">
        <f ca="1">IFERROR(__xludf.DUMMYFUNCTION("""COMPUTED_VALUE"""),45716.6666666666)</f>
        <v>45716.666666666599</v>
      </c>
      <c r="B277" s="2"/>
      <c r="C277" s="1">
        <v>8525</v>
      </c>
      <c r="D277" s="1">
        <v>8675</v>
      </c>
      <c r="E277" s="1">
        <v>8425</v>
      </c>
      <c r="F277" s="1">
        <v>8425</v>
      </c>
      <c r="G277" s="1">
        <v>293095000</v>
      </c>
      <c r="H277" s="4">
        <f t="shared" si="16"/>
        <v>-1.1730205278592375E-2</v>
      </c>
      <c r="I277" s="4">
        <f t="shared" si="17"/>
        <v>-0.10610079575596817</v>
      </c>
      <c r="J277" s="16">
        <f t="shared" si="14"/>
        <v>9017.5</v>
      </c>
      <c r="K277" s="16">
        <f t="shared" si="15"/>
        <v>9438</v>
      </c>
    </row>
    <row r="278" spans="1:11" x14ac:dyDescent="0.2">
      <c r="A278" s="2">
        <f ca="1">IFERROR(__xludf.DUMMYFUNCTION("""COMPUTED_VALUE"""),45719.6666666666)</f>
        <v>45719.666666666599</v>
      </c>
      <c r="B278" s="2"/>
      <c r="C278" s="1">
        <v>8600</v>
      </c>
      <c r="D278" s="1">
        <v>8900</v>
      </c>
      <c r="E278" s="1">
        <v>8550</v>
      </c>
      <c r="F278" s="1">
        <v>8800</v>
      </c>
      <c r="G278" s="1">
        <v>192944300</v>
      </c>
      <c r="H278" s="4">
        <f t="shared" si="16"/>
        <v>4.4510385756676561E-2</v>
      </c>
      <c r="I278" s="4">
        <f t="shared" si="17"/>
        <v>-6.6312997347480113E-2</v>
      </c>
      <c r="J278" s="16">
        <f t="shared" ref="J278:J341" si="18">AVERAGE(F259:F278)</f>
        <v>8990</v>
      </c>
      <c r="K278" s="16">
        <f t="shared" si="15"/>
        <v>9410.5</v>
      </c>
    </row>
    <row r="279" spans="1:11" x14ac:dyDescent="0.2">
      <c r="A279" s="2">
        <f ca="1">IFERROR(__xludf.DUMMYFUNCTION("""COMPUTED_VALUE"""),45720.6666666666)</f>
        <v>45720.666666666599</v>
      </c>
      <c r="B279" s="2"/>
      <c r="C279" s="1">
        <v>8900</v>
      </c>
      <c r="D279" s="1">
        <v>8925</v>
      </c>
      <c r="E279" s="1">
        <v>8675</v>
      </c>
      <c r="F279" s="1">
        <v>8850</v>
      </c>
      <c r="G279" s="1">
        <v>125418500</v>
      </c>
      <c r="H279" s="4">
        <f t="shared" si="16"/>
        <v>5.681818181818182E-3</v>
      </c>
      <c r="I279" s="4">
        <f t="shared" si="17"/>
        <v>-6.1007957559681698E-2</v>
      </c>
      <c r="J279" s="16">
        <f t="shared" si="18"/>
        <v>8973.75</v>
      </c>
      <c r="K279" s="16">
        <f t="shared" si="15"/>
        <v>9386.5</v>
      </c>
    </row>
    <row r="280" spans="1:11" x14ac:dyDescent="0.2">
      <c r="A280" s="2">
        <f ca="1">IFERROR(__xludf.DUMMYFUNCTION("""COMPUTED_VALUE"""),45721.6666666666)</f>
        <v>45721.666666666599</v>
      </c>
      <c r="B280" s="2"/>
      <c r="C280" s="1">
        <v>8825</v>
      </c>
      <c r="D280" s="1">
        <v>9175</v>
      </c>
      <c r="E280" s="1">
        <v>8825</v>
      </c>
      <c r="F280" s="1">
        <v>9000</v>
      </c>
      <c r="G280" s="1">
        <v>155207900</v>
      </c>
      <c r="H280" s="4">
        <f t="shared" si="16"/>
        <v>1.6949152542372881E-2</v>
      </c>
      <c r="I280" s="4">
        <f t="shared" si="17"/>
        <v>-4.5092838196286469E-2</v>
      </c>
      <c r="J280" s="16">
        <f t="shared" si="18"/>
        <v>8967.5</v>
      </c>
      <c r="K280" s="16">
        <f t="shared" si="15"/>
        <v>9364.5</v>
      </c>
    </row>
    <row r="281" spans="1:11" x14ac:dyDescent="0.2">
      <c r="A281" s="2">
        <f ca="1">IFERROR(__xludf.DUMMYFUNCTION("""COMPUTED_VALUE"""),45722.6666666666)</f>
        <v>45722.666666666599</v>
      </c>
      <c r="B281" s="2"/>
      <c r="C281" s="1">
        <v>9200</v>
      </c>
      <c r="D281" s="1">
        <v>9200</v>
      </c>
      <c r="E281" s="1">
        <v>8975</v>
      </c>
      <c r="F281" s="1">
        <v>8975</v>
      </c>
      <c r="G281" s="1">
        <v>96270100</v>
      </c>
      <c r="H281" s="4">
        <f t="shared" si="16"/>
        <v>-2.7777777777777779E-3</v>
      </c>
      <c r="I281" s="4">
        <f t="shared" si="17"/>
        <v>-4.7745358090185673E-2</v>
      </c>
      <c r="J281" s="16">
        <f t="shared" si="18"/>
        <v>8968.75</v>
      </c>
      <c r="K281" s="16">
        <f t="shared" si="15"/>
        <v>9346</v>
      </c>
    </row>
    <row r="282" spans="1:11" x14ac:dyDescent="0.2">
      <c r="A282" s="2">
        <f ca="1">IFERROR(__xludf.DUMMYFUNCTION("""COMPUTED_VALUE"""),45723.6666666666)</f>
        <v>45723.666666666599</v>
      </c>
      <c r="B282" s="2"/>
      <c r="C282" s="1">
        <v>9000</v>
      </c>
      <c r="D282" s="1">
        <v>9000</v>
      </c>
      <c r="E282" s="1">
        <v>8925</v>
      </c>
      <c r="F282" s="1">
        <v>8925</v>
      </c>
      <c r="G282" s="1">
        <v>82295300</v>
      </c>
      <c r="H282" s="4">
        <f t="shared" si="16"/>
        <v>-5.5710306406685237E-3</v>
      </c>
      <c r="I282" s="4">
        <f t="shared" si="17"/>
        <v>-5.3050397877984087E-2</v>
      </c>
      <c r="J282" s="16">
        <f t="shared" si="18"/>
        <v>8947.5</v>
      </c>
      <c r="K282" s="16">
        <f t="shared" si="15"/>
        <v>9328.5</v>
      </c>
    </row>
    <row r="283" spans="1:11" x14ac:dyDescent="0.2">
      <c r="A283" s="2">
        <f ca="1">IFERROR(__xludf.DUMMYFUNCTION("""COMPUTED_VALUE"""),45726.6666666666)</f>
        <v>45726.666666666599</v>
      </c>
      <c r="B283" s="2"/>
      <c r="C283" s="1">
        <v>8750</v>
      </c>
      <c r="D283" s="1">
        <v>8975</v>
      </c>
      <c r="E283" s="1">
        <v>8725</v>
      </c>
      <c r="F283" s="1">
        <v>8925</v>
      </c>
      <c r="G283" s="1">
        <v>97652100</v>
      </c>
      <c r="H283" s="4">
        <f t="shared" si="16"/>
        <v>0</v>
      </c>
      <c r="I283" s="4">
        <f t="shared" si="17"/>
        <v>-5.3050397877984087E-2</v>
      </c>
      <c r="J283" s="16">
        <f t="shared" si="18"/>
        <v>8936.25</v>
      </c>
      <c r="K283" s="16">
        <f t="shared" si="15"/>
        <v>9313.5</v>
      </c>
    </row>
    <row r="284" spans="1:11" x14ac:dyDescent="0.2">
      <c r="A284" s="2">
        <f ca="1">IFERROR(__xludf.DUMMYFUNCTION("""COMPUTED_VALUE"""),45727.6666666666)</f>
        <v>45727.666666666599</v>
      </c>
      <c r="B284" s="2"/>
      <c r="C284" s="1">
        <v>8950</v>
      </c>
      <c r="D284" s="1">
        <v>9050</v>
      </c>
      <c r="E284" s="1">
        <v>8875</v>
      </c>
      <c r="F284" s="1">
        <v>8925</v>
      </c>
      <c r="G284" s="1">
        <v>109295600</v>
      </c>
      <c r="H284" s="4">
        <f t="shared" si="16"/>
        <v>0</v>
      </c>
      <c r="I284" s="4">
        <f t="shared" si="17"/>
        <v>-5.3050397877984087E-2</v>
      </c>
      <c r="J284" s="16">
        <f t="shared" si="18"/>
        <v>8928.75</v>
      </c>
      <c r="K284" s="16">
        <f t="shared" si="15"/>
        <v>9299</v>
      </c>
    </row>
    <row r="285" spans="1:11" x14ac:dyDescent="0.2">
      <c r="A285" s="2">
        <f ca="1">IFERROR(__xludf.DUMMYFUNCTION("""COMPUTED_VALUE"""),45728.6666666666)</f>
        <v>45728.666666666599</v>
      </c>
      <c r="B285" s="2"/>
      <c r="C285" s="1">
        <v>9025</v>
      </c>
      <c r="D285" s="1">
        <v>9125</v>
      </c>
      <c r="E285" s="1">
        <v>8975</v>
      </c>
      <c r="F285" s="1">
        <v>9125</v>
      </c>
      <c r="G285" s="1">
        <v>87968900</v>
      </c>
      <c r="H285" s="4">
        <f t="shared" si="16"/>
        <v>2.2408963585434174E-2</v>
      </c>
      <c r="I285" s="4">
        <f t="shared" si="17"/>
        <v>-3.1830238726790451E-2</v>
      </c>
      <c r="J285" s="16">
        <f t="shared" si="18"/>
        <v>8927.5</v>
      </c>
      <c r="K285" s="16">
        <f t="shared" si="15"/>
        <v>9286</v>
      </c>
    </row>
    <row r="286" spans="1:11" x14ac:dyDescent="0.2">
      <c r="A286" s="2">
        <f ca="1">IFERROR(__xludf.DUMMYFUNCTION("""COMPUTED_VALUE"""),45729.6666666666)</f>
        <v>45729.666666666599</v>
      </c>
      <c r="B286" s="2"/>
      <c r="C286" s="1">
        <v>9150</v>
      </c>
      <c r="D286" s="1">
        <v>9175</v>
      </c>
      <c r="E286" s="1">
        <v>8975</v>
      </c>
      <c r="F286" s="1">
        <v>8975</v>
      </c>
      <c r="G286" s="1">
        <v>83030700</v>
      </c>
      <c r="H286" s="4">
        <f t="shared" si="16"/>
        <v>-1.643835616438356E-2</v>
      </c>
      <c r="I286" s="4">
        <f t="shared" si="17"/>
        <v>-4.7745358090185673E-2</v>
      </c>
      <c r="J286" s="16">
        <f t="shared" si="18"/>
        <v>8926.25</v>
      </c>
      <c r="K286" s="16">
        <f t="shared" si="15"/>
        <v>9270.5</v>
      </c>
    </row>
    <row r="287" spans="1:11" x14ac:dyDescent="0.2">
      <c r="A287" s="2">
        <f ca="1">IFERROR(__xludf.DUMMYFUNCTION("""COMPUTED_VALUE"""),45730.6666666666)</f>
        <v>45730.666666666599</v>
      </c>
      <c r="B287" s="2"/>
      <c r="C287" s="1">
        <v>8800</v>
      </c>
      <c r="D287" s="1">
        <v>8925</v>
      </c>
      <c r="E287" s="1">
        <v>8750</v>
      </c>
      <c r="F287" s="1">
        <v>8750</v>
      </c>
      <c r="G287" s="1">
        <v>111397800</v>
      </c>
      <c r="H287" s="4">
        <f t="shared" si="16"/>
        <v>-2.5069637883008356E-2</v>
      </c>
      <c r="I287" s="4">
        <f t="shared" si="17"/>
        <v>-7.161803713527852E-2</v>
      </c>
      <c r="J287" s="16">
        <f t="shared" si="18"/>
        <v>8915</v>
      </c>
      <c r="K287" s="16">
        <f t="shared" si="15"/>
        <v>9249.5</v>
      </c>
    </row>
    <row r="288" spans="1:11" x14ac:dyDescent="0.2">
      <c r="A288" s="2">
        <f ca="1">IFERROR(__xludf.DUMMYFUNCTION("""COMPUTED_VALUE"""),45733.6666666666)</f>
        <v>45733.666666666599</v>
      </c>
      <c r="B288" s="2"/>
      <c r="C288" s="1">
        <v>8750</v>
      </c>
      <c r="D288" s="1">
        <v>8775</v>
      </c>
      <c r="E288" s="1">
        <v>8550</v>
      </c>
      <c r="F288" s="1">
        <v>8600</v>
      </c>
      <c r="G288" s="1">
        <v>151365700</v>
      </c>
      <c r="H288" s="4">
        <f t="shared" si="16"/>
        <v>-1.7142857142857144E-2</v>
      </c>
      <c r="I288" s="4">
        <f t="shared" si="17"/>
        <v>-8.7533156498673742E-2</v>
      </c>
      <c r="J288" s="16">
        <f t="shared" si="18"/>
        <v>8878.75</v>
      </c>
      <c r="K288" s="16">
        <f t="shared" si="15"/>
        <v>9228</v>
      </c>
    </row>
    <row r="289" spans="1:11" x14ac:dyDescent="0.2">
      <c r="A289" s="2">
        <f ca="1">IFERROR(__xludf.DUMMYFUNCTION("""COMPUTED_VALUE"""),45734.6666666666)</f>
        <v>45734.666666666599</v>
      </c>
      <c r="B289" s="2"/>
      <c r="C289" s="1">
        <v>8500</v>
      </c>
      <c r="D289" s="1">
        <v>8550</v>
      </c>
      <c r="E289" s="1">
        <v>8075</v>
      </c>
      <c r="F289" s="1">
        <v>8300</v>
      </c>
      <c r="G289" s="1">
        <v>417305700</v>
      </c>
      <c r="H289" s="4">
        <f t="shared" si="16"/>
        <v>-3.4883720930232558E-2</v>
      </c>
      <c r="I289" s="4">
        <f t="shared" si="17"/>
        <v>-0.11936339522546419</v>
      </c>
      <c r="J289" s="16">
        <f t="shared" si="18"/>
        <v>8828.75</v>
      </c>
      <c r="K289" s="16">
        <f t="shared" si="15"/>
        <v>9196</v>
      </c>
    </row>
    <row r="290" spans="1:11" x14ac:dyDescent="0.2">
      <c r="A290" s="2">
        <f ca="1">IFERROR(__xludf.DUMMYFUNCTION("""COMPUTED_VALUE"""),45735.6666666666)</f>
        <v>45735.666666666599</v>
      </c>
      <c r="B290" s="2"/>
      <c r="C290" s="1">
        <v>8300</v>
      </c>
      <c r="D290" s="1">
        <v>8400</v>
      </c>
      <c r="E290" s="1">
        <v>8225</v>
      </c>
      <c r="F290" s="1">
        <v>8325</v>
      </c>
      <c r="G290" s="1">
        <v>214108200</v>
      </c>
      <c r="H290" s="4">
        <f t="shared" si="16"/>
        <v>3.0120481927710845E-3</v>
      </c>
      <c r="I290" s="4">
        <f t="shared" si="17"/>
        <v>-0.11671087533156499</v>
      </c>
      <c r="J290" s="16">
        <f t="shared" si="18"/>
        <v>8797.5</v>
      </c>
      <c r="K290" s="16">
        <f t="shared" si="15"/>
        <v>9165.5</v>
      </c>
    </row>
    <row r="291" spans="1:11" x14ac:dyDescent="0.2">
      <c r="A291" s="2">
        <f ca="1">IFERROR(__xludf.DUMMYFUNCTION("""COMPUTED_VALUE"""),45736.6666666666)</f>
        <v>45736.666666666599</v>
      </c>
      <c r="B291" s="2"/>
      <c r="C291" s="1">
        <v>8450</v>
      </c>
      <c r="D291" s="1">
        <v>8475</v>
      </c>
      <c r="E291" s="1">
        <v>8350</v>
      </c>
      <c r="F291" s="1">
        <v>8375</v>
      </c>
      <c r="G291" s="1">
        <v>152917300</v>
      </c>
      <c r="H291" s="4">
        <f t="shared" si="16"/>
        <v>6.006006006006006E-3</v>
      </c>
      <c r="I291" s="4">
        <f t="shared" si="17"/>
        <v>-0.11140583554376658</v>
      </c>
      <c r="J291" s="16">
        <f t="shared" si="18"/>
        <v>8766.25</v>
      </c>
      <c r="K291" s="16">
        <f t="shared" si="15"/>
        <v>9139.5</v>
      </c>
    </row>
    <row r="292" spans="1:11" x14ac:dyDescent="0.2">
      <c r="A292" s="2">
        <f ca="1">IFERROR(__xludf.DUMMYFUNCTION("""COMPUTED_VALUE"""),45737.6666666666)</f>
        <v>45737.666666666599</v>
      </c>
      <c r="B292" s="2"/>
      <c r="C292" s="1">
        <v>8275</v>
      </c>
      <c r="D292" s="1">
        <v>8275</v>
      </c>
      <c r="E292" s="1">
        <v>7900</v>
      </c>
      <c r="F292" s="1">
        <v>7900</v>
      </c>
      <c r="G292" s="1">
        <v>377916400</v>
      </c>
      <c r="H292" s="4">
        <f t="shared" si="16"/>
        <v>-5.6716417910447764E-2</v>
      </c>
      <c r="I292" s="4">
        <f t="shared" si="17"/>
        <v>-0.16180371352785147</v>
      </c>
      <c r="J292" s="16">
        <f t="shared" si="18"/>
        <v>8711.25</v>
      </c>
      <c r="K292" s="16">
        <f t="shared" si="15"/>
        <v>9107</v>
      </c>
    </row>
    <row r="293" spans="1:11" x14ac:dyDescent="0.2">
      <c r="A293" s="2">
        <f ca="1">IFERROR(__xludf.DUMMYFUNCTION("""COMPUTED_VALUE"""),45740.6666666666)</f>
        <v>45740.666666666599</v>
      </c>
      <c r="B293" s="2"/>
      <c r="C293" s="1">
        <v>7825</v>
      </c>
      <c r="D293" s="1">
        <v>8100</v>
      </c>
      <c r="E293" s="1">
        <v>7625</v>
      </c>
      <c r="F293" s="1">
        <v>7950</v>
      </c>
      <c r="G293" s="1">
        <v>331836800</v>
      </c>
      <c r="H293" s="4">
        <f t="shared" si="16"/>
        <v>6.3291139240506328E-3</v>
      </c>
      <c r="I293" s="4">
        <f t="shared" si="17"/>
        <v>-0.15649867374005305</v>
      </c>
      <c r="J293" s="16">
        <f t="shared" si="18"/>
        <v>8662.5</v>
      </c>
      <c r="K293" s="16">
        <f t="shared" si="15"/>
        <v>9072.5</v>
      </c>
    </row>
    <row r="294" spans="1:11" x14ac:dyDescent="0.2">
      <c r="A294" s="2">
        <f ca="1">IFERROR(__xludf.DUMMYFUNCTION("""COMPUTED_VALUE"""),45741.6666666666)</f>
        <v>45741.666666666599</v>
      </c>
      <c r="B294" s="2"/>
      <c r="C294" s="1">
        <v>8075</v>
      </c>
      <c r="D294" s="1">
        <v>8150</v>
      </c>
      <c r="E294" s="1">
        <v>8000</v>
      </c>
      <c r="F294" s="1">
        <v>8050</v>
      </c>
      <c r="G294" s="1">
        <v>136341700</v>
      </c>
      <c r="H294" s="4">
        <f t="shared" si="16"/>
        <v>1.2578616352201259E-2</v>
      </c>
      <c r="I294" s="4">
        <f t="shared" si="17"/>
        <v>-0.14588859416445624</v>
      </c>
      <c r="J294" s="16">
        <f t="shared" si="18"/>
        <v>8623.75</v>
      </c>
      <c r="K294" s="16">
        <f t="shared" si="15"/>
        <v>9036.5</v>
      </c>
    </row>
    <row r="295" spans="1:11" x14ac:dyDescent="0.2">
      <c r="A295" s="2">
        <f ca="1">IFERROR(__xludf.DUMMYFUNCTION("""COMPUTED_VALUE"""),45742.6666666666)</f>
        <v>45742.666666666599</v>
      </c>
      <c r="B295" s="2"/>
      <c r="C295" s="1">
        <v>8300</v>
      </c>
      <c r="D295" s="1">
        <v>8650</v>
      </c>
      <c r="E295" s="1">
        <v>8275</v>
      </c>
      <c r="F295" s="1">
        <v>8525</v>
      </c>
      <c r="G295" s="1">
        <v>283104600</v>
      </c>
      <c r="H295" s="4">
        <f t="shared" si="16"/>
        <v>5.9006211180124224E-2</v>
      </c>
      <c r="I295" s="4">
        <f t="shared" si="17"/>
        <v>-9.5490716180371346E-2</v>
      </c>
      <c r="J295" s="16">
        <f t="shared" si="18"/>
        <v>8611.25</v>
      </c>
      <c r="K295" s="16">
        <f t="shared" si="15"/>
        <v>9012.5</v>
      </c>
    </row>
    <row r="296" spans="1:11" x14ac:dyDescent="0.2">
      <c r="A296" s="2">
        <f ca="1">IFERROR(__xludf.DUMMYFUNCTION("""COMPUTED_VALUE"""),45743.6666666666)</f>
        <v>45743.666666666599</v>
      </c>
      <c r="B296" s="2"/>
      <c r="C296" s="1">
        <v>8425</v>
      </c>
      <c r="D296" s="1">
        <v>8575</v>
      </c>
      <c r="E296" s="1">
        <v>8375</v>
      </c>
      <c r="F296" s="1">
        <v>8500</v>
      </c>
      <c r="G296" s="1">
        <v>122943900</v>
      </c>
      <c r="H296" s="4">
        <f t="shared" si="16"/>
        <v>-2.9325513196480938E-3</v>
      </c>
      <c r="I296" s="4">
        <f t="shared" si="17"/>
        <v>-9.8143236074270557E-2</v>
      </c>
      <c r="J296" s="16">
        <f t="shared" si="18"/>
        <v>8610</v>
      </c>
      <c r="K296" s="16">
        <f t="shared" si="15"/>
        <v>8989</v>
      </c>
    </row>
    <row r="297" spans="1:11" x14ac:dyDescent="0.2">
      <c r="A297" s="2">
        <f ca="1">IFERROR(__xludf.DUMMYFUNCTION("""COMPUTED_VALUE"""),45755.6666666666)</f>
        <v>45755.666666666599</v>
      </c>
      <c r="B297" s="2"/>
      <c r="C297" s="1">
        <v>7400</v>
      </c>
      <c r="D297" s="1">
        <v>8000</v>
      </c>
      <c r="E297" s="1">
        <v>7275</v>
      </c>
      <c r="F297" s="1">
        <v>7775</v>
      </c>
      <c r="G297" s="1">
        <v>533073600</v>
      </c>
      <c r="H297" s="4">
        <f t="shared" si="16"/>
        <v>-8.5294117647058826E-2</v>
      </c>
      <c r="I297" s="4">
        <f t="shared" si="17"/>
        <v>-0.17506631299734748</v>
      </c>
      <c r="J297" s="16">
        <f t="shared" si="18"/>
        <v>8577.5</v>
      </c>
      <c r="K297" s="16">
        <f t="shared" si="15"/>
        <v>8954</v>
      </c>
    </row>
    <row r="298" spans="1:11" x14ac:dyDescent="0.2">
      <c r="A298" s="2">
        <f ca="1">IFERROR(__xludf.DUMMYFUNCTION("""COMPUTED_VALUE"""),45756.6666666666)</f>
        <v>45756.666666666599</v>
      </c>
      <c r="B298" s="2"/>
      <c r="C298" s="1">
        <v>7700</v>
      </c>
      <c r="D298" s="1">
        <v>7950</v>
      </c>
      <c r="E298" s="1">
        <v>7675</v>
      </c>
      <c r="F298" s="1">
        <v>7925</v>
      </c>
      <c r="G298" s="1">
        <v>136753900</v>
      </c>
      <c r="H298" s="4">
        <f t="shared" si="16"/>
        <v>1.9292604501607719E-2</v>
      </c>
      <c r="I298" s="4">
        <f t="shared" si="17"/>
        <v>-0.15915119363395225</v>
      </c>
      <c r="J298" s="16">
        <f t="shared" si="18"/>
        <v>8533.75</v>
      </c>
      <c r="K298" s="16">
        <f t="shared" si="15"/>
        <v>8916.5</v>
      </c>
    </row>
    <row r="299" spans="1:11" x14ac:dyDescent="0.2">
      <c r="A299" s="2">
        <f ca="1">IFERROR(__xludf.DUMMYFUNCTION("""COMPUTED_VALUE"""),45757.6666666666)</f>
        <v>45757.666666666599</v>
      </c>
      <c r="B299" s="2"/>
      <c r="C299" s="1">
        <v>8500</v>
      </c>
      <c r="D299" s="1">
        <v>8650</v>
      </c>
      <c r="E299" s="1">
        <v>8175</v>
      </c>
      <c r="F299" s="1">
        <v>8225</v>
      </c>
      <c r="G299" s="1">
        <v>144148600</v>
      </c>
      <c r="H299" s="4">
        <f t="shared" si="16"/>
        <v>3.7854889589905363E-2</v>
      </c>
      <c r="I299" s="4">
        <f t="shared" si="17"/>
        <v>-0.1273209549071618</v>
      </c>
      <c r="J299" s="16">
        <f t="shared" si="18"/>
        <v>8502.5</v>
      </c>
      <c r="K299" s="16">
        <f t="shared" si="15"/>
        <v>8886</v>
      </c>
    </row>
    <row r="300" spans="1:11" x14ac:dyDescent="0.2">
      <c r="A300" s="2">
        <f ca="1">IFERROR(__xludf.DUMMYFUNCTION("""COMPUTED_VALUE"""),45758.6666666666)</f>
        <v>45758.666666666599</v>
      </c>
      <c r="B300" s="2"/>
      <c r="C300" s="1">
        <v>8200</v>
      </c>
      <c r="D300" s="1">
        <v>8325</v>
      </c>
      <c r="E300" s="1">
        <v>8050</v>
      </c>
      <c r="F300" s="1">
        <v>8275</v>
      </c>
      <c r="G300" s="1">
        <v>82603000</v>
      </c>
      <c r="H300" s="4">
        <f t="shared" si="16"/>
        <v>6.0790273556231003E-3</v>
      </c>
      <c r="I300" s="4">
        <f t="shared" si="17"/>
        <v>-0.1220159151193634</v>
      </c>
      <c r="J300" s="16">
        <f t="shared" si="18"/>
        <v>8466.25</v>
      </c>
      <c r="K300" s="16">
        <f t="shared" si="15"/>
        <v>8853.5</v>
      </c>
    </row>
    <row r="301" spans="1:11" x14ac:dyDescent="0.2">
      <c r="A301" s="2">
        <f ca="1">IFERROR(__xludf.DUMMYFUNCTION("""COMPUTED_VALUE"""),45761.6666666666)</f>
        <v>45761.666666666599</v>
      </c>
      <c r="B301" s="2"/>
      <c r="C301" s="1">
        <v>8250</v>
      </c>
      <c r="D301" s="1">
        <v>8400</v>
      </c>
      <c r="E301" s="1">
        <v>8250</v>
      </c>
      <c r="F301" s="1">
        <v>8400</v>
      </c>
      <c r="G301" s="1">
        <v>83319300</v>
      </c>
      <c r="H301" s="4">
        <f t="shared" si="16"/>
        <v>1.5105740181268883E-2</v>
      </c>
      <c r="I301" s="4">
        <f t="shared" si="17"/>
        <v>-0.10875331564986737</v>
      </c>
      <c r="J301" s="16">
        <f t="shared" si="18"/>
        <v>8437.5</v>
      </c>
      <c r="K301" s="16">
        <f t="shared" si="15"/>
        <v>8829</v>
      </c>
    </row>
    <row r="302" spans="1:11" x14ac:dyDescent="0.2">
      <c r="A302" s="2">
        <f ca="1">IFERROR(__xludf.DUMMYFUNCTION("""COMPUTED_VALUE"""),45762.6666666666)</f>
        <v>45762.666666666599</v>
      </c>
      <c r="B302" s="2"/>
      <c r="C302" s="1">
        <v>8575</v>
      </c>
      <c r="D302" s="1">
        <v>8600</v>
      </c>
      <c r="E302" s="1">
        <v>8450</v>
      </c>
      <c r="F302" s="1">
        <v>8575</v>
      </c>
      <c r="G302" s="1">
        <v>83431800</v>
      </c>
      <c r="H302" s="4">
        <f t="shared" si="16"/>
        <v>2.0833333333333332E-2</v>
      </c>
      <c r="I302" s="4">
        <f t="shared" si="17"/>
        <v>-9.0185676392572939E-2</v>
      </c>
      <c r="J302" s="16">
        <f t="shared" si="18"/>
        <v>8420</v>
      </c>
      <c r="K302" s="16">
        <f t="shared" si="15"/>
        <v>8809</v>
      </c>
    </row>
    <row r="303" spans="1:11" x14ac:dyDescent="0.2">
      <c r="A303" s="2">
        <f ca="1">IFERROR(__xludf.DUMMYFUNCTION("""COMPUTED_VALUE"""),45763.6666666666)</f>
        <v>45763.666666666599</v>
      </c>
      <c r="B303" s="2"/>
      <c r="C303" s="1">
        <v>8500</v>
      </c>
      <c r="D303" s="1">
        <v>8550</v>
      </c>
      <c r="E303" s="1">
        <v>8425</v>
      </c>
      <c r="F303" s="1">
        <v>8475</v>
      </c>
      <c r="G303" s="1">
        <v>76874900</v>
      </c>
      <c r="H303" s="4">
        <f t="shared" si="16"/>
        <v>-1.1661807580174927E-2</v>
      </c>
      <c r="I303" s="4">
        <f t="shared" si="17"/>
        <v>-0.10079575596816977</v>
      </c>
      <c r="J303" s="16">
        <f t="shared" si="18"/>
        <v>8397.5</v>
      </c>
      <c r="K303" s="16">
        <f t="shared" si="15"/>
        <v>8786.5</v>
      </c>
    </row>
    <row r="304" spans="1:11" x14ac:dyDescent="0.2">
      <c r="A304" s="2">
        <f ca="1">IFERROR(__xludf.DUMMYFUNCTION("""COMPUTED_VALUE"""),45764.6666666666)</f>
        <v>45764.666666666599</v>
      </c>
      <c r="B304" s="2"/>
      <c r="C304" s="1">
        <v>8450</v>
      </c>
      <c r="D304" s="1">
        <v>8500</v>
      </c>
      <c r="E304" s="1">
        <v>8350</v>
      </c>
      <c r="F304" s="1">
        <v>8500</v>
      </c>
      <c r="G304" s="1">
        <v>83540600</v>
      </c>
      <c r="H304" s="4">
        <f t="shared" si="16"/>
        <v>2.9498525073746312E-3</v>
      </c>
      <c r="I304" s="4">
        <f t="shared" si="17"/>
        <v>-9.8143236074270557E-2</v>
      </c>
      <c r="J304" s="16">
        <f t="shared" si="18"/>
        <v>8376.25</v>
      </c>
      <c r="K304" s="16">
        <f t="shared" si="15"/>
        <v>8764.5</v>
      </c>
    </row>
    <row r="305" spans="1:11" x14ac:dyDescent="0.2">
      <c r="A305" s="2">
        <f ca="1">IFERROR(__xludf.DUMMYFUNCTION("""COMPUTED_VALUE"""),45768.6666666666)</f>
        <v>45768.666666666599</v>
      </c>
      <c r="B305" s="2"/>
      <c r="C305" s="1">
        <v>8500</v>
      </c>
      <c r="D305" s="1">
        <v>8500</v>
      </c>
      <c r="E305" s="1">
        <v>8300</v>
      </c>
      <c r="F305" s="1">
        <v>8300</v>
      </c>
      <c r="G305" s="1">
        <v>40683800</v>
      </c>
      <c r="H305" s="4">
        <f t="shared" si="16"/>
        <v>-2.3529411764705882E-2</v>
      </c>
      <c r="I305" s="4">
        <f t="shared" si="17"/>
        <v>-0.11936339522546419</v>
      </c>
      <c r="J305" s="16">
        <f t="shared" si="18"/>
        <v>8335</v>
      </c>
      <c r="K305" s="16">
        <f t="shared" si="15"/>
        <v>8743.5</v>
      </c>
    </row>
    <row r="306" spans="1:11" x14ac:dyDescent="0.2">
      <c r="A306" s="2">
        <f ca="1">IFERROR(__xludf.DUMMYFUNCTION("""COMPUTED_VALUE"""),45769.6666666666)</f>
        <v>45769.666666666599</v>
      </c>
      <c r="B306" s="2"/>
      <c r="C306" s="1">
        <v>8325</v>
      </c>
      <c r="D306" s="1">
        <v>8500</v>
      </c>
      <c r="E306" s="1">
        <v>8325</v>
      </c>
      <c r="F306" s="1">
        <v>8500</v>
      </c>
      <c r="G306" s="1">
        <v>56537100</v>
      </c>
      <c r="H306" s="4">
        <f t="shared" si="16"/>
        <v>2.4096385542168676E-2</v>
      </c>
      <c r="I306" s="4">
        <f t="shared" si="17"/>
        <v>-9.8143236074270557E-2</v>
      </c>
      <c r="J306" s="16">
        <f t="shared" si="18"/>
        <v>8311.25</v>
      </c>
      <c r="K306" s="16">
        <f t="shared" si="15"/>
        <v>8730.5</v>
      </c>
    </row>
    <row r="307" spans="1:11" x14ac:dyDescent="0.2">
      <c r="A307" s="2">
        <f ca="1">IFERROR(__xludf.DUMMYFUNCTION("""COMPUTED_VALUE"""),45770.6666666666)</f>
        <v>45770.666666666599</v>
      </c>
      <c r="B307" s="2"/>
      <c r="C307" s="1">
        <v>8550</v>
      </c>
      <c r="D307" s="1">
        <v>8725</v>
      </c>
      <c r="E307" s="1">
        <v>8550</v>
      </c>
      <c r="F307" s="1">
        <v>8725</v>
      </c>
      <c r="G307" s="1">
        <v>92329600</v>
      </c>
      <c r="H307" s="4">
        <f t="shared" si="16"/>
        <v>2.6470588235294117E-2</v>
      </c>
      <c r="I307" s="4">
        <f t="shared" si="17"/>
        <v>-7.4270557029177717E-2</v>
      </c>
      <c r="J307" s="16">
        <f t="shared" si="18"/>
        <v>8310</v>
      </c>
      <c r="K307" s="16">
        <f t="shared" si="15"/>
        <v>8716</v>
      </c>
    </row>
    <row r="308" spans="1:11" x14ac:dyDescent="0.2">
      <c r="A308" s="2">
        <f ca="1">IFERROR(__xludf.DUMMYFUNCTION("""COMPUTED_VALUE"""),45771.6666666666)</f>
        <v>45771.666666666599</v>
      </c>
      <c r="B308" s="2"/>
      <c r="C308" s="1">
        <v>8850</v>
      </c>
      <c r="D308" s="1">
        <v>8850</v>
      </c>
      <c r="E308" s="1">
        <v>8475</v>
      </c>
      <c r="F308" s="1">
        <v>8475</v>
      </c>
      <c r="G308" s="1">
        <v>143675300</v>
      </c>
      <c r="H308" s="4">
        <f t="shared" si="16"/>
        <v>-2.865329512893983E-2</v>
      </c>
      <c r="I308" s="4">
        <f t="shared" si="17"/>
        <v>-0.10079575596816977</v>
      </c>
      <c r="J308" s="16">
        <f t="shared" si="18"/>
        <v>8303.75</v>
      </c>
      <c r="K308" s="16">
        <f t="shared" ref="K308:K371" si="19">AVERAGE(F259:F308)</f>
        <v>8698.5</v>
      </c>
    </row>
    <row r="309" spans="1:11" x14ac:dyDescent="0.2">
      <c r="A309" s="2">
        <f ca="1">IFERROR(__xludf.DUMMYFUNCTION("""COMPUTED_VALUE"""),45772.6666666666)</f>
        <v>45772.666666666599</v>
      </c>
      <c r="B309" s="2"/>
      <c r="C309" s="1">
        <v>8650</v>
      </c>
      <c r="D309" s="1">
        <v>8650</v>
      </c>
      <c r="E309" s="1">
        <v>8575</v>
      </c>
      <c r="F309" s="1">
        <v>8600</v>
      </c>
      <c r="G309" s="1">
        <v>58297000</v>
      </c>
      <c r="H309" s="4">
        <f t="shared" si="16"/>
        <v>1.4749262536873156E-2</v>
      </c>
      <c r="I309" s="4">
        <f t="shared" si="17"/>
        <v>-8.7533156498673742E-2</v>
      </c>
      <c r="J309" s="16">
        <f t="shared" si="18"/>
        <v>8318.75</v>
      </c>
      <c r="K309" s="16">
        <f t="shared" si="19"/>
        <v>8687</v>
      </c>
    </row>
    <row r="310" spans="1:11" x14ac:dyDescent="0.2">
      <c r="A310" s="2">
        <f ca="1">IFERROR(__xludf.DUMMYFUNCTION("""COMPUTED_VALUE"""),45775.6666666666)</f>
        <v>45775.666666666599</v>
      </c>
      <c r="B310" s="2"/>
      <c r="C310" s="1">
        <v>8750</v>
      </c>
      <c r="D310" s="1">
        <v>8775</v>
      </c>
      <c r="E310" s="1">
        <v>8650</v>
      </c>
      <c r="F310" s="1">
        <v>8775</v>
      </c>
      <c r="G310" s="1">
        <v>73235400</v>
      </c>
      <c r="H310" s="4">
        <f t="shared" si="16"/>
        <v>2.0348837209302327E-2</v>
      </c>
      <c r="I310" s="4">
        <f t="shared" si="17"/>
        <v>-6.8965517241379309E-2</v>
      </c>
      <c r="J310" s="16">
        <f t="shared" si="18"/>
        <v>8341.25</v>
      </c>
      <c r="K310" s="16">
        <f t="shared" si="19"/>
        <v>8680</v>
      </c>
    </row>
    <row r="311" spans="1:11" x14ac:dyDescent="0.2">
      <c r="A311" s="2">
        <f ca="1">IFERROR(__xludf.DUMMYFUNCTION("""COMPUTED_VALUE"""),45776.6666666666)</f>
        <v>45776.666666666599</v>
      </c>
      <c r="B311" s="2"/>
      <c r="C311" s="1">
        <v>8800</v>
      </c>
      <c r="D311" s="1">
        <v>8825</v>
      </c>
      <c r="E311" s="1">
        <v>8700</v>
      </c>
      <c r="F311" s="1">
        <v>8725</v>
      </c>
      <c r="G311" s="1">
        <v>60315700</v>
      </c>
      <c r="H311" s="4">
        <f t="shared" si="16"/>
        <v>-5.6980056980056983E-3</v>
      </c>
      <c r="I311" s="4">
        <f t="shared" si="17"/>
        <v>-7.4270557029177717E-2</v>
      </c>
      <c r="J311" s="16">
        <f t="shared" si="18"/>
        <v>8358.75</v>
      </c>
      <c r="K311" s="16">
        <f t="shared" si="19"/>
        <v>8675.5</v>
      </c>
    </row>
    <row r="312" spans="1:11" x14ac:dyDescent="0.2">
      <c r="A312" s="2">
        <f ca="1">IFERROR(__xludf.DUMMYFUNCTION("""COMPUTED_VALUE"""),45777.6666666666)</f>
        <v>45777.666666666599</v>
      </c>
      <c r="B312" s="2"/>
      <c r="C312" s="1">
        <v>8800</v>
      </c>
      <c r="D312" s="1">
        <v>8925</v>
      </c>
      <c r="E312" s="1">
        <v>8675</v>
      </c>
      <c r="F312" s="1">
        <v>8825</v>
      </c>
      <c r="G312" s="1">
        <v>164597500</v>
      </c>
      <c r="H312" s="4">
        <f t="shared" si="16"/>
        <v>1.1461318051575931E-2</v>
      </c>
      <c r="I312" s="4">
        <f t="shared" si="17"/>
        <v>-6.3660477453580902E-2</v>
      </c>
      <c r="J312" s="16">
        <f t="shared" si="18"/>
        <v>8405</v>
      </c>
      <c r="K312" s="16">
        <f t="shared" si="19"/>
        <v>8665</v>
      </c>
    </row>
    <row r="313" spans="1:11" x14ac:dyDescent="0.2">
      <c r="A313" s="2">
        <f ca="1">IFERROR(__xludf.DUMMYFUNCTION("""COMPUTED_VALUE"""),45779.6666666666)</f>
        <v>45779.666666666599</v>
      </c>
      <c r="B313" s="2"/>
      <c r="C313" s="1">
        <v>9000</v>
      </c>
      <c r="D313" s="1">
        <v>9000</v>
      </c>
      <c r="E313" s="1">
        <v>8850</v>
      </c>
      <c r="F313" s="1">
        <v>8975</v>
      </c>
      <c r="G313" s="1">
        <v>92219000</v>
      </c>
      <c r="H313" s="4">
        <f t="shared" si="16"/>
        <v>1.69971671388102E-2</v>
      </c>
      <c r="I313" s="4">
        <f t="shared" si="17"/>
        <v>-4.7745358090185673E-2</v>
      </c>
      <c r="J313" s="16">
        <f t="shared" si="18"/>
        <v>8456.25</v>
      </c>
      <c r="K313" s="16">
        <f t="shared" si="19"/>
        <v>8661.5</v>
      </c>
    </row>
    <row r="314" spans="1:11" x14ac:dyDescent="0.2">
      <c r="A314" s="2">
        <f ca="1">IFERROR(__xludf.DUMMYFUNCTION("""COMPUTED_VALUE"""),45782.6666666666)</f>
        <v>45782.666666666599</v>
      </c>
      <c r="B314" s="2"/>
      <c r="C314" s="1">
        <v>9000</v>
      </c>
      <c r="D314" s="1">
        <v>9050</v>
      </c>
      <c r="E314" s="1">
        <v>8975</v>
      </c>
      <c r="F314" s="1">
        <v>8975</v>
      </c>
      <c r="G314" s="1">
        <v>86385600</v>
      </c>
      <c r="H314" s="4">
        <f t="shared" si="16"/>
        <v>0</v>
      </c>
      <c r="I314" s="4">
        <f t="shared" si="17"/>
        <v>-4.7745358090185673E-2</v>
      </c>
      <c r="J314" s="16">
        <f t="shared" si="18"/>
        <v>8502.5</v>
      </c>
      <c r="K314" s="16">
        <f t="shared" si="19"/>
        <v>8659.5</v>
      </c>
    </row>
    <row r="315" spans="1:11" x14ac:dyDescent="0.2">
      <c r="A315" s="2">
        <f ca="1">IFERROR(__xludf.DUMMYFUNCTION("""COMPUTED_VALUE"""),45783.6666666666)</f>
        <v>45783.666666666599</v>
      </c>
      <c r="B315" s="2"/>
      <c r="C315" s="1">
        <v>9050</v>
      </c>
      <c r="D315" s="1">
        <v>9050</v>
      </c>
      <c r="E315" s="1">
        <v>8975</v>
      </c>
      <c r="F315" s="1">
        <v>9025</v>
      </c>
      <c r="G315" s="1">
        <v>48860500</v>
      </c>
      <c r="H315" s="4">
        <f t="shared" si="16"/>
        <v>5.5710306406685237E-3</v>
      </c>
      <c r="I315" s="4">
        <f t="shared" si="17"/>
        <v>-4.2440318302387266E-2</v>
      </c>
      <c r="J315" s="16">
        <f t="shared" si="18"/>
        <v>8527.5</v>
      </c>
      <c r="K315" s="16">
        <f t="shared" si="19"/>
        <v>8657</v>
      </c>
    </row>
    <row r="316" spans="1:11" x14ac:dyDescent="0.2">
      <c r="A316" s="2">
        <f ca="1">IFERROR(__xludf.DUMMYFUNCTION("""COMPUTED_VALUE"""),45784.6666666666)</f>
        <v>45784.666666666599</v>
      </c>
      <c r="B316" s="2"/>
      <c r="C316" s="1">
        <v>9075</v>
      </c>
      <c r="D316" s="1">
        <v>9100</v>
      </c>
      <c r="E316" s="1">
        <v>9000</v>
      </c>
      <c r="F316" s="1">
        <v>9075</v>
      </c>
      <c r="G316" s="1">
        <v>77382000</v>
      </c>
      <c r="H316" s="4">
        <f t="shared" si="16"/>
        <v>5.5401662049861496E-3</v>
      </c>
      <c r="I316" s="4">
        <f t="shared" si="17"/>
        <v>-3.7135278514588858E-2</v>
      </c>
      <c r="J316" s="16">
        <f t="shared" si="18"/>
        <v>8556.25</v>
      </c>
      <c r="K316" s="16">
        <f t="shared" si="19"/>
        <v>8658.5</v>
      </c>
    </row>
    <row r="317" spans="1:11" x14ac:dyDescent="0.2">
      <c r="A317" s="2">
        <f ca="1">IFERROR(__xludf.DUMMYFUNCTION("""COMPUTED_VALUE"""),45785.6666666666)</f>
        <v>45785.666666666599</v>
      </c>
      <c r="B317" s="2"/>
      <c r="C317" s="1">
        <v>9075</v>
      </c>
      <c r="D317" s="1">
        <v>9200</v>
      </c>
      <c r="E317" s="1">
        <v>8925</v>
      </c>
      <c r="F317" s="1">
        <v>8975</v>
      </c>
      <c r="G317" s="1">
        <v>99614500</v>
      </c>
      <c r="H317" s="4">
        <f t="shared" si="16"/>
        <v>-1.1019283746556474E-2</v>
      </c>
      <c r="I317" s="4">
        <f t="shared" si="17"/>
        <v>-4.7745358090185673E-2</v>
      </c>
      <c r="J317" s="16">
        <f t="shared" si="18"/>
        <v>8616.25</v>
      </c>
      <c r="K317" s="16">
        <f t="shared" si="19"/>
        <v>8658.5</v>
      </c>
    </row>
    <row r="318" spans="1:11" x14ac:dyDescent="0.2">
      <c r="A318" s="2">
        <f ca="1">IFERROR(__xludf.DUMMYFUNCTION("""COMPUTED_VALUE"""),45786.6666666666)</f>
        <v>45786.666666666599</v>
      </c>
      <c r="B318" s="2"/>
      <c r="C318" s="1">
        <v>9050</v>
      </c>
      <c r="D318" s="1">
        <v>9050</v>
      </c>
      <c r="E318" s="1">
        <v>8975</v>
      </c>
      <c r="F318" s="1">
        <v>9000</v>
      </c>
      <c r="G318" s="1">
        <v>47167500</v>
      </c>
      <c r="H318" s="4">
        <f t="shared" si="16"/>
        <v>2.7855153203342618E-3</v>
      </c>
      <c r="I318" s="4">
        <f t="shared" si="17"/>
        <v>-4.5092838196286469E-2</v>
      </c>
      <c r="J318" s="16">
        <f t="shared" si="18"/>
        <v>8670</v>
      </c>
      <c r="K318" s="16">
        <f t="shared" si="19"/>
        <v>8652</v>
      </c>
    </row>
    <row r="319" spans="1:11" x14ac:dyDescent="0.2">
      <c r="A319" s="2">
        <f ca="1">IFERROR(__xludf.DUMMYFUNCTION("""COMPUTED_VALUE"""),45791.6666666666)</f>
        <v>45791.666666666599</v>
      </c>
      <c r="B319" s="2"/>
      <c r="C319" s="1">
        <v>9250</v>
      </c>
      <c r="D319" s="1">
        <v>9300</v>
      </c>
      <c r="E319" s="1">
        <v>9150</v>
      </c>
      <c r="F319" s="1">
        <v>9275</v>
      </c>
      <c r="G319" s="1">
        <v>149002900</v>
      </c>
      <c r="H319" s="4">
        <f t="shared" si="16"/>
        <v>3.0555555555555555E-2</v>
      </c>
      <c r="I319" s="4">
        <f t="shared" si="17"/>
        <v>-1.5915119363395226E-2</v>
      </c>
      <c r="J319" s="16">
        <f t="shared" si="18"/>
        <v>8722.5</v>
      </c>
      <c r="K319" s="16">
        <f t="shared" si="19"/>
        <v>8651.5</v>
      </c>
    </row>
    <row r="320" spans="1:11" x14ac:dyDescent="0.2">
      <c r="A320" s="2">
        <f ca="1">IFERROR(__xludf.DUMMYFUNCTION("""COMPUTED_VALUE"""),45792.6666666666)</f>
        <v>45792.666666666599</v>
      </c>
      <c r="B320" s="2"/>
      <c r="C320" s="1">
        <v>9275</v>
      </c>
      <c r="D320" s="1">
        <v>9400</v>
      </c>
      <c r="E320" s="1">
        <v>9250</v>
      </c>
      <c r="F320" s="1">
        <v>9275</v>
      </c>
      <c r="G320" s="1">
        <v>101401300</v>
      </c>
      <c r="H320" s="4">
        <f t="shared" si="16"/>
        <v>0</v>
      </c>
      <c r="I320" s="4">
        <f t="shared" si="17"/>
        <v>-1.5915119363395226E-2</v>
      </c>
      <c r="J320" s="16">
        <f t="shared" si="18"/>
        <v>8772.5</v>
      </c>
      <c r="K320" s="16">
        <f t="shared" si="19"/>
        <v>8658</v>
      </c>
    </row>
    <row r="321" spans="1:11" x14ac:dyDescent="0.2">
      <c r="A321" s="2">
        <f ca="1">IFERROR(__xludf.DUMMYFUNCTION("""COMPUTED_VALUE"""),45793.6666666666)</f>
        <v>45793.666666666599</v>
      </c>
      <c r="B321" s="2"/>
      <c r="C321" s="1">
        <v>9300</v>
      </c>
      <c r="D321" s="1">
        <v>9325</v>
      </c>
      <c r="E321" s="1">
        <v>9225</v>
      </c>
      <c r="F321" s="1">
        <v>9300</v>
      </c>
      <c r="G321" s="1">
        <v>63007500</v>
      </c>
      <c r="H321" s="4">
        <f t="shared" si="16"/>
        <v>2.6954177897574125E-3</v>
      </c>
      <c r="I321" s="4">
        <f t="shared" si="17"/>
        <v>-1.3262599469496022E-2</v>
      </c>
      <c r="J321" s="16">
        <f t="shared" si="18"/>
        <v>8817.5</v>
      </c>
      <c r="K321" s="16">
        <f t="shared" si="19"/>
        <v>8664</v>
      </c>
    </row>
    <row r="322" spans="1:11" x14ac:dyDescent="0.2">
      <c r="A322" s="2">
        <f ca="1">IFERROR(__xludf.DUMMYFUNCTION("""COMPUTED_VALUE"""),45796.6666666666)</f>
        <v>45796.666666666599</v>
      </c>
      <c r="B322" s="2"/>
      <c r="C322" s="1">
        <v>9275</v>
      </c>
      <c r="D322" s="1">
        <v>9500</v>
      </c>
      <c r="E322" s="1">
        <v>9250</v>
      </c>
      <c r="F322" s="1">
        <v>9500</v>
      </c>
      <c r="G322" s="1">
        <v>111597200</v>
      </c>
      <c r="H322" s="4">
        <f t="shared" si="16"/>
        <v>2.1505376344086023E-2</v>
      </c>
      <c r="I322" s="4">
        <f t="shared" si="17"/>
        <v>7.9575596816976128E-3</v>
      </c>
      <c r="J322" s="16">
        <f t="shared" si="18"/>
        <v>8863.75</v>
      </c>
      <c r="K322" s="16">
        <f t="shared" si="19"/>
        <v>8674</v>
      </c>
    </row>
    <row r="323" spans="1:11" x14ac:dyDescent="0.2">
      <c r="A323" s="2">
        <f ca="1">IFERROR(__xludf.DUMMYFUNCTION("""COMPUTED_VALUE"""),45797.6666666666)</f>
        <v>45797.666666666599</v>
      </c>
      <c r="B323" s="2"/>
      <c r="C323" s="1">
        <v>9500</v>
      </c>
      <c r="D323" s="1">
        <v>9675</v>
      </c>
      <c r="E323" s="1">
        <v>9475</v>
      </c>
      <c r="F323" s="1">
        <v>9475</v>
      </c>
      <c r="G323" s="1">
        <v>160614800</v>
      </c>
      <c r="H323" s="4">
        <f t="shared" si="16"/>
        <v>-2.631578947368421E-3</v>
      </c>
      <c r="I323" s="4">
        <f t="shared" si="17"/>
        <v>5.3050397877984082E-3</v>
      </c>
      <c r="J323" s="16">
        <f t="shared" si="18"/>
        <v>8913.75</v>
      </c>
      <c r="K323" s="16">
        <f t="shared" si="19"/>
        <v>8685</v>
      </c>
    </row>
    <row r="324" spans="1:11" x14ac:dyDescent="0.2">
      <c r="A324" s="2">
        <f ca="1">IFERROR(__xludf.DUMMYFUNCTION("""COMPUTED_VALUE"""),45798.6666666666)</f>
        <v>45798.666666666599</v>
      </c>
      <c r="B324" s="2"/>
      <c r="C324" s="1">
        <v>9700</v>
      </c>
      <c r="D324" s="1">
        <v>9725</v>
      </c>
      <c r="E324" s="1">
        <v>9550</v>
      </c>
      <c r="F324" s="1">
        <v>9700</v>
      </c>
      <c r="G324" s="1">
        <v>169735400</v>
      </c>
      <c r="H324" s="4">
        <f t="shared" ref="H324:H387" si="20">(F324-F323)/F323</f>
        <v>2.3746701846965697E-2</v>
      </c>
      <c r="I324" s="4">
        <f t="shared" ref="I324:I387" si="21">(F324-$F$2)/$F$2</f>
        <v>2.9177718832891247E-2</v>
      </c>
      <c r="J324" s="16">
        <f t="shared" si="18"/>
        <v>8973.75</v>
      </c>
      <c r="K324" s="16">
        <f t="shared" si="19"/>
        <v>8702.5</v>
      </c>
    </row>
    <row r="325" spans="1:11" x14ac:dyDescent="0.2">
      <c r="A325" s="2">
        <f ca="1">IFERROR(__xludf.DUMMYFUNCTION("""COMPUTED_VALUE"""),45799.6666666666)</f>
        <v>45799.666666666599</v>
      </c>
      <c r="B325" s="2"/>
      <c r="C325" s="1">
        <v>9800</v>
      </c>
      <c r="D325" s="1">
        <v>9800</v>
      </c>
      <c r="E325" s="1">
        <v>9650</v>
      </c>
      <c r="F325" s="1">
        <v>9650</v>
      </c>
      <c r="G325" s="1">
        <v>103113000</v>
      </c>
      <c r="H325" s="4">
        <f t="shared" si="20"/>
        <v>-5.1546391752577319E-3</v>
      </c>
      <c r="I325" s="4">
        <f t="shared" si="21"/>
        <v>2.3872679045092837E-2</v>
      </c>
      <c r="J325" s="16">
        <f t="shared" si="18"/>
        <v>9041.25</v>
      </c>
      <c r="K325" s="16">
        <f t="shared" si="19"/>
        <v>8720</v>
      </c>
    </row>
    <row r="326" spans="1:11" x14ac:dyDescent="0.2">
      <c r="A326" s="2">
        <f ca="1">IFERROR(__xludf.DUMMYFUNCTION("""COMPUTED_VALUE"""),45800.6666666666)</f>
        <v>45800.666666666599</v>
      </c>
      <c r="B326" s="2"/>
      <c r="C326" s="1">
        <v>9750</v>
      </c>
      <c r="D326" s="1">
        <v>9750</v>
      </c>
      <c r="E326" s="1">
        <v>9625</v>
      </c>
      <c r="F326" s="1">
        <v>9675</v>
      </c>
      <c r="G326" s="1">
        <v>56627400</v>
      </c>
      <c r="H326" s="4">
        <f t="shared" si="20"/>
        <v>2.5906735751295338E-3</v>
      </c>
      <c r="I326" s="4">
        <f t="shared" si="21"/>
        <v>2.6525198938992044E-2</v>
      </c>
      <c r="J326" s="16">
        <f t="shared" si="18"/>
        <v>9100</v>
      </c>
      <c r="K326" s="16">
        <f t="shared" si="19"/>
        <v>8743</v>
      </c>
    </row>
    <row r="327" spans="1:11" x14ac:dyDescent="0.2">
      <c r="A327" s="2">
        <f ca="1">IFERROR(__xludf.DUMMYFUNCTION("""COMPUTED_VALUE"""),45803.6666666666)</f>
        <v>45803.666666666599</v>
      </c>
      <c r="B327" s="2"/>
      <c r="C327" s="1">
        <v>9600</v>
      </c>
      <c r="D327" s="1">
        <v>9650</v>
      </c>
      <c r="E327" s="1">
        <v>9500</v>
      </c>
      <c r="F327" s="1">
        <v>9625</v>
      </c>
      <c r="G327" s="1">
        <v>56625300</v>
      </c>
      <c r="H327" s="4">
        <f t="shared" si="20"/>
        <v>-5.1679586563307496E-3</v>
      </c>
      <c r="I327" s="4">
        <f t="shared" si="21"/>
        <v>2.1220159151193633E-2</v>
      </c>
      <c r="J327" s="16">
        <f t="shared" si="18"/>
        <v>9145</v>
      </c>
      <c r="K327" s="16">
        <f t="shared" si="19"/>
        <v>8767</v>
      </c>
    </row>
    <row r="328" spans="1:11" x14ac:dyDescent="0.2">
      <c r="A328" s="2">
        <f ca="1">IFERROR(__xludf.DUMMYFUNCTION("""COMPUTED_VALUE"""),45804.6666666666)</f>
        <v>45804.666666666599</v>
      </c>
      <c r="B328" s="2"/>
      <c r="C328" s="1">
        <v>9550</v>
      </c>
      <c r="D328" s="1">
        <v>9600</v>
      </c>
      <c r="E328" s="1">
        <v>9450</v>
      </c>
      <c r="F328" s="1">
        <v>9450</v>
      </c>
      <c r="G328" s="1">
        <v>93212000</v>
      </c>
      <c r="H328" s="4">
        <f t="shared" si="20"/>
        <v>-1.8181818181818181E-2</v>
      </c>
      <c r="I328" s="4">
        <f t="shared" si="21"/>
        <v>2.6525198938992041E-3</v>
      </c>
      <c r="J328" s="16">
        <f t="shared" si="18"/>
        <v>9193.75</v>
      </c>
      <c r="K328" s="16">
        <f t="shared" si="19"/>
        <v>8780</v>
      </c>
    </row>
    <row r="329" spans="1:11" x14ac:dyDescent="0.2">
      <c r="A329" s="2">
        <f ca="1">IFERROR(__xludf.DUMMYFUNCTION("""COMPUTED_VALUE"""),45805.6666666666)</f>
        <v>45805.666666666599</v>
      </c>
      <c r="B329" s="2"/>
      <c r="C329" s="1">
        <v>9450</v>
      </c>
      <c r="D329" s="1">
        <v>9550</v>
      </c>
      <c r="E329" s="1">
        <v>9400</v>
      </c>
      <c r="F329" s="1">
        <v>9400</v>
      </c>
      <c r="G329" s="1">
        <v>236950800</v>
      </c>
      <c r="H329" s="4">
        <f t="shared" si="20"/>
        <v>-5.2910052910052907E-3</v>
      </c>
      <c r="I329" s="4">
        <f t="shared" si="21"/>
        <v>-2.6525198938992041E-3</v>
      </c>
      <c r="J329" s="16">
        <f t="shared" si="18"/>
        <v>9233.75</v>
      </c>
      <c r="K329" s="16">
        <f t="shared" si="19"/>
        <v>8791</v>
      </c>
    </row>
    <row r="330" spans="1:11" x14ac:dyDescent="0.2">
      <c r="A330" s="2">
        <f ca="1">IFERROR(__xludf.DUMMYFUNCTION("""COMPUTED_VALUE"""),45810.6666666666)</f>
        <v>45810.666666666599</v>
      </c>
      <c r="B330" s="2"/>
      <c r="C330" s="1">
        <v>9025</v>
      </c>
      <c r="D330" s="1">
        <v>9175</v>
      </c>
      <c r="E330" s="1">
        <v>9025</v>
      </c>
      <c r="F330" s="1">
        <v>9100</v>
      </c>
      <c r="G330" s="1">
        <v>264428700</v>
      </c>
      <c r="H330" s="4">
        <f t="shared" si="20"/>
        <v>-3.1914893617021274E-2</v>
      </c>
      <c r="I330" s="4">
        <f t="shared" si="21"/>
        <v>-3.4482758620689655E-2</v>
      </c>
      <c r="J330" s="16">
        <f t="shared" si="18"/>
        <v>9250</v>
      </c>
      <c r="K330" s="16">
        <f t="shared" si="19"/>
        <v>8793</v>
      </c>
    </row>
    <row r="331" spans="1:11" x14ac:dyDescent="0.2">
      <c r="A331" s="2">
        <f ca="1">IFERROR(__xludf.DUMMYFUNCTION("""COMPUTED_VALUE"""),45811.6666666666)</f>
        <v>45811.666666666599</v>
      </c>
      <c r="B331" s="2"/>
      <c r="C331" s="1">
        <v>9050</v>
      </c>
      <c r="D331" s="1">
        <v>9125</v>
      </c>
      <c r="E331" s="1">
        <v>8950</v>
      </c>
      <c r="F331" s="1">
        <v>9050</v>
      </c>
      <c r="G331" s="1">
        <v>128318100</v>
      </c>
      <c r="H331" s="4">
        <f t="shared" si="20"/>
        <v>-5.4945054945054949E-3</v>
      </c>
      <c r="I331" s="4">
        <f t="shared" si="21"/>
        <v>-3.9787798408488062E-2</v>
      </c>
      <c r="J331" s="16">
        <f t="shared" si="18"/>
        <v>9266.25</v>
      </c>
      <c r="K331" s="16">
        <f t="shared" si="19"/>
        <v>8794.5</v>
      </c>
    </row>
    <row r="332" spans="1:11" x14ac:dyDescent="0.2">
      <c r="A332" s="2">
        <f ca="1">IFERROR(__xludf.DUMMYFUNCTION("""COMPUTED_VALUE"""),45812.6666666666)</f>
        <v>45812.666666666599</v>
      </c>
      <c r="B332" s="2"/>
      <c r="C332" s="1">
        <v>9100</v>
      </c>
      <c r="D332" s="1">
        <v>9125</v>
      </c>
      <c r="E332" s="1">
        <v>8950</v>
      </c>
      <c r="F332" s="1">
        <v>8975</v>
      </c>
      <c r="G332" s="1">
        <v>93357200</v>
      </c>
      <c r="H332" s="4">
        <f t="shared" si="20"/>
        <v>-8.2872928176795577E-3</v>
      </c>
      <c r="I332" s="4">
        <f t="shared" si="21"/>
        <v>-4.7745358090185673E-2</v>
      </c>
      <c r="J332" s="16">
        <f t="shared" si="18"/>
        <v>9273.75</v>
      </c>
      <c r="K332" s="16">
        <f t="shared" si="19"/>
        <v>8795.5</v>
      </c>
    </row>
    <row r="333" spans="1:11" x14ac:dyDescent="0.2">
      <c r="A333" s="2">
        <f ca="1">IFERROR(__xludf.DUMMYFUNCTION("""COMPUTED_VALUE"""),45813.6666666666)</f>
        <v>45813.666666666599</v>
      </c>
      <c r="B333" s="2"/>
      <c r="C333" s="1">
        <v>9000</v>
      </c>
      <c r="D333" s="1">
        <v>9050</v>
      </c>
      <c r="E333" s="1">
        <v>8900</v>
      </c>
      <c r="F333" s="1">
        <v>8925</v>
      </c>
      <c r="G333" s="1">
        <v>95529000</v>
      </c>
      <c r="H333" s="4">
        <f t="shared" si="20"/>
        <v>-5.5710306406685237E-3</v>
      </c>
      <c r="I333" s="4">
        <f t="shared" si="21"/>
        <v>-5.3050397877984087E-2</v>
      </c>
      <c r="J333" s="16">
        <f t="shared" si="18"/>
        <v>9271.25</v>
      </c>
      <c r="K333" s="16">
        <f t="shared" si="19"/>
        <v>8795.5</v>
      </c>
    </row>
    <row r="334" spans="1:11" x14ac:dyDescent="0.2">
      <c r="A334" s="2">
        <f ca="1">IFERROR(__xludf.DUMMYFUNCTION("""COMPUTED_VALUE"""),45818.6666666666)</f>
        <v>45818.666666666599</v>
      </c>
      <c r="B334" s="2"/>
      <c r="C334" s="1">
        <v>8975</v>
      </c>
      <c r="D334" s="1">
        <v>9100</v>
      </c>
      <c r="E334" s="1">
        <v>8950</v>
      </c>
      <c r="F334" s="1">
        <v>9100</v>
      </c>
      <c r="G334" s="1">
        <v>80406400</v>
      </c>
      <c r="H334" s="4">
        <f t="shared" si="20"/>
        <v>1.9607843137254902E-2</v>
      </c>
      <c r="I334" s="4">
        <f t="shared" si="21"/>
        <v>-3.4482758620689655E-2</v>
      </c>
      <c r="J334" s="16">
        <f t="shared" si="18"/>
        <v>9277.5</v>
      </c>
      <c r="K334" s="16">
        <f t="shared" si="19"/>
        <v>8799</v>
      </c>
    </row>
    <row r="335" spans="1:11" x14ac:dyDescent="0.2">
      <c r="A335" s="2">
        <f ca="1">IFERROR(__xludf.DUMMYFUNCTION("""COMPUTED_VALUE"""),45819.6666666666)</f>
        <v>45819.666666666599</v>
      </c>
      <c r="B335" s="2"/>
      <c r="C335" s="1">
        <v>9100</v>
      </c>
      <c r="D335" s="1">
        <v>9125</v>
      </c>
      <c r="E335" s="1">
        <v>9050</v>
      </c>
      <c r="F335" s="1">
        <v>9050</v>
      </c>
      <c r="G335" s="1">
        <v>56632600</v>
      </c>
      <c r="H335" s="4">
        <f t="shared" si="20"/>
        <v>-5.4945054945054949E-3</v>
      </c>
      <c r="I335" s="4">
        <f t="shared" si="21"/>
        <v>-3.9787798408488062E-2</v>
      </c>
      <c r="J335" s="16">
        <f t="shared" si="18"/>
        <v>9278.75</v>
      </c>
      <c r="K335" s="16">
        <f t="shared" si="19"/>
        <v>8797.5</v>
      </c>
    </row>
    <row r="336" spans="1:11" x14ac:dyDescent="0.2">
      <c r="A336" s="2">
        <f ca="1">IFERROR(__xludf.DUMMYFUNCTION("""COMPUTED_VALUE"""),45820.6666666666)</f>
        <v>45820.666666666599</v>
      </c>
      <c r="B336" s="2"/>
      <c r="C336" s="1">
        <v>9000</v>
      </c>
      <c r="D336" s="1">
        <v>9125</v>
      </c>
      <c r="E336" s="1">
        <v>9000</v>
      </c>
      <c r="F336" s="1">
        <v>9125</v>
      </c>
      <c r="G336" s="1">
        <v>41337300</v>
      </c>
      <c r="H336" s="4">
        <f t="shared" si="20"/>
        <v>8.2872928176795577E-3</v>
      </c>
      <c r="I336" s="4">
        <f t="shared" si="21"/>
        <v>-3.1830238726790451E-2</v>
      </c>
      <c r="J336" s="16">
        <f t="shared" si="18"/>
        <v>9281.25</v>
      </c>
      <c r="K336" s="16">
        <f t="shared" si="19"/>
        <v>8800.5</v>
      </c>
    </row>
    <row r="337" spans="1:11" x14ac:dyDescent="0.2">
      <c r="A337" s="2">
        <f ca="1">IFERROR(__xludf.DUMMYFUNCTION("""COMPUTED_VALUE"""),45821.6666666666)</f>
        <v>45821.666666666599</v>
      </c>
      <c r="B337" s="2"/>
      <c r="C337" s="1">
        <v>9100</v>
      </c>
      <c r="D337" s="1">
        <v>9125</v>
      </c>
      <c r="E337" s="1">
        <v>8975</v>
      </c>
      <c r="F337" s="1">
        <v>9025</v>
      </c>
      <c r="G337" s="1">
        <v>83318000</v>
      </c>
      <c r="H337" s="4">
        <f t="shared" si="20"/>
        <v>-1.0958904109589041E-2</v>
      </c>
      <c r="I337" s="4">
        <f t="shared" si="21"/>
        <v>-4.2440318302387266E-2</v>
      </c>
      <c r="J337" s="16">
        <f t="shared" si="18"/>
        <v>9283.75</v>
      </c>
      <c r="K337" s="16">
        <f t="shared" si="19"/>
        <v>8806</v>
      </c>
    </row>
    <row r="338" spans="1:11" x14ac:dyDescent="0.2">
      <c r="A338" s="2">
        <f ca="1">IFERROR(__xludf.DUMMYFUNCTION("""COMPUTED_VALUE"""),45824.6666666666)</f>
        <v>45824.666666666599</v>
      </c>
      <c r="B338" s="2"/>
      <c r="C338" s="1">
        <v>8925</v>
      </c>
      <c r="D338" s="1">
        <v>9000</v>
      </c>
      <c r="E338" s="1">
        <v>8900</v>
      </c>
      <c r="F338" s="1">
        <v>8925</v>
      </c>
      <c r="G338" s="1">
        <v>57825000</v>
      </c>
      <c r="H338" s="4">
        <f t="shared" si="20"/>
        <v>-1.1080332409972299E-2</v>
      </c>
      <c r="I338" s="4">
        <f t="shared" si="21"/>
        <v>-5.3050397877984087E-2</v>
      </c>
      <c r="J338" s="16">
        <f t="shared" si="18"/>
        <v>9280</v>
      </c>
      <c r="K338" s="16">
        <f t="shared" si="19"/>
        <v>8812.5</v>
      </c>
    </row>
    <row r="339" spans="1:11" x14ac:dyDescent="0.2">
      <c r="A339" s="2">
        <f ca="1">IFERROR(__xludf.DUMMYFUNCTION("""COMPUTED_VALUE"""),45825.6666666666)</f>
        <v>45825.666666666599</v>
      </c>
      <c r="B339" s="2"/>
      <c r="C339" s="1">
        <v>8975</v>
      </c>
      <c r="D339" s="1">
        <v>9100</v>
      </c>
      <c r="E339" s="1">
        <v>8975</v>
      </c>
      <c r="F339" s="1">
        <v>9075</v>
      </c>
      <c r="G339" s="1">
        <v>54927900</v>
      </c>
      <c r="H339" s="4">
        <f t="shared" si="20"/>
        <v>1.680672268907563E-2</v>
      </c>
      <c r="I339" s="4">
        <f t="shared" si="21"/>
        <v>-3.7135278514588858E-2</v>
      </c>
      <c r="J339" s="16">
        <f t="shared" si="18"/>
        <v>9270</v>
      </c>
      <c r="K339" s="16">
        <f t="shared" si="19"/>
        <v>8828</v>
      </c>
    </row>
    <row r="340" spans="1:11" x14ac:dyDescent="0.2">
      <c r="A340" s="2">
        <f ca="1">IFERROR(__xludf.DUMMYFUNCTION("""COMPUTED_VALUE"""),45826.6666666666)</f>
        <v>45826.666666666599</v>
      </c>
      <c r="B340" s="2"/>
      <c r="C340" s="1">
        <v>8950</v>
      </c>
      <c r="D340" s="1">
        <v>9025</v>
      </c>
      <c r="E340" s="1">
        <v>8900</v>
      </c>
      <c r="F340" s="1">
        <v>8900</v>
      </c>
      <c r="G340" s="1">
        <v>86270200</v>
      </c>
      <c r="H340" s="4">
        <f t="shared" si="20"/>
        <v>-1.928374655647383E-2</v>
      </c>
      <c r="I340" s="4">
        <f t="shared" si="21"/>
        <v>-5.5702917771883291E-2</v>
      </c>
      <c r="J340" s="16">
        <f t="shared" si="18"/>
        <v>9251.25</v>
      </c>
      <c r="K340" s="16">
        <f t="shared" si="19"/>
        <v>8839.5</v>
      </c>
    </row>
    <row r="341" spans="1:11" x14ac:dyDescent="0.2">
      <c r="A341" s="2">
        <f ca="1">IFERROR(__xludf.DUMMYFUNCTION("""COMPUTED_VALUE"""),45827.6666666666)</f>
        <v>45827.666666666599</v>
      </c>
      <c r="B341" s="2"/>
      <c r="C341" s="1">
        <v>8900</v>
      </c>
      <c r="D341" s="1">
        <v>8925</v>
      </c>
      <c r="E341" s="1">
        <v>8750</v>
      </c>
      <c r="F341" s="1">
        <v>8775</v>
      </c>
      <c r="G341" s="1">
        <v>78879500</v>
      </c>
      <c r="H341" s="4">
        <f t="shared" si="20"/>
        <v>-1.4044943820224719E-2</v>
      </c>
      <c r="I341" s="4">
        <f t="shared" si="21"/>
        <v>-6.8965517241379309E-2</v>
      </c>
      <c r="J341" s="16">
        <f t="shared" si="18"/>
        <v>9225</v>
      </c>
      <c r="K341" s="16">
        <f t="shared" si="19"/>
        <v>8847.5</v>
      </c>
    </row>
    <row r="342" spans="1:11" x14ac:dyDescent="0.2">
      <c r="A342" s="2">
        <f ca="1">IFERROR(__xludf.DUMMYFUNCTION("""COMPUTED_VALUE"""),45828.6666666666)</f>
        <v>45828.666666666599</v>
      </c>
      <c r="B342" s="2"/>
      <c r="C342" s="1">
        <v>8700</v>
      </c>
      <c r="D342" s="1">
        <v>8875</v>
      </c>
      <c r="E342" s="1">
        <v>8625</v>
      </c>
      <c r="F342" s="1">
        <v>8700</v>
      </c>
      <c r="G342" s="1">
        <v>445915100</v>
      </c>
      <c r="H342" s="4">
        <f t="shared" si="20"/>
        <v>-8.5470085470085479E-3</v>
      </c>
      <c r="I342" s="4">
        <f t="shared" si="21"/>
        <v>-7.6923076923076927E-2</v>
      </c>
      <c r="J342" s="16">
        <f t="shared" ref="J342:J405" si="22">AVERAGE(F323:F342)</f>
        <v>9185</v>
      </c>
      <c r="K342" s="16">
        <f t="shared" si="19"/>
        <v>8863.5</v>
      </c>
    </row>
    <row r="343" spans="1:11" x14ac:dyDescent="0.2">
      <c r="A343" s="2">
        <f ca="1">IFERROR(__xludf.DUMMYFUNCTION("""COMPUTED_VALUE"""),45831.6666666666)</f>
        <v>45831.666666666599</v>
      </c>
      <c r="B343" s="2"/>
      <c r="C343" s="1">
        <v>8575</v>
      </c>
      <c r="D343" s="1">
        <v>8700</v>
      </c>
      <c r="E343" s="1">
        <v>8500</v>
      </c>
      <c r="F343" s="1">
        <v>8625</v>
      </c>
      <c r="G343" s="1">
        <v>87324500</v>
      </c>
      <c r="H343" s="4">
        <f t="shared" si="20"/>
        <v>-8.6206896551724137E-3</v>
      </c>
      <c r="I343" s="4">
        <f t="shared" si="21"/>
        <v>-8.4880636604774531E-2</v>
      </c>
      <c r="J343" s="16">
        <f t="shared" si="22"/>
        <v>9142.5</v>
      </c>
      <c r="K343" s="16">
        <f t="shared" si="19"/>
        <v>8877</v>
      </c>
    </row>
    <row r="344" spans="1:11" x14ac:dyDescent="0.2">
      <c r="A344" s="2">
        <f ca="1">IFERROR(__xludf.DUMMYFUNCTION("""COMPUTED_VALUE"""),45832.6666666666)</f>
        <v>45832.666666666599</v>
      </c>
      <c r="B344" s="2"/>
      <c r="C344" s="1">
        <v>8725</v>
      </c>
      <c r="D344" s="1">
        <v>8850</v>
      </c>
      <c r="E344" s="1">
        <v>8700</v>
      </c>
      <c r="F344" s="1">
        <v>8775</v>
      </c>
      <c r="G344" s="1">
        <v>110158900</v>
      </c>
      <c r="H344" s="4">
        <f t="shared" si="20"/>
        <v>1.7391304347826087E-2</v>
      </c>
      <c r="I344" s="4">
        <f t="shared" si="21"/>
        <v>-6.8965517241379309E-2</v>
      </c>
      <c r="J344" s="16">
        <f t="shared" si="22"/>
        <v>9096.25</v>
      </c>
      <c r="K344" s="16">
        <f t="shared" si="19"/>
        <v>8891.5</v>
      </c>
    </row>
    <row r="345" spans="1:11" x14ac:dyDescent="0.2">
      <c r="A345" s="2">
        <f ca="1">IFERROR(__xludf.DUMMYFUNCTION("""COMPUTED_VALUE"""),45833.6666666666)</f>
        <v>45833.666666666599</v>
      </c>
      <c r="B345" s="2"/>
      <c r="C345" s="1">
        <v>8725</v>
      </c>
      <c r="D345" s="1">
        <v>8775</v>
      </c>
      <c r="E345" s="1">
        <v>8475</v>
      </c>
      <c r="F345" s="1">
        <v>8600</v>
      </c>
      <c r="G345" s="1">
        <v>117561000</v>
      </c>
      <c r="H345" s="4">
        <f t="shared" si="20"/>
        <v>-1.9943019943019943E-2</v>
      </c>
      <c r="I345" s="4">
        <f t="shared" si="21"/>
        <v>-8.7533156498673742E-2</v>
      </c>
      <c r="J345" s="16">
        <f t="shared" si="22"/>
        <v>9043.75</v>
      </c>
      <c r="K345" s="16">
        <f t="shared" si="19"/>
        <v>8893</v>
      </c>
    </row>
    <row r="346" spans="1:11" x14ac:dyDescent="0.2">
      <c r="A346" s="2">
        <f ca="1">IFERROR(__xludf.DUMMYFUNCTION("""COMPUTED_VALUE"""),45834.6666666666)</f>
        <v>45834.666666666599</v>
      </c>
      <c r="B346" s="2"/>
      <c r="C346" s="1">
        <v>8525</v>
      </c>
      <c r="D346" s="1">
        <v>8650</v>
      </c>
      <c r="E346" s="1">
        <v>8525</v>
      </c>
      <c r="F346" s="1">
        <v>8650</v>
      </c>
      <c r="G346" s="1">
        <v>117281700</v>
      </c>
      <c r="H346" s="4">
        <f t="shared" si="20"/>
        <v>5.8139534883720929E-3</v>
      </c>
      <c r="I346" s="4">
        <f t="shared" si="21"/>
        <v>-8.2228116710875335E-2</v>
      </c>
      <c r="J346" s="16">
        <f t="shared" si="22"/>
        <v>8992.5</v>
      </c>
      <c r="K346" s="16">
        <f t="shared" si="19"/>
        <v>8896</v>
      </c>
    </row>
    <row r="347" spans="1:11" x14ac:dyDescent="0.2">
      <c r="A347" s="2">
        <f ca="1">IFERROR(__xludf.DUMMYFUNCTION("""COMPUTED_VALUE"""),45838.6666666666)</f>
        <v>45838.666666666599</v>
      </c>
      <c r="B347" s="2"/>
      <c r="C347" s="1">
        <v>8575</v>
      </c>
      <c r="D347" s="1">
        <v>8825</v>
      </c>
      <c r="E347" s="1">
        <v>8550</v>
      </c>
      <c r="F347" s="1">
        <v>8675</v>
      </c>
      <c r="G347" s="1">
        <v>185441800</v>
      </c>
      <c r="H347" s="4">
        <f t="shared" si="20"/>
        <v>2.8901734104046241E-3</v>
      </c>
      <c r="I347" s="4">
        <f t="shared" si="21"/>
        <v>-7.9575596816976124E-2</v>
      </c>
      <c r="J347" s="16">
        <f t="shared" si="22"/>
        <v>8945</v>
      </c>
      <c r="K347" s="16">
        <f t="shared" si="19"/>
        <v>8914</v>
      </c>
    </row>
    <row r="348" spans="1:11" x14ac:dyDescent="0.2">
      <c r="A348" s="2">
        <f ca="1">IFERROR(__xludf.DUMMYFUNCTION("""COMPUTED_VALUE"""),45839.6666666666)</f>
        <v>45839.666666666599</v>
      </c>
      <c r="B348" s="2"/>
      <c r="C348" s="1">
        <v>8750</v>
      </c>
      <c r="D348" s="1">
        <v>8775</v>
      </c>
      <c r="E348" s="1">
        <v>8600</v>
      </c>
      <c r="F348" s="1">
        <v>8700</v>
      </c>
      <c r="G348" s="1">
        <v>82364500</v>
      </c>
      <c r="H348" s="4">
        <f t="shared" si="20"/>
        <v>2.881844380403458E-3</v>
      </c>
      <c r="I348" s="4">
        <f t="shared" si="21"/>
        <v>-7.6923076923076927E-2</v>
      </c>
      <c r="J348" s="16">
        <f t="shared" si="22"/>
        <v>8907.5</v>
      </c>
      <c r="K348" s="16">
        <f t="shared" si="19"/>
        <v>8929.5</v>
      </c>
    </row>
    <row r="349" spans="1:11" x14ac:dyDescent="0.2">
      <c r="A349" s="2">
        <f ca="1">IFERROR(__xludf.DUMMYFUNCTION("""COMPUTED_VALUE"""),45840.6666666666)</f>
        <v>45840.666666666599</v>
      </c>
      <c r="B349" s="2"/>
      <c r="C349" s="1">
        <v>8575</v>
      </c>
      <c r="D349" s="1">
        <v>8675</v>
      </c>
      <c r="E349" s="1">
        <v>8575</v>
      </c>
      <c r="F349" s="1">
        <v>8675</v>
      </c>
      <c r="G349" s="1">
        <v>68545100</v>
      </c>
      <c r="H349" s="4">
        <f t="shared" si="20"/>
        <v>-2.8735632183908046E-3</v>
      </c>
      <c r="I349" s="4">
        <f t="shared" si="21"/>
        <v>-7.9575596816976124E-2</v>
      </c>
      <c r="J349" s="16">
        <f t="shared" si="22"/>
        <v>8871.25</v>
      </c>
      <c r="K349" s="16">
        <f t="shared" si="19"/>
        <v>8938.5</v>
      </c>
    </row>
    <row r="350" spans="1:11" x14ac:dyDescent="0.2">
      <c r="A350" s="2">
        <f ca="1">IFERROR(__xludf.DUMMYFUNCTION("""COMPUTED_VALUE"""),45841.6666666666)</f>
        <v>45841.666666666599</v>
      </c>
      <c r="B350" s="2"/>
      <c r="C350" s="1">
        <v>8700</v>
      </c>
      <c r="D350" s="1">
        <v>8750</v>
      </c>
      <c r="E350" s="1">
        <v>8600</v>
      </c>
      <c r="F350" s="1">
        <v>8600</v>
      </c>
      <c r="G350" s="1">
        <v>50370800</v>
      </c>
      <c r="H350" s="4">
        <f t="shared" si="20"/>
        <v>-8.6455331412103754E-3</v>
      </c>
      <c r="I350" s="4">
        <f t="shared" si="21"/>
        <v>-8.7533156498673742E-2</v>
      </c>
      <c r="J350" s="16">
        <f t="shared" si="22"/>
        <v>8846.25</v>
      </c>
      <c r="K350" s="16">
        <f t="shared" si="19"/>
        <v>8945</v>
      </c>
    </row>
    <row r="351" spans="1:11" x14ac:dyDescent="0.2">
      <c r="A351" s="2">
        <f ca="1">IFERROR(__xludf.DUMMYFUNCTION("""COMPUTED_VALUE"""),45842.6666666666)</f>
        <v>45842.666666666599</v>
      </c>
      <c r="B351" s="2"/>
      <c r="C351" s="1">
        <v>8650</v>
      </c>
      <c r="D351" s="1">
        <v>8700</v>
      </c>
      <c r="E351" s="1">
        <v>8550</v>
      </c>
      <c r="F351" s="1">
        <v>8650</v>
      </c>
      <c r="G351" s="1">
        <v>43593300</v>
      </c>
      <c r="H351" s="4">
        <f t="shared" si="20"/>
        <v>5.8139534883720929E-3</v>
      </c>
      <c r="I351" s="4">
        <f t="shared" si="21"/>
        <v>-8.2228116710875335E-2</v>
      </c>
      <c r="J351" s="16">
        <f t="shared" si="22"/>
        <v>8826.25</v>
      </c>
      <c r="K351" s="16">
        <f t="shared" si="19"/>
        <v>8950</v>
      </c>
    </row>
    <row r="352" spans="1:11" x14ac:dyDescent="0.2">
      <c r="A352" s="2">
        <f ca="1">IFERROR(__xludf.DUMMYFUNCTION("""COMPUTED_VALUE"""),45845.6666666666)</f>
        <v>45845.666666666599</v>
      </c>
      <c r="B352" s="2"/>
      <c r="C352" s="1">
        <v>8625</v>
      </c>
      <c r="D352" s="1">
        <v>8650</v>
      </c>
      <c r="E352" s="1">
        <v>8550</v>
      </c>
      <c r="F352" s="1">
        <v>8625</v>
      </c>
      <c r="G352" s="1">
        <v>49936900</v>
      </c>
      <c r="H352" s="4">
        <f t="shared" si="20"/>
        <v>-2.8901734104046241E-3</v>
      </c>
      <c r="I352" s="4">
        <f t="shared" si="21"/>
        <v>-8.4880636604774531E-2</v>
      </c>
      <c r="J352" s="16">
        <f t="shared" si="22"/>
        <v>8808.75</v>
      </c>
      <c r="K352" s="16">
        <f t="shared" si="19"/>
        <v>8951</v>
      </c>
    </row>
    <row r="353" spans="1:11" x14ac:dyDescent="0.2">
      <c r="A353" s="2">
        <f ca="1">IFERROR(__xludf.DUMMYFUNCTION("""COMPUTED_VALUE"""),45846.6666666666)</f>
        <v>45846.666666666599</v>
      </c>
      <c r="B353" s="2"/>
      <c r="C353" s="1">
        <v>8550</v>
      </c>
      <c r="D353" s="1">
        <v>8600</v>
      </c>
      <c r="E353" s="1">
        <v>8425</v>
      </c>
      <c r="F353" s="1">
        <v>8500</v>
      </c>
      <c r="G353" s="1">
        <v>215611000</v>
      </c>
      <c r="H353" s="4">
        <f t="shared" si="20"/>
        <v>-1.4492753623188406E-2</v>
      </c>
      <c r="I353" s="4">
        <f t="shared" si="21"/>
        <v>-9.8143236074270557E-2</v>
      </c>
      <c r="J353" s="16">
        <f t="shared" si="22"/>
        <v>8787.5</v>
      </c>
      <c r="K353" s="16">
        <f t="shared" si="19"/>
        <v>8951.5</v>
      </c>
    </row>
    <row r="354" spans="1:11" x14ac:dyDescent="0.2">
      <c r="A354" s="2">
        <f ca="1">IFERROR(__xludf.DUMMYFUNCTION("""COMPUTED_VALUE"""),45847.6666666666)</f>
        <v>45847.666666666599</v>
      </c>
      <c r="B354" s="2"/>
      <c r="C354" s="1">
        <v>8500</v>
      </c>
      <c r="D354" s="1">
        <v>8550</v>
      </c>
      <c r="E354" s="1">
        <v>8450</v>
      </c>
      <c r="F354" s="1">
        <v>8500</v>
      </c>
      <c r="G354" s="1">
        <v>94459300</v>
      </c>
      <c r="H354" s="4">
        <f t="shared" si="20"/>
        <v>0</v>
      </c>
      <c r="I354" s="4">
        <f t="shared" si="21"/>
        <v>-9.8143236074270557E-2</v>
      </c>
      <c r="J354" s="16">
        <f t="shared" si="22"/>
        <v>8757.5</v>
      </c>
      <c r="K354" s="16">
        <f t="shared" si="19"/>
        <v>8951.5</v>
      </c>
    </row>
    <row r="355" spans="1:11" x14ac:dyDescent="0.2">
      <c r="A355" s="2">
        <f ca="1">IFERROR(__xludf.DUMMYFUNCTION("""COMPUTED_VALUE"""),45848.6666666666)</f>
        <v>45848.666666666599</v>
      </c>
      <c r="B355" s="2"/>
      <c r="C355" s="1">
        <v>8525</v>
      </c>
      <c r="D355" s="1">
        <v>8650</v>
      </c>
      <c r="E355" s="1">
        <v>8500</v>
      </c>
      <c r="F355" s="1">
        <v>8600</v>
      </c>
      <c r="G355" s="1">
        <v>111769400</v>
      </c>
      <c r="H355" s="4">
        <f t="shared" si="20"/>
        <v>1.1764705882352941E-2</v>
      </c>
      <c r="I355" s="4">
        <f t="shared" si="21"/>
        <v>-8.7533156498673742E-2</v>
      </c>
      <c r="J355" s="16">
        <f t="shared" si="22"/>
        <v>8735</v>
      </c>
      <c r="K355" s="16">
        <f t="shared" si="19"/>
        <v>8957.5</v>
      </c>
    </row>
    <row r="356" spans="1:11" x14ac:dyDescent="0.2">
      <c r="A356" s="2">
        <f ca="1">IFERROR(__xludf.DUMMYFUNCTION("""COMPUTED_VALUE"""),45849.6666666666)</f>
        <v>45849.666666666599</v>
      </c>
      <c r="B356" s="2"/>
      <c r="C356" s="1">
        <v>8575</v>
      </c>
      <c r="D356" s="1">
        <v>8675</v>
      </c>
      <c r="E356" s="1">
        <v>8575</v>
      </c>
      <c r="F356" s="1">
        <v>8625</v>
      </c>
      <c r="G356" s="1">
        <v>135986500</v>
      </c>
      <c r="H356" s="4">
        <f t="shared" si="20"/>
        <v>2.9069767441860465E-3</v>
      </c>
      <c r="I356" s="4">
        <f t="shared" si="21"/>
        <v>-8.4880636604774531E-2</v>
      </c>
      <c r="J356" s="16">
        <f t="shared" si="22"/>
        <v>8710</v>
      </c>
      <c r="K356" s="16">
        <f t="shared" si="19"/>
        <v>8960</v>
      </c>
    </row>
    <row r="357" spans="1:11" x14ac:dyDescent="0.2">
      <c r="A357" s="2">
        <f ca="1">IFERROR(__xludf.DUMMYFUNCTION("""COMPUTED_VALUE"""),45852.6666666666)</f>
        <v>45852.666666666599</v>
      </c>
      <c r="B357" s="2"/>
      <c r="C357" s="1">
        <v>8650</v>
      </c>
      <c r="D357" s="1">
        <v>8675</v>
      </c>
      <c r="E357" s="1">
        <v>8450</v>
      </c>
      <c r="F357" s="1">
        <v>8525</v>
      </c>
      <c r="G357" s="1">
        <v>125196000</v>
      </c>
      <c r="H357" s="4">
        <f t="shared" si="20"/>
        <v>-1.1594202898550725E-2</v>
      </c>
      <c r="I357" s="4">
        <f t="shared" si="21"/>
        <v>-9.5490716180371346E-2</v>
      </c>
      <c r="J357" s="16">
        <f t="shared" si="22"/>
        <v>8685</v>
      </c>
      <c r="K357" s="16">
        <f t="shared" si="19"/>
        <v>8956</v>
      </c>
    </row>
    <row r="358" spans="1:11" x14ac:dyDescent="0.2">
      <c r="A358" s="2">
        <f ca="1">IFERROR(__xludf.DUMMYFUNCTION("""COMPUTED_VALUE"""),45853.6666666666)</f>
        <v>45853.666666666599</v>
      </c>
      <c r="B358" s="2"/>
      <c r="C358" s="1">
        <v>8600</v>
      </c>
      <c r="D358" s="1">
        <v>8600</v>
      </c>
      <c r="E358" s="1">
        <v>8475</v>
      </c>
      <c r="F358" s="1">
        <v>8550</v>
      </c>
      <c r="G358" s="1">
        <v>77219300</v>
      </c>
      <c r="H358" s="4">
        <f t="shared" si="20"/>
        <v>2.9325513196480938E-3</v>
      </c>
      <c r="I358" s="4">
        <f t="shared" si="21"/>
        <v>-9.2838196286472149E-2</v>
      </c>
      <c r="J358" s="16">
        <f t="shared" si="22"/>
        <v>8666.25</v>
      </c>
      <c r="K358" s="16">
        <f t="shared" si="19"/>
        <v>8957.5</v>
      </c>
    </row>
    <row r="359" spans="1:11" x14ac:dyDescent="0.2">
      <c r="A359" s="2">
        <f ca="1">IFERROR(__xludf.DUMMYFUNCTION("""COMPUTED_VALUE"""),45854.6666666666)</f>
        <v>45854.666666666599</v>
      </c>
      <c r="B359" s="2"/>
      <c r="C359" s="1">
        <v>8550</v>
      </c>
      <c r="D359" s="1">
        <v>8600</v>
      </c>
      <c r="E359" s="1">
        <v>8500</v>
      </c>
      <c r="F359" s="1">
        <v>8525</v>
      </c>
      <c r="G359" s="1">
        <v>97475300</v>
      </c>
      <c r="H359" s="4">
        <f t="shared" si="20"/>
        <v>-2.9239766081871343E-3</v>
      </c>
      <c r="I359" s="4">
        <f t="shared" si="21"/>
        <v>-9.5490716180371346E-2</v>
      </c>
      <c r="J359" s="16">
        <f t="shared" si="22"/>
        <v>8638.75</v>
      </c>
      <c r="K359" s="16">
        <f t="shared" si="19"/>
        <v>8956</v>
      </c>
    </row>
    <row r="360" spans="1:11" x14ac:dyDescent="0.2">
      <c r="A360" s="2">
        <f ca="1">IFERROR(__xludf.DUMMYFUNCTION("""COMPUTED_VALUE"""),45855.6666666666)</f>
        <v>45855.666666666599</v>
      </c>
      <c r="B360" s="2"/>
      <c r="C360" s="1">
        <v>8500</v>
      </c>
      <c r="D360" s="1">
        <v>8550</v>
      </c>
      <c r="E360" s="1">
        <v>8500</v>
      </c>
      <c r="F360" s="1">
        <v>8525</v>
      </c>
      <c r="G360" s="1">
        <v>86016400</v>
      </c>
      <c r="H360" s="4">
        <f t="shared" si="20"/>
        <v>0</v>
      </c>
      <c r="I360" s="4">
        <f t="shared" si="21"/>
        <v>-9.5490716180371346E-2</v>
      </c>
      <c r="J360" s="16">
        <f t="shared" si="22"/>
        <v>8620</v>
      </c>
      <c r="K360" s="16">
        <f t="shared" si="19"/>
        <v>8951</v>
      </c>
    </row>
    <row r="361" spans="1:11" x14ac:dyDescent="0.2">
      <c r="A361" s="2">
        <f ca="1">IFERROR(__xludf.DUMMYFUNCTION("""COMPUTED_VALUE"""),45856.6666666666)</f>
        <v>45856.666666666599</v>
      </c>
      <c r="B361" s="2"/>
      <c r="C361" s="1">
        <v>8550</v>
      </c>
      <c r="D361" s="1">
        <v>8575</v>
      </c>
      <c r="E361" s="1">
        <v>8425</v>
      </c>
      <c r="F361" s="1">
        <v>8425</v>
      </c>
      <c r="G361" s="1">
        <v>80432200</v>
      </c>
      <c r="H361" s="4">
        <f t="shared" si="20"/>
        <v>-1.1730205278592375E-2</v>
      </c>
      <c r="I361" s="4">
        <f t="shared" si="21"/>
        <v>-0.10610079575596817</v>
      </c>
      <c r="J361" s="16">
        <f t="shared" si="22"/>
        <v>8602.5</v>
      </c>
      <c r="K361" s="16">
        <f t="shared" si="19"/>
        <v>8945</v>
      </c>
    </row>
    <row r="362" spans="1:11" x14ac:dyDescent="0.2">
      <c r="A362" s="2">
        <f ca="1">IFERROR(__xludf.DUMMYFUNCTION("""COMPUTED_VALUE"""),45859.6666666666)</f>
        <v>45859.666666666599</v>
      </c>
      <c r="B362" s="2"/>
      <c r="C362" s="1">
        <v>8450</v>
      </c>
      <c r="D362" s="1">
        <v>8500</v>
      </c>
      <c r="E362" s="1">
        <v>8375</v>
      </c>
      <c r="F362" s="1">
        <v>8450</v>
      </c>
      <c r="G362" s="1">
        <v>95383500</v>
      </c>
      <c r="H362" s="4">
        <f t="shared" si="20"/>
        <v>2.967359050445104E-3</v>
      </c>
      <c r="I362" s="4">
        <f t="shared" si="21"/>
        <v>-0.10344827586206896</v>
      </c>
      <c r="J362" s="16">
        <f t="shared" si="22"/>
        <v>8590</v>
      </c>
      <c r="K362" s="16">
        <f t="shared" si="19"/>
        <v>8937.5</v>
      </c>
    </row>
    <row r="363" spans="1:11" x14ac:dyDescent="0.2">
      <c r="A363" s="2">
        <f ca="1">IFERROR(__xludf.DUMMYFUNCTION("""COMPUTED_VALUE"""),45860.6666666666)</f>
        <v>45860.666666666599</v>
      </c>
      <c r="B363" s="2"/>
      <c r="C363" s="1">
        <v>8450</v>
      </c>
      <c r="D363" s="1">
        <v>8475</v>
      </c>
      <c r="E363" s="1">
        <v>8400</v>
      </c>
      <c r="F363" s="1">
        <v>8400</v>
      </c>
      <c r="G363" s="1">
        <v>77981700</v>
      </c>
      <c r="H363" s="4">
        <f t="shared" si="20"/>
        <v>-5.9171597633136093E-3</v>
      </c>
      <c r="I363" s="4">
        <f t="shared" si="21"/>
        <v>-0.10875331564986737</v>
      </c>
      <c r="J363" s="16">
        <f t="shared" si="22"/>
        <v>8578.75</v>
      </c>
      <c r="K363" s="16">
        <f t="shared" si="19"/>
        <v>8926</v>
      </c>
    </row>
    <row r="364" spans="1:11" x14ac:dyDescent="0.2">
      <c r="A364" s="2">
        <f ca="1">IFERROR(__xludf.DUMMYFUNCTION("""COMPUTED_VALUE"""),45861.6666666666)</f>
        <v>45861.666666666599</v>
      </c>
      <c r="B364" s="2"/>
      <c r="C364" s="1">
        <v>8450</v>
      </c>
      <c r="D364" s="1">
        <v>8500</v>
      </c>
      <c r="E364" s="1">
        <v>8400</v>
      </c>
      <c r="F364" s="1">
        <v>8425</v>
      </c>
      <c r="G364" s="1">
        <v>70969500</v>
      </c>
      <c r="H364" s="4">
        <f t="shared" si="20"/>
        <v>2.976190476190476E-3</v>
      </c>
      <c r="I364" s="4">
        <f t="shared" si="21"/>
        <v>-0.10610079575596817</v>
      </c>
      <c r="J364" s="16">
        <f t="shared" si="22"/>
        <v>8561.25</v>
      </c>
      <c r="K364" s="16">
        <f t="shared" si="19"/>
        <v>8915</v>
      </c>
    </row>
    <row r="365" spans="1:11" x14ac:dyDescent="0.2">
      <c r="A365" s="2">
        <f ca="1">IFERROR(__xludf.DUMMYFUNCTION("""COMPUTED_VALUE"""),45862.6666666666)</f>
        <v>45862.666666666599</v>
      </c>
      <c r="B365" s="2"/>
      <c r="C365" s="1">
        <v>8475</v>
      </c>
      <c r="D365" s="1">
        <v>8550</v>
      </c>
      <c r="E365" s="1">
        <v>8450</v>
      </c>
      <c r="F365" s="1">
        <v>8500</v>
      </c>
      <c r="G365" s="1">
        <v>138256800</v>
      </c>
      <c r="H365" s="4">
        <f t="shared" si="20"/>
        <v>8.9020771513353119E-3</v>
      </c>
      <c r="I365" s="4">
        <f t="shared" si="21"/>
        <v>-9.8143236074270557E-2</v>
      </c>
      <c r="J365" s="16">
        <f t="shared" si="22"/>
        <v>8556.25</v>
      </c>
      <c r="K365" s="16">
        <f t="shared" si="19"/>
        <v>8904.5</v>
      </c>
    </row>
    <row r="366" spans="1:11" x14ac:dyDescent="0.2">
      <c r="A366" s="2">
        <f ca="1">IFERROR(__xludf.DUMMYFUNCTION("""COMPUTED_VALUE"""),45863.6666666666)</f>
        <v>45863.666666666599</v>
      </c>
      <c r="B366" s="2"/>
      <c r="C366" s="1">
        <v>8500</v>
      </c>
      <c r="D366" s="1">
        <v>8525</v>
      </c>
      <c r="E366" s="1">
        <v>8450</v>
      </c>
      <c r="F366" s="1">
        <v>8450</v>
      </c>
      <c r="G366" s="1">
        <v>58682800</v>
      </c>
      <c r="H366" s="4">
        <f t="shared" si="20"/>
        <v>-5.8823529411764705E-3</v>
      </c>
      <c r="I366" s="4">
        <f t="shared" si="21"/>
        <v>-0.10344827586206896</v>
      </c>
      <c r="J366" s="16">
        <f t="shared" si="22"/>
        <v>8546.25</v>
      </c>
      <c r="K366" s="16">
        <f t="shared" si="19"/>
        <v>8892</v>
      </c>
    </row>
    <row r="367" spans="1:11" x14ac:dyDescent="0.2">
      <c r="A367" s="2">
        <f ca="1">IFERROR(__xludf.DUMMYFUNCTION("""COMPUTED_VALUE"""),45866.6666666666)</f>
        <v>45866.666666666599</v>
      </c>
      <c r="B367" s="2"/>
      <c r="C367" s="1">
        <v>8625</v>
      </c>
      <c r="D367" s="1">
        <v>8625</v>
      </c>
      <c r="E367" s="1">
        <v>8475</v>
      </c>
      <c r="F367" s="1">
        <v>8500</v>
      </c>
      <c r="G367" s="1">
        <v>99484300</v>
      </c>
      <c r="H367" s="4">
        <f t="shared" si="20"/>
        <v>5.9171597633136093E-3</v>
      </c>
      <c r="I367" s="4">
        <f t="shared" si="21"/>
        <v>-9.8143236074270557E-2</v>
      </c>
      <c r="J367" s="16">
        <f t="shared" si="22"/>
        <v>8537.5</v>
      </c>
      <c r="K367" s="16">
        <f t="shared" si="19"/>
        <v>8882.5</v>
      </c>
    </row>
    <row r="368" spans="1:11" x14ac:dyDescent="0.2">
      <c r="A368" s="2">
        <f ca="1">IFERROR(__xludf.DUMMYFUNCTION("""COMPUTED_VALUE"""),45867.6666666666)</f>
        <v>45867.666666666599</v>
      </c>
      <c r="B368" s="2"/>
      <c r="C368" s="1">
        <v>8500</v>
      </c>
      <c r="D368" s="1">
        <v>8500</v>
      </c>
      <c r="E368" s="1">
        <v>8375</v>
      </c>
      <c r="F368" s="1">
        <v>8400</v>
      </c>
      <c r="G368" s="1">
        <v>104240300</v>
      </c>
      <c r="H368" s="4">
        <f t="shared" si="20"/>
        <v>-1.1764705882352941E-2</v>
      </c>
      <c r="I368" s="4">
        <f t="shared" si="21"/>
        <v>-0.10875331564986737</v>
      </c>
      <c r="J368" s="16">
        <f t="shared" si="22"/>
        <v>8522.5</v>
      </c>
      <c r="K368" s="16">
        <f t="shared" si="19"/>
        <v>8870.5</v>
      </c>
    </row>
    <row r="369" spans="1:11" x14ac:dyDescent="0.2">
      <c r="A369" s="2">
        <f ca="1">IFERROR(__xludf.DUMMYFUNCTION("""COMPUTED_VALUE"""),45868.6666666666)</f>
        <v>45868.666666666599</v>
      </c>
      <c r="B369" s="2"/>
      <c r="C369" s="1">
        <v>8475</v>
      </c>
      <c r="D369" s="1">
        <v>8475</v>
      </c>
      <c r="E369" s="1">
        <v>8325</v>
      </c>
      <c r="F369" s="1">
        <v>8375</v>
      </c>
      <c r="G369" s="1">
        <v>98098100</v>
      </c>
      <c r="H369" s="4">
        <f t="shared" si="20"/>
        <v>-2.976190476190476E-3</v>
      </c>
      <c r="I369" s="4">
        <f t="shared" si="21"/>
        <v>-0.11140583554376658</v>
      </c>
      <c r="J369" s="16">
        <f t="shared" si="22"/>
        <v>8507.5</v>
      </c>
      <c r="K369" s="16">
        <f t="shared" si="19"/>
        <v>8852.5</v>
      </c>
    </row>
    <row r="370" spans="1:11" x14ac:dyDescent="0.2">
      <c r="A370" s="2">
        <f ca="1">IFERROR(__xludf.DUMMYFUNCTION("""COMPUTED_VALUE"""),45869.6666666666)</f>
        <v>45869.666666666599</v>
      </c>
      <c r="B370" s="2"/>
      <c r="C370" s="1">
        <v>8350</v>
      </c>
      <c r="D370" s="1">
        <v>8375</v>
      </c>
      <c r="E370" s="1">
        <v>8250</v>
      </c>
      <c r="F370" s="1">
        <v>8275</v>
      </c>
      <c r="G370" s="1">
        <v>206006300</v>
      </c>
      <c r="H370" s="4">
        <f t="shared" si="20"/>
        <v>-1.1940298507462687E-2</v>
      </c>
      <c r="I370" s="4">
        <f t="shared" si="21"/>
        <v>-0.1220159151193634</v>
      </c>
      <c r="J370" s="16">
        <f t="shared" si="22"/>
        <v>8491.25</v>
      </c>
      <c r="K370" s="16">
        <f t="shared" si="19"/>
        <v>8832.5</v>
      </c>
    </row>
    <row r="371" spans="1:11" x14ac:dyDescent="0.2">
      <c r="A371" s="2">
        <f ca="1">IFERROR(__xludf.DUMMYFUNCTION("""COMPUTED_VALUE"""),45870.6666666666)</f>
        <v>45870.666666666599</v>
      </c>
      <c r="B371" s="2"/>
      <c r="C371" s="1">
        <v>8400</v>
      </c>
      <c r="D371" s="1">
        <v>8425</v>
      </c>
      <c r="E371" s="1">
        <v>8300</v>
      </c>
      <c r="F371" s="1">
        <v>8300</v>
      </c>
      <c r="G371" s="1">
        <v>86196100</v>
      </c>
      <c r="H371" s="4">
        <f t="shared" si="20"/>
        <v>3.0211480362537764E-3</v>
      </c>
      <c r="I371" s="4">
        <f t="shared" si="21"/>
        <v>-0.11936339522546419</v>
      </c>
      <c r="J371" s="16">
        <f t="shared" si="22"/>
        <v>8473.75</v>
      </c>
      <c r="K371" s="16">
        <f t="shared" si="19"/>
        <v>8812.5</v>
      </c>
    </row>
    <row r="372" spans="1:11" x14ac:dyDescent="0.2">
      <c r="A372" s="2">
        <f ca="1">IFERROR(__xludf.DUMMYFUNCTION("""COMPUTED_VALUE"""),45873.6666666666)</f>
        <v>45873.666666666599</v>
      </c>
      <c r="B372" s="2"/>
      <c r="C372" s="1">
        <v>8325</v>
      </c>
      <c r="D372" s="1">
        <v>8350</v>
      </c>
      <c r="E372" s="1">
        <v>8275</v>
      </c>
      <c r="F372" s="1">
        <v>8275</v>
      </c>
      <c r="G372" s="1">
        <v>49054500</v>
      </c>
      <c r="H372" s="4">
        <f t="shared" si="20"/>
        <v>-3.0120481927710845E-3</v>
      </c>
      <c r="I372" s="4">
        <f t="shared" si="21"/>
        <v>-0.1220159151193634</v>
      </c>
      <c r="J372" s="16">
        <f t="shared" si="22"/>
        <v>8456.25</v>
      </c>
      <c r="K372" s="16">
        <f t="shared" ref="K372:K435" si="23">AVERAGE(F323:F372)</f>
        <v>8788</v>
      </c>
    </row>
    <row r="373" spans="1:11" x14ac:dyDescent="0.2">
      <c r="A373" s="2">
        <f ca="1">IFERROR(__xludf.DUMMYFUNCTION("""COMPUTED_VALUE"""),45874.6666666666)</f>
        <v>45874.666666666599</v>
      </c>
      <c r="B373" s="2"/>
      <c r="C373" s="1">
        <v>8350</v>
      </c>
      <c r="D373" s="1">
        <v>8450</v>
      </c>
      <c r="E373" s="1">
        <v>8325</v>
      </c>
      <c r="F373" s="1">
        <v>8425</v>
      </c>
      <c r="G373" s="1">
        <v>69475900</v>
      </c>
      <c r="H373" s="4">
        <f t="shared" si="20"/>
        <v>1.812688821752266E-2</v>
      </c>
      <c r="I373" s="4">
        <f t="shared" si="21"/>
        <v>-0.10610079575596817</v>
      </c>
      <c r="J373" s="16">
        <f t="shared" si="22"/>
        <v>8452.5</v>
      </c>
      <c r="K373" s="16">
        <f t="shared" si="23"/>
        <v>8767</v>
      </c>
    </row>
    <row r="374" spans="1:11" x14ac:dyDescent="0.2">
      <c r="A374" s="2">
        <f ca="1">IFERROR(__xludf.DUMMYFUNCTION("""COMPUTED_VALUE"""),45875.6666666666)</f>
        <v>45875.666666666599</v>
      </c>
      <c r="B374" s="2"/>
      <c r="C374" s="1">
        <v>8425</v>
      </c>
      <c r="D374" s="1">
        <v>8425</v>
      </c>
      <c r="E374" s="1">
        <v>8300</v>
      </c>
      <c r="F374" s="1">
        <v>8300</v>
      </c>
      <c r="G374" s="1">
        <v>56325400</v>
      </c>
      <c r="H374" s="4">
        <f t="shared" si="20"/>
        <v>-1.483679525222552E-2</v>
      </c>
      <c r="I374" s="4">
        <f t="shared" si="21"/>
        <v>-0.11936339522546419</v>
      </c>
      <c r="J374" s="16">
        <f t="shared" si="22"/>
        <v>8442.5</v>
      </c>
      <c r="K374" s="16">
        <f t="shared" si="23"/>
        <v>8739</v>
      </c>
    </row>
    <row r="375" spans="1:11" x14ac:dyDescent="0.2">
      <c r="A375" s="2">
        <f ca="1">IFERROR(__xludf.DUMMYFUNCTION("""COMPUTED_VALUE"""),45876.6666666666)</f>
        <v>45876.666666666599</v>
      </c>
      <c r="B375" s="2"/>
      <c r="C375" s="1">
        <v>8325</v>
      </c>
      <c r="D375" s="1">
        <v>8350</v>
      </c>
      <c r="E375" s="1">
        <v>8300</v>
      </c>
      <c r="F375" s="1">
        <v>8300</v>
      </c>
      <c r="G375" s="1">
        <v>43621300</v>
      </c>
      <c r="H375" s="4">
        <f t="shared" si="20"/>
        <v>0</v>
      </c>
      <c r="I375" s="4">
        <f t="shared" si="21"/>
        <v>-0.11936339522546419</v>
      </c>
      <c r="J375" s="16">
        <f t="shared" si="22"/>
        <v>8427.5</v>
      </c>
      <c r="K375" s="16">
        <f t="shared" si="23"/>
        <v>8712</v>
      </c>
    </row>
    <row r="376" spans="1:11" x14ac:dyDescent="0.2">
      <c r="A376" s="2">
        <f ca="1">IFERROR(__xludf.DUMMYFUNCTION("""COMPUTED_VALUE"""),45877.6666666666)</f>
        <v>45877.666666666599</v>
      </c>
      <c r="B376" s="2"/>
      <c r="C376" s="1">
        <v>8325</v>
      </c>
      <c r="D376" s="1">
        <v>8400</v>
      </c>
      <c r="E376" s="1">
        <v>8300</v>
      </c>
      <c r="F376" s="1">
        <v>8300</v>
      </c>
      <c r="G376" s="1">
        <v>68378700</v>
      </c>
      <c r="H376" s="4">
        <f t="shared" si="20"/>
        <v>0</v>
      </c>
      <c r="I376" s="4">
        <f t="shared" si="21"/>
        <v>-0.11936339522546419</v>
      </c>
      <c r="J376" s="16">
        <f t="shared" si="22"/>
        <v>8411.25</v>
      </c>
      <c r="K376" s="16">
        <f t="shared" si="23"/>
        <v>8684.5</v>
      </c>
    </row>
    <row r="377" spans="1:11" x14ac:dyDescent="0.2">
      <c r="A377" s="2">
        <f ca="1">IFERROR(__xludf.DUMMYFUNCTION("""COMPUTED_VALUE"""),45880.6666666666)</f>
        <v>45880.666666666599</v>
      </c>
      <c r="B377" s="2"/>
      <c r="C377" s="1">
        <v>8500</v>
      </c>
      <c r="D377" s="1">
        <v>8550</v>
      </c>
      <c r="E377" s="1">
        <v>8425</v>
      </c>
      <c r="F377" s="1">
        <v>8550</v>
      </c>
      <c r="G377" s="1">
        <v>128561300</v>
      </c>
      <c r="H377" s="4">
        <f t="shared" si="20"/>
        <v>3.0120481927710843E-2</v>
      </c>
      <c r="I377" s="4">
        <f t="shared" si="21"/>
        <v>-9.2838196286472149E-2</v>
      </c>
      <c r="J377" s="16">
        <f t="shared" si="22"/>
        <v>8412.5</v>
      </c>
      <c r="K377" s="16">
        <f t="shared" si="23"/>
        <v>8663</v>
      </c>
    </row>
    <row r="378" spans="1:11" x14ac:dyDescent="0.2">
      <c r="A378" s="2">
        <f ca="1">IFERROR(__xludf.DUMMYFUNCTION("""COMPUTED_VALUE"""),45881.6666666666)</f>
        <v>45881.666666666599</v>
      </c>
      <c r="B378" s="2"/>
      <c r="C378" s="1">
        <v>8625</v>
      </c>
      <c r="D378" s="1">
        <v>8875</v>
      </c>
      <c r="E378" s="1">
        <v>8575</v>
      </c>
      <c r="F378" s="1">
        <v>8850</v>
      </c>
      <c r="G378" s="1">
        <v>171015700</v>
      </c>
      <c r="H378" s="4">
        <f t="shared" si="20"/>
        <v>3.5087719298245612E-2</v>
      </c>
      <c r="I378" s="4">
        <f t="shared" si="21"/>
        <v>-6.1007957559681698E-2</v>
      </c>
      <c r="J378" s="16">
        <f t="shared" si="22"/>
        <v>8427.5</v>
      </c>
      <c r="K378" s="16">
        <f t="shared" si="23"/>
        <v>8651</v>
      </c>
    </row>
    <row r="379" spans="1:11" x14ac:dyDescent="0.2">
      <c r="A379" s="2">
        <f ca="1">IFERROR(__xludf.DUMMYFUNCTION("""COMPUTED_VALUE"""),45882.6666666666)</f>
        <v>45882.666666666599</v>
      </c>
      <c r="B379" s="2"/>
      <c r="C379" s="1">
        <v>8975</v>
      </c>
      <c r="D379" s="1">
        <v>8975</v>
      </c>
      <c r="E379" s="1">
        <v>8725</v>
      </c>
      <c r="F379" s="1">
        <v>8925</v>
      </c>
      <c r="G379" s="1">
        <v>129083900</v>
      </c>
      <c r="H379" s="4">
        <f t="shared" si="20"/>
        <v>8.4745762711864406E-3</v>
      </c>
      <c r="I379" s="4">
        <f t="shared" si="21"/>
        <v>-5.3050397877984087E-2</v>
      </c>
      <c r="J379" s="16">
        <f t="shared" si="22"/>
        <v>8447.5</v>
      </c>
      <c r="K379" s="16">
        <f t="shared" si="23"/>
        <v>8641.5</v>
      </c>
    </row>
    <row r="380" spans="1:11" x14ac:dyDescent="0.2">
      <c r="A380" s="2">
        <f ca="1">IFERROR(__xludf.DUMMYFUNCTION("""COMPUTED_VALUE"""),45883.6666666666)</f>
        <v>45883.666666666599</v>
      </c>
      <c r="B380" s="2"/>
      <c r="C380" s="1">
        <v>8925</v>
      </c>
      <c r="D380" s="1">
        <v>8950</v>
      </c>
      <c r="E380" s="1">
        <v>8750</v>
      </c>
      <c r="F380" s="1">
        <v>8775</v>
      </c>
      <c r="G380" s="1">
        <v>122930900</v>
      </c>
      <c r="H380" s="4">
        <f t="shared" si="20"/>
        <v>-1.680672268907563E-2</v>
      </c>
      <c r="I380" s="4">
        <f t="shared" si="21"/>
        <v>-6.8965517241379309E-2</v>
      </c>
      <c r="J380" s="16">
        <f t="shared" si="22"/>
        <v>8460</v>
      </c>
      <c r="K380" s="16">
        <f t="shared" si="23"/>
        <v>8635</v>
      </c>
    </row>
    <row r="381" spans="1:11" x14ac:dyDescent="0.2">
      <c r="A381" s="2">
        <f ca="1">IFERROR(__xludf.DUMMYFUNCTION("""COMPUTED_VALUE"""),45884.6666666666)</f>
        <v>45884.666666666599</v>
      </c>
      <c r="B381" s="2"/>
      <c r="C381" s="1">
        <v>8825</v>
      </c>
      <c r="D381" s="1">
        <v>8850</v>
      </c>
      <c r="E381" s="1">
        <v>8700</v>
      </c>
      <c r="F381" s="1">
        <v>8700</v>
      </c>
      <c r="G381" s="1">
        <v>68754200</v>
      </c>
      <c r="H381" s="4">
        <f t="shared" si="20"/>
        <v>-8.5470085470085479E-3</v>
      </c>
      <c r="I381" s="4">
        <f t="shared" si="21"/>
        <v>-7.6923076923076927E-2</v>
      </c>
      <c r="J381" s="16">
        <f t="shared" si="22"/>
        <v>8473.75</v>
      </c>
      <c r="K381" s="16">
        <f t="shared" si="23"/>
        <v>8628</v>
      </c>
    </row>
    <row r="382" spans="1:11" x14ac:dyDescent="0.2">
      <c r="A382" s="2">
        <f ca="1">IFERROR(__xludf.DUMMYFUNCTION("""COMPUTED_VALUE"""),45888.6666666666)</f>
        <v>45888.666666666599</v>
      </c>
      <c r="B382" s="2"/>
      <c r="C382" s="1">
        <v>8600</v>
      </c>
      <c r="D382" s="1">
        <v>8600</v>
      </c>
      <c r="E382" s="1">
        <v>8450</v>
      </c>
      <c r="F382" s="1">
        <v>8500</v>
      </c>
      <c r="G382" s="1">
        <v>128591700</v>
      </c>
      <c r="H382" s="4">
        <f t="shared" si="20"/>
        <v>-2.2988505747126436E-2</v>
      </c>
      <c r="I382" s="4">
        <f t="shared" si="21"/>
        <v>-9.8143236074270557E-2</v>
      </c>
      <c r="J382" s="16">
        <f t="shared" si="22"/>
        <v>8476.25</v>
      </c>
      <c r="K382" s="16">
        <f t="shared" si="23"/>
        <v>8618.5</v>
      </c>
    </row>
    <row r="383" spans="1:11" x14ac:dyDescent="0.2">
      <c r="A383" s="2">
        <f ca="1">IFERROR(__xludf.DUMMYFUNCTION("""COMPUTED_VALUE"""),45889.6666666666)</f>
        <v>45889.666666666599</v>
      </c>
      <c r="B383" s="2"/>
      <c r="C383" s="1">
        <v>8375</v>
      </c>
      <c r="D383" s="1">
        <v>8600</v>
      </c>
      <c r="E383" s="1">
        <v>8350</v>
      </c>
      <c r="F383" s="1">
        <v>8525</v>
      </c>
      <c r="G383" s="1">
        <v>202260200</v>
      </c>
      <c r="H383" s="4">
        <f t="shared" si="20"/>
        <v>2.9411764705882353E-3</v>
      </c>
      <c r="I383" s="4">
        <f t="shared" si="21"/>
        <v>-9.5490716180371346E-2</v>
      </c>
      <c r="J383" s="16">
        <f t="shared" si="22"/>
        <v>8482.5</v>
      </c>
      <c r="K383" s="16">
        <f t="shared" si="23"/>
        <v>8610.5</v>
      </c>
    </row>
    <row r="384" spans="1:11" x14ac:dyDescent="0.2">
      <c r="A384" s="2">
        <f ca="1">IFERROR(__xludf.DUMMYFUNCTION("""COMPUTED_VALUE"""),45890.6666666666)</f>
        <v>45890.666666666599</v>
      </c>
      <c r="B384" s="2"/>
      <c r="C384" s="1">
        <v>8550</v>
      </c>
      <c r="D384" s="1">
        <v>8575</v>
      </c>
      <c r="E384" s="1">
        <v>8500</v>
      </c>
      <c r="F384" s="1">
        <v>8550</v>
      </c>
      <c r="G384" s="1">
        <v>69470200</v>
      </c>
      <c r="H384" s="4">
        <f t="shared" si="20"/>
        <v>2.9325513196480938E-3</v>
      </c>
      <c r="I384" s="4">
        <f t="shared" si="21"/>
        <v>-9.2838196286472149E-2</v>
      </c>
      <c r="J384" s="16">
        <f t="shared" si="22"/>
        <v>8488.75</v>
      </c>
      <c r="K384" s="16">
        <f t="shared" si="23"/>
        <v>8599.5</v>
      </c>
    </row>
    <row r="385" spans="1:11" x14ac:dyDescent="0.2">
      <c r="A385" s="2">
        <f ca="1">IFERROR(__xludf.DUMMYFUNCTION("""COMPUTED_VALUE"""),45891.6666666666)</f>
        <v>45891.666666666599</v>
      </c>
      <c r="B385" s="2"/>
      <c r="C385" s="1">
        <v>8575</v>
      </c>
      <c r="D385" s="1">
        <v>8575</v>
      </c>
      <c r="E385" s="1">
        <v>8450</v>
      </c>
      <c r="F385" s="1">
        <v>8450</v>
      </c>
      <c r="G385" s="1">
        <v>66394100</v>
      </c>
      <c r="H385" s="4">
        <f t="shared" si="20"/>
        <v>-1.1695906432748537E-2</v>
      </c>
      <c r="I385" s="4">
        <f t="shared" si="21"/>
        <v>-0.10344827586206896</v>
      </c>
      <c r="J385" s="16">
        <f t="shared" si="22"/>
        <v>8486.25</v>
      </c>
      <c r="K385" s="16">
        <f t="shared" si="23"/>
        <v>8587.5</v>
      </c>
    </row>
    <row r="386" spans="1:11" x14ac:dyDescent="0.2">
      <c r="A386" s="2">
        <f ca="1">IFERROR(__xludf.DUMMYFUNCTION("""COMPUTED_VALUE"""),45894.6666666666)</f>
        <v>45894.666666666599</v>
      </c>
      <c r="B386" s="2"/>
      <c r="C386" s="1">
        <v>8525</v>
      </c>
      <c r="D386" s="1">
        <v>8550</v>
      </c>
      <c r="E386" s="1">
        <v>8475</v>
      </c>
      <c r="F386" s="1">
        <v>8475</v>
      </c>
      <c r="G386" s="1">
        <v>64052700</v>
      </c>
      <c r="H386" s="4">
        <f t="shared" si="20"/>
        <v>2.9585798816568047E-3</v>
      </c>
      <c r="I386" s="4">
        <f t="shared" si="21"/>
        <v>-0.10079575596816977</v>
      </c>
      <c r="J386" s="16">
        <f t="shared" si="22"/>
        <v>8487.5</v>
      </c>
      <c r="K386" s="16">
        <f t="shared" si="23"/>
        <v>8574.5</v>
      </c>
    </row>
    <row r="387" spans="1:11" x14ac:dyDescent="0.2">
      <c r="A387" s="2">
        <f ca="1">IFERROR(__xludf.DUMMYFUNCTION("""COMPUTED_VALUE"""),45895.6666666666)</f>
        <v>45895.666666666599</v>
      </c>
      <c r="B387" s="2"/>
      <c r="C387" s="1">
        <v>8450</v>
      </c>
      <c r="D387" s="1">
        <v>8475</v>
      </c>
      <c r="E387" s="1">
        <v>8250</v>
      </c>
      <c r="F387" s="1">
        <v>8250</v>
      </c>
      <c r="G387" s="1">
        <v>326794200</v>
      </c>
      <c r="H387" s="4">
        <f t="shared" si="20"/>
        <v>-2.6548672566371681E-2</v>
      </c>
      <c r="I387" s="4">
        <f t="shared" si="21"/>
        <v>-0.12466843501326259</v>
      </c>
      <c r="J387" s="16">
        <f t="shared" si="22"/>
        <v>8475</v>
      </c>
      <c r="K387" s="16">
        <f t="shared" si="23"/>
        <v>8559</v>
      </c>
    </row>
    <row r="388" spans="1:11" x14ac:dyDescent="0.2">
      <c r="A388" s="2">
        <f ca="1">IFERROR(__xludf.DUMMYFUNCTION("""COMPUTED_VALUE"""),45896.6666666666)</f>
        <v>45896.666666666599</v>
      </c>
      <c r="B388" s="2"/>
      <c r="C388" s="1">
        <v>8250</v>
      </c>
      <c r="D388" s="1">
        <v>8350</v>
      </c>
      <c r="E388" s="1">
        <v>8200</v>
      </c>
      <c r="F388" s="1">
        <v>8300</v>
      </c>
      <c r="G388" s="1">
        <v>111915700</v>
      </c>
      <c r="H388" s="4">
        <f t="shared" ref="H388:H451" si="24">(F388-F387)/F387</f>
        <v>6.0606060606060606E-3</v>
      </c>
      <c r="I388" s="4">
        <f t="shared" ref="I388:I451" si="25">(F388-$F$2)/$F$2</f>
        <v>-0.11936339522546419</v>
      </c>
      <c r="J388" s="16">
        <f t="shared" si="22"/>
        <v>8470</v>
      </c>
      <c r="K388" s="16">
        <f t="shared" si="23"/>
        <v>8546.5</v>
      </c>
    </row>
    <row r="389" spans="1:11" x14ac:dyDescent="0.2">
      <c r="A389" s="2">
        <f ca="1">IFERROR(__xludf.DUMMYFUNCTION("""COMPUTED_VALUE"""),45897.6666666666)</f>
        <v>45897.666666666599</v>
      </c>
      <c r="B389" s="2"/>
      <c r="C389" s="1">
        <v>8350</v>
      </c>
      <c r="D389" s="1">
        <v>8375</v>
      </c>
      <c r="E389" s="1">
        <v>8275</v>
      </c>
      <c r="F389" s="1">
        <v>8325</v>
      </c>
      <c r="G389" s="1">
        <v>81281400</v>
      </c>
      <c r="H389" s="4">
        <f t="shared" si="24"/>
        <v>3.0120481927710845E-3</v>
      </c>
      <c r="I389" s="4">
        <f t="shared" si="25"/>
        <v>-0.11671087533156499</v>
      </c>
      <c r="J389" s="16">
        <f t="shared" si="22"/>
        <v>8467.5</v>
      </c>
      <c r="K389" s="16">
        <f t="shared" si="23"/>
        <v>8531.5</v>
      </c>
    </row>
    <row r="390" spans="1:11" x14ac:dyDescent="0.2">
      <c r="A390" s="2">
        <f ca="1">IFERROR(__xludf.DUMMYFUNCTION("""COMPUTED_VALUE"""),45898.6666666666)</f>
        <v>45898.666666666599</v>
      </c>
      <c r="B390" s="2"/>
      <c r="C390" s="1">
        <v>8250</v>
      </c>
      <c r="D390" s="1">
        <v>8275</v>
      </c>
      <c r="E390" s="1">
        <v>8075</v>
      </c>
      <c r="F390" s="1">
        <v>8075</v>
      </c>
      <c r="G390" s="1">
        <v>236499300</v>
      </c>
      <c r="H390" s="4">
        <f t="shared" si="24"/>
        <v>-3.003003003003003E-2</v>
      </c>
      <c r="I390" s="4">
        <f t="shared" si="25"/>
        <v>-0.14323607427055704</v>
      </c>
      <c r="J390" s="16">
        <f t="shared" si="22"/>
        <v>8457.5</v>
      </c>
      <c r="K390" s="16">
        <f t="shared" si="23"/>
        <v>8515</v>
      </c>
    </row>
    <row r="391" spans="1:11" x14ac:dyDescent="0.2">
      <c r="A391" s="2">
        <f ca="1">IFERROR(__xludf.DUMMYFUNCTION("""COMPUTED_VALUE"""),45901.6666666666)</f>
        <v>45901.666666666599</v>
      </c>
      <c r="B391" s="2"/>
      <c r="C391" s="1">
        <v>7650</v>
      </c>
      <c r="D391" s="1">
        <v>8050</v>
      </c>
      <c r="E391" s="1">
        <v>7600</v>
      </c>
      <c r="F391" s="1">
        <v>8000</v>
      </c>
      <c r="G391" s="1">
        <v>421127500</v>
      </c>
      <c r="H391" s="4">
        <f t="shared" si="24"/>
        <v>-9.2879256965944269E-3</v>
      </c>
      <c r="I391" s="4">
        <f t="shared" si="25"/>
        <v>-0.15119363395225463</v>
      </c>
      <c r="J391" s="16">
        <f t="shared" si="22"/>
        <v>8442.5</v>
      </c>
      <c r="K391" s="16">
        <f t="shared" si="23"/>
        <v>8499.5</v>
      </c>
    </row>
    <row r="392" spans="1:11" x14ac:dyDescent="0.2">
      <c r="A392" s="2">
        <f ca="1">IFERROR(__xludf.DUMMYFUNCTION("""COMPUTED_VALUE"""),45902.6666666666)</f>
        <v>45902.666666666599</v>
      </c>
      <c r="B392" s="2"/>
      <c r="C392" s="1">
        <v>8000</v>
      </c>
      <c r="D392" s="1">
        <v>8175</v>
      </c>
      <c r="E392" s="1">
        <v>8000</v>
      </c>
      <c r="F392" s="1">
        <v>8000</v>
      </c>
      <c r="G392" s="1">
        <v>155531500</v>
      </c>
      <c r="H392" s="4">
        <f t="shared" si="24"/>
        <v>0</v>
      </c>
      <c r="I392" s="4">
        <f t="shared" si="25"/>
        <v>-0.15119363395225463</v>
      </c>
      <c r="J392" s="16">
        <f t="shared" si="22"/>
        <v>8428.75</v>
      </c>
      <c r="K392" s="16">
        <f t="shared" si="23"/>
        <v>8485.5</v>
      </c>
    </row>
    <row r="393" spans="1:11" x14ac:dyDescent="0.2">
      <c r="A393" s="2">
        <f ca="1">IFERROR(__xludf.DUMMYFUNCTION("""COMPUTED_VALUE"""),45903.6666666666)</f>
        <v>45903.666666666599</v>
      </c>
      <c r="B393" s="2"/>
      <c r="C393" s="1">
        <v>7900</v>
      </c>
      <c r="D393" s="1">
        <v>8000</v>
      </c>
      <c r="E393" s="1">
        <v>7900</v>
      </c>
      <c r="F393" s="1">
        <v>7975</v>
      </c>
      <c r="G393" s="1">
        <v>212372700</v>
      </c>
      <c r="H393" s="4">
        <f t="shared" si="24"/>
        <v>-3.1250000000000002E-3</v>
      </c>
      <c r="I393" s="4">
        <f t="shared" si="25"/>
        <v>-0.15384615384615385</v>
      </c>
      <c r="J393" s="16">
        <f t="shared" si="22"/>
        <v>8406.25</v>
      </c>
      <c r="K393" s="16">
        <f t="shared" si="23"/>
        <v>8472.5</v>
      </c>
    </row>
    <row r="394" spans="1:11" x14ac:dyDescent="0.2">
      <c r="A394" s="2">
        <f ca="1">IFERROR(__xludf.DUMMYFUNCTION("""COMPUTED_VALUE"""),45904.6666666666)</f>
        <v>45904.666666666599</v>
      </c>
      <c r="B394" s="2"/>
      <c r="C394" s="1">
        <v>7975</v>
      </c>
      <c r="D394" s="1">
        <v>8000</v>
      </c>
      <c r="E394" s="1">
        <v>7925</v>
      </c>
      <c r="F394" s="1">
        <v>8000</v>
      </c>
      <c r="G394" s="1">
        <v>103534800</v>
      </c>
      <c r="H394" s="4">
        <f t="shared" si="24"/>
        <v>3.134796238244514E-3</v>
      </c>
      <c r="I394" s="4">
        <f t="shared" si="25"/>
        <v>-0.15119363395225463</v>
      </c>
      <c r="J394" s="16">
        <f t="shared" si="22"/>
        <v>8391.25</v>
      </c>
      <c r="K394" s="16">
        <f t="shared" si="23"/>
        <v>8457</v>
      </c>
    </row>
    <row r="395" spans="1:11" x14ac:dyDescent="0.2">
      <c r="A395" s="2">
        <f ca="1">IFERROR(__xludf.DUMMYFUNCTION("""COMPUTED_VALUE"""),45908.6666666666)</f>
        <v>45908.666666666599</v>
      </c>
      <c r="B395" s="2"/>
      <c r="C395" s="1">
        <v>8025</v>
      </c>
      <c r="D395" s="1">
        <v>8025</v>
      </c>
      <c r="E395" s="1">
        <v>7700</v>
      </c>
      <c r="F395" s="1">
        <v>7700</v>
      </c>
      <c r="G395" s="1">
        <v>321191900</v>
      </c>
      <c r="H395" s="4">
        <f t="shared" si="24"/>
        <v>-3.7499999999999999E-2</v>
      </c>
      <c r="I395" s="4">
        <f t="shared" si="25"/>
        <v>-0.1830238726790451</v>
      </c>
      <c r="J395" s="16">
        <f t="shared" si="22"/>
        <v>8361.25</v>
      </c>
      <c r="K395" s="16">
        <f t="shared" si="23"/>
        <v>8439</v>
      </c>
    </row>
    <row r="396" spans="1:11" x14ac:dyDescent="0.2">
      <c r="A396" s="2">
        <f ca="1">IFERROR(__xludf.DUMMYFUNCTION("""COMPUTED_VALUE"""),45909.6666666666)</f>
        <v>45909.666666666599</v>
      </c>
      <c r="B396" s="2"/>
      <c r="C396" s="1">
        <v>7625</v>
      </c>
      <c r="D396" s="1">
        <v>7725</v>
      </c>
      <c r="E396" s="1">
        <v>7475</v>
      </c>
      <c r="F396" s="1">
        <v>7525</v>
      </c>
      <c r="G396" s="1">
        <v>595368700</v>
      </c>
      <c r="H396" s="4">
        <f t="shared" si="24"/>
        <v>-2.2727272727272728E-2</v>
      </c>
      <c r="I396" s="4">
        <f t="shared" si="25"/>
        <v>-0.20159151193633953</v>
      </c>
      <c r="J396" s="16">
        <f t="shared" si="22"/>
        <v>8322.5</v>
      </c>
      <c r="K396" s="16">
        <f t="shared" si="23"/>
        <v>8416.5</v>
      </c>
    </row>
    <row r="397" spans="1:11" x14ac:dyDescent="0.2">
      <c r="A397" s="2">
        <f ca="1">IFERROR(__xludf.DUMMYFUNCTION("""COMPUTED_VALUE"""),45910.6666666666)</f>
        <v>45910.666666666599</v>
      </c>
      <c r="B397" s="2"/>
      <c r="C397" s="1">
        <v>7800</v>
      </c>
      <c r="D397" s="1">
        <v>7800</v>
      </c>
      <c r="E397" s="1">
        <v>7800</v>
      </c>
      <c r="F397" s="1">
        <v>7800</v>
      </c>
      <c r="G397" s="1">
        <v>354400</v>
      </c>
      <c r="H397" s="4">
        <f t="shared" si="24"/>
        <v>3.6544850498338874E-2</v>
      </c>
      <c r="I397" s="4">
        <f t="shared" si="25"/>
        <v>-0.17241379310344829</v>
      </c>
      <c r="J397" s="16">
        <f t="shared" si="22"/>
        <v>8285</v>
      </c>
      <c r="K397" s="16">
        <f t="shared" si="23"/>
        <v>8399</v>
      </c>
    </row>
    <row r="398" spans="1:11" x14ac:dyDescent="0.2">
      <c r="A398" s="2">
        <f ca="1">IFERROR(__xludf.DUMMYFUNCTION("""COMPUTED_VALUE"""),45911.6666666666)</f>
        <v>45911.666666666599</v>
      </c>
      <c r="B398" s="2"/>
      <c r="C398" s="1">
        <v>7900</v>
      </c>
      <c r="D398" s="1">
        <v>7975</v>
      </c>
      <c r="E398" s="1">
        <v>7850</v>
      </c>
      <c r="F398" s="1">
        <v>7850</v>
      </c>
      <c r="G398" s="1">
        <v>235173400</v>
      </c>
      <c r="H398" s="4">
        <f t="shared" si="24"/>
        <v>6.41025641025641E-3</v>
      </c>
      <c r="I398" s="4">
        <f t="shared" si="25"/>
        <v>-0.16710875331564987</v>
      </c>
      <c r="J398" s="16">
        <f t="shared" si="22"/>
        <v>8235</v>
      </c>
      <c r="K398" s="16">
        <f t="shared" si="23"/>
        <v>8382</v>
      </c>
    </row>
    <row r="399" spans="1:11" x14ac:dyDescent="0.2">
      <c r="A399" s="2">
        <f ca="1">IFERROR(__xludf.DUMMYFUNCTION("""COMPUTED_VALUE"""),45912.6666666666)</f>
        <v>45912.666666666599</v>
      </c>
      <c r="B399" s="2"/>
      <c r="C399" s="1">
        <v>7975</v>
      </c>
      <c r="D399" s="1">
        <v>7975</v>
      </c>
      <c r="E399" s="1">
        <v>7850</v>
      </c>
      <c r="F399" s="1">
        <v>7925</v>
      </c>
      <c r="G399" s="1">
        <v>156084700</v>
      </c>
      <c r="H399" s="4">
        <f t="shared" si="24"/>
        <v>9.5541401273885346E-3</v>
      </c>
      <c r="I399" s="4">
        <f t="shared" si="25"/>
        <v>-0.15915119363395225</v>
      </c>
      <c r="J399" s="16">
        <f t="shared" si="22"/>
        <v>8185</v>
      </c>
      <c r="K399" s="16">
        <f t="shared" si="23"/>
        <v>8367</v>
      </c>
    </row>
    <row r="400" spans="1:11" x14ac:dyDescent="0.2">
      <c r="A400" s="2">
        <f ca="1">IFERROR(__xludf.DUMMYFUNCTION("""COMPUTED_VALUE"""),45915.6666666666)</f>
        <v>45915.666666666599</v>
      </c>
      <c r="B400" s="2"/>
      <c r="C400" s="1">
        <v>8000</v>
      </c>
      <c r="D400" s="1">
        <v>8100</v>
      </c>
      <c r="E400" s="1">
        <v>7975</v>
      </c>
      <c r="F400" s="1">
        <v>8025</v>
      </c>
      <c r="G400" s="1">
        <v>142567700</v>
      </c>
      <c r="H400" s="4">
        <f t="shared" si="24"/>
        <v>1.2618296529968454E-2</v>
      </c>
      <c r="I400" s="4">
        <f t="shared" si="25"/>
        <v>-0.14854111405835543</v>
      </c>
      <c r="J400" s="16">
        <f t="shared" si="22"/>
        <v>8147.5</v>
      </c>
      <c r="K400" s="16">
        <f t="shared" si="23"/>
        <v>8355.5</v>
      </c>
    </row>
    <row r="401" spans="1:11" x14ac:dyDescent="0.2">
      <c r="A401" s="2">
        <f ca="1">IFERROR(__xludf.DUMMYFUNCTION("""COMPUTED_VALUE"""),45916.6666666666)</f>
        <v>45916.666666666599</v>
      </c>
      <c r="B401" s="2"/>
      <c r="C401" s="1">
        <v>8050</v>
      </c>
      <c r="D401" s="1">
        <v>8075</v>
      </c>
      <c r="E401" s="1">
        <v>7900</v>
      </c>
      <c r="F401" s="1">
        <v>7925</v>
      </c>
      <c r="G401" s="1">
        <v>129312900</v>
      </c>
      <c r="H401" s="4">
        <f t="shared" si="24"/>
        <v>-1.2461059190031152E-2</v>
      </c>
      <c r="I401" s="4">
        <f t="shared" si="25"/>
        <v>-0.15915119363395225</v>
      </c>
      <c r="J401" s="16">
        <f t="shared" si="22"/>
        <v>8108.75</v>
      </c>
      <c r="K401" s="16">
        <f t="shared" si="23"/>
        <v>8341</v>
      </c>
    </row>
    <row r="402" spans="1:11" x14ac:dyDescent="0.2">
      <c r="A402" s="2">
        <f ca="1">IFERROR(__xludf.DUMMYFUNCTION("""COMPUTED_VALUE"""),45917.6666666666)</f>
        <v>45917.666666666599</v>
      </c>
      <c r="B402" s="2"/>
      <c r="C402" s="1">
        <v>7850</v>
      </c>
      <c r="D402" s="1">
        <v>7900</v>
      </c>
      <c r="E402" s="1">
        <v>7800</v>
      </c>
      <c r="F402" s="1">
        <v>7850</v>
      </c>
      <c r="G402" s="1">
        <v>183725900</v>
      </c>
      <c r="H402" s="4">
        <f t="shared" si="24"/>
        <v>-9.4637223974763408E-3</v>
      </c>
      <c r="I402" s="4">
        <f t="shared" si="25"/>
        <v>-0.16710875331564987</v>
      </c>
      <c r="J402" s="16">
        <f t="shared" si="22"/>
        <v>8076.25</v>
      </c>
      <c r="K402" s="16">
        <f t="shared" si="23"/>
        <v>8325.5</v>
      </c>
    </row>
    <row r="403" spans="1:11" x14ac:dyDescent="0.2">
      <c r="A403" s="2">
        <f ca="1">IFERROR(__xludf.DUMMYFUNCTION("""COMPUTED_VALUE"""),45918.6666666666)</f>
        <v>45918.666666666599</v>
      </c>
      <c r="B403" s="2"/>
      <c r="C403" s="1">
        <v>7850</v>
      </c>
      <c r="D403" s="1">
        <v>7900</v>
      </c>
      <c r="E403" s="1">
        <v>7650</v>
      </c>
      <c r="F403" s="1">
        <v>7700</v>
      </c>
      <c r="G403" s="1">
        <v>275378700</v>
      </c>
      <c r="H403" s="4">
        <f t="shared" si="24"/>
        <v>-1.9108280254777069E-2</v>
      </c>
      <c r="I403" s="4">
        <f t="shared" si="25"/>
        <v>-0.1830238726790451</v>
      </c>
      <c r="J403" s="16">
        <f t="shared" si="22"/>
        <v>8035</v>
      </c>
      <c r="K403" s="16">
        <f t="shared" si="23"/>
        <v>8309.5</v>
      </c>
    </row>
    <row r="404" spans="1:11" x14ac:dyDescent="0.2">
      <c r="A404" s="2">
        <f ca="1">IFERROR(__xludf.DUMMYFUNCTION("""COMPUTED_VALUE"""),45919.6666666666)</f>
        <v>45919.666666666599</v>
      </c>
      <c r="B404" s="2"/>
      <c r="C404" s="1">
        <v>7650</v>
      </c>
      <c r="D404" s="1">
        <v>7825</v>
      </c>
      <c r="E404" s="1">
        <v>7650</v>
      </c>
      <c r="F404" s="1">
        <v>7800</v>
      </c>
      <c r="G404" s="1">
        <v>149025300</v>
      </c>
      <c r="H404" s="4">
        <f t="shared" si="24"/>
        <v>1.2987012987012988E-2</v>
      </c>
      <c r="I404" s="4">
        <f t="shared" si="25"/>
        <v>-0.17241379310344829</v>
      </c>
      <c r="J404" s="16">
        <f t="shared" si="22"/>
        <v>7997.5</v>
      </c>
      <c r="K404" s="16">
        <f t="shared" si="23"/>
        <v>8295.5</v>
      </c>
    </row>
    <row r="405" spans="1:11" x14ac:dyDescent="0.2">
      <c r="A405" s="2">
        <f ca="1">IFERROR(__xludf.DUMMYFUNCTION("""COMPUTED_VALUE"""),45922.6666666666)</f>
        <v>45922.666666666599</v>
      </c>
      <c r="B405" s="2"/>
      <c r="C405" s="1">
        <v>7800</v>
      </c>
      <c r="D405" s="1">
        <v>7825</v>
      </c>
      <c r="E405" s="1">
        <v>7725</v>
      </c>
      <c r="F405" s="1">
        <v>7725</v>
      </c>
      <c r="G405" s="1">
        <v>92588800</v>
      </c>
      <c r="H405" s="4">
        <f t="shared" si="24"/>
        <v>-9.6153846153846159E-3</v>
      </c>
      <c r="I405" s="4">
        <f t="shared" si="25"/>
        <v>-0.18037135278514588</v>
      </c>
      <c r="J405" s="16">
        <f t="shared" si="22"/>
        <v>7961.25</v>
      </c>
      <c r="K405" s="16">
        <f t="shared" si="23"/>
        <v>8278</v>
      </c>
    </row>
    <row r="406" spans="1:11" x14ac:dyDescent="0.2">
      <c r="A406" s="2">
        <f ca="1">IFERROR(__xludf.DUMMYFUNCTION("""COMPUTED_VALUE"""),45923.6666666666)</f>
        <v>45923.666666666599</v>
      </c>
      <c r="B406" s="2"/>
      <c r="C406" s="1">
        <v>7750</v>
      </c>
      <c r="D406" s="1">
        <v>7900</v>
      </c>
      <c r="E406" s="1">
        <v>7750</v>
      </c>
      <c r="F406" s="1">
        <v>7875</v>
      </c>
      <c r="G406" s="1">
        <v>102606200</v>
      </c>
      <c r="H406" s="4">
        <f t="shared" si="24"/>
        <v>1.9417475728155338E-2</v>
      </c>
      <c r="I406" s="4">
        <f t="shared" si="25"/>
        <v>-0.16445623342175067</v>
      </c>
      <c r="J406" s="16">
        <f t="shared" ref="J406:J469" si="26">AVERAGE(F387:F406)</f>
        <v>7931.25</v>
      </c>
      <c r="K406" s="16">
        <f t="shared" si="23"/>
        <v>8263</v>
      </c>
    </row>
    <row r="407" spans="1:11" x14ac:dyDescent="0.2">
      <c r="A407" s="2">
        <f ca="1">IFERROR(__xludf.DUMMYFUNCTION("""COMPUTED_VALUE"""),45924.6666666666)</f>
        <v>45924.666666666599</v>
      </c>
      <c r="B407" s="2"/>
      <c r="C407" s="1">
        <v>7950</v>
      </c>
      <c r="D407" s="1">
        <v>7950</v>
      </c>
      <c r="E407" s="1">
        <v>7725</v>
      </c>
      <c r="F407" s="1">
        <v>7775</v>
      </c>
      <c r="G407" s="1">
        <v>150428400</v>
      </c>
      <c r="H407" s="4">
        <f t="shared" si="24"/>
        <v>-1.2698412698412698E-2</v>
      </c>
      <c r="I407" s="4">
        <f t="shared" si="25"/>
        <v>-0.17506631299734748</v>
      </c>
      <c r="J407" s="16">
        <f t="shared" si="26"/>
        <v>7907.5</v>
      </c>
      <c r="K407" s="16">
        <f t="shared" si="23"/>
        <v>8248</v>
      </c>
    </row>
    <row r="408" spans="1:11" x14ac:dyDescent="0.2">
      <c r="A408" s="2">
        <f ca="1">IFERROR(__xludf.DUMMYFUNCTION("""COMPUTED_VALUE"""),45925.6666666666)</f>
        <v>45925.666666666599</v>
      </c>
      <c r="B408" s="2"/>
      <c r="C408" s="1">
        <v>7725</v>
      </c>
      <c r="D408" s="1">
        <v>7775</v>
      </c>
      <c r="E408" s="1">
        <v>7700</v>
      </c>
      <c r="F408" s="1">
        <v>7700</v>
      </c>
      <c r="G408" s="1">
        <v>147986600</v>
      </c>
      <c r="H408" s="4">
        <f t="shared" si="24"/>
        <v>-9.6463022508038593E-3</v>
      </c>
      <c r="I408" s="4">
        <f t="shared" si="25"/>
        <v>-0.1830238726790451</v>
      </c>
      <c r="J408" s="16">
        <f t="shared" si="26"/>
        <v>7877.5</v>
      </c>
      <c r="K408" s="16">
        <f t="shared" si="23"/>
        <v>8231</v>
      </c>
    </row>
    <row r="409" spans="1:11" x14ac:dyDescent="0.2">
      <c r="A409" s="2">
        <f ca="1">IFERROR(__xludf.DUMMYFUNCTION("""COMPUTED_VALUE"""),45926.6666666666)</f>
        <v>45926.666666666599</v>
      </c>
      <c r="B409" s="2"/>
      <c r="C409" s="1">
        <v>7575</v>
      </c>
      <c r="D409" s="1">
        <v>7700</v>
      </c>
      <c r="E409" s="1">
        <v>7575</v>
      </c>
      <c r="F409" s="1">
        <v>7625</v>
      </c>
      <c r="G409" s="1">
        <v>121657700</v>
      </c>
      <c r="H409" s="4">
        <f t="shared" si="24"/>
        <v>-9.74025974025974E-3</v>
      </c>
      <c r="I409" s="4">
        <f t="shared" si="25"/>
        <v>-0.19098143236074269</v>
      </c>
      <c r="J409" s="16">
        <f t="shared" si="26"/>
        <v>7842.5</v>
      </c>
      <c r="K409" s="16">
        <f t="shared" si="23"/>
        <v>8213</v>
      </c>
    </row>
    <row r="410" spans="1:11" x14ac:dyDescent="0.2">
      <c r="A410" s="2">
        <f ca="1">IFERROR(__xludf.DUMMYFUNCTION("""COMPUTED_VALUE"""),45929.6666666666)</f>
        <v>45929.666666666599</v>
      </c>
      <c r="B410" s="2"/>
      <c r="C410" s="1">
        <v>7750</v>
      </c>
      <c r="D410" s="1">
        <v>7800</v>
      </c>
      <c r="E410" s="1">
        <v>7700</v>
      </c>
      <c r="F410" s="1">
        <v>7775</v>
      </c>
      <c r="G410" s="1">
        <v>116454700</v>
      </c>
      <c r="H410" s="4">
        <f t="shared" si="24"/>
        <v>1.9672131147540985E-2</v>
      </c>
      <c r="I410" s="4">
        <f t="shared" si="25"/>
        <v>-0.17506631299734748</v>
      </c>
      <c r="J410" s="16">
        <f t="shared" si="26"/>
        <v>7827.5</v>
      </c>
      <c r="K410" s="16">
        <f t="shared" si="23"/>
        <v>8198</v>
      </c>
    </row>
    <row r="411" spans="1:11" x14ac:dyDescent="0.2">
      <c r="A411" s="2">
        <f ca="1">IFERROR(__xludf.DUMMYFUNCTION("""COMPUTED_VALUE"""),45930.6666666666)</f>
        <v>45930.666666666599</v>
      </c>
      <c r="B411" s="2"/>
      <c r="C411" s="1">
        <v>7700</v>
      </c>
      <c r="D411" s="1">
        <v>7775</v>
      </c>
      <c r="E411" s="1">
        <v>7625</v>
      </c>
      <c r="F411" s="1">
        <v>7625</v>
      </c>
      <c r="G411" s="1">
        <v>170666700</v>
      </c>
      <c r="H411" s="4">
        <f t="shared" si="24"/>
        <v>-1.9292604501607719E-2</v>
      </c>
      <c r="I411" s="4">
        <f t="shared" si="25"/>
        <v>-0.19098143236074269</v>
      </c>
      <c r="J411" s="16">
        <f t="shared" si="26"/>
        <v>7808.75</v>
      </c>
      <c r="K411" s="16">
        <f t="shared" si="23"/>
        <v>8182</v>
      </c>
    </row>
    <row r="412" spans="1:11" x14ac:dyDescent="0.2">
      <c r="A412" s="2">
        <f ca="1">IFERROR(__xludf.DUMMYFUNCTION("""COMPUTED_VALUE"""),45931.6666666666)</f>
        <v>45931.666666666599</v>
      </c>
      <c r="B412" s="2"/>
      <c r="C412" s="1">
        <v>7600</v>
      </c>
      <c r="D412" s="1">
        <v>7675</v>
      </c>
      <c r="E412" s="1">
        <v>7500</v>
      </c>
      <c r="F412" s="1">
        <v>7500</v>
      </c>
      <c r="G412" s="1">
        <v>202433400</v>
      </c>
      <c r="H412" s="4">
        <f t="shared" si="24"/>
        <v>-1.6393442622950821E-2</v>
      </c>
      <c r="I412" s="4">
        <f t="shared" si="25"/>
        <v>-0.20424403183023873</v>
      </c>
      <c r="J412" s="16">
        <f t="shared" si="26"/>
        <v>7783.75</v>
      </c>
      <c r="K412" s="16">
        <f t="shared" si="23"/>
        <v>8163</v>
      </c>
    </row>
    <row r="413" spans="1:11" x14ac:dyDescent="0.2">
      <c r="A413" s="2">
        <f ca="1">IFERROR(__xludf.DUMMYFUNCTION("""COMPUTED_VALUE"""),45932.6666666666)</f>
        <v>45932.666666666599</v>
      </c>
      <c r="B413" s="2"/>
      <c r="C413" s="1">
        <v>7500</v>
      </c>
      <c r="D413" s="1">
        <v>7600</v>
      </c>
      <c r="E413" s="1">
        <v>7500</v>
      </c>
      <c r="F413" s="1">
        <v>7500</v>
      </c>
      <c r="G413" s="1">
        <v>126952400</v>
      </c>
      <c r="H413" s="4">
        <f t="shared" si="24"/>
        <v>0</v>
      </c>
      <c r="I413" s="4">
        <f t="shared" si="25"/>
        <v>-0.20424403183023873</v>
      </c>
      <c r="J413" s="16">
        <f t="shared" si="26"/>
        <v>7760</v>
      </c>
      <c r="K413" s="16">
        <f t="shared" si="23"/>
        <v>8145</v>
      </c>
    </row>
    <row r="414" spans="1:11" x14ac:dyDescent="0.2">
      <c r="A414" s="2">
        <f ca="1">IFERROR(__xludf.DUMMYFUNCTION("""COMPUTED_VALUE"""),45933.6666666666)</f>
        <v>45933.666666666599</v>
      </c>
      <c r="B414" s="2"/>
      <c r="C414" s="1">
        <v>7525</v>
      </c>
      <c r="D414" s="1">
        <v>7550</v>
      </c>
      <c r="E414" s="1">
        <v>7500</v>
      </c>
      <c r="F414" s="1">
        <v>7525</v>
      </c>
      <c r="G414" s="1">
        <v>76787500</v>
      </c>
      <c r="H414" s="4">
        <f t="shared" si="24"/>
        <v>3.3333333333333335E-3</v>
      </c>
      <c r="I414" s="4">
        <f t="shared" si="25"/>
        <v>-0.20159151193633953</v>
      </c>
      <c r="J414" s="16">
        <f t="shared" si="26"/>
        <v>7736.25</v>
      </c>
      <c r="K414" s="16">
        <f t="shared" si="23"/>
        <v>8127</v>
      </c>
    </row>
    <row r="415" spans="1:11" x14ac:dyDescent="0.2">
      <c r="A415" s="2">
        <f ca="1">IFERROR(__xludf.DUMMYFUNCTION("""COMPUTED_VALUE"""),45936.6666666666)</f>
        <v>45936.666666666599</v>
      </c>
      <c r="B415" s="2"/>
      <c r="C415" s="1">
        <v>7500</v>
      </c>
      <c r="D415" s="1">
        <v>7550</v>
      </c>
      <c r="E415" s="1">
        <v>7450</v>
      </c>
      <c r="F415" s="1">
        <v>7500</v>
      </c>
      <c r="G415" s="1">
        <v>104032400</v>
      </c>
      <c r="H415" s="4">
        <f t="shared" si="24"/>
        <v>-3.3222591362126247E-3</v>
      </c>
      <c r="I415" s="4">
        <f t="shared" si="25"/>
        <v>-0.20424403183023873</v>
      </c>
      <c r="J415" s="16">
        <f t="shared" si="26"/>
        <v>7726.25</v>
      </c>
      <c r="K415" s="16">
        <f t="shared" si="23"/>
        <v>8107</v>
      </c>
    </row>
    <row r="416" spans="1:11" x14ac:dyDescent="0.2">
      <c r="A416" s="2">
        <f ca="1">IFERROR(__xludf.DUMMYFUNCTION("""COMPUTED_VALUE"""),45937.6666666666)</f>
        <v>45937.666666666599</v>
      </c>
      <c r="B416" s="2"/>
      <c r="C416" s="1">
        <v>7550</v>
      </c>
      <c r="D416" s="1">
        <v>7600</v>
      </c>
      <c r="E416" s="1">
        <v>7500</v>
      </c>
      <c r="F416" s="1">
        <v>7575</v>
      </c>
      <c r="G416" s="1">
        <v>74282600</v>
      </c>
      <c r="H416" s="4">
        <f t="shared" si="24"/>
        <v>0.01</v>
      </c>
      <c r="I416" s="4">
        <f t="shared" si="25"/>
        <v>-0.19628647214854111</v>
      </c>
      <c r="J416" s="16">
        <f t="shared" si="26"/>
        <v>7728.75</v>
      </c>
      <c r="K416" s="16">
        <f t="shared" si="23"/>
        <v>8089.5</v>
      </c>
    </row>
    <row r="417" spans="1:11" x14ac:dyDescent="0.2">
      <c r="A417" s="2">
        <f ca="1">IFERROR(__xludf.DUMMYFUNCTION("""COMPUTED_VALUE"""),45938.6666666666)</f>
        <v>45938.666666666599</v>
      </c>
      <c r="B417" s="2"/>
      <c r="C417" s="1">
        <v>7500</v>
      </c>
      <c r="D417" s="1">
        <v>7525</v>
      </c>
      <c r="E417" s="1">
        <v>7375</v>
      </c>
      <c r="F417" s="1">
        <v>7375</v>
      </c>
      <c r="G417" s="1">
        <v>168080800</v>
      </c>
      <c r="H417" s="4">
        <f t="shared" si="24"/>
        <v>-2.6402640264026403E-2</v>
      </c>
      <c r="I417" s="4">
        <f t="shared" si="25"/>
        <v>-0.21750663129973474</v>
      </c>
      <c r="J417" s="16">
        <f t="shared" si="26"/>
        <v>7707.5</v>
      </c>
      <c r="K417" s="16">
        <f t="shared" si="23"/>
        <v>8067</v>
      </c>
    </row>
    <row r="418" spans="1:11" x14ac:dyDescent="0.2">
      <c r="A418" s="2">
        <f ca="1">IFERROR(__xludf.DUMMYFUNCTION("""COMPUTED_VALUE"""),45939.6666666666)</f>
        <v>45939.666666666599</v>
      </c>
      <c r="B418" s="2"/>
      <c r="C418" s="1">
        <v>7375</v>
      </c>
      <c r="D418" s="1">
        <v>7700</v>
      </c>
      <c r="E418" s="1">
        <v>7300</v>
      </c>
      <c r="F418" s="1">
        <v>7550</v>
      </c>
      <c r="G418" s="1">
        <v>293567400</v>
      </c>
      <c r="H418" s="4">
        <f t="shared" si="24"/>
        <v>2.3728813559322035E-2</v>
      </c>
      <c r="I418" s="4">
        <f t="shared" si="25"/>
        <v>-0.19893899204244031</v>
      </c>
      <c r="J418" s="16">
        <f t="shared" si="26"/>
        <v>7692.5</v>
      </c>
      <c r="K418" s="16">
        <f t="shared" si="23"/>
        <v>8050</v>
      </c>
    </row>
    <row r="419" spans="1:11" x14ac:dyDescent="0.2">
      <c r="A419" s="2">
        <f ca="1">IFERROR(__xludf.DUMMYFUNCTION("""COMPUTED_VALUE"""),45940.6666666666)</f>
        <v>45940.666666666599</v>
      </c>
      <c r="B419" s="2"/>
      <c r="C419" s="1">
        <v>7450</v>
      </c>
      <c r="D419" s="1">
        <v>7450</v>
      </c>
      <c r="E419" s="1">
        <v>7350</v>
      </c>
      <c r="F419" s="1">
        <v>7400</v>
      </c>
      <c r="G419" s="1">
        <v>107426000</v>
      </c>
      <c r="H419" s="4">
        <f t="shared" si="24"/>
        <v>-1.9867549668874173E-2</v>
      </c>
      <c r="I419" s="4">
        <f t="shared" si="25"/>
        <v>-0.21485411140583555</v>
      </c>
      <c r="J419" s="16">
        <f t="shared" si="26"/>
        <v>7666.25</v>
      </c>
      <c r="K419" s="16">
        <f t="shared" si="23"/>
        <v>8030.5</v>
      </c>
    </row>
    <row r="420" spans="1:11" x14ac:dyDescent="0.2">
      <c r="A420" s="2">
        <f ca="1">IFERROR(__xludf.DUMMYFUNCTION("""COMPUTED_VALUE"""),45943.6666666666)</f>
        <v>45943.666666666599</v>
      </c>
      <c r="B420" s="2"/>
      <c r="C420" s="1">
        <v>7300</v>
      </c>
      <c r="D420" s="1">
        <v>7375</v>
      </c>
      <c r="E420" s="1">
        <v>7300</v>
      </c>
      <c r="F420" s="1">
        <v>7325</v>
      </c>
      <c r="G420" s="1">
        <v>101847900</v>
      </c>
      <c r="H420" s="4">
        <f t="shared" si="24"/>
        <v>-1.0135135135135136E-2</v>
      </c>
      <c r="I420" s="4">
        <f t="shared" si="25"/>
        <v>-0.22281167108753316</v>
      </c>
      <c r="J420" s="16">
        <f t="shared" si="26"/>
        <v>7631.25</v>
      </c>
      <c r="K420" s="16">
        <f t="shared" si="23"/>
        <v>8011.5</v>
      </c>
    </row>
    <row r="421" spans="1:11" x14ac:dyDescent="0.2">
      <c r="A421" s="2">
        <f ca="1">IFERROR(__xludf.DUMMYFUNCTION("""COMPUTED_VALUE"""),45944.6666666666)</f>
        <v>45944.666666666599</v>
      </c>
      <c r="B421" s="2"/>
      <c r="C421" s="1">
        <v>7275</v>
      </c>
      <c r="D421" s="1">
        <v>7350</v>
      </c>
      <c r="E421" s="1">
        <v>7250</v>
      </c>
      <c r="F421" s="1">
        <v>7250</v>
      </c>
      <c r="G421" s="1">
        <v>151862300</v>
      </c>
      <c r="H421" s="4">
        <f t="shared" si="24"/>
        <v>-1.0238907849829351E-2</v>
      </c>
      <c r="I421" s="4">
        <f t="shared" si="25"/>
        <v>-0.23076923076923078</v>
      </c>
      <c r="J421" s="16">
        <f t="shared" si="26"/>
        <v>7597.5</v>
      </c>
      <c r="K421" s="16">
        <f t="shared" si="23"/>
        <v>7990.5</v>
      </c>
    </row>
    <row r="422" spans="1:11" x14ac:dyDescent="0.2">
      <c r="A422" s="2">
        <f ca="1">IFERROR(__xludf.DUMMYFUNCTION("""COMPUTED_VALUE"""),45945.6666666666)</f>
        <v>45945.666666666599</v>
      </c>
      <c r="B422" s="2"/>
      <c r="C422" s="1">
        <v>7250</v>
      </c>
      <c r="D422" s="1">
        <v>7350</v>
      </c>
      <c r="E422" s="1">
        <v>7225</v>
      </c>
      <c r="F422" s="1">
        <v>7250</v>
      </c>
      <c r="G422" s="1">
        <v>133206400</v>
      </c>
      <c r="H422" s="4">
        <f t="shared" si="24"/>
        <v>0</v>
      </c>
      <c r="I422" s="4">
        <f t="shared" si="25"/>
        <v>-0.23076923076923078</v>
      </c>
      <c r="J422" s="16">
        <f t="shared" si="26"/>
        <v>7567.5</v>
      </c>
      <c r="K422" s="16">
        <f t="shared" si="23"/>
        <v>7970</v>
      </c>
    </row>
    <row r="423" spans="1:11" x14ac:dyDescent="0.2">
      <c r="A423" s="2">
        <f ca="1">IFERROR(__xludf.DUMMYFUNCTION("""COMPUTED_VALUE"""),45946.6666666666)</f>
        <v>45946.666666666599</v>
      </c>
      <c r="B423" s="2"/>
      <c r="C423" s="1">
        <v>7250</v>
      </c>
      <c r="D423" s="1">
        <v>7325</v>
      </c>
      <c r="E423" s="1">
        <v>7225</v>
      </c>
      <c r="F423" s="1">
        <v>7300</v>
      </c>
      <c r="G423" s="1">
        <v>120611200</v>
      </c>
      <c r="H423" s="4">
        <f t="shared" si="24"/>
        <v>6.8965517241379309E-3</v>
      </c>
      <c r="I423" s="4">
        <f t="shared" si="25"/>
        <v>-0.22546419098143236</v>
      </c>
      <c r="J423" s="16">
        <f t="shared" si="26"/>
        <v>7547.5</v>
      </c>
      <c r="K423" s="16">
        <f t="shared" si="23"/>
        <v>7947.5</v>
      </c>
    </row>
    <row r="424" spans="1:11" x14ac:dyDescent="0.2">
      <c r="A424" s="2">
        <f ca="1">IFERROR(__xludf.DUMMYFUNCTION("""COMPUTED_VALUE"""),45947.6666666666)</f>
        <v>45947.666666666599</v>
      </c>
      <c r="B424" s="2"/>
      <c r="C424" s="1">
        <v>7300</v>
      </c>
      <c r="D424" s="1">
        <v>7525</v>
      </c>
      <c r="E424" s="1">
        <v>7275</v>
      </c>
      <c r="F424" s="1">
        <v>7500</v>
      </c>
      <c r="G424" s="1">
        <v>157334400</v>
      </c>
      <c r="H424" s="4">
        <f t="shared" si="24"/>
        <v>2.7397260273972601E-2</v>
      </c>
      <c r="I424" s="4">
        <f t="shared" si="25"/>
        <v>-0.20424403183023873</v>
      </c>
      <c r="J424" s="16">
        <f t="shared" si="26"/>
        <v>7532.5</v>
      </c>
      <c r="K424" s="16">
        <f t="shared" si="23"/>
        <v>7931.5</v>
      </c>
    </row>
    <row r="425" spans="1:11" x14ac:dyDescent="0.2">
      <c r="A425" s="2">
        <f ca="1">IFERROR(__xludf.DUMMYFUNCTION("""COMPUTED_VALUE"""),45950.6666666666)</f>
        <v>45950.666666666599</v>
      </c>
      <c r="B425" s="2"/>
      <c r="C425" s="1">
        <v>7700</v>
      </c>
      <c r="D425" s="1">
        <v>8000</v>
      </c>
      <c r="E425" s="1">
        <v>7625</v>
      </c>
      <c r="F425" s="1">
        <v>7875</v>
      </c>
      <c r="G425" s="1">
        <v>393421800</v>
      </c>
      <c r="H425" s="4">
        <f t="shared" si="24"/>
        <v>0.05</v>
      </c>
      <c r="I425" s="4">
        <f t="shared" si="25"/>
        <v>-0.16445623342175067</v>
      </c>
      <c r="J425" s="16">
        <f t="shared" si="26"/>
        <v>7540</v>
      </c>
      <c r="K425" s="16">
        <f t="shared" si="23"/>
        <v>7923</v>
      </c>
    </row>
    <row r="426" spans="1:11" x14ac:dyDescent="0.2">
      <c r="A426" s="2">
        <f ca="1">IFERROR(__xludf.DUMMYFUNCTION("""COMPUTED_VALUE"""),45951.6666666666)</f>
        <v>45951.666666666599</v>
      </c>
      <c r="B426" s="2"/>
      <c r="C426" s="1">
        <v>8100</v>
      </c>
      <c r="D426" s="1">
        <v>8475</v>
      </c>
      <c r="E426" s="1">
        <v>8100</v>
      </c>
      <c r="F426" s="1">
        <v>8475</v>
      </c>
      <c r="G426" s="1">
        <v>529802600</v>
      </c>
      <c r="H426" s="4">
        <f t="shared" si="24"/>
        <v>7.6190476190476197E-2</v>
      </c>
      <c r="I426" s="4">
        <f t="shared" si="25"/>
        <v>-0.10079575596816977</v>
      </c>
      <c r="J426" s="16">
        <f t="shared" si="26"/>
        <v>7570</v>
      </c>
      <c r="K426" s="16">
        <f t="shared" si="23"/>
        <v>7926.5</v>
      </c>
    </row>
    <row r="427" spans="1:11" x14ac:dyDescent="0.2">
      <c r="A427" s="2">
        <f ca="1">IFERROR(__xludf.DUMMYFUNCTION("""COMPUTED_VALUE"""),45952.6666666666)</f>
        <v>45952.666666666599</v>
      </c>
      <c r="B427" s="2"/>
      <c r="C427" s="1">
        <v>8700</v>
      </c>
      <c r="D427" s="1">
        <v>8700</v>
      </c>
      <c r="E427" s="1">
        <v>8200</v>
      </c>
      <c r="F427" s="1">
        <v>8200</v>
      </c>
      <c r="G427" s="1">
        <v>392957200</v>
      </c>
      <c r="H427" s="4">
        <f t="shared" si="24"/>
        <v>-3.2448377581120944E-2</v>
      </c>
      <c r="I427" s="4">
        <f t="shared" si="25"/>
        <v>-0.129973474801061</v>
      </c>
      <c r="J427" s="16">
        <f t="shared" si="26"/>
        <v>7591.25</v>
      </c>
      <c r="K427" s="16">
        <f t="shared" si="23"/>
        <v>7919.5</v>
      </c>
    </row>
    <row r="428" spans="1:11" x14ac:dyDescent="0.2">
      <c r="A428" s="2">
        <f ca="1">IFERROR(__xludf.DUMMYFUNCTION("""COMPUTED_VALUE"""),45953.6666666666)</f>
        <v>45953.666666666599</v>
      </c>
      <c r="B428" s="2"/>
      <c r="C428" s="1">
        <v>8200</v>
      </c>
      <c r="D428" s="1">
        <v>8350</v>
      </c>
      <c r="E428" s="1">
        <v>8150</v>
      </c>
      <c r="F428" s="1">
        <v>8325</v>
      </c>
      <c r="G428" s="1">
        <v>187003900</v>
      </c>
      <c r="H428" s="4">
        <f t="shared" si="24"/>
        <v>1.524390243902439E-2</v>
      </c>
      <c r="I428" s="4">
        <f t="shared" si="25"/>
        <v>-0.11671087533156499</v>
      </c>
      <c r="J428" s="16">
        <f t="shared" si="26"/>
        <v>7622.5</v>
      </c>
      <c r="K428" s="16">
        <f t="shared" si="23"/>
        <v>7909</v>
      </c>
    </row>
    <row r="429" spans="1:11" x14ac:dyDescent="0.2">
      <c r="A429" s="2">
        <f ca="1">IFERROR(__xludf.DUMMYFUNCTION("""COMPUTED_VALUE"""),45954.6666666666)</f>
        <v>45954.666666666599</v>
      </c>
      <c r="B429" s="2"/>
      <c r="C429" s="1">
        <v>8300</v>
      </c>
      <c r="D429" s="1">
        <v>8375</v>
      </c>
      <c r="E429" s="1">
        <v>8275</v>
      </c>
      <c r="F429" s="1">
        <v>8275</v>
      </c>
      <c r="G429" s="1">
        <v>133355100</v>
      </c>
      <c r="H429" s="4">
        <f t="shared" si="24"/>
        <v>-6.006006006006006E-3</v>
      </c>
      <c r="I429" s="4">
        <f t="shared" si="25"/>
        <v>-0.1220159151193634</v>
      </c>
      <c r="J429" s="16">
        <f t="shared" si="26"/>
        <v>7655</v>
      </c>
      <c r="K429" s="16">
        <f t="shared" si="23"/>
        <v>7896</v>
      </c>
    </row>
    <row r="430" spans="1:11" x14ac:dyDescent="0.2">
      <c r="A430" s="2">
        <f ca="1">IFERROR(__xludf.DUMMYFUNCTION("""COMPUTED_VALUE"""),45957.6666666666)</f>
        <v>45957.666666666599</v>
      </c>
      <c r="B430" s="2"/>
      <c r="C430" s="1">
        <v>8325</v>
      </c>
      <c r="D430" s="1">
        <v>8425</v>
      </c>
      <c r="E430" s="1">
        <v>8200</v>
      </c>
      <c r="F430" s="1">
        <v>8350</v>
      </c>
      <c r="G430" s="1">
        <v>182275600</v>
      </c>
      <c r="H430" s="4">
        <f t="shared" si="24"/>
        <v>9.0634441087613302E-3</v>
      </c>
      <c r="I430" s="4">
        <f t="shared" si="25"/>
        <v>-0.11405835543766578</v>
      </c>
      <c r="J430" s="16">
        <f t="shared" si="26"/>
        <v>7683.75</v>
      </c>
      <c r="K430" s="16">
        <f t="shared" si="23"/>
        <v>7887.5</v>
      </c>
    </row>
    <row r="431" spans="1:11" x14ac:dyDescent="0.2">
      <c r="A431" s="2">
        <f ca="1">IFERROR(__xludf.DUMMYFUNCTION("""COMPUTED_VALUE"""),45958.6666666666)</f>
        <v>45958.666666666599</v>
      </c>
      <c r="B431" s="2"/>
      <c r="C431" s="1">
        <v>8350</v>
      </c>
      <c r="D431" s="1">
        <v>8400</v>
      </c>
      <c r="E431" s="1">
        <v>8250</v>
      </c>
      <c r="F431" s="1">
        <v>8275</v>
      </c>
      <c r="G431" s="1">
        <v>180270000</v>
      </c>
      <c r="H431" s="4">
        <f t="shared" si="24"/>
        <v>-8.9820359281437123E-3</v>
      </c>
      <c r="I431" s="4">
        <f t="shared" si="25"/>
        <v>-0.1220159151193634</v>
      </c>
      <c r="J431" s="16">
        <f t="shared" si="26"/>
        <v>7716.25</v>
      </c>
      <c r="K431" s="16">
        <f t="shared" si="23"/>
        <v>7879</v>
      </c>
    </row>
    <row r="432" spans="1:11" x14ac:dyDescent="0.2">
      <c r="A432" s="2">
        <f ca="1">IFERROR(__xludf.DUMMYFUNCTION("""COMPUTED_VALUE"""),45959.6666666666)</f>
        <v>45959.666666666599</v>
      </c>
      <c r="B432" s="2"/>
      <c r="C432" s="1">
        <v>8300</v>
      </c>
      <c r="D432" s="1">
        <v>8600</v>
      </c>
      <c r="E432" s="1">
        <v>8275</v>
      </c>
      <c r="F432" s="1">
        <v>8600</v>
      </c>
      <c r="G432" s="1">
        <v>239156800</v>
      </c>
      <c r="H432" s="4">
        <f t="shared" si="24"/>
        <v>3.9274924471299093E-2</v>
      </c>
      <c r="I432" s="4">
        <f t="shared" si="25"/>
        <v>-8.7533156498673742E-2</v>
      </c>
      <c r="J432" s="16">
        <f t="shared" si="26"/>
        <v>7771.25</v>
      </c>
      <c r="K432" s="16">
        <f t="shared" si="23"/>
        <v>7881</v>
      </c>
    </row>
    <row r="433" spans="1:11" x14ac:dyDescent="0.2">
      <c r="A433" s="2">
        <f ca="1">IFERROR(__xludf.DUMMYFUNCTION("""COMPUTED_VALUE"""),45960.6666666666)</f>
        <v>45960.666666666599</v>
      </c>
      <c r="B433" s="2"/>
      <c r="C433" s="1">
        <v>8575</v>
      </c>
      <c r="D433" s="1">
        <v>8750</v>
      </c>
      <c r="E433" s="1">
        <v>8475</v>
      </c>
      <c r="F433" s="1">
        <v>8525</v>
      </c>
      <c r="G433" s="1">
        <v>259009800</v>
      </c>
      <c r="H433" s="4">
        <f t="shared" si="24"/>
        <v>-8.7209302325581394E-3</v>
      </c>
      <c r="I433" s="4">
        <f t="shared" si="25"/>
        <v>-9.5490716180371346E-2</v>
      </c>
      <c r="J433" s="16">
        <f t="shared" si="26"/>
        <v>7822.5</v>
      </c>
      <c r="K433" s="16">
        <f t="shared" si="23"/>
        <v>7881</v>
      </c>
    </row>
    <row r="434" spans="1:11" x14ac:dyDescent="0.2">
      <c r="A434" s="2">
        <f ca="1">IFERROR(__xludf.DUMMYFUNCTION("""COMPUTED_VALUE"""),45961.6666666666)</f>
        <v>45961.666666666599</v>
      </c>
      <c r="B434" s="2"/>
      <c r="C434" s="1">
        <v>8550</v>
      </c>
      <c r="D434" s="1">
        <v>8650</v>
      </c>
      <c r="E434" s="1">
        <v>8525</v>
      </c>
      <c r="F434" s="1">
        <v>8525</v>
      </c>
      <c r="G434" s="1">
        <v>177088000</v>
      </c>
      <c r="H434" s="4">
        <f t="shared" si="24"/>
        <v>0</v>
      </c>
      <c r="I434" s="4">
        <f t="shared" si="25"/>
        <v>-9.5490716180371346E-2</v>
      </c>
      <c r="J434" s="16">
        <f t="shared" si="26"/>
        <v>7872.5</v>
      </c>
      <c r="K434" s="16">
        <f t="shared" si="23"/>
        <v>7880.5</v>
      </c>
    </row>
    <row r="435" spans="1:11" x14ac:dyDescent="0.2">
      <c r="A435" s="2">
        <f ca="1">IFERROR(__xludf.DUMMYFUNCTION("""COMPUTED_VALUE"""),45964.6666666666)</f>
        <v>45964.666666666599</v>
      </c>
      <c r="B435" s="2"/>
      <c r="C435" s="1">
        <v>8650</v>
      </c>
      <c r="D435" s="1">
        <v>8650</v>
      </c>
      <c r="E435" s="1">
        <v>8525</v>
      </c>
      <c r="F435" s="1">
        <v>8650</v>
      </c>
      <c r="G435" s="1">
        <v>115007100</v>
      </c>
      <c r="H435" s="4">
        <f t="shared" si="24"/>
        <v>1.466275659824047E-2</v>
      </c>
      <c r="I435" s="4">
        <f t="shared" si="25"/>
        <v>-8.2228116710875335E-2</v>
      </c>
      <c r="J435" s="16">
        <f t="shared" si="26"/>
        <v>7930</v>
      </c>
      <c r="K435" s="16">
        <f t="shared" si="23"/>
        <v>7884.5</v>
      </c>
    </row>
    <row r="436" spans="1:11" x14ac:dyDescent="0.2">
      <c r="A436" s="2">
        <f ca="1">IFERROR(__xludf.DUMMYFUNCTION("""COMPUTED_VALUE"""),45965.6666666666)</f>
        <v>45965.666666666599</v>
      </c>
      <c r="B436" s="2"/>
      <c r="C436" s="1">
        <v>8650</v>
      </c>
      <c r="D436" s="1">
        <v>8700</v>
      </c>
      <c r="E436" s="1">
        <v>8625</v>
      </c>
      <c r="F436" s="1">
        <v>8650</v>
      </c>
      <c r="G436" s="1">
        <v>155231500</v>
      </c>
      <c r="H436" s="4">
        <f t="shared" si="24"/>
        <v>0</v>
      </c>
      <c r="I436" s="4">
        <f t="shared" si="25"/>
        <v>-8.2228116710875335E-2</v>
      </c>
      <c r="J436" s="16">
        <f t="shared" si="26"/>
        <v>7983.75</v>
      </c>
      <c r="K436" s="16">
        <f t="shared" ref="K436:K474" si="27">AVERAGE(F387:F436)</f>
        <v>7888</v>
      </c>
    </row>
    <row r="437" spans="1:11" x14ac:dyDescent="0.2">
      <c r="A437" s="2">
        <f ca="1">IFERROR(__xludf.DUMMYFUNCTION("""COMPUTED_VALUE"""),45966.6666666666)</f>
        <v>45966.666666666599</v>
      </c>
      <c r="B437" s="2"/>
      <c r="C437" s="1">
        <v>8625</v>
      </c>
      <c r="D437" s="1">
        <v>8700</v>
      </c>
      <c r="E437" s="1">
        <v>8600</v>
      </c>
      <c r="F437" s="1">
        <v>8700</v>
      </c>
      <c r="G437" s="1">
        <v>125731500</v>
      </c>
      <c r="H437" s="4">
        <f t="shared" si="24"/>
        <v>5.7803468208092483E-3</v>
      </c>
      <c r="I437" s="4">
        <f t="shared" si="25"/>
        <v>-7.6923076923076927E-2</v>
      </c>
      <c r="J437" s="16">
        <f t="shared" si="26"/>
        <v>8050</v>
      </c>
      <c r="K437" s="16">
        <f t="shared" si="27"/>
        <v>7897</v>
      </c>
    </row>
    <row r="438" spans="1:11" x14ac:dyDescent="0.2">
      <c r="A438" s="2">
        <f ca="1">IFERROR(__xludf.DUMMYFUNCTION("""COMPUTED_VALUE"""),45967.6666666666)</f>
        <v>45967.666666666599</v>
      </c>
      <c r="B438" s="2"/>
      <c r="C438" s="1">
        <v>8625</v>
      </c>
      <c r="D438" s="1">
        <v>8675</v>
      </c>
      <c r="E438" s="1">
        <v>8550</v>
      </c>
      <c r="F438" s="1">
        <v>8550</v>
      </c>
      <c r="G438" s="1">
        <v>89756900</v>
      </c>
      <c r="H438" s="4">
        <f t="shared" si="24"/>
        <v>-1.7241379310344827E-2</v>
      </c>
      <c r="I438" s="4">
        <f t="shared" si="25"/>
        <v>-9.2838196286472149E-2</v>
      </c>
      <c r="J438" s="16">
        <f t="shared" si="26"/>
        <v>8100</v>
      </c>
      <c r="K438" s="16">
        <f t="shared" si="27"/>
        <v>7902</v>
      </c>
    </row>
    <row r="439" spans="1:11" x14ac:dyDescent="0.2">
      <c r="A439" s="2">
        <f ca="1">IFERROR(__xludf.DUMMYFUNCTION("""COMPUTED_VALUE"""),45968.6666666666)</f>
        <v>45968.666666666599</v>
      </c>
      <c r="B439" s="2"/>
      <c r="C439" s="1">
        <v>8550</v>
      </c>
      <c r="D439" s="1">
        <v>8675</v>
      </c>
      <c r="E439" s="1">
        <v>8550</v>
      </c>
      <c r="F439" s="1">
        <v>8675</v>
      </c>
      <c r="G439" s="1">
        <v>75241900</v>
      </c>
      <c r="H439" s="4">
        <f t="shared" si="24"/>
        <v>1.4619883040935672E-2</v>
      </c>
      <c r="I439" s="4">
        <f t="shared" si="25"/>
        <v>-7.9575596816976124E-2</v>
      </c>
      <c r="J439" s="16">
        <f t="shared" si="26"/>
        <v>8163.75</v>
      </c>
      <c r="K439" s="16">
        <f t="shared" si="27"/>
        <v>7909</v>
      </c>
    </row>
    <row r="440" spans="1:11" x14ac:dyDescent="0.2">
      <c r="A440" s="2">
        <f ca="1">IFERROR(__xludf.DUMMYFUNCTION("""COMPUTED_VALUE"""),45971.6666666666)</f>
        <v>45971.666666666599</v>
      </c>
      <c r="B440" s="2"/>
      <c r="C440" s="1">
        <v>8675</v>
      </c>
      <c r="D440" s="1">
        <v>8675</v>
      </c>
      <c r="E440" s="1">
        <v>8575</v>
      </c>
      <c r="F440" s="1">
        <v>8575</v>
      </c>
      <c r="G440" s="1">
        <v>79897700</v>
      </c>
      <c r="H440" s="4">
        <f t="shared" si="24"/>
        <v>-1.1527377521613832E-2</v>
      </c>
      <c r="I440" s="4">
        <f t="shared" si="25"/>
        <v>-9.0185676392572939E-2</v>
      </c>
      <c r="J440" s="16">
        <f t="shared" si="26"/>
        <v>8226.25</v>
      </c>
      <c r="K440" s="16">
        <f t="shared" si="27"/>
        <v>7919</v>
      </c>
    </row>
    <row r="441" spans="1:11" x14ac:dyDescent="0.2">
      <c r="A441" s="2">
        <f ca="1">IFERROR(__xludf.DUMMYFUNCTION("""COMPUTED_VALUE"""),45972.6666666666)</f>
        <v>45972.666666666599</v>
      </c>
      <c r="B441" s="2"/>
      <c r="C441" s="1">
        <v>8575</v>
      </c>
      <c r="D441" s="1">
        <v>8600</v>
      </c>
      <c r="E441" s="1">
        <v>8400</v>
      </c>
      <c r="F441" s="1">
        <v>8400</v>
      </c>
      <c r="G441" s="1">
        <v>130897600</v>
      </c>
      <c r="H441" s="4">
        <f t="shared" si="24"/>
        <v>-2.0408163265306121E-2</v>
      </c>
      <c r="I441" s="4">
        <f t="shared" si="25"/>
        <v>-0.10875331564986737</v>
      </c>
      <c r="J441" s="16">
        <f t="shared" si="26"/>
        <v>8283.75</v>
      </c>
      <c r="K441" s="16">
        <f t="shared" si="27"/>
        <v>7927</v>
      </c>
    </row>
    <row r="442" spans="1:11" x14ac:dyDescent="0.2">
      <c r="A442" s="2">
        <f ca="1">IFERROR(__xludf.DUMMYFUNCTION("""COMPUTED_VALUE"""),45973.6666666666)</f>
        <v>45973.666666666599</v>
      </c>
      <c r="B442" s="2"/>
      <c r="C442" s="1">
        <v>8425</v>
      </c>
      <c r="D442" s="1">
        <v>8550</v>
      </c>
      <c r="E442" s="1">
        <v>8400</v>
      </c>
      <c r="F442" s="1">
        <v>8500</v>
      </c>
      <c r="G442" s="1">
        <v>85415600</v>
      </c>
      <c r="H442" s="4">
        <f t="shared" si="24"/>
        <v>1.1904761904761904E-2</v>
      </c>
      <c r="I442" s="4">
        <f t="shared" si="25"/>
        <v>-9.8143236074270557E-2</v>
      </c>
      <c r="J442" s="16">
        <f t="shared" si="26"/>
        <v>8346.25</v>
      </c>
      <c r="K442" s="16">
        <f t="shared" si="27"/>
        <v>7937</v>
      </c>
    </row>
    <row r="443" spans="1:11" x14ac:dyDescent="0.2">
      <c r="A443" s="2">
        <f ca="1">IFERROR(__xludf.DUMMYFUNCTION("""COMPUTED_VALUE"""),45974.6666666666)</f>
        <v>45974.666666666599</v>
      </c>
      <c r="B443" s="2"/>
      <c r="C443" s="1">
        <v>8400</v>
      </c>
      <c r="D443" s="1">
        <v>8475</v>
      </c>
      <c r="E443" s="1">
        <v>8375</v>
      </c>
      <c r="F443" s="1">
        <v>8375</v>
      </c>
      <c r="G443" s="1">
        <v>104113800</v>
      </c>
      <c r="H443" s="4">
        <f t="shared" si="24"/>
        <v>-1.4705882352941176E-2</v>
      </c>
      <c r="I443" s="4">
        <f t="shared" si="25"/>
        <v>-0.11140583554376658</v>
      </c>
      <c r="J443" s="16">
        <f t="shared" si="26"/>
        <v>8400</v>
      </c>
      <c r="K443" s="16">
        <f t="shared" si="27"/>
        <v>7945</v>
      </c>
    </row>
    <row r="444" spans="1:11" x14ac:dyDescent="0.2">
      <c r="A444" s="2">
        <f ca="1">IFERROR(__xludf.DUMMYFUNCTION("""COMPUTED_VALUE"""),45975.6666666666)</f>
        <v>45975.666666666599</v>
      </c>
      <c r="B444" s="2"/>
      <c r="C444" s="1">
        <v>8375</v>
      </c>
      <c r="D444" s="1">
        <v>8500</v>
      </c>
      <c r="E444" s="1">
        <v>8375</v>
      </c>
      <c r="F444" s="1">
        <v>8425</v>
      </c>
      <c r="G444" s="1">
        <v>89815300</v>
      </c>
      <c r="H444" s="4">
        <f t="shared" si="24"/>
        <v>5.9701492537313433E-3</v>
      </c>
      <c r="I444" s="4">
        <f t="shared" si="25"/>
        <v>-0.10610079575596817</v>
      </c>
      <c r="J444" s="16">
        <f t="shared" si="26"/>
        <v>8446.25</v>
      </c>
      <c r="K444" s="16">
        <f t="shared" si="27"/>
        <v>7953.5</v>
      </c>
    </row>
    <row r="445" spans="1:11" x14ac:dyDescent="0.2">
      <c r="A445" s="2">
        <f ca="1">IFERROR(__xludf.DUMMYFUNCTION("""COMPUTED_VALUE"""),45978.6666666666)</f>
        <v>45978.666666666599</v>
      </c>
      <c r="B445" s="2"/>
      <c r="C445" s="1">
        <v>8500</v>
      </c>
      <c r="D445" s="1">
        <v>8575</v>
      </c>
      <c r="E445" s="1">
        <v>8475</v>
      </c>
      <c r="F445" s="1">
        <v>8575</v>
      </c>
      <c r="G445" s="1">
        <v>129411100</v>
      </c>
      <c r="H445" s="4">
        <f t="shared" si="24"/>
        <v>1.7804154302670624E-2</v>
      </c>
      <c r="I445" s="4">
        <f t="shared" si="25"/>
        <v>-9.0185676392572939E-2</v>
      </c>
      <c r="J445" s="16">
        <f t="shared" si="26"/>
        <v>8481.25</v>
      </c>
      <c r="K445" s="16">
        <f t="shared" si="27"/>
        <v>7971</v>
      </c>
    </row>
    <row r="446" spans="1:11" x14ac:dyDescent="0.2">
      <c r="A446" s="2">
        <f ca="1">IFERROR(__xludf.DUMMYFUNCTION("""COMPUTED_VALUE"""),45979.6666666666)</f>
        <v>45979.666666666599</v>
      </c>
      <c r="B446" s="2"/>
      <c r="C446" s="1">
        <v>8550</v>
      </c>
      <c r="D446" s="1">
        <v>8575</v>
      </c>
      <c r="E446" s="1">
        <v>8400</v>
      </c>
      <c r="F446" s="1">
        <v>8400</v>
      </c>
      <c r="G446" s="1">
        <v>119377900</v>
      </c>
      <c r="H446" s="4">
        <f t="shared" si="24"/>
        <v>-2.0408163265306121E-2</v>
      </c>
      <c r="I446" s="4">
        <f t="shared" si="25"/>
        <v>-0.10875331564986737</v>
      </c>
      <c r="J446" s="16">
        <f t="shared" si="26"/>
        <v>8477.5</v>
      </c>
      <c r="K446" s="16">
        <f t="shared" si="27"/>
        <v>7988.5</v>
      </c>
    </row>
    <row r="447" spans="1:11" x14ac:dyDescent="0.2">
      <c r="A447" s="2">
        <f ca="1">IFERROR(__xludf.DUMMYFUNCTION("""COMPUTED_VALUE"""),45980.6666666666)</f>
        <v>45980.666666666599</v>
      </c>
      <c r="B447" s="2"/>
      <c r="C447" s="1">
        <v>8350</v>
      </c>
      <c r="D447" s="1">
        <v>8500</v>
      </c>
      <c r="E447" s="1">
        <v>8325</v>
      </c>
      <c r="F447" s="1">
        <v>8475</v>
      </c>
      <c r="G447" s="1">
        <v>114209700</v>
      </c>
      <c r="H447" s="4">
        <f t="shared" si="24"/>
        <v>8.9285714285714281E-3</v>
      </c>
      <c r="I447" s="4">
        <f t="shared" si="25"/>
        <v>-0.10079575596816977</v>
      </c>
      <c r="J447" s="16">
        <f t="shared" si="26"/>
        <v>8491.25</v>
      </c>
      <c r="K447" s="16">
        <f t="shared" si="27"/>
        <v>8002</v>
      </c>
    </row>
    <row r="448" spans="1:11" x14ac:dyDescent="0.2">
      <c r="A448" s="2">
        <f ca="1">IFERROR(__xludf.DUMMYFUNCTION("""COMPUTED_VALUE"""),45981.6666666666)</f>
        <v>45981.666666666599</v>
      </c>
      <c r="B448" s="2"/>
      <c r="C448" s="1">
        <v>8475</v>
      </c>
      <c r="D448" s="1">
        <v>8600</v>
      </c>
      <c r="E448" s="1">
        <v>8400</v>
      </c>
      <c r="F448" s="1">
        <v>8425</v>
      </c>
      <c r="G448" s="1">
        <v>124087400</v>
      </c>
      <c r="H448" s="4">
        <f t="shared" si="24"/>
        <v>-5.8997050147492625E-3</v>
      </c>
      <c r="I448" s="4">
        <f t="shared" si="25"/>
        <v>-0.10610079575596817</v>
      </c>
      <c r="J448" s="16">
        <f t="shared" si="26"/>
        <v>8496.25</v>
      </c>
      <c r="K448" s="16">
        <f t="shared" si="27"/>
        <v>8013.5</v>
      </c>
    </row>
    <row r="449" spans="1:11" x14ac:dyDescent="0.2">
      <c r="A449" s="2">
        <f ca="1">IFERROR(__xludf.DUMMYFUNCTION("""COMPUTED_VALUE"""),45982.6666666666)</f>
        <v>45982.666666666599</v>
      </c>
      <c r="B449" s="2"/>
      <c r="C449" s="1">
        <v>8375</v>
      </c>
      <c r="D449" s="1">
        <v>8425</v>
      </c>
      <c r="E449" s="1">
        <v>8350</v>
      </c>
      <c r="F449" s="1">
        <v>8400</v>
      </c>
      <c r="G449" s="1">
        <v>103917100</v>
      </c>
      <c r="H449" s="4">
        <f t="shared" si="24"/>
        <v>-2.967359050445104E-3</v>
      </c>
      <c r="I449" s="4">
        <f t="shared" si="25"/>
        <v>-0.10875331564986737</v>
      </c>
      <c r="J449" s="16">
        <f t="shared" si="26"/>
        <v>8502.5</v>
      </c>
      <c r="K449" s="16">
        <f t="shared" si="27"/>
        <v>8023</v>
      </c>
    </row>
    <row r="450" spans="1:11" x14ac:dyDescent="0.2">
      <c r="A450" s="2">
        <f ca="1">IFERROR(__xludf.DUMMYFUNCTION("""COMPUTED_VALUE"""),45985.6666666666)</f>
        <v>45985.666666666599</v>
      </c>
      <c r="B450" s="2"/>
      <c r="C450" s="1">
        <v>8400</v>
      </c>
      <c r="D450" s="1">
        <v>8475</v>
      </c>
      <c r="E450" s="1">
        <v>8350</v>
      </c>
      <c r="F450" s="1">
        <v>8475</v>
      </c>
      <c r="G450" s="1">
        <v>279590600</v>
      </c>
      <c r="H450" s="4">
        <f t="shared" si="24"/>
        <v>8.9285714285714281E-3</v>
      </c>
      <c r="I450" s="4">
        <f t="shared" si="25"/>
        <v>-0.10079575596816977</v>
      </c>
      <c r="J450" s="16">
        <f t="shared" si="26"/>
        <v>8508.75</v>
      </c>
      <c r="K450" s="16">
        <f t="shared" si="27"/>
        <v>8032</v>
      </c>
    </row>
    <row r="451" spans="1:11" x14ac:dyDescent="0.2">
      <c r="A451" s="2">
        <f ca="1">IFERROR(__xludf.DUMMYFUNCTION("""COMPUTED_VALUE"""),45986.6666666666)</f>
        <v>45986.666666666599</v>
      </c>
      <c r="B451" s="2"/>
      <c r="C451" s="1">
        <v>8475</v>
      </c>
      <c r="D451" s="1">
        <v>8500</v>
      </c>
      <c r="E451" s="1">
        <v>8375</v>
      </c>
      <c r="F451" s="1">
        <v>8500</v>
      </c>
      <c r="G451" s="1">
        <v>98807700</v>
      </c>
      <c r="H451" s="4">
        <f t="shared" si="24"/>
        <v>2.9498525073746312E-3</v>
      </c>
      <c r="I451" s="4">
        <f t="shared" si="25"/>
        <v>-9.8143236074270557E-2</v>
      </c>
      <c r="J451" s="16">
        <f t="shared" si="26"/>
        <v>8520</v>
      </c>
      <c r="K451" s="16">
        <f t="shared" si="27"/>
        <v>8043.5</v>
      </c>
    </row>
    <row r="452" spans="1:11" x14ac:dyDescent="0.2">
      <c r="A452" s="2">
        <f ca="1">IFERROR(__xludf.DUMMYFUNCTION("""COMPUTED_VALUE"""),45987.6666666666)</f>
        <v>45987.666666666599</v>
      </c>
      <c r="B452" s="2"/>
      <c r="C452" s="1">
        <v>8400</v>
      </c>
      <c r="D452" s="1">
        <v>8450</v>
      </c>
      <c r="E452" s="1">
        <v>8375</v>
      </c>
      <c r="F452" s="1">
        <v>8425</v>
      </c>
      <c r="G452" s="1">
        <v>77094400</v>
      </c>
      <c r="H452" s="4">
        <f t="shared" ref="H452:H474" si="28">(F452-F451)/F451</f>
        <v>-8.8235294117647058E-3</v>
      </c>
      <c r="I452" s="4">
        <f t="shared" ref="I452:I474" si="29">(F452-$F$2)/$F$2</f>
        <v>-0.10610079575596817</v>
      </c>
      <c r="J452" s="16">
        <f t="shared" si="26"/>
        <v>8511.25</v>
      </c>
      <c r="K452" s="16">
        <f t="shared" si="27"/>
        <v>8055</v>
      </c>
    </row>
    <row r="453" spans="1:11" x14ac:dyDescent="0.2">
      <c r="A453" s="2">
        <f ca="1">IFERROR(__xludf.DUMMYFUNCTION("""COMPUTED_VALUE"""),45988.6666666666)</f>
        <v>45988.666666666599</v>
      </c>
      <c r="B453" s="2"/>
      <c r="C453" s="1">
        <v>8425</v>
      </c>
      <c r="D453" s="1">
        <v>8450</v>
      </c>
      <c r="E453" s="1">
        <v>8325</v>
      </c>
      <c r="F453" s="1">
        <v>8325</v>
      </c>
      <c r="G453" s="1">
        <v>71051300</v>
      </c>
      <c r="H453" s="4">
        <f t="shared" si="28"/>
        <v>-1.1869436201780416E-2</v>
      </c>
      <c r="I453" s="4">
        <f t="shared" si="29"/>
        <v>-0.11671087533156499</v>
      </c>
      <c r="J453" s="16">
        <f t="shared" si="26"/>
        <v>8501.25</v>
      </c>
      <c r="K453" s="16">
        <f t="shared" si="27"/>
        <v>8067.5</v>
      </c>
    </row>
    <row r="454" spans="1:11" x14ac:dyDescent="0.2">
      <c r="A454" s="2">
        <f ca="1">IFERROR(__xludf.DUMMYFUNCTION("""COMPUTED_VALUE"""),45989.6666666666)</f>
        <v>45989.666666666599</v>
      </c>
      <c r="B454" s="2"/>
      <c r="C454" s="1">
        <v>8325</v>
      </c>
      <c r="D454" s="1">
        <v>8350</v>
      </c>
      <c r="E454" s="1">
        <v>8275</v>
      </c>
      <c r="F454" s="1">
        <v>8275</v>
      </c>
      <c r="G454" s="1">
        <v>67559300</v>
      </c>
      <c r="H454" s="4">
        <f t="shared" si="28"/>
        <v>-6.006006006006006E-3</v>
      </c>
      <c r="I454" s="4">
        <f t="shared" si="29"/>
        <v>-0.1220159151193634</v>
      </c>
      <c r="J454" s="16">
        <f t="shared" si="26"/>
        <v>8488.75</v>
      </c>
      <c r="K454" s="16">
        <f t="shared" si="27"/>
        <v>8077</v>
      </c>
    </row>
    <row r="455" spans="1:11" x14ac:dyDescent="0.2">
      <c r="A455" s="2">
        <f ca="1">IFERROR(__xludf.DUMMYFUNCTION("""COMPUTED_VALUE"""),45992.6666666666)</f>
        <v>45992.666666666599</v>
      </c>
      <c r="B455" s="2"/>
      <c r="C455" s="1">
        <v>8450</v>
      </c>
      <c r="D455" s="1">
        <v>8450</v>
      </c>
      <c r="E455" s="1">
        <v>8350</v>
      </c>
      <c r="F455" s="1">
        <v>8400</v>
      </c>
      <c r="G455" s="1">
        <v>76359200</v>
      </c>
      <c r="H455" s="4">
        <f t="shared" si="28"/>
        <v>1.5105740181268883E-2</v>
      </c>
      <c r="I455" s="4">
        <f t="shared" si="29"/>
        <v>-0.10875331564986737</v>
      </c>
      <c r="J455" s="16">
        <f t="shared" si="26"/>
        <v>8476.25</v>
      </c>
      <c r="K455" s="16">
        <f t="shared" si="27"/>
        <v>8090.5</v>
      </c>
    </row>
    <row r="456" spans="1:11" x14ac:dyDescent="0.2">
      <c r="A456" s="2">
        <f ca="1">IFERROR(__xludf.DUMMYFUNCTION("""COMPUTED_VALUE"""),45993.6666666666)</f>
        <v>45993.666666666599</v>
      </c>
      <c r="B456" s="2"/>
      <c r="C456" s="1">
        <v>8350</v>
      </c>
      <c r="D456" s="1">
        <v>8425</v>
      </c>
      <c r="E456" s="1">
        <v>8350</v>
      </c>
      <c r="F456" s="1">
        <v>8375</v>
      </c>
      <c r="G456" s="1">
        <v>97044000</v>
      </c>
      <c r="H456" s="4">
        <f t="shared" si="28"/>
        <v>-2.976190476190476E-3</v>
      </c>
      <c r="I456" s="4">
        <f t="shared" si="29"/>
        <v>-0.11140583554376658</v>
      </c>
      <c r="J456" s="16">
        <f t="shared" si="26"/>
        <v>8462.5</v>
      </c>
      <c r="K456" s="16">
        <f t="shared" si="27"/>
        <v>8100.5</v>
      </c>
    </row>
    <row r="457" spans="1:11" x14ac:dyDescent="0.2">
      <c r="A457" s="2">
        <f ca="1">IFERROR(__xludf.DUMMYFUNCTION("""COMPUTED_VALUE"""),45994.6666666666)</f>
        <v>45994.666666666599</v>
      </c>
      <c r="B457" s="2"/>
      <c r="C457" s="1">
        <v>8350</v>
      </c>
      <c r="D457" s="1">
        <v>8400</v>
      </c>
      <c r="E457" s="1">
        <v>8300</v>
      </c>
      <c r="F457" s="1">
        <v>8300</v>
      </c>
      <c r="G457" s="1">
        <v>103550900</v>
      </c>
      <c r="H457" s="4">
        <f t="shared" si="28"/>
        <v>-8.9552238805970154E-3</v>
      </c>
      <c r="I457" s="4">
        <f t="shared" si="29"/>
        <v>-0.11936339522546419</v>
      </c>
      <c r="J457" s="16">
        <f t="shared" si="26"/>
        <v>8442.5</v>
      </c>
      <c r="K457" s="16">
        <f t="shared" si="27"/>
        <v>8111</v>
      </c>
    </row>
    <row r="458" spans="1:11" x14ac:dyDescent="0.2">
      <c r="A458" s="2">
        <f ca="1">IFERROR(__xludf.DUMMYFUNCTION("""COMPUTED_VALUE"""),45995.6666666666)</f>
        <v>45995.666666666599</v>
      </c>
      <c r="B458" s="2"/>
      <c r="C458" s="1">
        <v>8325</v>
      </c>
      <c r="D458" s="1">
        <v>8350</v>
      </c>
      <c r="E458" s="1">
        <v>8225</v>
      </c>
      <c r="F458" s="1">
        <v>8225</v>
      </c>
      <c r="G458" s="1">
        <v>71410400</v>
      </c>
      <c r="H458" s="4">
        <f t="shared" si="28"/>
        <v>-9.0361445783132526E-3</v>
      </c>
      <c r="I458" s="4">
        <f t="shared" si="29"/>
        <v>-0.1273209549071618</v>
      </c>
      <c r="J458" s="16">
        <f t="shared" si="26"/>
        <v>8426.25</v>
      </c>
      <c r="K458" s="16">
        <f t="shared" si="27"/>
        <v>8121.5</v>
      </c>
    </row>
    <row r="459" spans="1:11" x14ac:dyDescent="0.2">
      <c r="A459" s="2">
        <f ca="1">IFERROR(__xludf.DUMMYFUNCTION("""COMPUTED_VALUE"""),45996.6666666666)</f>
        <v>45996.666666666599</v>
      </c>
      <c r="B459" s="2"/>
      <c r="C459" s="1">
        <v>8200</v>
      </c>
      <c r="D459" s="1">
        <v>8300</v>
      </c>
      <c r="E459" s="1">
        <v>8200</v>
      </c>
      <c r="F459" s="1">
        <v>8300</v>
      </c>
      <c r="G459" s="1">
        <v>71162300</v>
      </c>
      <c r="H459" s="4">
        <f t="shared" si="28"/>
        <v>9.11854103343465E-3</v>
      </c>
      <c r="I459" s="4">
        <f t="shared" si="29"/>
        <v>-0.11936339522546419</v>
      </c>
      <c r="J459" s="16">
        <f t="shared" si="26"/>
        <v>8407.5</v>
      </c>
      <c r="K459" s="16">
        <f t="shared" si="27"/>
        <v>8135</v>
      </c>
    </row>
    <row r="460" spans="1:11" x14ac:dyDescent="0.2">
      <c r="A460" s="2">
        <f ca="1">IFERROR(__xludf.DUMMYFUNCTION("""COMPUTED_VALUE"""),45999.6666666666)</f>
        <v>45999.666666666599</v>
      </c>
      <c r="B460" s="2"/>
      <c r="C460" s="1">
        <v>8350</v>
      </c>
      <c r="D460" s="1">
        <v>8350</v>
      </c>
      <c r="E460" s="1">
        <v>8250</v>
      </c>
      <c r="F460" s="1">
        <v>8300</v>
      </c>
      <c r="G460" s="1">
        <v>61745200</v>
      </c>
      <c r="H460" s="4">
        <f t="shared" si="28"/>
        <v>0</v>
      </c>
      <c r="I460" s="4">
        <f t="shared" si="29"/>
        <v>-0.11936339522546419</v>
      </c>
      <c r="J460" s="16">
        <f t="shared" si="26"/>
        <v>8393.75</v>
      </c>
      <c r="K460" s="16">
        <f t="shared" si="27"/>
        <v>8145.5</v>
      </c>
    </row>
    <row r="461" spans="1:11" x14ac:dyDescent="0.2">
      <c r="A461" s="2">
        <f ca="1">IFERROR(__xludf.DUMMYFUNCTION("""COMPUTED_VALUE"""),46000.6666666666)</f>
        <v>46000.666666666599</v>
      </c>
      <c r="B461" s="2"/>
      <c r="C461" s="1">
        <v>8300</v>
      </c>
      <c r="D461" s="1">
        <v>8300</v>
      </c>
      <c r="E461" s="1">
        <v>8100</v>
      </c>
      <c r="F461" s="1">
        <v>8100</v>
      </c>
      <c r="G461" s="1">
        <v>113057200</v>
      </c>
      <c r="H461" s="4">
        <f t="shared" si="28"/>
        <v>-2.4096385542168676E-2</v>
      </c>
      <c r="I461" s="4">
        <f t="shared" si="29"/>
        <v>-0.14058355437665782</v>
      </c>
      <c r="J461" s="16">
        <f t="shared" si="26"/>
        <v>8378.75</v>
      </c>
      <c r="K461" s="16">
        <f t="shared" si="27"/>
        <v>8155</v>
      </c>
    </row>
    <row r="462" spans="1:11" x14ac:dyDescent="0.2">
      <c r="A462" s="2">
        <f ca="1">IFERROR(__xludf.DUMMYFUNCTION("""COMPUTED_VALUE"""),46001.6666666666)</f>
        <v>46001.666666666599</v>
      </c>
      <c r="B462" s="2"/>
      <c r="C462" s="1">
        <v>8100</v>
      </c>
      <c r="D462" s="1">
        <v>8175</v>
      </c>
      <c r="E462" s="1">
        <v>8025</v>
      </c>
      <c r="F462" s="1">
        <v>8075</v>
      </c>
      <c r="G462" s="1">
        <v>143418300</v>
      </c>
      <c r="H462" s="4">
        <f t="shared" si="28"/>
        <v>-3.0864197530864196E-3</v>
      </c>
      <c r="I462" s="4">
        <f t="shared" si="29"/>
        <v>-0.14323607427055704</v>
      </c>
      <c r="J462" s="16">
        <f t="shared" si="26"/>
        <v>8357.5</v>
      </c>
      <c r="K462" s="16">
        <f t="shared" si="27"/>
        <v>8166.5</v>
      </c>
    </row>
    <row r="463" spans="1:11" x14ac:dyDescent="0.2">
      <c r="A463" s="2">
        <f ca="1">IFERROR(__xludf.DUMMYFUNCTION("""COMPUTED_VALUE"""),46002.6666666666)</f>
        <v>46002.666666666599</v>
      </c>
      <c r="B463" s="2"/>
      <c r="C463" s="1">
        <v>8175</v>
      </c>
      <c r="D463" s="1">
        <v>8200</v>
      </c>
      <c r="E463" s="1">
        <v>7900</v>
      </c>
      <c r="F463" s="1">
        <v>8000</v>
      </c>
      <c r="G463" s="1">
        <v>140766000</v>
      </c>
      <c r="H463" s="4">
        <f t="shared" si="28"/>
        <v>-9.2879256965944269E-3</v>
      </c>
      <c r="I463" s="4">
        <f t="shared" si="29"/>
        <v>-0.15119363395225463</v>
      </c>
      <c r="J463" s="16">
        <f t="shared" si="26"/>
        <v>8338.75</v>
      </c>
      <c r="K463" s="16">
        <f t="shared" si="27"/>
        <v>8176.5</v>
      </c>
    </row>
    <row r="464" spans="1:11" x14ac:dyDescent="0.2">
      <c r="A464" s="2">
        <f ca="1">IFERROR(__xludf.DUMMYFUNCTION("""COMPUTED_VALUE"""),46003.6666666666)</f>
        <v>46003.666666666599</v>
      </c>
      <c r="B464" s="2"/>
      <c r="C464" s="1">
        <v>7900</v>
      </c>
      <c r="D464" s="1">
        <v>8000</v>
      </c>
      <c r="E464" s="1">
        <v>7850</v>
      </c>
      <c r="F464" s="1">
        <v>8000</v>
      </c>
      <c r="G464" s="1">
        <v>100006800</v>
      </c>
      <c r="H464" s="4">
        <f t="shared" si="28"/>
        <v>0</v>
      </c>
      <c r="I464" s="4">
        <f t="shared" si="29"/>
        <v>-0.15119363395225463</v>
      </c>
      <c r="J464" s="16">
        <f t="shared" si="26"/>
        <v>8317.5</v>
      </c>
      <c r="K464" s="16">
        <f t="shared" si="27"/>
        <v>8186</v>
      </c>
    </row>
    <row r="465" spans="1:11" x14ac:dyDescent="0.2">
      <c r="A465" s="2">
        <f ca="1">IFERROR(__xludf.DUMMYFUNCTION("""COMPUTED_VALUE"""),46006.6666666666)</f>
        <v>46006.666666666599</v>
      </c>
      <c r="B465" s="2"/>
      <c r="C465" s="1">
        <v>7925</v>
      </c>
      <c r="D465" s="1">
        <v>8300</v>
      </c>
      <c r="E465" s="1">
        <v>7925</v>
      </c>
      <c r="F465" s="1">
        <v>8300</v>
      </c>
      <c r="G465" s="1">
        <v>143105700</v>
      </c>
      <c r="H465" s="4">
        <f t="shared" si="28"/>
        <v>3.7499999999999999E-2</v>
      </c>
      <c r="I465" s="4">
        <f t="shared" si="29"/>
        <v>-0.11936339522546419</v>
      </c>
      <c r="J465" s="16">
        <f t="shared" si="26"/>
        <v>8303.75</v>
      </c>
      <c r="K465" s="16">
        <f t="shared" si="27"/>
        <v>8202</v>
      </c>
    </row>
    <row r="466" spans="1:11" x14ac:dyDescent="0.2">
      <c r="A466" s="2">
        <f ca="1">IFERROR(__xludf.DUMMYFUNCTION("""COMPUTED_VALUE"""),46007.6666666666)</f>
        <v>46007.666666666599</v>
      </c>
      <c r="B466" s="2"/>
      <c r="C466" s="1">
        <v>8375</v>
      </c>
      <c r="D466" s="1">
        <v>8375</v>
      </c>
      <c r="E466" s="1">
        <v>8025</v>
      </c>
      <c r="F466" s="1">
        <v>8075</v>
      </c>
      <c r="G466" s="1">
        <v>122332000</v>
      </c>
      <c r="H466" s="4">
        <f t="shared" si="28"/>
        <v>-2.710843373493976E-2</v>
      </c>
      <c r="I466" s="4">
        <f t="shared" si="29"/>
        <v>-0.14323607427055704</v>
      </c>
      <c r="J466" s="16">
        <f t="shared" si="26"/>
        <v>8287.5</v>
      </c>
      <c r="K466" s="16">
        <f t="shared" si="27"/>
        <v>8212</v>
      </c>
    </row>
    <row r="467" spans="1:11" x14ac:dyDescent="0.2">
      <c r="A467" s="2">
        <f ca="1">IFERROR(__xludf.DUMMYFUNCTION("""COMPUTED_VALUE"""),46008.6666666666)</f>
        <v>46008.666666666599</v>
      </c>
      <c r="B467" s="2"/>
      <c r="C467" s="1">
        <v>8000</v>
      </c>
      <c r="D467" s="1">
        <v>8125</v>
      </c>
      <c r="E467" s="1">
        <v>7975</v>
      </c>
      <c r="F467" s="1">
        <v>8025</v>
      </c>
      <c r="G467" s="1">
        <v>89802700</v>
      </c>
      <c r="H467" s="4">
        <f t="shared" si="28"/>
        <v>-6.1919504643962852E-3</v>
      </c>
      <c r="I467" s="4">
        <f t="shared" si="29"/>
        <v>-0.14854111405835543</v>
      </c>
      <c r="J467" s="16">
        <f t="shared" si="26"/>
        <v>8265</v>
      </c>
      <c r="K467" s="16">
        <f t="shared" si="27"/>
        <v>8225</v>
      </c>
    </row>
    <row r="468" spans="1:11" x14ac:dyDescent="0.2">
      <c r="A468" s="2">
        <f ca="1">IFERROR(__xludf.DUMMYFUNCTION("""COMPUTED_VALUE"""),46009.6666666666)</f>
        <v>46009.666666666599</v>
      </c>
      <c r="B468" s="2"/>
      <c r="C468" s="1">
        <v>8025</v>
      </c>
      <c r="D468" s="1">
        <v>8250</v>
      </c>
      <c r="E468" s="1">
        <v>8025</v>
      </c>
      <c r="F468" s="1">
        <v>8175</v>
      </c>
      <c r="G468" s="1">
        <v>88497200</v>
      </c>
      <c r="H468" s="4">
        <f t="shared" si="28"/>
        <v>1.8691588785046728E-2</v>
      </c>
      <c r="I468" s="4">
        <f t="shared" si="29"/>
        <v>-0.13262599469496023</v>
      </c>
      <c r="J468" s="16">
        <f t="shared" si="26"/>
        <v>8252.5</v>
      </c>
      <c r="K468" s="16">
        <f t="shared" si="27"/>
        <v>8237.5</v>
      </c>
    </row>
    <row r="469" spans="1:11" x14ac:dyDescent="0.2">
      <c r="A469" s="2">
        <f ca="1">IFERROR(__xludf.DUMMYFUNCTION("""COMPUTED_VALUE"""),46010.6666666666)</f>
        <v>46010.666666666599</v>
      </c>
      <c r="B469" s="2"/>
      <c r="C469" s="1">
        <v>8200</v>
      </c>
      <c r="D469" s="1">
        <v>8225</v>
      </c>
      <c r="E469" s="1">
        <v>8050</v>
      </c>
      <c r="F469" s="1">
        <v>8050</v>
      </c>
      <c r="G469" s="1">
        <v>131069800</v>
      </c>
      <c r="H469" s="4">
        <f t="shared" si="28"/>
        <v>-1.5290519877675841E-2</v>
      </c>
      <c r="I469" s="4">
        <f t="shared" si="29"/>
        <v>-0.14588859416445624</v>
      </c>
      <c r="J469" s="16">
        <f t="shared" si="26"/>
        <v>8235</v>
      </c>
      <c r="K469" s="16">
        <f t="shared" si="27"/>
        <v>8250.5</v>
      </c>
    </row>
    <row r="470" spans="1:11" x14ac:dyDescent="0.2">
      <c r="A470" s="2">
        <f ca="1">IFERROR(__xludf.DUMMYFUNCTION("""COMPUTED_VALUE"""),46013.6666666666)</f>
        <v>46013.666666666599</v>
      </c>
      <c r="B470" s="2"/>
      <c r="C470" s="1">
        <v>8050</v>
      </c>
      <c r="D470" s="1">
        <v>8175</v>
      </c>
      <c r="E470" s="1">
        <v>8025</v>
      </c>
      <c r="F470" s="1">
        <v>8175</v>
      </c>
      <c r="G470" s="1">
        <v>72424200</v>
      </c>
      <c r="H470" s="4">
        <f t="shared" si="28"/>
        <v>1.5527950310559006E-2</v>
      </c>
      <c r="I470" s="4">
        <f t="shared" si="29"/>
        <v>-0.13262599469496023</v>
      </c>
      <c r="J470" s="16">
        <f t="shared" ref="J470:J474" si="30">AVERAGE(F451:F470)</f>
        <v>8220</v>
      </c>
      <c r="K470" s="16">
        <f t="shared" si="27"/>
        <v>8267.5</v>
      </c>
    </row>
    <row r="471" spans="1:11" x14ac:dyDescent="0.2">
      <c r="A471" s="2">
        <f ca="1">IFERROR(__xludf.DUMMYFUNCTION("""COMPUTED_VALUE"""),46014.6666666666)</f>
        <v>46014.666666666599</v>
      </c>
      <c r="B471" s="2"/>
      <c r="C471" s="1">
        <v>8100</v>
      </c>
      <c r="D471" s="1">
        <v>8125</v>
      </c>
      <c r="E471" s="1">
        <v>7975</v>
      </c>
      <c r="F471" s="1">
        <v>8025</v>
      </c>
      <c r="G471" s="1">
        <v>85044100</v>
      </c>
      <c r="H471" s="4">
        <f t="shared" si="28"/>
        <v>-1.834862385321101E-2</v>
      </c>
      <c r="I471" s="4">
        <f t="shared" si="29"/>
        <v>-0.14854111405835543</v>
      </c>
      <c r="J471" s="16">
        <f t="shared" si="30"/>
        <v>8196.25</v>
      </c>
      <c r="K471" s="16">
        <f t="shared" si="27"/>
        <v>8283</v>
      </c>
    </row>
    <row r="472" spans="1:11" x14ac:dyDescent="0.2">
      <c r="A472" s="2">
        <f ca="1">IFERROR(__xludf.DUMMYFUNCTION("""COMPUTED_VALUE"""),46015.6666666666)</f>
        <v>46015.666666666599</v>
      </c>
      <c r="B472" s="2"/>
      <c r="C472" s="1">
        <v>8025</v>
      </c>
      <c r="D472" s="1">
        <v>8075</v>
      </c>
      <c r="E472" s="1">
        <v>8000</v>
      </c>
      <c r="F472" s="1">
        <v>8025</v>
      </c>
      <c r="G472" s="1">
        <v>71260500</v>
      </c>
      <c r="H472" s="4">
        <f t="shared" si="28"/>
        <v>0</v>
      </c>
      <c r="I472" s="4">
        <f t="shared" si="29"/>
        <v>-0.14854111405835543</v>
      </c>
      <c r="J472" s="16">
        <f t="shared" si="30"/>
        <v>8176.25</v>
      </c>
      <c r="K472" s="16">
        <f t="shared" si="27"/>
        <v>8298.5</v>
      </c>
    </row>
    <row r="473" spans="1:11" x14ac:dyDescent="0.2">
      <c r="A473" s="2">
        <f ca="1">IFERROR(__xludf.DUMMYFUNCTION("""COMPUTED_VALUE"""),46020.6666666666)</f>
        <v>46020.666666666599</v>
      </c>
      <c r="B473" s="2"/>
      <c r="C473" s="1">
        <v>8025</v>
      </c>
      <c r="D473" s="1">
        <v>8025</v>
      </c>
      <c r="E473" s="1">
        <v>7950</v>
      </c>
      <c r="F473" s="1">
        <v>8025</v>
      </c>
      <c r="G473" s="1">
        <v>78399400</v>
      </c>
      <c r="H473" s="4">
        <f t="shared" si="28"/>
        <v>0</v>
      </c>
      <c r="I473" s="4">
        <f t="shared" si="29"/>
        <v>-0.14854111405835543</v>
      </c>
      <c r="J473" s="16">
        <f t="shared" si="30"/>
        <v>8161.25</v>
      </c>
      <c r="K473" s="16">
        <f t="shared" si="27"/>
        <v>8313</v>
      </c>
    </row>
    <row r="474" spans="1:11" x14ac:dyDescent="0.2">
      <c r="A474" s="2">
        <f ca="1">IFERROR(__xludf.DUMMYFUNCTION("""COMPUTED_VALUE"""),46021.6666666666)</f>
        <v>46021.666666666599</v>
      </c>
      <c r="B474" s="2"/>
      <c r="C474" s="1">
        <v>7950</v>
      </c>
      <c r="D474" s="1">
        <v>8175</v>
      </c>
      <c r="E474" s="1">
        <v>7950</v>
      </c>
      <c r="F474" s="1">
        <v>8075</v>
      </c>
      <c r="G474" s="1">
        <v>101995600</v>
      </c>
      <c r="H474" s="4">
        <f t="shared" si="28"/>
        <v>6.2305295950155761E-3</v>
      </c>
      <c r="I474" s="4">
        <f t="shared" si="29"/>
        <v>-0.14323607427055704</v>
      </c>
      <c r="J474" s="16">
        <f t="shared" si="30"/>
        <v>8151.25</v>
      </c>
      <c r="K474" s="16">
        <f t="shared" si="27"/>
        <v>8324.5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474"/>
  <sheetViews>
    <sheetView topLeftCell="A456" workbookViewId="0">
      <selection activeCell="A2" sqref="A2:J474"/>
    </sheetView>
  </sheetViews>
  <sheetFormatPr defaultColWidth="12.5703125" defaultRowHeight="15.75" customHeight="1" x14ac:dyDescent="0.2"/>
  <cols>
    <col min="3" max="3" width="14.140625" bestFit="1" customWidth="1"/>
  </cols>
  <sheetData>
    <row r="1" spans="1:10" x14ac:dyDescent="0.2">
      <c r="A1" s="1" t="s">
        <v>40</v>
      </c>
      <c r="B1" s="1"/>
      <c r="C1" s="17" t="s">
        <v>40</v>
      </c>
      <c r="D1" s="17" t="s">
        <v>41</v>
      </c>
      <c r="E1" s="17" t="s">
        <v>42</v>
      </c>
      <c r="F1" s="17" t="s">
        <v>43</v>
      </c>
      <c r="G1" s="17" t="s">
        <v>44</v>
      </c>
      <c r="H1" s="17" t="s">
        <v>45</v>
      </c>
      <c r="I1" s="1" t="s">
        <v>0</v>
      </c>
    </row>
    <row r="2" spans="1:10" x14ac:dyDescent="0.2">
      <c r="A2" s="2">
        <f ca="1">IFERROR(__xludf.DUMMYFUNCTION("""COMPUTED_VALUE"""),45293.6666666666)</f>
        <v>45293.666666666599</v>
      </c>
      <c r="B2" s="2" t="s">
        <v>56</v>
      </c>
      <c r="C2" s="18">
        <v>45293</v>
      </c>
      <c r="D2" s="17">
        <v>6050</v>
      </c>
      <c r="E2" s="17">
        <v>6125</v>
      </c>
      <c r="F2" s="17">
        <v>6025</v>
      </c>
      <c r="G2" s="17">
        <v>6125</v>
      </c>
      <c r="H2" s="17">
        <v>26235700</v>
      </c>
      <c r="I2" s="4">
        <v>0</v>
      </c>
      <c r="J2" s="4">
        <v>0</v>
      </c>
    </row>
    <row r="3" spans="1:10" x14ac:dyDescent="0.2">
      <c r="A3" s="2">
        <f ca="1">IFERROR(__xludf.DUMMYFUNCTION("""COMPUTED_VALUE"""),45294.6666666666)</f>
        <v>45294.666666666599</v>
      </c>
      <c r="B3" s="2"/>
      <c r="C3" s="18">
        <v>45294</v>
      </c>
      <c r="D3" s="17">
        <v>6100</v>
      </c>
      <c r="E3" s="17">
        <v>6150</v>
      </c>
      <c r="F3" s="17">
        <v>6050</v>
      </c>
      <c r="G3" s="17">
        <v>6100</v>
      </c>
      <c r="H3" s="17">
        <v>30053900</v>
      </c>
      <c r="I3" s="4">
        <f>(G3-G2)/G2</f>
        <v>-4.0816326530612249E-3</v>
      </c>
      <c r="J3" s="4">
        <f>(G3-$G$2)/$G$2</f>
        <v>-4.0816326530612249E-3</v>
      </c>
    </row>
    <row r="4" spans="1:10" x14ac:dyDescent="0.2">
      <c r="A4" s="2">
        <f ca="1">IFERROR(__xludf.DUMMYFUNCTION("""COMPUTED_VALUE"""),45295.6666666666)</f>
        <v>45295.666666666599</v>
      </c>
      <c r="B4" s="2"/>
      <c r="C4" s="18">
        <v>45295</v>
      </c>
      <c r="D4" s="17">
        <v>6125</v>
      </c>
      <c r="E4" s="17">
        <v>6400</v>
      </c>
      <c r="F4" s="17">
        <v>6100</v>
      </c>
      <c r="G4" s="17">
        <v>6350</v>
      </c>
      <c r="H4" s="17">
        <v>135344500</v>
      </c>
      <c r="I4" s="4">
        <f t="shared" ref="I4:I67" si="0">(G4-G3)/G3</f>
        <v>4.0983606557377046E-2</v>
      </c>
      <c r="J4" s="4">
        <f t="shared" ref="J4:J67" si="1">(G4-$G$2)/$G$2</f>
        <v>3.6734693877551024E-2</v>
      </c>
    </row>
    <row r="5" spans="1:10" x14ac:dyDescent="0.2">
      <c r="A5" s="2">
        <f ca="1">IFERROR(__xludf.DUMMYFUNCTION("""COMPUTED_VALUE"""),45296.6666666666)</f>
        <v>45296.666666666599</v>
      </c>
      <c r="B5" s="2"/>
      <c r="C5" s="18">
        <v>45296</v>
      </c>
      <c r="D5" s="17">
        <v>6400</v>
      </c>
      <c r="E5" s="17">
        <v>6475</v>
      </c>
      <c r="F5" s="17">
        <v>6350</v>
      </c>
      <c r="G5" s="17">
        <v>6425</v>
      </c>
      <c r="H5" s="17">
        <v>114339400</v>
      </c>
      <c r="I5" s="4">
        <f t="shared" si="0"/>
        <v>1.1811023622047244E-2</v>
      </c>
      <c r="J5" s="4">
        <f t="shared" si="1"/>
        <v>4.8979591836734691E-2</v>
      </c>
    </row>
    <row r="6" spans="1:10" x14ac:dyDescent="0.2">
      <c r="A6" s="2">
        <f ca="1">IFERROR(__xludf.DUMMYFUNCTION("""COMPUTED_VALUE"""),45299.6666666666)</f>
        <v>45299.666666666599</v>
      </c>
      <c r="B6" s="2"/>
      <c r="C6" s="18">
        <v>45299</v>
      </c>
      <c r="D6" s="17">
        <v>6500</v>
      </c>
      <c r="E6" s="17">
        <v>6600</v>
      </c>
      <c r="F6" s="17">
        <v>6375</v>
      </c>
      <c r="G6" s="17">
        <v>6400</v>
      </c>
      <c r="H6" s="17">
        <v>151018300</v>
      </c>
      <c r="I6" s="4">
        <f t="shared" si="0"/>
        <v>-3.8910505836575876E-3</v>
      </c>
      <c r="J6" s="4">
        <f t="shared" si="1"/>
        <v>4.4897959183673466E-2</v>
      </c>
    </row>
    <row r="7" spans="1:10" x14ac:dyDescent="0.2">
      <c r="A7" s="2">
        <f ca="1">IFERROR(__xludf.DUMMYFUNCTION("""COMPUTED_VALUE"""),45300.6666666666)</f>
        <v>45300.666666666599</v>
      </c>
      <c r="B7" s="2"/>
      <c r="C7" s="18">
        <v>45300</v>
      </c>
      <c r="D7" s="17">
        <v>6425</v>
      </c>
      <c r="E7" s="17">
        <v>6450</v>
      </c>
      <c r="F7" s="17">
        <v>6350</v>
      </c>
      <c r="G7" s="17">
        <v>6375</v>
      </c>
      <c r="H7" s="17">
        <v>77953400</v>
      </c>
      <c r="I7" s="4">
        <f t="shared" si="0"/>
        <v>-3.90625E-3</v>
      </c>
      <c r="J7" s="4">
        <f t="shared" si="1"/>
        <v>4.0816326530612242E-2</v>
      </c>
    </row>
    <row r="8" spans="1:10" x14ac:dyDescent="0.2">
      <c r="A8" s="2">
        <f ca="1">IFERROR(__xludf.DUMMYFUNCTION("""COMPUTED_VALUE"""),45301.6666666666)</f>
        <v>45301.666666666599</v>
      </c>
      <c r="B8" s="2"/>
      <c r="C8" s="18">
        <v>45301</v>
      </c>
      <c r="D8" s="17">
        <v>6375</v>
      </c>
      <c r="E8" s="17">
        <v>6450</v>
      </c>
      <c r="F8" s="17">
        <v>6325</v>
      </c>
      <c r="G8" s="17">
        <v>6425</v>
      </c>
      <c r="H8" s="17">
        <v>50019800</v>
      </c>
      <c r="I8" s="4">
        <f t="shared" si="0"/>
        <v>7.8431372549019607E-3</v>
      </c>
      <c r="J8" s="4">
        <f t="shared" si="1"/>
        <v>4.8979591836734691E-2</v>
      </c>
    </row>
    <row r="9" spans="1:10" x14ac:dyDescent="0.2">
      <c r="A9" s="2">
        <f ca="1">IFERROR(__xludf.DUMMYFUNCTION("""COMPUTED_VALUE"""),45302.6666666666)</f>
        <v>45302.666666666599</v>
      </c>
      <c r="B9" s="2"/>
      <c r="C9" s="18">
        <v>45302</v>
      </c>
      <c r="D9" s="17">
        <v>6425</v>
      </c>
      <c r="E9" s="17">
        <v>6500</v>
      </c>
      <c r="F9" s="17">
        <v>6400</v>
      </c>
      <c r="G9" s="17">
        <v>6450</v>
      </c>
      <c r="H9" s="17">
        <v>32120200</v>
      </c>
      <c r="I9" s="4">
        <f t="shared" si="0"/>
        <v>3.8910505836575876E-3</v>
      </c>
      <c r="J9" s="4">
        <f t="shared" si="1"/>
        <v>5.3061224489795916E-2</v>
      </c>
    </row>
    <row r="10" spans="1:10" x14ac:dyDescent="0.2">
      <c r="A10" s="2">
        <f ca="1">IFERROR(__xludf.DUMMYFUNCTION("""COMPUTED_VALUE"""),45303.6666666666)</f>
        <v>45303.666666666599</v>
      </c>
      <c r="B10" s="2"/>
      <c r="C10" s="18">
        <v>45303</v>
      </c>
      <c r="D10" s="17">
        <v>6575</v>
      </c>
      <c r="E10" s="17">
        <v>6675</v>
      </c>
      <c r="F10" s="17">
        <v>6525</v>
      </c>
      <c r="G10" s="17">
        <v>6575</v>
      </c>
      <c r="H10" s="17">
        <v>114039700</v>
      </c>
      <c r="I10" s="4">
        <f t="shared" si="0"/>
        <v>1.937984496124031E-2</v>
      </c>
      <c r="J10" s="4">
        <f t="shared" si="1"/>
        <v>7.3469387755102047E-2</v>
      </c>
    </row>
    <row r="11" spans="1:10" x14ac:dyDescent="0.2">
      <c r="A11" s="2">
        <f ca="1">IFERROR(__xludf.DUMMYFUNCTION("""COMPUTED_VALUE"""),45306.6666666666)</f>
        <v>45306.666666666599</v>
      </c>
      <c r="B11" s="2"/>
      <c r="C11" s="20">
        <v>45306</v>
      </c>
      <c r="D11" s="17">
        <v>6575</v>
      </c>
      <c r="E11" s="17">
        <v>6625</v>
      </c>
      <c r="F11" s="17">
        <v>6475</v>
      </c>
      <c r="G11" s="17">
        <v>6500</v>
      </c>
      <c r="H11" s="17">
        <v>83066800</v>
      </c>
      <c r="I11" s="4">
        <f t="shared" si="0"/>
        <v>-1.1406844106463879E-2</v>
      </c>
      <c r="J11" s="4">
        <f t="shared" si="1"/>
        <v>6.1224489795918366E-2</v>
      </c>
    </row>
    <row r="12" spans="1:10" x14ac:dyDescent="0.2">
      <c r="A12" s="2">
        <f ca="1">IFERROR(__xludf.DUMMYFUNCTION("""COMPUTED_VALUE"""),45307.6666666666)</f>
        <v>45307.666666666599</v>
      </c>
      <c r="B12" s="2"/>
      <c r="C12" s="20">
        <v>45307</v>
      </c>
      <c r="D12" s="17">
        <v>6525</v>
      </c>
      <c r="E12" s="17">
        <v>6625</v>
      </c>
      <c r="F12" s="17">
        <v>6500</v>
      </c>
      <c r="G12" s="17">
        <v>6525</v>
      </c>
      <c r="H12" s="17">
        <v>83516800</v>
      </c>
      <c r="I12" s="4">
        <f t="shared" si="0"/>
        <v>3.8461538461538464E-3</v>
      </c>
      <c r="J12" s="4">
        <f t="shared" si="1"/>
        <v>6.5306122448979598E-2</v>
      </c>
    </row>
    <row r="13" spans="1:10" x14ac:dyDescent="0.2">
      <c r="A13" s="2">
        <f ca="1">IFERROR(__xludf.DUMMYFUNCTION("""COMPUTED_VALUE"""),45308.6666666666)</f>
        <v>45308.666666666599</v>
      </c>
      <c r="B13" s="2"/>
      <c r="C13" s="20">
        <v>45308</v>
      </c>
      <c r="D13" s="17">
        <v>6525</v>
      </c>
      <c r="E13" s="17">
        <v>6625</v>
      </c>
      <c r="F13" s="17">
        <v>6500</v>
      </c>
      <c r="G13" s="17">
        <v>6525</v>
      </c>
      <c r="H13" s="17">
        <v>80929000</v>
      </c>
      <c r="I13" s="4">
        <f t="shared" si="0"/>
        <v>0</v>
      </c>
      <c r="J13" s="4">
        <f t="shared" si="1"/>
        <v>6.5306122448979598E-2</v>
      </c>
    </row>
    <row r="14" spans="1:10" x14ac:dyDescent="0.2">
      <c r="A14" s="2">
        <f ca="1">IFERROR(__xludf.DUMMYFUNCTION("""COMPUTED_VALUE"""),45309.6666666666)</f>
        <v>45309.666666666599</v>
      </c>
      <c r="B14" s="2"/>
      <c r="C14" s="20">
        <v>45309</v>
      </c>
      <c r="D14" s="17">
        <v>6525</v>
      </c>
      <c r="E14" s="17">
        <v>6550</v>
      </c>
      <c r="F14" s="17">
        <v>6475</v>
      </c>
      <c r="G14" s="17">
        <v>6525</v>
      </c>
      <c r="H14" s="17">
        <v>78209900</v>
      </c>
      <c r="I14" s="4">
        <f t="shared" si="0"/>
        <v>0</v>
      </c>
      <c r="J14" s="4">
        <f t="shared" si="1"/>
        <v>6.5306122448979598E-2</v>
      </c>
    </row>
    <row r="15" spans="1:10" x14ac:dyDescent="0.2">
      <c r="A15" s="2">
        <f ca="1">IFERROR(__xludf.DUMMYFUNCTION("""COMPUTED_VALUE"""),45310.6666666666)</f>
        <v>45310.666666666599</v>
      </c>
      <c r="B15" s="2"/>
      <c r="C15" s="2"/>
      <c r="D15" s="1">
        <v>6500</v>
      </c>
      <c r="E15" s="1">
        <v>6525</v>
      </c>
      <c r="F15" s="1">
        <v>6425</v>
      </c>
      <c r="G15" s="1">
        <v>6525</v>
      </c>
      <c r="H15" s="1">
        <v>74814000</v>
      </c>
      <c r="I15" s="4">
        <f t="shared" si="0"/>
        <v>0</v>
      </c>
      <c r="J15" s="4">
        <f t="shared" si="1"/>
        <v>6.5306122448979598E-2</v>
      </c>
    </row>
    <row r="16" spans="1:10" x14ac:dyDescent="0.2">
      <c r="A16" s="2">
        <f ca="1">IFERROR(__xludf.DUMMYFUNCTION("""COMPUTED_VALUE"""),45313.6666666666)</f>
        <v>45313.666666666599</v>
      </c>
      <c r="B16" s="2"/>
      <c r="C16" s="2"/>
      <c r="D16" s="1">
        <v>6500</v>
      </c>
      <c r="E16" s="1">
        <v>6550</v>
      </c>
      <c r="F16" s="1">
        <v>6450</v>
      </c>
      <c r="G16" s="1">
        <v>6500</v>
      </c>
      <c r="H16" s="1">
        <v>96993100</v>
      </c>
      <c r="I16" s="4">
        <f t="shared" si="0"/>
        <v>-3.8314176245210726E-3</v>
      </c>
      <c r="J16" s="4">
        <f t="shared" si="1"/>
        <v>6.1224489795918366E-2</v>
      </c>
    </row>
    <row r="17" spans="1:10" x14ac:dyDescent="0.2">
      <c r="A17" s="2">
        <f ca="1">IFERROR(__xludf.DUMMYFUNCTION("""COMPUTED_VALUE"""),45314.6666666666)</f>
        <v>45314.666666666599</v>
      </c>
      <c r="B17" s="2"/>
      <c r="C17" s="2"/>
      <c r="D17" s="1">
        <v>6525</v>
      </c>
      <c r="E17" s="1">
        <v>6550</v>
      </c>
      <c r="F17" s="1">
        <v>6450</v>
      </c>
      <c r="G17" s="1">
        <v>6500</v>
      </c>
      <c r="H17" s="1">
        <v>77037800</v>
      </c>
      <c r="I17" s="4">
        <f t="shared" si="0"/>
        <v>0</v>
      </c>
      <c r="J17" s="4">
        <f t="shared" si="1"/>
        <v>6.1224489795918366E-2</v>
      </c>
    </row>
    <row r="18" spans="1:10" x14ac:dyDescent="0.2">
      <c r="A18" s="2">
        <f ca="1">IFERROR(__xludf.DUMMYFUNCTION("""COMPUTED_VALUE"""),45315.6666666666)</f>
        <v>45315.666666666599</v>
      </c>
      <c r="B18" s="2"/>
      <c r="C18" s="2"/>
      <c r="D18" s="1">
        <v>6450</v>
      </c>
      <c r="E18" s="1">
        <v>6475</v>
      </c>
      <c r="F18" s="1">
        <v>6350</v>
      </c>
      <c r="G18" s="1">
        <v>6400</v>
      </c>
      <c r="H18" s="1">
        <v>97290600</v>
      </c>
      <c r="I18" s="4">
        <f t="shared" si="0"/>
        <v>-1.5384615384615385E-2</v>
      </c>
      <c r="J18" s="4">
        <f t="shared" si="1"/>
        <v>4.4897959183673466E-2</v>
      </c>
    </row>
    <row r="19" spans="1:10" x14ac:dyDescent="0.2">
      <c r="A19" s="2">
        <f ca="1">IFERROR(__xludf.DUMMYFUNCTION("""COMPUTED_VALUE"""),45316.6666666666)</f>
        <v>45316.666666666599</v>
      </c>
      <c r="B19" s="2"/>
      <c r="C19" s="2"/>
      <c r="D19" s="1">
        <v>6325</v>
      </c>
      <c r="E19" s="1">
        <v>6400</v>
      </c>
      <c r="F19" s="1">
        <v>6250</v>
      </c>
      <c r="G19" s="1">
        <v>6275</v>
      </c>
      <c r="H19" s="1">
        <v>99094100</v>
      </c>
      <c r="I19" s="4">
        <f t="shared" si="0"/>
        <v>-1.953125E-2</v>
      </c>
      <c r="J19" s="4">
        <f t="shared" si="1"/>
        <v>2.4489795918367346E-2</v>
      </c>
    </row>
    <row r="20" spans="1:10" x14ac:dyDescent="0.2">
      <c r="A20" s="2">
        <f ca="1">IFERROR(__xludf.DUMMYFUNCTION("""COMPUTED_VALUE"""),45317.6666666666)</f>
        <v>45317.666666666599</v>
      </c>
      <c r="B20" s="2"/>
      <c r="C20" s="2"/>
      <c r="D20" s="1">
        <v>6250</v>
      </c>
      <c r="E20" s="1">
        <v>6325</v>
      </c>
      <c r="F20" s="1">
        <v>6225</v>
      </c>
      <c r="G20" s="1">
        <v>6300</v>
      </c>
      <c r="H20" s="1">
        <v>77236800</v>
      </c>
      <c r="I20" s="4">
        <f t="shared" si="0"/>
        <v>3.9840637450199202E-3</v>
      </c>
      <c r="J20" s="4">
        <f t="shared" si="1"/>
        <v>2.8571428571428571E-2</v>
      </c>
    </row>
    <row r="21" spans="1:10" x14ac:dyDescent="0.2">
      <c r="A21" s="2">
        <f ca="1">IFERROR(__xludf.DUMMYFUNCTION("""COMPUTED_VALUE"""),45320.6666666666)</f>
        <v>45320.666666666599</v>
      </c>
      <c r="B21" s="2"/>
      <c r="C21" s="2"/>
      <c r="D21" s="1">
        <v>6350</v>
      </c>
      <c r="E21" s="1">
        <v>6475</v>
      </c>
      <c r="F21" s="1">
        <v>6275</v>
      </c>
      <c r="G21" s="1">
        <v>6475</v>
      </c>
      <c r="H21" s="1">
        <v>124753000</v>
      </c>
      <c r="I21" s="4">
        <f t="shared" si="0"/>
        <v>2.7777777777777776E-2</v>
      </c>
      <c r="J21" s="4">
        <f t="shared" si="1"/>
        <v>5.7142857142857141E-2</v>
      </c>
    </row>
    <row r="22" spans="1:10" x14ac:dyDescent="0.2">
      <c r="A22" s="2">
        <f ca="1">IFERROR(__xludf.DUMMYFUNCTION("""COMPUTED_VALUE"""),45321.6666666666)</f>
        <v>45321.666666666599</v>
      </c>
      <c r="B22" s="2"/>
      <c r="C22" s="2"/>
      <c r="D22" s="1">
        <v>6475</v>
      </c>
      <c r="E22" s="1">
        <v>6700</v>
      </c>
      <c r="F22" s="1">
        <v>6450</v>
      </c>
      <c r="G22" s="1">
        <v>6650</v>
      </c>
      <c r="H22" s="1">
        <v>123330900</v>
      </c>
      <c r="I22" s="4">
        <f t="shared" si="0"/>
        <v>2.7027027027027029E-2</v>
      </c>
      <c r="J22" s="4">
        <f t="shared" si="1"/>
        <v>8.5714285714285715E-2</v>
      </c>
    </row>
    <row r="23" spans="1:10" x14ac:dyDescent="0.2">
      <c r="A23" s="2">
        <f ca="1">IFERROR(__xludf.DUMMYFUNCTION("""COMPUTED_VALUE"""),45322.6666666666)</f>
        <v>45322.666666666599</v>
      </c>
      <c r="B23" s="2"/>
      <c r="C23" s="2"/>
      <c r="D23" s="1">
        <v>6650</v>
      </c>
      <c r="E23" s="1">
        <v>6700</v>
      </c>
      <c r="F23" s="1">
        <v>6650</v>
      </c>
      <c r="G23" s="1">
        <v>6650</v>
      </c>
      <c r="H23" s="1">
        <v>128185000</v>
      </c>
      <c r="I23" s="4">
        <f t="shared" si="0"/>
        <v>0</v>
      </c>
      <c r="J23" s="4">
        <f t="shared" si="1"/>
        <v>8.5714285714285715E-2</v>
      </c>
    </row>
    <row r="24" spans="1:10" x14ac:dyDescent="0.2">
      <c r="A24" s="2">
        <f ca="1">IFERROR(__xludf.DUMMYFUNCTION("""COMPUTED_VALUE"""),45323.6666666666)</f>
        <v>45323.666666666599</v>
      </c>
      <c r="B24" s="2"/>
      <c r="C24" s="2"/>
      <c r="D24" s="1">
        <v>6575</v>
      </c>
      <c r="E24" s="1">
        <v>6625</v>
      </c>
      <c r="F24" s="1">
        <v>6500</v>
      </c>
      <c r="G24" s="1">
        <v>6550</v>
      </c>
      <c r="H24" s="1">
        <v>168145800</v>
      </c>
      <c r="I24" s="4">
        <f t="shared" si="0"/>
        <v>-1.5037593984962405E-2</v>
      </c>
      <c r="J24" s="4">
        <f t="shared" si="1"/>
        <v>6.9387755102040816E-2</v>
      </c>
    </row>
    <row r="25" spans="1:10" x14ac:dyDescent="0.2">
      <c r="A25" s="2">
        <f ca="1">IFERROR(__xludf.DUMMYFUNCTION("""COMPUTED_VALUE"""),45324.6666666666)</f>
        <v>45324.666666666599</v>
      </c>
      <c r="B25" s="2"/>
      <c r="C25" s="2"/>
      <c r="D25" s="1">
        <v>6625</v>
      </c>
      <c r="E25" s="1">
        <v>6675</v>
      </c>
      <c r="F25" s="1">
        <v>6600</v>
      </c>
      <c r="G25" s="1">
        <v>6675</v>
      </c>
      <c r="H25" s="1">
        <v>120116200</v>
      </c>
      <c r="I25" s="4">
        <f t="shared" si="0"/>
        <v>1.9083969465648856E-2</v>
      </c>
      <c r="J25" s="4">
        <f t="shared" si="1"/>
        <v>8.9795918367346933E-2</v>
      </c>
    </row>
    <row r="26" spans="1:10" x14ac:dyDescent="0.2">
      <c r="A26" s="2">
        <f ca="1">IFERROR(__xludf.DUMMYFUNCTION("""COMPUTED_VALUE"""),45327.6666666666)</f>
        <v>45327.666666666599</v>
      </c>
      <c r="B26" s="2"/>
      <c r="C26" s="2"/>
      <c r="D26" s="1">
        <v>6700</v>
      </c>
      <c r="E26" s="1">
        <v>6950</v>
      </c>
      <c r="F26" s="1">
        <v>6675</v>
      </c>
      <c r="G26" s="1">
        <v>6825</v>
      </c>
      <c r="H26" s="1">
        <v>150535100</v>
      </c>
      <c r="I26" s="4">
        <f t="shared" si="0"/>
        <v>2.247191011235955E-2</v>
      </c>
      <c r="J26" s="4">
        <f t="shared" si="1"/>
        <v>0.11428571428571428</v>
      </c>
    </row>
    <row r="27" spans="1:10" x14ac:dyDescent="0.2">
      <c r="A27" s="2">
        <f ca="1">IFERROR(__xludf.DUMMYFUNCTION("""COMPUTED_VALUE"""),45328.6666666666)</f>
        <v>45328.666666666599</v>
      </c>
      <c r="B27" s="2"/>
      <c r="C27" s="2"/>
      <c r="D27" s="1">
        <v>6825</v>
      </c>
      <c r="E27" s="1">
        <v>6925</v>
      </c>
      <c r="F27" s="1">
        <v>6775</v>
      </c>
      <c r="G27" s="1">
        <v>6850</v>
      </c>
      <c r="H27" s="1">
        <v>90146000</v>
      </c>
      <c r="I27" s="4">
        <f t="shared" si="0"/>
        <v>3.663003663003663E-3</v>
      </c>
      <c r="J27" s="4">
        <f t="shared" si="1"/>
        <v>0.11836734693877551</v>
      </c>
    </row>
    <row r="28" spans="1:10" x14ac:dyDescent="0.2">
      <c r="A28" s="2">
        <f ca="1">IFERROR(__xludf.DUMMYFUNCTION("""COMPUTED_VALUE"""),45329.6666666666)</f>
        <v>45329.666666666599</v>
      </c>
      <c r="B28" s="2"/>
      <c r="C28" s="2"/>
      <c r="D28" s="1">
        <v>6875</v>
      </c>
      <c r="E28" s="1">
        <v>6950</v>
      </c>
      <c r="F28" s="1">
        <v>6850</v>
      </c>
      <c r="G28" s="1">
        <v>6950</v>
      </c>
      <c r="H28" s="1">
        <v>88745500</v>
      </c>
      <c r="I28" s="4">
        <f t="shared" si="0"/>
        <v>1.4598540145985401E-2</v>
      </c>
      <c r="J28" s="4">
        <f t="shared" si="1"/>
        <v>0.13469387755102041</v>
      </c>
    </row>
    <row r="29" spans="1:10" x14ac:dyDescent="0.2">
      <c r="A29" s="2">
        <f ca="1">IFERROR(__xludf.DUMMYFUNCTION("""COMPUTED_VALUE"""),45334.6666666666)</f>
        <v>45334.666666666599</v>
      </c>
      <c r="B29" s="2"/>
      <c r="C29" s="2"/>
      <c r="D29" s="1">
        <v>7150</v>
      </c>
      <c r="E29" s="1">
        <v>7200</v>
      </c>
      <c r="F29" s="1">
        <v>7050</v>
      </c>
      <c r="G29" s="1">
        <v>7100</v>
      </c>
      <c r="H29" s="1">
        <v>162771300</v>
      </c>
      <c r="I29" s="4">
        <f t="shared" si="0"/>
        <v>2.1582733812949641E-2</v>
      </c>
      <c r="J29" s="4">
        <f t="shared" si="1"/>
        <v>0.15918367346938775</v>
      </c>
    </row>
    <row r="30" spans="1:10" x14ac:dyDescent="0.2">
      <c r="A30" s="2">
        <f ca="1">IFERROR(__xludf.DUMMYFUNCTION("""COMPUTED_VALUE"""),45335.6666666666)</f>
        <v>45335.666666666599</v>
      </c>
      <c r="B30" s="2"/>
      <c r="C30" s="2"/>
      <c r="D30" s="1">
        <v>7100</v>
      </c>
      <c r="E30" s="1">
        <v>7125</v>
      </c>
      <c r="F30" s="1">
        <v>7025</v>
      </c>
      <c r="G30" s="1">
        <v>7025</v>
      </c>
      <c r="H30" s="1">
        <v>102668900</v>
      </c>
      <c r="I30" s="4">
        <f t="shared" si="0"/>
        <v>-1.0563380281690141E-2</v>
      </c>
      <c r="J30" s="4">
        <f t="shared" si="1"/>
        <v>0.14693877551020409</v>
      </c>
    </row>
    <row r="31" spans="1:10" x14ac:dyDescent="0.2">
      <c r="A31" s="2">
        <f ca="1">IFERROR(__xludf.DUMMYFUNCTION("""COMPUTED_VALUE"""),45337.6666666666)</f>
        <v>45337.666666666599</v>
      </c>
      <c r="B31" s="2"/>
      <c r="C31" s="2"/>
      <c r="D31" s="1">
        <v>7300</v>
      </c>
      <c r="E31" s="1">
        <v>7375</v>
      </c>
      <c r="F31" s="1">
        <v>7150</v>
      </c>
      <c r="G31" s="1">
        <v>7200</v>
      </c>
      <c r="H31" s="1">
        <v>220530000</v>
      </c>
      <c r="I31" s="4">
        <f t="shared" si="0"/>
        <v>2.491103202846975E-2</v>
      </c>
      <c r="J31" s="4">
        <f t="shared" si="1"/>
        <v>0.17551020408163265</v>
      </c>
    </row>
    <row r="32" spans="1:10" x14ac:dyDescent="0.2">
      <c r="A32" s="2">
        <f ca="1">IFERROR(__xludf.DUMMYFUNCTION("""COMPUTED_VALUE"""),45338.6666666666)</f>
        <v>45338.666666666599</v>
      </c>
      <c r="B32" s="2"/>
      <c r="C32" s="2"/>
      <c r="D32" s="1">
        <v>7375</v>
      </c>
      <c r="E32" s="1">
        <v>7400</v>
      </c>
      <c r="F32" s="1">
        <v>7200</v>
      </c>
      <c r="G32" s="1">
        <v>7200</v>
      </c>
      <c r="H32" s="1">
        <v>142022100</v>
      </c>
      <c r="I32" s="4">
        <f t="shared" si="0"/>
        <v>0</v>
      </c>
      <c r="J32" s="4">
        <f t="shared" si="1"/>
        <v>0.17551020408163265</v>
      </c>
    </row>
    <row r="33" spans="1:10" x14ac:dyDescent="0.2">
      <c r="A33" s="2">
        <f ca="1">IFERROR(__xludf.DUMMYFUNCTION("""COMPUTED_VALUE"""),45341.6666666666)</f>
        <v>45341.666666666599</v>
      </c>
      <c r="B33" s="2"/>
      <c r="C33" s="2"/>
      <c r="D33" s="1">
        <v>7150</v>
      </c>
      <c r="E33" s="1">
        <v>7325</v>
      </c>
      <c r="F33" s="1">
        <v>7125</v>
      </c>
      <c r="G33" s="1">
        <v>7150</v>
      </c>
      <c r="H33" s="1">
        <v>83753500</v>
      </c>
      <c r="I33" s="4">
        <f t="shared" si="0"/>
        <v>-6.9444444444444441E-3</v>
      </c>
      <c r="J33" s="4">
        <f t="shared" si="1"/>
        <v>0.16734693877551021</v>
      </c>
    </row>
    <row r="34" spans="1:10" x14ac:dyDescent="0.2">
      <c r="A34" s="2">
        <f ca="1">IFERROR(__xludf.DUMMYFUNCTION("""COMPUTED_VALUE"""),45342.6666666666)</f>
        <v>45342.666666666599</v>
      </c>
      <c r="B34" s="2"/>
      <c r="C34" s="2"/>
      <c r="D34" s="1">
        <v>7250</v>
      </c>
      <c r="E34" s="1">
        <v>7250</v>
      </c>
      <c r="F34" s="1">
        <v>7150</v>
      </c>
      <c r="G34" s="1">
        <v>7150</v>
      </c>
      <c r="H34" s="1">
        <v>87312000</v>
      </c>
      <c r="I34" s="4">
        <f t="shared" si="0"/>
        <v>0</v>
      </c>
      <c r="J34" s="4">
        <f t="shared" si="1"/>
        <v>0.16734693877551021</v>
      </c>
    </row>
    <row r="35" spans="1:10" x14ac:dyDescent="0.2">
      <c r="A35" s="2">
        <f ca="1">IFERROR(__xludf.DUMMYFUNCTION("""COMPUTED_VALUE"""),45343.6666666666)</f>
        <v>45343.666666666599</v>
      </c>
      <c r="B35" s="2"/>
      <c r="C35" s="2"/>
      <c r="D35" s="1">
        <v>7125</v>
      </c>
      <c r="E35" s="1">
        <v>7250</v>
      </c>
      <c r="F35" s="1">
        <v>7075</v>
      </c>
      <c r="G35" s="1">
        <v>7250</v>
      </c>
      <c r="H35" s="1">
        <v>128063900</v>
      </c>
      <c r="I35" s="4">
        <f t="shared" si="0"/>
        <v>1.3986013986013986E-2</v>
      </c>
      <c r="J35" s="4">
        <f t="shared" si="1"/>
        <v>0.18367346938775511</v>
      </c>
    </row>
    <row r="36" spans="1:10" x14ac:dyDescent="0.2">
      <c r="A36" s="2">
        <f ca="1">IFERROR(__xludf.DUMMYFUNCTION("""COMPUTED_VALUE"""),45344.6666666666)</f>
        <v>45344.666666666599</v>
      </c>
      <c r="B36" s="2"/>
      <c r="C36" s="2"/>
      <c r="D36" s="1">
        <v>7175</v>
      </c>
      <c r="E36" s="1">
        <v>7200</v>
      </c>
      <c r="F36" s="1">
        <v>7100</v>
      </c>
      <c r="G36" s="1">
        <v>7100</v>
      </c>
      <c r="H36" s="1">
        <v>85735800</v>
      </c>
      <c r="I36" s="4">
        <f t="shared" si="0"/>
        <v>-2.0689655172413793E-2</v>
      </c>
      <c r="J36" s="4">
        <f t="shared" si="1"/>
        <v>0.15918367346938775</v>
      </c>
    </row>
    <row r="37" spans="1:10" x14ac:dyDescent="0.2">
      <c r="A37" s="2">
        <f ca="1">IFERROR(__xludf.DUMMYFUNCTION("""COMPUTED_VALUE"""),45345.6666666666)</f>
        <v>45345.666666666599</v>
      </c>
      <c r="B37" s="2"/>
      <c r="C37" s="2"/>
      <c r="D37" s="1">
        <v>7050</v>
      </c>
      <c r="E37" s="1">
        <v>7100</v>
      </c>
      <c r="F37" s="1">
        <v>7000</v>
      </c>
      <c r="G37" s="1">
        <v>7050</v>
      </c>
      <c r="H37" s="1">
        <v>109404700</v>
      </c>
      <c r="I37" s="4">
        <f t="shared" si="0"/>
        <v>-7.0422535211267607E-3</v>
      </c>
      <c r="J37" s="4">
        <f t="shared" si="1"/>
        <v>0.15102040816326531</v>
      </c>
    </row>
    <row r="38" spans="1:10" x14ac:dyDescent="0.2">
      <c r="A38" s="2">
        <f ca="1">IFERROR(__xludf.DUMMYFUNCTION("""COMPUTED_VALUE"""),45348.6666666666)</f>
        <v>45348.666666666599</v>
      </c>
      <c r="B38" s="2"/>
      <c r="C38" s="2"/>
      <c r="D38" s="1">
        <v>6950</v>
      </c>
      <c r="E38" s="1">
        <v>7075</v>
      </c>
      <c r="F38" s="1">
        <v>6950</v>
      </c>
      <c r="G38" s="1">
        <v>7050</v>
      </c>
      <c r="H38" s="1">
        <v>65407700</v>
      </c>
      <c r="I38" s="4">
        <f t="shared" si="0"/>
        <v>0</v>
      </c>
      <c r="J38" s="4">
        <f t="shared" si="1"/>
        <v>0.15102040816326531</v>
      </c>
    </row>
    <row r="39" spans="1:10" x14ac:dyDescent="0.2">
      <c r="A39" s="2">
        <f ca="1">IFERROR(__xludf.DUMMYFUNCTION("""COMPUTED_VALUE"""),45349.6666666666)</f>
        <v>45349.666666666599</v>
      </c>
      <c r="B39" s="2"/>
      <c r="C39" s="2"/>
      <c r="D39" s="1">
        <v>6975</v>
      </c>
      <c r="E39" s="1">
        <v>7100</v>
      </c>
      <c r="F39" s="1">
        <v>6975</v>
      </c>
      <c r="G39" s="1">
        <v>7075</v>
      </c>
      <c r="H39" s="1">
        <v>58066100</v>
      </c>
      <c r="I39" s="4">
        <f t="shared" si="0"/>
        <v>3.5460992907801418E-3</v>
      </c>
      <c r="J39" s="4">
        <f t="shared" si="1"/>
        <v>0.15510204081632653</v>
      </c>
    </row>
    <row r="40" spans="1:10" x14ac:dyDescent="0.2">
      <c r="A40" s="2">
        <f ca="1">IFERROR(__xludf.DUMMYFUNCTION("""COMPUTED_VALUE"""),45350.6666666666)</f>
        <v>45350.666666666599</v>
      </c>
      <c r="B40" s="2"/>
      <c r="C40" s="2"/>
      <c r="D40" s="1">
        <v>7025</v>
      </c>
      <c r="E40" s="1">
        <v>7125</v>
      </c>
      <c r="F40" s="1">
        <v>7025</v>
      </c>
      <c r="G40" s="1">
        <v>7125</v>
      </c>
      <c r="H40" s="1">
        <v>49888400</v>
      </c>
      <c r="I40" s="4">
        <f t="shared" si="0"/>
        <v>7.0671378091872791E-3</v>
      </c>
      <c r="J40" s="4">
        <f t="shared" si="1"/>
        <v>0.16326530612244897</v>
      </c>
    </row>
    <row r="41" spans="1:10" x14ac:dyDescent="0.2">
      <c r="A41" s="2">
        <f ca="1">IFERROR(__xludf.DUMMYFUNCTION("""COMPUTED_VALUE"""),45351.6666666666)</f>
        <v>45351.666666666599</v>
      </c>
      <c r="B41" s="2"/>
      <c r="C41" s="2"/>
      <c r="D41" s="1">
        <v>7125</v>
      </c>
      <c r="E41" s="1">
        <v>7150</v>
      </c>
      <c r="F41" s="1">
        <v>7000</v>
      </c>
      <c r="G41" s="1">
        <v>7000</v>
      </c>
      <c r="H41" s="1">
        <v>150713600</v>
      </c>
      <c r="I41" s="4">
        <f t="shared" si="0"/>
        <v>-1.7543859649122806E-2</v>
      </c>
      <c r="J41" s="4">
        <f t="shared" si="1"/>
        <v>0.14285714285714285</v>
      </c>
    </row>
    <row r="42" spans="1:10" x14ac:dyDescent="0.2">
      <c r="A42" s="2">
        <f ca="1">IFERROR(__xludf.DUMMYFUNCTION("""COMPUTED_VALUE"""),45352.6666666666)</f>
        <v>45352.666666666599</v>
      </c>
      <c r="B42" s="2"/>
      <c r="C42" s="2"/>
      <c r="D42" s="1">
        <v>7050</v>
      </c>
      <c r="E42" s="1">
        <v>7075</v>
      </c>
      <c r="F42" s="1">
        <v>6975</v>
      </c>
      <c r="G42" s="1">
        <v>7025</v>
      </c>
      <c r="H42" s="1">
        <v>90739400</v>
      </c>
      <c r="I42" s="4">
        <f t="shared" si="0"/>
        <v>3.5714285714285713E-3</v>
      </c>
      <c r="J42" s="4">
        <f t="shared" si="1"/>
        <v>0.14693877551020409</v>
      </c>
    </row>
    <row r="43" spans="1:10" x14ac:dyDescent="0.2">
      <c r="A43" s="2">
        <f ca="1">IFERROR(__xludf.DUMMYFUNCTION("""COMPUTED_VALUE"""),45355.6666666666)</f>
        <v>45355.666666666599</v>
      </c>
      <c r="B43" s="2"/>
      <c r="C43" s="2"/>
      <c r="D43" s="1">
        <v>7000</v>
      </c>
      <c r="E43" s="1">
        <v>7050</v>
      </c>
      <c r="F43" s="1">
        <v>6975</v>
      </c>
      <c r="G43" s="1">
        <v>7025</v>
      </c>
      <c r="H43" s="1">
        <v>44707200</v>
      </c>
      <c r="I43" s="4">
        <f t="shared" si="0"/>
        <v>0</v>
      </c>
      <c r="J43" s="4">
        <f t="shared" si="1"/>
        <v>0.14693877551020409</v>
      </c>
    </row>
    <row r="44" spans="1:10" x14ac:dyDescent="0.2">
      <c r="A44" s="2">
        <f ca="1">IFERROR(__xludf.DUMMYFUNCTION("""COMPUTED_VALUE"""),45356.6666666666)</f>
        <v>45356.666666666599</v>
      </c>
      <c r="B44" s="2"/>
      <c r="C44" s="2"/>
      <c r="D44" s="1">
        <v>7075</v>
      </c>
      <c r="E44" s="1">
        <v>7100</v>
      </c>
      <c r="F44" s="1">
        <v>7000</v>
      </c>
      <c r="G44" s="1">
        <v>7025</v>
      </c>
      <c r="H44" s="1">
        <v>92557200</v>
      </c>
      <c r="I44" s="4">
        <f t="shared" si="0"/>
        <v>0</v>
      </c>
      <c r="J44" s="4">
        <f t="shared" si="1"/>
        <v>0.14693877551020409</v>
      </c>
    </row>
    <row r="45" spans="1:10" x14ac:dyDescent="0.2">
      <c r="A45" s="2">
        <f ca="1">IFERROR(__xludf.DUMMYFUNCTION("""COMPUTED_VALUE"""),45357.6666666666)</f>
        <v>45357.666666666599</v>
      </c>
      <c r="B45" s="2"/>
      <c r="C45" s="2"/>
      <c r="D45" s="1">
        <v>7000</v>
      </c>
      <c r="E45" s="1">
        <v>7100</v>
      </c>
      <c r="F45" s="1">
        <v>7000</v>
      </c>
      <c r="G45" s="1">
        <v>7075</v>
      </c>
      <c r="H45" s="1">
        <v>74178100</v>
      </c>
      <c r="I45" s="4">
        <f t="shared" si="0"/>
        <v>7.1174377224199285E-3</v>
      </c>
      <c r="J45" s="4">
        <f t="shared" si="1"/>
        <v>0.15510204081632653</v>
      </c>
    </row>
    <row r="46" spans="1:10" x14ac:dyDescent="0.2">
      <c r="A46" s="2">
        <f ca="1">IFERROR(__xludf.DUMMYFUNCTION("""COMPUTED_VALUE"""),45358.6666666666)</f>
        <v>45358.666666666599</v>
      </c>
      <c r="B46" s="2"/>
      <c r="C46" s="2"/>
      <c r="D46" s="1">
        <v>7075</v>
      </c>
      <c r="E46" s="1">
        <v>7125</v>
      </c>
      <c r="F46" s="1">
        <v>7025</v>
      </c>
      <c r="G46" s="1">
        <v>7100</v>
      </c>
      <c r="H46" s="1">
        <v>94950400</v>
      </c>
      <c r="I46" s="4">
        <f t="shared" si="0"/>
        <v>3.5335689045936395E-3</v>
      </c>
      <c r="J46" s="4">
        <f t="shared" si="1"/>
        <v>0.15918367346938775</v>
      </c>
    </row>
    <row r="47" spans="1:10" x14ac:dyDescent="0.2">
      <c r="A47" s="2">
        <f ca="1">IFERROR(__xludf.DUMMYFUNCTION("""COMPUTED_VALUE"""),45359.6666666666)</f>
        <v>45359.666666666599</v>
      </c>
      <c r="B47" s="2"/>
      <c r="C47" s="2"/>
      <c r="D47" s="1">
        <v>7150</v>
      </c>
      <c r="E47" s="1">
        <v>7175</v>
      </c>
      <c r="F47" s="1">
        <v>7100</v>
      </c>
      <c r="G47" s="1">
        <v>7125</v>
      </c>
      <c r="H47" s="1">
        <v>109032400</v>
      </c>
      <c r="I47" s="4">
        <f t="shared" si="0"/>
        <v>3.5211267605633804E-3</v>
      </c>
      <c r="J47" s="4">
        <f t="shared" si="1"/>
        <v>0.16326530612244897</v>
      </c>
    </row>
    <row r="48" spans="1:10" x14ac:dyDescent="0.2">
      <c r="A48" s="2">
        <f ca="1">IFERROR(__xludf.DUMMYFUNCTION("""COMPUTED_VALUE"""),45364.6666666666)</f>
        <v>45364.666666666599</v>
      </c>
      <c r="B48" s="2"/>
      <c r="C48" s="2"/>
      <c r="D48" s="1">
        <v>7250</v>
      </c>
      <c r="E48" s="1">
        <v>7275</v>
      </c>
      <c r="F48" s="1">
        <v>7150</v>
      </c>
      <c r="G48" s="1">
        <v>7275</v>
      </c>
      <c r="H48" s="1">
        <v>126022700</v>
      </c>
      <c r="I48" s="4">
        <f t="shared" si="0"/>
        <v>2.1052631578947368E-2</v>
      </c>
      <c r="J48" s="4">
        <f t="shared" si="1"/>
        <v>0.18775510204081633</v>
      </c>
    </row>
    <row r="49" spans="1:10" x14ac:dyDescent="0.2">
      <c r="A49" s="2">
        <f ca="1">IFERROR(__xludf.DUMMYFUNCTION("""COMPUTED_VALUE"""),45365.6666666666)</f>
        <v>45365.666666666599</v>
      </c>
      <c r="B49" s="2"/>
      <c r="C49" s="2"/>
      <c r="D49" s="1">
        <v>7250</v>
      </c>
      <c r="E49" s="1">
        <v>7400</v>
      </c>
      <c r="F49" s="1">
        <v>7225</v>
      </c>
      <c r="G49" s="1">
        <v>7400</v>
      </c>
      <c r="H49" s="1">
        <v>161193000</v>
      </c>
      <c r="I49" s="4">
        <f t="shared" si="0"/>
        <v>1.7182130584192441E-2</v>
      </c>
      <c r="J49" s="4">
        <f t="shared" si="1"/>
        <v>0.20816326530612245</v>
      </c>
    </row>
    <row r="50" spans="1:10" x14ac:dyDescent="0.2">
      <c r="A50" s="2">
        <f ca="1">IFERROR(__xludf.DUMMYFUNCTION("""COMPUTED_VALUE"""),45366.6666666666)</f>
        <v>45366.666666666599</v>
      </c>
      <c r="B50" s="2"/>
      <c r="C50" s="2"/>
      <c r="D50" s="1">
        <v>7450</v>
      </c>
      <c r="E50" s="1">
        <v>7500</v>
      </c>
      <c r="F50" s="1">
        <v>7275</v>
      </c>
      <c r="G50" s="1">
        <v>7400</v>
      </c>
      <c r="H50" s="1">
        <v>250581100</v>
      </c>
      <c r="I50" s="4">
        <f t="shared" si="0"/>
        <v>0</v>
      </c>
      <c r="J50" s="4">
        <f t="shared" si="1"/>
        <v>0.20816326530612245</v>
      </c>
    </row>
    <row r="51" spans="1:10" x14ac:dyDescent="0.2">
      <c r="A51" s="2">
        <f ca="1">IFERROR(__xludf.DUMMYFUNCTION("""COMPUTED_VALUE"""),45369.6666666666)</f>
        <v>45369.666666666599</v>
      </c>
      <c r="B51" s="2"/>
      <c r="C51" s="2"/>
      <c r="D51" s="1">
        <v>7425</v>
      </c>
      <c r="E51" s="1">
        <v>7425</v>
      </c>
      <c r="F51" s="1">
        <v>7175</v>
      </c>
      <c r="G51" s="1">
        <v>7175</v>
      </c>
      <c r="H51" s="1">
        <v>105778200</v>
      </c>
      <c r="I51" s="4">
        <f t="shared" si="0"/>
        <v>-3.0405405405405407E-2</v>
      </c>
      <c r="J51" s="4">
        <f t="shared" si="1"/>
        <v>0.17142857142857143</v>
      </c>
    </row>
    <row r="52" spans="1:10" x14ac:dyDescent="0.2">
      <c r="A52" s="2">
        <f ca="1">IFERROR(__xludf.DUMMYFUNCTION("""COMPUTED_VALUE"""),45370.6666666666)</f>
        <v>45370.666666666599</v>
      </c>
      <c r="B52" s="2"/>
      <c r="C52" s="2"/>
      <c r="D52" s="1">
        <v>7250</v>
      </c>
      <c r="E52" s="1">
        <v>7350</v>
      </c>
      <c r="F52" s="1">
        <v>7225</v>
      </c>
      <c r="G52" s="1">
        <v>7275</v>
      </c>
      <c r="H52" s="1">
        <v>100836600</v>
      </c>
      <c r="I52" s="4">
        <f t="shared" si="0"/>
        <v>1.3937282229965157E-2</v>
      </c>
      <c r="J52" s="4">
        <f t="shared" si="1"/>
        <v>0.18775510204081633</v>
      </c>
    </row>
    <row r="53" spans="1:10" x14ac:dyDescent="0.2">
      <c r="A53" s="2">
        <f ca="1">IFERROR(__xludf.DUMMYFUNCTION("""COMPUTED_VALUE"""),45371.6666666666)</f>
        <v>45371.666666666599</v>
      </c>
      <c r="B53" s="2"/>
      <c r="C53" s="2"/>
      <c r="D53" s="1">
        <v>7050</v>
      </c>
      <c r="E53" s="1">
        <v>7050</v>
      </c>
      <c r="F53" s="1">
        <v>7000</v>
      </c>
      <c r="G53" s="1">
        <v>7050</v>
      </c>
      <c r="H53" s="1">
        <v>83416700</v>
      </c>
      <c r="I53" s="4">
        <f t="shared" si="0"/>
        <v>-3.0927835051546393E-2</v>
      </c>
      <c r="J53" s="4">
        <f t="shared" si="1"/>
        <v>0.15102040816326531</v>
      </c>
    </row>
    <row r="54" spans="1:10" x14ac:dyDescent="0.2">
      <c r="A54" s="2">
        <f ca="1">IFERROR(__xludf.DUMMYFUNCTION("""COMPUTED_VALUE"""),45372.6666666666)</f>
        <v>45372.666666666599</v>
      </c>
      <c r="B54" s="2"/>
      <c r="C54" s="2"/>
      <c r="D54" s="1">
        <v>7100</v>
      </c>
      <c r="E54" s="1">
        <v>7200</v>
      </c>
      <c r="F54" s="1">
        <v>7050</v>
      </c>
      <c r="G54" s="1">
        <v>7050</v>
      </c>
      <c r="H54" s="1">
        <v>81774800</v>
      </c>
      <c r="I54" s="4">
        <f t="shared" si="0"/>
        <v>0</v>
      </c>
      <c r="J54" s="4">
        <f t="shared" si="1"/>
        <v>0.15102040816326531</v>
      </c>
    </row>
    <row r="55" spans="1:10" x14ac:dyDescent="0.2">
      <c r="A55" s="2">
        <f ca="1">IFERROR(__xludf.DUMMYFUNCTION("""COMPUTED_VALUE"""),45373.6666666666)</f>
        <v>45373.666666666599</v>
      </c>
      <c r="B55" s="2"/>
      <c r="C55" s="2"/>
      <c r="D55" s="1">
        <v>7000</v>
      </c>
      <c r="E55" s="1">
        <v>7075</v>
      </c>
      <c r="F55" s="1">
        <v>6950</v>
      </c>
      <c r="G55" s="1">
        <v>7050</v>
      </c>
      <c r="H55" s="1">
        <v>65219900</v>
      </c>
      <c r="I55" s="4">
        <f t="shared" si="0"/>
        <v>0</v>
      </c>
      <c r="J55" s="4">
        <f t="shared" si="1"/>
        <v>0.15102040816326531</v>
      </c>
    </row>
    <row r="56" spans="1:10" x14ac:dyDescent="0.2">
      <c r="A56" s="2">
        <f ca="1">IFERROR(__xludf.DUMMYFUNCTION("""COMPUTED_VALUE"""),45376.6666666666)</f>
        <v>45376.666666666599</v>
      </c>
      <c r="B56" s="2"/>
      <c r="C56" s="2"/>
      <c r="D56" s="1">
        <v>7250</v>
      </c>
      <c r="E56" s="1">
        <v>7250</v>
      </c>
      <c r="F56" s="1">
        <v>7000</v>
      </c>
      <c r="G56" s="1">
        <v>7250</v>
      </c>
      <c r="H56" s="1">
        <v>78212700</v>
      </c>
      <c r="I56" s="4">
        <f t="shared" si="0"/>
        <v>2.8368794326241134E-2</v>
      </c>
      <c r="J56" s="4">
        <f t="shared" si="1"/>
        <v>0.18367346938775511</v>
      </c>
    </row>
    <row r="57" spans="1:10" x14ac:dyDescent="0.2">
      <c r="A57" s="2">
        <f ca="1">IFERROR(__xludf.DUMMYFUNCTION("""COMPUTED_VALUE"""),45377.6666666666)</f>
        <v>45377.666666666599</v>
      </c>
      <c r="B57" s="2"/>
      <c r="C57" s="2"/>
      <c r="D57" s="1">
        <v>7225</v>
      </c>
      <c r="E57" s="1">
        <v>7225</v>
      </c>
      <c r="F57" s="1">
        <v>7125</v>
      </c>
      <c r="G57" s="1">
        <v>7175</v>
      </c>
      <c r="H57" s="1">
        <v>74274300</v>
      </c>
      <c r="I57" s="4">
        <f t="shared" si="0"/>
        <v>-1.0344827586206896E-2</v>
      </c>
      <c r="J57" s="4">
        <f t="shared" si="1"/>
        <v>0.17142857142857143</v>
      </c>
    </row>
    <row r="58" spans="1:10" x14ac:dyDescent="0.2">
      <c r="A58" s="2">
        <f ca="1">IFERROR(__xludf.DUMMYFUNCTION("""COMPUTED_VALUE"""),45378.6666666666)</f>
        <v>45378.666666666599</v>
      </c>
      <c r="B58" s="2"/>
      <c r="C58" s="2"/>
      <c r="D58" s="1">
        <v>7200</v>
      </c>
      <c r="E58" s="1">
        <v>7250</v>
      </c>
      <c r="F58" s="1">
        <v>7175</v>
      </c>
      <c r="G58" s="1">
        <v>7175</v>
      </c>
      <c r="H58" s="1">
        <v>46295700</v>
      </c>
      <c r="I58" s="4">
        <f t="shared" si="0"/>
        <v>0</v>
      </c>
      <c r="J58" s="4">
        <f t="shared" si="1"/>
        <v>0.17142857142857143</v>
      </c>
    </row>
    <row r="59" spans="1:10" x14ac:dyDescent="0.2">
      <c r="A59" s="2">
        <f ca="1">IFERROR(__xludf.DUMMYFUNCTION("""COMPUTED_VALUE"""),45379.6666666666)</f>
        <v>45379.666666666599</v>
      </c>
      <c r="B59" s="2"/>
      <c r="C59" s="2"/>
      <c r="D59" s="1">
        <v>7150</v>
      </c>
      <c r="E59" s="1">
        <v>7250</v>
      </c>
      <c r="F59" s="1">
        <v>7125</v>
      </c>
      <c r="G59" s="1">
        <v>7250</v>
      </c>
      <c r="H59" s="1">
        <v>90900900</v>
      </c>
      <c r="I59" s="4">
        <f t="shared" si="0"/>
        <v>1.0452961672473868E-2</v>
      </c>
      <c r="J59" s="4">
        <f t="shared" si="1"/>
        <v>0.18367346938775511</v>
      </c>
    </row>
    <row r="60" spans="1:10" x14ac:dyDescent="0.2">
      <c r="A60" s="2">
        <f ca="1">IFERROR(__xludf.DUMMYFUNCTION("""COMPUTED_VALUE"""),45383.6666666666)</f>
        <v>45383.666666666599</v>
      </c>
      <c r="B60" s="2"/>
      <c r="C60" s="2"/>
      <c r="D60" s="1">
        <v>7250</v>
      </c>
      <c r="E60" s="1">
        <v>7250</v>
      </c>
      <c r="F60" s="1">
        <v>6750</v>
      </c>
      <c r="G60" s="1">
        <v>6900</v>
      </c>
      <c r="H60" s="1">
        <v>158358600</v>
      </c>
      <c r="I60" s="4">
        <f t="shared" si="0"/>
        <v>-4.8275862068965517E-2</v>
      </c>
      <c r="J60" s="4">
        <f t="shared" si="1"/>
        <v>0.12653061224489795</v>
      </c>
    </row>
    <row r="61" spans="1:10" x14ac:dyDescent="0.2">
      <c r="A61" s="2">
        <f ca="1">IFERROR(__xludf.DUMMYFUNCTION("""COMPUTED_VALUE"""),45384.6666666666)</f>
        <v>45384.666666666599</v>
      </c>
      <c r="B61" s="2"/>
      <c r="C61" s="2"/>
      <c r="D61" s="1">
        <v>6900</v>
      </c>
      <c r="E61" s="1">
        <v>6900</v>
      </c>
      <c r="F61" s="1">
        <v>6700</v>
      </c>
      <c r="G61" s="1">
        <v>6900</v>
      </c>
      <c r="H61" s="1">
        <v>135764900</v>
      </c>
      <c r="I61" s="4">
        <f t="shared" si="0"/>
        <v>0</v>
      </c>
      <c r="J61" s="4">
        <f t="shared" si="1"/>
        <v>0.12653061224489795</v>
      </c>
    </row>
    <row r="62" spans="1:10" x14ac:dyDescent="0.2">
      <c r="A62" s="2">
        <f ca="1">IFERROR(__xludf.DUMMYFUNCTION("""COMPUTED_VALUE"""),45385.6666666666)</f>
        <v>45385.666666666599</v>
      </c>
      <c r="B62" s="2"/>
      <c r="C62" s="2"/>
      <c r="D62" s="1">
        <v>6950</v>
      </c>
      <c r="E62" s="1">
        <v>6950</v>
      </c>
      <c r="F62" s="1">
        <v>6675</v>
      </c>
      <c r="G62" s="1">
        <v>6775</v>
      </c>
      <c r="H62" s="1">
        <v>115372600</v>
      </c>
      <c r="I62" s="4">
        <f t="shared" si="0"/>
        <v>-1.8115942028985508E-2</v>
      </c>
      <c r="J62" s="4">
        <f t="shared" si="1"/>
        <v>0.10612244897959183</v>
      </c>
    </row>
    <row r="63" spans="1:10" x14ac:dyDescent="0.2">
      <c r="A63" s="2">
        <f ca="1">IFERROR(__xludf.DUMMYFUNCTION("""COMPUTED_VALUE"""),45386.6666666666)</f>
        <v>45386.666666666599</v>
      </c>
      <c r="B63" s="2"/>
      <c r="C63" s="2"/>
      <c r="D63" s="1">
        <v>6750</v>
      </c>
      <c r="E63" s="1">
        <v>6925</v>
      </c>
      <c r="F63" s="1">
        <v>6750</v>
      </c>
      <c r="G63" s="1">
        <v>6875</v>
      </c>
      <c r="H63" s="1">
        <v>63174900</v>
      </c>
      <c r="I63" s="4">
        <f t="shared" si="0"/>
        <v>1.4760147601476014E-2</v>
      </c>
      <c r="J63" s="4">
        <f t="shared" si="1"/>
        <v>0.12244897959183673</v>
      </c>
    </row>
    <row r="64" spans="1:10" x14ac:dyDescent="0.2">
      <c r="A64" s="2">
        <f ca="1">IFERROR(__xludf.DUMMYFUNCTION("""COMPUTED_VALUE"""),45387.6666666666)</f>
        <v>45387.666666666599</v>
      </c>
      <c r="B64" s="2"/>
      <c r="C64" s="2"/>
      <c r="D64" s="1">
        <v>6825</v>
      </c>
      <c r="E64" s="1">
        <v>6900</v>
      </c>
      <c r="F64" s="1">
        <v>6825</v>
      </c>
      <c r="G64" s="1">
        <v>6825</v>
      </c>
      <c r="H64" s="1">
        <v>46111500</v>
      </c>
      <c r="I64" s="4">
        <f t="shared" si="0"/>
        <v>-7.2727272727272727E-3</v>
      </c>
      <c r="J64" s="4">
        <f t="shared" si="1"/>
        <v>0.11428571428571428</v>
      </c>
    </row>
    <row r="65" spans="1:10" x14ac:dyDescent="0.2">
      <c r="A65" s="2">
        <f ca="1">IFERROR(__xludf.DUMMYFUNCTION("""COMPUTED_VALUE"""),45398.6666666666)</f>
        <v>45398.666666666599</v>
      </c>
      <c r="B65" s="2"/>
      <c r="C65" s="2"/>
      <c r="D65" s="1">
        <v>6350</v>
      </c>
      <c r="E65" s="1">
        <v>6725</v>
      </c>
      <c r="F65" s="1">
        <v>6300</v>
      </c>
      <c r="G65" s="1">
        <v>6625</v>
      </c>
      <c r="H65" s="1">
        <v>180012400</v>
      </c>
      <c r="I65" s="4">
        <f t="shared" si="0"/>
        <v>-2.9304029304029304E-2</v>
      </c>
      <c r="J65" s="4">
        <f t="shared" si="1"/>
        <v>8.1632653061224483E-2</v>
      </c>
    </row>
    <row r="66" spans="1:10" x14ac:dyDescent="0.2">
      <c r="A66" s="2">
        <f ca="1">IFERROR(__xludf.DUMMYFUNCTION("""COMPUTED_VALUE"""),45399.6666666666)</f>
        <v>45399.666666666599</v>
      </c>
      <c r="B66" s="2"/>
      <c r="C66" s="2"/>
      <c r="D66" s="1">
        <v>6700</v>
      </c>
      <c r="E66" s="1">
        <v>6775</v>
      </c>
      <c r="F66" s="1">
        <v>6625</v>
      </c>
      <c r="G66" s="1">
        <v>6625</v>
      </c>
      <c r="H66" s="1">
        <v>83840200</v>
      </c>
      <c r="I66" s="4">
        <f t="shared" si="0"/>
        <v>0</v>
      </c>
      <c r="J66" s="4">
        <f t="shared" si="1"/>
        <v>8.1632653061224483E-2</v>
      </c>
    </row>
    <row r="67" spans="1:10" x14ac:dyDescent="0.2">
      <c r="A67" s="2">
        <f ca="1">IFERROR(__xludf.DUMMYFUNCTION("""COMPUTED_VALUE"""),45400.6666666666)</f>
        <v>45400.666666666599</v>
      </c>
      <c r="B67" s="2"/>
      <c r="C67" s="2"/>
      <c r="D67" s="1">
        <v>6800</v>
      </c>
      <c r="E67" s="1">
        <v>6900</v>
      </c>
      <c r="F67" s="1">
        <v>6725</v>
      </c>
      <c r="G67" s="1">
        <v>6800</v>
      </c>
      <c r="H67" s="1">
        <v>106893900</v>
      </c>
      <c r="I67" s="4">
        <f t="shared" si="0"/>
        <v>2.6415094339622643E-2</v>
      </c>
      <c r="J67" s="4">
        <f t="shared" si="1"/>
        <v>0.11020408163265306</v>
      </c>
    </row>
    <row r="68" spans="1:10" x14ac:dyDescent="0.2">
      <c r="A68" s="2">
        <f ca="1">IFERROR(__xludf.DUMMYFUNCTION("""COMPUTED_VALUE"""),45401.6666666666)</f>
        <v>45401.666666666599</v>
      </c>
      <c r="B68" s="2"/>
      <c r="C68" s="2"/>
      <c r="D68" s="1">
        <v>6725</v>
      </c>
      <c r="E68" s="1">
        <v>6800</v>
      </c>
      <c r="F68" s="1">
        <v>6650</v>
      </c>
      <c r="G68" s="1">
        <v>6725</v>
      </c>
      <c r="H68" s="1">
        <v>47943300</v>
      </c>
      <c r="I68" s="4">
        <f t="shared" ref="I68:I131" si="2">(G68-G67)/G67</f>
        <v>-1.1029411764705883E-2</v>
      </c>
      <c r="J68" s="4">
        <f t="shared" ref="J68:J131" si="3">(G68-$G$2)/$G$2</f>
        <v>9.7959183673469383E-2</v>
      </c>
    </row>
    <row r="69" spans="1:10" x14ac:dyDescent="0.2">
      <c r="A69" s="2">
        <f ca="1">IFERROR(__xludf.DUMMYFUNCTION("""COMPUTED_VALUE"""),45404.6666666666)</f>
        <v>45404.666666666599</v>
      </c>
      <c r="B69" s="2"/>
      <c r="C69" s="2"/>
      <c r="D69" s="1">
        <v>6875</v>
      </c>
      <c r="E69" s="1">
        <v>6875</v>
      </c>
      <c r="F69" s="1">
        <v>6575</v>
      </c>
      <c r="G69" s="1">
        <v>6725</v>
      </c>
      <c r="H69" s="1">
        <v>121727900</v>
      </c>
      <c r="I69" s="4">
        <f t="shared" si="2"/>
        <v>0</v>
      </c>
      <c r="J69" s="4">
        <f t="shared" si="3"/>
        <v>9.7959183673469383E-2</v>
      </c>
    </row>
    <row r="70" spans="1:10" x14ac:dyDescent="0.2">
      <c r="A70" s="2">
        <f ca="1">IFERROR(__xludf.DUMMYFUNCTION("""COMPUTED_VALUE"""),45405.6666666666)</f>
        <v>45405.666666666599</v>
      </c>
      <c r="B70" s="2"/>
      <c r="C70" s="2"/>
      <c r="D70" s="1">
        <v>6850</v>
      </c>
      <c r="E70" s="1">
        <v>6925</v>
      </c>
      <c r="F70" s="1">
        <v>6725</v>
      </c>
      <c r="G70" s="1">
        <v>6825</v>
      </c>
      <c r="H70" s="1">
        <v>106699200</v>
      </c>
      <c r="I70" s="4">
        <f t="shared" si="2"/>
        <v>1.4869888475836431E-2</v>
      </c>
      <c r="J70" s="4">
        <f t="shared" si="3"/>
        <v>0.11428571428571428</v>
      </c>
    </row>
    <row r="71" spans="1:10" x14ac:dyDescent="0.2">
      <c r="A71" s="2">
        <f ca="1">IFERROR(__xludf.DUMMYFUNCTION("""COMPUTED_VALUE"""),45406.6666666666)</f>
        <v>45406.666666666599</v>
      </c>
      <c r="B71" s="2"/>
      <c r="C71" s="2"/>
      <c r="D71" s="1">
        <v>6925</v>
      </c>
      <c r="E71" s="1">
        <v>7050</v>
      </c>
      <c r="F71" s="1">
        <v>6900</v>
      </c>
      <c r="G71" s="1">
        <v>7050</v>
      </c>
      <c r="H71" s="1">
        <v>117586500</v>
      </c>
      <c r="I71" s="4">
        <f t="shared" si="2"/>
        <v>3.2967032967032968E-2</v>
      </c>
      <c r="J71" s="4">
        <f t="shared" si="3"/>
        <v>0.15102040816326531</v>
      </c>
    </row>
    <row r="72" spans="1:10" x14ac:dyDescent="0.2">
      <c r="A72" s="2">
        <f ca="1">IFERROR(__xludf.DUMMYFUNCTION("""COMPUTED_VALUE"""),45407.6666666666)</f>
        <v>45407.666666666599</v>
      </c>
      <c r="B72" s="2"/>
      <c r="C72" s="2"/>
      <c r="D72" s="1">
        <v>7050</v>
      </c>
      <c r="E72" s="1">
        <v>7075</v>
      </c>
      <c r="F72" s="1">
        <v>6925</v>
      </c>
      <c r="G72" s="1">
        <v>6950</v>
      </c>
      <c r="H72" s="1">
        <v>111803500</v>
      </c>
      <c r="I72" s="4">
        <f t="shared" si="2"/>
        <v>-1.4184397163120567E-2</v>
      </c>
      <c r="J72" s="4">
        <f t="shared" si="3"/>
        <v>0.13469387755102041</v>
      </c>
    </row>
    <row r="73" spans="1:10" x14ac:dyDescent="0.2">
      <c r="A73" s="2">
        <f ca="1">IFERROR(__xludf.DUMMYFUNCTION("""COMPUTED_VALUE"""),45408.6666666666)</f>
        <v>45408.666666666599</v>
      </c>
      <c r="B73" s="2"/>
      <c r="C73" s="2"/>
      <c r="D73" s="1">
        <v>7000</v>
      </c>
      <c r="E73" s="1">
        <v>7025</v>
      </c>
      <c r="F73" s="1">
        <v>6750</v>
      </c>
      <c r="G73" s="1">
        <v>6750</v>
      </c>
      <c r="H73" s="1">
        <v>125875000</v>
      </c>
      <c r="I73" s="4">
        <f t="shared" si="2"/>
        <v>-2.8776978417266189E-2</v>
      </c>
      <c r="J73" s="4">
        <f t="shared" si="3"/>
        <v>0.10204081632653061</v>
      </c>
    </row>
    <row r="74" spans="1:10" x14ac:dyDescent="0.2">
      <c r="A74" s="2">
        <f ca="1">IFERROR(__xludf.DUMMYFUNCTION("""COMPUTED_VALUE"""),45411.6666666666)</f>
        <v>45411.666666666599</v>
      </c>
      <c r="B74" s="2"/>
      <c r="C74" s="2"/>
      <c r="D74" s="1">
        <v>6650</v>
      </c>
      <c r="E74" s="1">
        <v>6950</v>
      </c>
      <c r="F74" s="1">
        <v>6650</v>
      </c>
      <c r="G74" s="1">
        <v>6925</v>
      </c>
      <c r="H74" s="1">
        <v>77938400</v>
      </c>
      <c r="I74" s="4">
        <f t="shared" si="2"/>
        <v>2.5925925925925925E-2</v>
      </c>
      <c r="J74" s="4">
        <f t="shared" si="3"/>
        <v>0.1306122448979592</v>
      </c>
    </row>
    <row r="75" spans="1:10" x14ac:dyDescent="0.2">
      <c r="A75" s="2">
        <f ca="1">IFERROR(__xludf.DUMMYFUNCTION("""COMPUTED_VALUE"""),45412.6666666666)</f>
        <v>45412.666666666599</v>
      </c>
      <c r="B75" s="2"/>
      <c r="C75" s="2"/>
      <c r="D75" s="1">
        <v>6800</v>
      </c>
      <c r="E75" s="1">
        <v>7050</v>
      </c>
      <c r="F75" s="1">
        <v>6775</v>
      </c>
      <c r="G75" s="1">
        <v>6900</v>
      </c>
      <c r="H75" s="1">
        <v>189991300</v>
      </c>
      <c r="I75" s="4">
        <f t="shared" si="2"/>
        <v>-3.6101083032490976E-3</v>
      </c>
      <c r="J75" s="4">
        <f t="shared" si="3"/>
        <v>0.12653061224489795</v>
      </c>
    </row>
    <row r="76" spans="1:10" x14ac:dyDescent="0.2">
      <c r="A76" s="2">
        <f ca="1">IFERROR(__xludf.DUMMYFUNCTION("""COMPUTED_VALUE"""),45414.6666666666)</f>
        <v>45414.666666666599</v>
      </c>
      <c r="B76" s="2"/>
      <c r="C76" s="2"/>
      <c r="D76" s="1">
        <v>6800</v>
      </c>
      <c r="E76" s="1">
        <v>6800</v>
      </c>
      <c r="F76" s="1">
        <v>6050</v>
      </c>
      <c r="G76" s="1">
        <v>6325</v>
      </c>
      <c r="H76" s="1">
        <v>501849300</v>
      </c>
      <c r="I76" s="4">
        <f t="shared" si="2"/>
        <v>-8.3333333333333329E-2</v>
      </c>
      <c r="J76" s="4">
        <f t="shared" si="3"/>
        <v>3.2653061224489799E-2</v>
      </c>
    </row>
    <row r="77" spans="1:10" x14ac:dyDescent="0.2">
      <c r="A77" s="2">
        <f ca="1">IFERROR(__xludf.DUMMYFUNCTION("""COMPUTED_VALUE"""),45415.6666666666)</f>
        <v>45415.666666666599</v>
      </c>
      <c r="B77" s="2"/>
      <c r="C77" s="2"/>
      <c r="D77" s="1">
        <v>6300</v>
      </c>
      <c r="E77" s="1">
        <v>6425</v>
      </c>
      <c r="F77" s="1">
        <v>6050</v>
      </c>
      <c r="G77" s="1">
        <v>6150</v>
      </c>
      <c r="H77" s="1">
        <v>269305400</v>
      </c>
      <c r="I77" s="4">
        <f t="shared" si="2"/>
        <v>-2.766798418972332E-2</v>
      </c>
      <c r="J77" s="4">
        <f t="shared" si="3"/>
        <v>4.0816326530612249E-3</v>
      </c>
    </row>
    <row r="78" spans="1:10" x14ac:dyDescent="0.2">
      <c r="A78" s="2">
        <f ca="1">IFERROR(__xludf.DUMMYFUNCTION("""COMPUTED_VALUE"""),45418.6666666666)</f>
        <v>45418.666666666599</v>
      </c>
      <c r="B78" s="2"/>
      <c r="C78" s="2"/>
      <c r="D78" s="1">
        <v>6250</v>
      </c>
      <c r="E78" s="1">
        <v>6400</v>
      </c>
      <c r="F78" s="1">
        <v>6150</v>
      </c>
      <c r="G78" s="1">
        <v>6275</v>
      </c>
      <c r="H78" s="1">
        <v>184234200</v>
      </c>
      <c r="I78" s="4">
        <f t="shared" si="2"/>
        <v>2.032520325203252E-2</v>
      </c>
      <c r="J78" s="4">
        <f t="shared" si="3"/>
        <v>2.4489795918367346E-2</v>
      </c>
    </row>
    <row r="79" spans="1:10" x14ac:dyDescent="0.2">
      <c r="A79" s="2">
        <f ca="1">IFERROR(__xludf.DUMMYFUNCTION("""COMPUTED_VALUE"""),45419.6666666666)</f>
        <v>45419.666666666599</v>
      </c>
      <c r="B79" s="2"/>
      <c r="C79" s="2"/>
      <c r="D79" s="1">
        <v>6325</v>
      </c>
      <c r="E79" s="1">
        <v>6400</v>
      </c>
      <c r="F79" s="1">
        <v>6250</v>
      </c>
      <c r="G79" s="1">
        <v>6275</v>
      </c>
      <c r="H79" s="1">
        <v>130410300</v>
      </c>
      <c r="I79" s="4">
        <f t="shared" si="2"/>
        <v>0</v>
      </c>
      <c r="J79" s="4">
        <f t="shared" si="3"/>
        <v>2.4489795918367346E-2</v>
      </c>
    </row>
    <row r="80" spans="1:10" x14ac:dyDescent="0.2">
      <c r="A80" s="2">
        <f ca="1">IFERROR(__xludf.DUMMYFUNCTION("""COMPUTED_VALUE"""),45420.6666666666)</f>
        <v>45420.666666666599</v>
      </c>
      <c r="B80" s="2"/>
      <c r="C80" s="2"/>
      <c r="D80" s="1">
        <v>6325</v>
      </c>
      <c r="E80" s="1">
        <v>6450</v>
      </c>
      <c r="F80" s="1">
        <v>6250</v>
      </c>
      <c r="G80" s="1">
        <v>6275</v>
      </c>
      <c r="H80" s="1">
        <v>117065300</v>
      </c>
      <c r="I80" s="4">
        <f t="shared" si="2"/>
        <v>0</v>
      </c>
      <c r="J80" s="4">
        <f t="shared" si="3"/>
        <v>2.4489795918367346E-2</v>
      </c>
    </row>
    <row r="81" spans="1:10" x14ac:dyDescent="0.2">
      <c r="A81" s="2">
        <f ca="1">IFERROR(__xludf.DUMMYFUNCTION("""COMPUTED_VALUE"""),45425.6666666666)</f>
        <v>45425.666666666599</v>
      </c>
      <c r="B81" s="2"/>
      <c r="C81" s="2"/>
      <c r="D81" s="1">
        <v>6200</v>
      </c>
      <c r="E81" s="1">
        <v>6275</v>
      </c>
      <c r="F81" s="1">
        <v>6125</v>
      </c>
      <c r="G81" s="1">
        <v>6200</v>
      </c>
      <c r="H81" s="1">
        <v>128638300</v>
      </c>
      <c r="I81" s="4">
        <f t="shared" si="2"/>
        <v>-1.1952191235059761E-2</v>
      </c>
      <c r="J81" s="4">
        <f t="shared" si="3"/>
        <v>1.2244897959183673E-2</v>
      </c>
    </row>
    <row r="82" spans="1:10" x14ac:dyDescent="0.2">
      <c r="A82" s="2">
        <f ca="1">IFERROR(__xludf.DUMMYFUNCTION("""COMPUTED_VALUE"""),45426.6666666666)</f>
        <v>45426.666666666599</v>
      </c>
      <c r="B82" s="2"/>
      <c r="C82" s="2"/>
      <c r="D82" s="1">
        <v>6175</v>
      </c>
      <c r="E82" s="1">
        <v>6300</v>
      </c>
      <c r="F82" s="1">
        <v>6175</v>
      </c>
      <c r="G82" s="1">
        <v>6200</v>
      </c>
      <c r="H82" s="1">
        <v>94048400</v>
      </c>
      <c r="I82" s="4">
        <f t="shared" si="2"/>
        <v>0</v>
      </c>
      <c r="J82" s="4">
        <f t="shared" si="3"/>
        <v>1.2244897959183673E-2</v>
      </c>
    </row>
    <row r="83" spans="1:10" x14ac:dyDescent="0.2">
      <c r="A83" s="2">
        <f ca="1">IFERROR(__xludf.DUMMYFUNCTION("""COMPUTED_VALUE"""),45427.6666666666)</f>
        <v>45427.666666666599</v>
      </c>
      <c r="B83" s="2"/>
      <c r="C83" s="2"/>
      <c r="D83" s="1">
        <v>6200</v>
      </c>
      <c r="E83" s="1">
        <v>6400</v>
      </c>
      <c r="F83" s="1">
        <v>6200</v>
      </c>
      <c r="G83" s="1">
        <v>6375</v>
      </c>
      <c r="H83" s="1">
        <v>80923000</v>
      </c>
      <c r="I83" s="4">
        <f t="shared" si="2"/>
        <v>2.8225806451612902E-2</v>
      </c>
      <c r="J83" s="4">
        <f t="shared" si="3"/>
        <v>4.0816326530612242E-2</v>
      </c>
    </row>
    <row r="84" spans="1:10" x14ac:dyDescent="0.2">
      <c r="A84" s="2">
        <f ca="1">IFERROR(__xludf.DUMMYFUNCTION("""COMPUTED_VALUE"""),45428.6666666666)</f>
        <v>45428.666666666599</v>
      </c>
      <c r="B84" s="2"/>
      <c r="C84" s="2"/>
      <c r="D84" s="1">
        <v>6450</v>
      </c>
      <c r="E84" s="1">
        <v>6500</v>
      </c>
      <c r="F84" s="1">
        <v>6325</v>
      </c>
      <c r="G84" s="1">
        <v>6350</v>
      </c>
      <c r="H84" s="1">
        <v>114806300</v>
      </c>
      <c r="I84" s="4">
        <f t="shared" si="2"/>
        <v>-3.9215686274509803E-3</v>
      </c>
      <c r="J84" s="4">
        <f t="shared" si="3"/>
        <v>3.6734693877551024E-2</v>
      </c>
    </row>
    <row r="85" spans="1:10" x14ac:dyDescent="0.2">
      <c r="A85" s="2">
        <f ca="1">IFERROR(__xludf.DUMMYFUNCTION("""COMPUTED_VALUE"""),45429.6666666666)</f>
        <v>45429.666666666599</v>
      </c>
      <c r="B85" s="2"/>
      <c r="C85" s="2"/>
      <c r="D85" s="1">
        <v>6350</v>
      </c>
      <c r="E85" s="1">
        <v>6650</v>
      </c>
      <c r="F85" s="1">
        <v>6350</v>
      </c>
      <c r="G85" s="1">
        <v>6575</v>
      </c>
      <c r="H85" s="1">
        <v>133153900</v>
      </c>
      <c r="I85" s="4">
        <f t="shared" si="2"/>
        <v>3.5433070866141732E-2</v>
      </c>
      <c r="J85" s="4">
        <f t="shared" si="3"/>
        <v>7.3469387755102047E-2</v>
      </c>
    </row>
    <row r="86" spans="1:10" x14ac:dyDescent="0.2">
      <c r="A86" s="2">
        <f ca="1">IFERROR(__xludf.DUMMYFUNCTION("""COMPUTED_VALUE"""),45432.6666666666)</f>
        <v>45432.666666666599</v>
      </c>
      <c r="B86" s="2"/>
      <c r="C86" s="2"/>
      <c r="D86" s="1">
        <v>6550</v>
      </c>
      <c r="E86" s="1">
        <v>6625</v>
      </c>
      <c r="F86" s="1">
        <v>6200</v>
      </c>
      <c r="G86" s="1">
        <v>6325</v>
      </c>
      <c r="H86" s="1">
        <v>168796000</v>
      </c>
      <c r="I86" s="4">
        <f t="shared" si="2"/>
        <v>-3.8022813688212927E-2</v>
      </c>
      <c r="J86" s="4">
        <f t="shared" si="3"/>
        <v>3.2653061224489799E-2</v>
      </c>
    </row>
    <row r="87" spans="1:10" x14ac:dyDescent="0.2">
      <c r="A87" s="2">
        <f ca="1">IFERROR(__xludf.DUMMYFUNCTION("""COMPUTED_VALUE"""),45433.6666666666)</f>
        <v>45433.666666666599</v>
      </c>
      <c r="B87" s="2"/>
      <c r="C87" s="2"/>
      <c r="D87" s="1">
        <v>6225</v>
      </c>
      <c r="E87" s="1">
        <v>6275</v>
      </c>
      <c r="F87" s="1">
        <v>5975</v>
      </c>
      <c r="G87" s="1">
        <v>6025</v>
      </c>
      <c r="H87" s="1">
        <v>307362900</v>
      </c>
      <c r="I87" s="4">
        <f t="shared" si="2"/>
        <v>-4.7430830039525688E-2</v>
      </c>
      <c r="J87" s="4">
        <f t="shared" si="3"/>
        <v>-1.6326530612244899E-2</v>
      </c>
    </row>
    <row r="88" spans="1:10" x14ac:dyDescent="0.2">
      <c r="A88" s="2">
        <f ca="1">IFERROR(__xludf.DUMMYFUNCTION("""COMPUTED_VALUE"""),45434.6666666666)</f>
        <v>45434.666666666599</v>
      </c>
      <c r="B88" s="2"/>
      <c r="C88" s="2"/>
      <c r="D88" s="1">
        <v>6000</v>
      </c>
      <c r="E88" s="1">
        <v>6150</v>
      </c>
      <c r="F88" s="1">
        <v>5950</v>
      </c>
      <c r="G88" s="1">
        <v>6050</v>
      </c>
      <c r="H88" s="1">
        <v>171675900</v>
      </c>
      <c r="I88" s="4">
        <f t="shared" si="2"/>
        <v>4.1493775933609959E-3</v>
      </c>
      <c r="J88" s="4">
        <f t="shared" si="3"/>
        <v>-1.2244897959183673E-2</v>
      </c>
    </row>
    <row r="89" spans="1:10" x14ac:dyDescent="0.2">
      <c r="A89" s="2">
        <f ca="1">IFERROR(__xludf.DUMMYFUNCTION("""COMPUTED_VALUE"""),45439.6666666666)</f>
        <v>45439.666666666599</v>
      </c>
      <c r="B89" s="2"/>
      <c r="C89" s="2"/>
      <c r="D89" s="1">
        <v>6025</v>
      </c>
      <c r="E89" s="1">
        <v>6050</v>
      </c>
      <c r="F89" s="1">
        <v>5825</v>
      </c>
      <c r="G89" s="1">
        <v>5825</v>
      </c>
      <c r="H89" s="1">
        <v>258450900</v>
      </c>
      <c r="I89" s="4">
        <f t="shared" si="2"/>
        <v>-3.71900826446281E-2</v>
      </c>
      <c r="J89" s="4">
        <f t="shared" si="3"/>
        <v>-4.8979591836734691E-2</v>
      </c>
    </row>
    <row r="90" spans="1:10" x14ac:dyDescent="0.2">
      <c r="A90" s="2">
        <f ca="1">IFERROR(__xludf.DUMMYFUNCTION("""COMPUTED_VALUE"""),45440.6666666666)</f>
        <v>45440.666666666599</v>
      </c>
      <c r="B90" s="2"/>
      <c r="C90" s="2"/>
      <c r="D90" s="1">
        <v>5850</v>
      </c>
      <c r="E90" s="1">
        <v>6025</v>
      </c>
      <c r="F90" s="1">
        <v>5825</v>
      </c>
      <c r="G90" s="1">
        <v>5950</v>
      </c>
      <c r="H90" s="1">
        <v>93701700</v>
      </c>
      <c r="I90" s="4">
        <f t="shared" si="2"/>
        <v>2.1459227467811159E-2</v>
      </c>
      <c r="J90" s="4">
        <f t="shared" si="3"/>
        <v>-2.8571428571428571E-2</v>
      </c>
    </row>
    <row r="91" spans="1:10" x14ac:dyDescent="0.2">
      <c r="A91" s="2">
        <f ca="1">IFERROR(__xludf.DUMMYFUNCTION("""COMPUTED_VALUE"""),45441.6666666666)</f>
        <v>45441.666666666599</v>
      </c>
      <c r="B91" s="2"/>
      <c r="C91" s="2"/>
      <c r="D91" s="1">
        <v>5825</v>
      </c>
      <c r="E91" s="1">
        <v>5875</v>
      </c>
      <c r="F91" s="1">
        <v>5700</v>
      </c>
      <c r="G91" s="1">
        <v>5800</v>
      </c>
      <c r="H91" s="1">
        <v>169386300</v>
      </c>
      <c r="I91" s="4">
        <f t="shared" si="2"/>
        <v>-2.5210084033613446E-2</v>
      </c>
      <c r="J91" s="4">
        <f t="shared" si="3"/>
        <v>-5.3061224489795916E-2</v>
      </c>
    </row>
    <row r="92" spans="1:10" x14ac:dyDescent="0.2">
      <c r="A92" s="2">
        <f ca="1">IFERROR(__xludf.DUMMYFUNCTION("""COMPUTED_VALUE"""),45442.6666666666)</f>
        <v>45442.666666666599</v>
      </c>
      <c r="B92" s="2"/>
      <c r="C92" s="2"/>
      <c r="D92" s="1">
        <v>5775</v>
      </c>
      <c r="E92" s="1">
        <v>6000</v>
      </c>
      <c r="F92" s="1">
        <v>5525</v>
      </c>
      <c r="G92" s="1">
        <v>5875</v>
      </c>
      <c r="H92" s="1">
        <v>236632600</v>
      </c>
      <c r="I92" s="4">
        <f t="shared" si="2"/>
        <v>1.2931034482758621E-2</v>
      </c>
      <c r="J92" s="4">
        <f t="shared" si="3"/>
        <v>-4.0816326530612242E-2</v>
      </c>
    </row>
    <row r="93" spans="1:10" x14ac:dyDescent="0.2">
      <c r="A93" s="2">
        <f ca="1">IFERROR(__xludf.DUMMYFUNCTION("""COMPUTED_VALUE"""),45443.6666666666)</f>
        <v>45443.666666666599</v>
      </c>
      <c r="B93" s="2"/>
      <c r="C93" s="2"/>
      <c r="D93" s="1">
        <v>6000</v>
      </c>
      <c r="E93" s="1">
        <v>6025</v>
      </c>
      <c r="F93" s="1">
        <v>5900</v>
      </c>
      <c r="G93" s="1">
        <v>5900</v>
      </c>
      <c r="H93" s="1">
        <v>169567000</v>
      </c>
      <c r="I93" s="4">
        <f t="shared" si="2"/>
        <v>4.2553191489361703E-3</v>
      </c>
      <c r="J93" s="4">
        <f t="shared" si="3"/>
        <v>-3.6734693877551024E-2</v>
      </c>
    </row>
    <row r="94" spans="1:10" x14ac:dyDescent="0.2">
      <c r="A94" s="2">
        <f ca="1">IFERROR(__xludf.DUMMYFUNCTION("""COMPUTED_VALUE"""),45446.6666666666)</f>
        <v>45446.666666666599</v>
      </c>
      <c r="B94" s="2"/>
      <c r="C94" s="2"/>
      <c r="D94" s="1">
        <v>6075</v>
      </c>
      <c r="E94" s="1">
        <v>6150</v>
      </c>
      <c r="F94" s="1">
        <v>6025</v>
      </c>
      <c r="G94" s="1">
        <v>6100</v>
      </c>
      <c r="H94" s="1">
        <v>92525600</v>
      </c>
      <c r="I94" s="4">
        <f t="shared" si="2"/>
        <v>3.3898305084745763E-2</v>
      </c>
      <c r="J94" s="4">
        <f t="shared" si="3"/>
        <v>-4.0816326530612249E-3</v>
      </c>
    </row>
    <row r="95" spans="1:10" x14ac:dyDescent="0.2">
      <c r="A95" s="2">
        <f ca="1">IFERROR(__xludf.DUMMYFUNCTION("""COMPUTED_VALUE"""),45447.6666666666)</f>
        <v>45447.666666666599</v>
      </c>
      <c r="B95" s="2"/>
      <c r="C95" s="2"/>
      <c r="D95" s="1">
        <v>6150</v>
      </c>
      <c r="E95" s="1">
        <v>6275</v>
      </c>
      <c r="F95" s="1">
        <v>6125</v>
      </c>
      <c r="G95" s="1">
        <v>6150</v>
      </c>
      <c r="H95" s="1">
        <v>137800600</v>
      </c>
      <c r="I95" s="4">
        <f t="shared" si="2"/>
        <v>8.1967213114754103E-3</v>
      </c>
      <c r="J95" s="4">
        <f t="shared" si="3"/>
        <v>4.0816326530612249E-3</v>
      </c>
    </row>
    <row r="96" spans="1:10" x14ac:dyDescent="0.2">
      <c r="A96" s="2">
        <f ca="1">IFERROR(__xludf.DUMMYFUNCTION("""COMPUTED_VALUE"""),45448.6666666666)</f>
        <v>45448.666666666599</v>
      </c>
      <c r="B96" s="2"/>
      <c r="C96" s="2"/>
      <c r="D96" s="1">
        <v>6125</v>
      </c>
      <c r="E96" s="1">
        <v>6150</v>
      </c>
      <c r="F96" s="1">
        <v>5975</v>
      </c>
      <c r="G96" s="1">
        <v>6000</v>
      </c>
      <c r="H96" s="1">
        <v>102327300</v>
      </c>
      <c r="I96" s="4">
        <f t="shared" si="2"/>
        <v>-2.4390243902439025E-2</v>
      </c>
      <c r="J96" s="4">
        <f t="shared" si="3"/>
        <v>-2.0408163265306121E-2</v>
      </c>
    </row>
    <row r="97" spans="1:10" x14ac:dyDescent="0.2">
      <c r="A97" s="2">
        <f ca="1">IFERROR(__xludf.DUMMYFUNCTION("""COMPUTED_VALUE"""),45449.6666666666)</f>
        <v>45449.666666666599</v>
      </c>
      <c r="B97" s="2"/>
      <c r="C97" s="2"/>
      <c r="D97" s="1">
        <v>6125</v>
      </c>
      <c r="E97" s="1">
        <v>6200</v>
      </c>
      <c r="F97" s="1">
        <v>6075</v>
      </c>
      <c r="G97" s="1">
        <v>6175</v>
      </c>
      <c r="H97" s="1">
        <v>85735200</v>
      </c>
      <c r="I97" s="4">
        <f t="shared" si="2"/>
        <v>2.9166666666666667E-2</v>
      </c>
      <c r="J97" s="4">
        <f t="shared" si="3"/>
        <v>8.1632653061224497E-3</v>
      </c>
    </row>
    <row r="98" spans="1:10" x14ac:dyDescent="0.2">
      <c r="A98" s="2">
        <f ca="1">IFERROR(__xludf.DUMMYFUNCTION("""COMPUTED_VALUE"""),45450.6666666666)</f>
        <v>45450.666666666599</v>
      </c>
      <c r="B98" s="2"/>
      <c r="C98" s="2"/>
      <c r="D98" s="1">
        <v>6250</v>
      </c>
      <c r="E98" s="1">
        <v>6275</v>
      </c>
      <c r="F98" s="1">
        <v>6150</v>
      </c>
      <c r="G98" s="1">
        <v>6275</v>
      </c>
      <c r="H98" s="1">
        <v>99092800</v>
      </c>
      <c r="I98" s="4">
        <f t="shared" si="2"/>
        <v>1.6194331983805668E-2</v>
      </c>
      <c r="J98" s="4">
        <f t="shared" si="3"/>
        <v>2.4489795918367346E-2</v>
      </c>
    </row>
    <row r="99" spans="1:10" x14ac:dyDescent="0.2">
      <c r="A99" s="2">
        <f ca="1">IFERROR(__xludf.DUMMYFUNCTION("""COMPUTED_VALUE"""),45453.6666666666)</f>
        <v>45453.666666666599</v>
      </c>
      <c r="B99" s="2"/>
      <c r="C99" s="2"/>
      <c r="D99" s="1">
        <v>6275</v>
      </c>
      <c r="E99" s="1">
        <v>6350</v>
      </c>
      <c r="F99" s="1">
        <v>6200</v>
      </c>
      <c r="G99" s="1">
        <v>6275</v>
      </c>
      <c r="H99" s="1">
        <v>80154400</v>
      </c>
      <c r="I99" s="4">
        <f t="shared" si="2"/>
        <v>0</v>
      </c>
      <c r="J99" s="4">
        <f t="shared" si="3"/>
        <v>2.4489795918367346E-2</v>
      </c>
    </row>
    <row r="100" spans="1:10" x14ac:dyDescent="0.2">
      <c r="A100" s="2">
        <f ca="1">IFERROR(__xludf.DUMMYFUNCTION("""COMPUTED_VALUE"""),45454.6666666666)</f>
        <v>45454.666666666599</v>
      </c>
      <c r="B100" s="2"/>
      <c r="C100" s="2"/>
      <c r="D100" s="1">
        <v>6200</v>
      </c>
      <c r="E100" s="1">
        <v>6250</v>
      </c>
      <c r="F100" s="1">
        <v>6125</v>
      </c>
      <c r="G100" s="1">
        <v>6125</v>
      </c>
      <c r="H100" s="1">
        <v>56254400</v>
      </c>
      <c r="I100" s="4">
        <f t="shared" si="2"/>
        <v>-2.3904382470119521E-2</v>
      </c>
      <c r="J100" s="4">
        <f t="shared" si="3"/>
        <v>0</v>
      </c>
    </row>
    <row r="101" spans="1:10" x14ac:dyDescent="0.2">
      <c r="A101" s="2">
        <f ca="1">IFERROR(__xludf.DUMMYFUNCTION("""COMPUTED_VALUE"""),45455.6666666666)</f>
        <v>45455.666666666599</v>
      </c>
      <c r="B101" s="2"/>
      <c r="C101" s="2"/>
      <c r="D101" s="1">
        <v>6050</v>
      </c>
      <c r="E101" s="1">
        <v>6075</v>
      </c>
      <c r="F101" s="1">
        <v>5900</v>
      </c>
      <c r="G101" s="1">
        <v>5925</v>
      </c>
      <c r="H101" s="1">
        <v>120857200</v>
      </c>
      <c r="I101" s="4">
        <f t="shared" si="2"/>
        <v>-3.2653061224489799E-2</v>
      </c>
      <c r="J101" s="4">
        <f t="shared" si="3"/>
        <v>-3.2653061224489799E-2</v>
      </c>
    </row>
    <row r="102" spans="1:10" x14ac:dyDescent="0.2">
      <c r="A102" s="2">
        <f ca="1">IFERROR(__xludf.DUMMYFUNCTION("""COMPUTED_VALUE"""),45456.6666666666)</f>
        <v>45456.666666666599</v>
      </c>
      <c r="B102" s="2"/>
      <c r="C102" s="2"/>
      <c r="D102" s="1">
        <v>5975</v>
      </c>
      <c r="E102" s="1">
        <v>6000</v>
      </c>
      <c r="F102" s="1">
        <v>5850</v>
      </c>
      <c r="G102" s="1">
        <v>5875</v>
      </c>
      <c r="H102" s="1">
        <v>162616700</v>
      </c>
      <c r="I102" s="4">
        <f t="shared" si="2"/>
        <v>-8.4388185654008432E-3</v>
      </c>
      <c r="J102" s="4">
        <f t="shared" si="3"/>
        <v>-4.0816326530612242E-2</v>
      </c>
    </row>
    <row r="103" spans="1:10" x14ac:dyDescent="0.2">
      <c r="A103" s="2">
        <f ca="1">IFERROR(__xludf.DUMMYFUNCTION("""COMPUTED_VALUE"""),45457.6666666666)</f>
        <v>45457.666666666599</v>
      </c>
      <c r="B103" s="2"/>
      <c r="C103" s="2"/>
      <c r="D103" s="1">
        <v>5850</v>
      </c>
      <c r="E103" s="1">
        <v>5875</v>
      </c>
      <c r="F103" s="1">
        <v>5650</v>
      </c>
      <c r="G103" s="1">
        <v>5750</v>
      </c>
      <c r="H103" s="1">
        <v>203241500</v>
      </c>
      <c r="I103" s="4">
        <f t="shared" si="2"/>
        <v>-2.1276595744680851E-2</v>
      </c>
      <c r="J103" s="4">
        <f t="shared" si="3"/>
        <v>-6.1224489795918366E-2</v>
      </c>
    </row>
    <row r="104" spans="1:10" x14ac:dyDescent="0.2">
      <c r="A104" s="2">
        <f ca="1">IFERROR(__xludf.DUMMYFUNCTION("""COMPUTED_VALUE"""),45462.6666666666)</f>
        <v>45462.666666666599</v>
      </c>
      <c r="B104" s="2"/>
      <c r="C104" s="2"/>
      <c r="D104" s="1">
        <v>5775</v>
      </c>
      <c r="E104" s="1">
        <v>5850</v>
      </c>
      <c r="F104" s="1">
        <v>5675</v>
      </c>
      <c r="G104" s="1">
        <v>5750</v>
      </c>
      <c r="H104" s="1">
        <v>116004200</v>
      </c>
      <c r="I104" s="4">
        <f t="shared" si="2"/>
        <v>0</v>
      </c>
      <c r="J104" s="4">
        <f t="shared" si="3"/>
        <v>-6.1224489795918366E-2</v>
      </c>
    </row>
    <row r="105" spans="1:10" x14ac:dyDescent="0.2">
      <c r="A105" s="2">
        <f ca="1">IFERROR(__xludf.DUMMYFUNCTION("""COMPUTED_VALUE"""),45463.6666666666)</f>
        <v>45463.666666666599</v>
      </c>
      <c r="B105" s="2"/>
      <c r="C105" s="2"/>
      <c r="D105" s="1">
        <v>5825</v>
      </c>
      <c r="E105" s="1">
        <v>5950</v>
      </c>
      <c r="F105" s="1">
        <v>5750</v>
      </c>
      <c r="G105" s="1">
        <v>5950</v>
      </c>
      <c r="H105" s="1">
        <v>82660000</v>
      </c>
      <c r="I105" s="4">
        <f t="shared" si="2"/>
        <v>3.4782608695652174E-2</v>
      </c>
      <c r="J105" s="4">
        <f t="shared" si="3"/>
        <v>-2.8571428571428571E-2</v>
      </c>
    </row>
    <row r="106" spans="1:10" x14ac:dyDescent="0.2">
      <c r="A106" s="2">
        <f ca="1">IFERROR(__xludf.DUMMYFUNCTION("""COMPUTED_VALUE"""),45464.6666666666)</f>
        <v>45464.666666666599</v>
      </c>
      <c r="B106" s="2"/>
      <c r="C106" s="2"/>
      <c r="D106" s="1">
        <v>6050</v>
      </c>
      <c r="E106" s="1">
        <v>6200</v>
      </c>
      <c r="F106" s="1">
        <v>6025</v>
      </c>
      <c r="G106" s="1">
        <v>6125</v>
      </c>
      <c r="H106" s="1">
        <v>184240600</v>
      </c>
      <c r="I106" s="4">
        <f t="shared" si="2"/>
        <v>2.9411764705882353E-2</v>
      </c>
      <c r="J106" s="4">
        <f t="shared" si="3"/>
        <v>0</v>
      </c>
    </row>
    <row r="107" spans="1:10" x14ac:dyDescent="0.2">
      <c r="A107" s="2">
        <f ca="1">IFERROR(__xludf.DUMMYFUNCTION("""COMPUTED_VALUE"""),45467.6666666666)</f>
        <v>45467.666666666599</v>
      </c>
      <c r="B107" s="2"/>
      <c r="C107" s="2"/>
      <c r="D107" s="1">
        <v>6075</v>
      </c>
      <c r="E107" s="1">
        <v>6125</v>
      </c>
      <c r="F107" s="1">
        <v>6000</v>
      </c>
      <c r="G107" s="1">
        <v>6000</v>
      </c>
      <c r="H107" s="1">
        <v>58831900</v>
      </c>
      <c r="I107" s="4">
        <f t="shared" si="2"/>
        <v>-2.0408163265306121E-2</v>
      </c>
      <c r="J107" s="4">
        <f t="shared" si="3"/>
        <v>-2.0408163265306121E-2</v>
      </c>
    </row>
    <row r="108" spans="1:10" x14ac:dyDescent="0.2">
      <c r="A108" s="2">
        <f ca="1">IFERROR(__xludf.DUMMYFUNCTION("""COMPUTED_VALUE"""),45468.6666666666)</f>
        <v>45468.666666666599</v>
      </c>
      <c r="B108" s="2"/>
      <c r="C108" s="2"/>
      <c r="D108" s="1">
        <v>5925</v>
      </c>
      <c r="E108" s="1">
        <v>5975</v>
      </c>
      <c r="F108" s="1">
        <v>5825</v>
      </c>
      <c r="G108" s="1">
        <v>5925</v>
      </c>
      <c r="H108" s="1">
        <v>159983800</v>
      </c>
      <c r="I108" s="4">
        <f t="shared" si="2"/>
        <v>-1.2500000000000001E-2</v>
      </c>
      <c r="J108" s="4">
        <f t="shared" si="3"/>
        <v>-3.2653061224489799E-2</v>
      </c>
    </row>
    <row r="109" spans="1:10" x14ac:dyDescent="0.2">
      <c r="A109" s="2">
        <f ca="1">IFERROR(__xludf.DUMMYFUNCTION("""COMPUTED_VALUE"""),45469.6666666666)</f>
        <v>45469.666666666599</v>
      </c>
      <c r="B109" s="2"/>
      <c r="C109" s="2"/>
      <c r="D109" s="1">
        <v>5950</v>
      </c>
      <c r="E109" s="1">
        <v>6025</v>
      </c>
      <c r="F109" s="1">
        <v>5850</v>
      </c>
      <c r="G109" s="1">
        <v>5850</v>
      </c>
      <c r="H109" s="1">
        <v>92895700</v>
      </c>
      <c r="I109" s="4">
        <f t="shared" si="2"/>
        <v>-1.2658227848101266E-2</v>
      </c>
      <c r="J109" s="4">
        <f t="shared" si="3"/>
        <v>-4.4897959183673466E-2</v>
      </c>
    </row>
    <row r="110" spans="1:10" x14ac:dyDescent="0.2">
      <c r="A110" s="2">
        <f ca="1">IFERROR(__xludf.DUMMYFUNCTION("""COMPUTED_VALUE"""),45470.6666666666)</f>
        <v>45470.666666666599</v>
      </c>
      <c r="B110" s="2"/>
      <c r="C110" s="2"/>
      <c r="D110" s="1">
        <v>5900</v>
      </c>
      <c r="E110" s="1">
        <v>6075</v>
      </c>
      <c r="F110" s="1">
        <v>5875</v>
      </c>
      <c r="G110" s="1">
        <v>6000</v>
      </c>
      <c r="H110" s="1">
        <v>117602400</v>
      </c>
      <c r="I110" s="4">
        <f t="shared" si="2"/>
        <v>2.564102564102564E-2</v>
      </c>
      <c r="J110" s="4">
        <f t="shared" si="3"/>
        <v>-2.0408163265306121E-2</v>
      </c>
    </row>
    <row r="111" spans="1:10" x14ac:dyDescent="0.2">
      <c r="A111" s="2">
        <f ca="1">IFERROR(__xludf.DUMMYFUNCTION("""COMPUTED_VALUE"""),45471.6666666666)</f>
        <v>45471.666666666599</v>
      </c>
      <c r="B111" s="2"/>
      <c r="C111" s="2"/>
      <c r="D111" s="1">
        <v>6000</v>
      </c>
      <c r="E111" s="1">
        <v>6250</v>
      </c>
      <c r="F111" s="1">
        <v>6000</v>
      </c>
      <c r="G111" s="1">
        <v>6150</v>
      </c>
      <c r="H111" s="1">
        <v>191371600</v>
      </c>
      <c r="I111" s="4">
        <f t="shared" si="2"/>
        <v>2.5000000000000001E-2</v>
      </c>
      <c r="J111" s="4">
        <f t="shared" si="3"/>
        <v>4.0816326530612249E-3</v>
      </c>
    </row>
    <row r="112" spans="1:10" x14ac:dyDescent="0.2">
      <c r="A112" s="2">
        <f ca="1">IFERROR(__xludf.DUMMYFUNCTION("""COMPUTED_VALUE"""),45474.6666666666)</f>
        <v>45474.666666666599</v>
      </c>
      <c r="B112" s="2"/>
      <c r="C112" s="2"/>
      <c r="D112" s="1">
        <v>6175</v>
      </c>
      <c r="E112" s="1">
        <v>6250</v>
      </c>
      <c r="F112" s="1">
        <v>6100</v>
      </c>
      <c r="G112" s="1">
        <v>6250</v>
      </c>
      <c r="H112" s="1">
        <v>100408200</v>
      </c>
      <c r="I112" s="4">
        <f t="shared" si="2"/>
        <v>1.6260162601626018E-2</v>
      </c>
      <c r="J112" s="4">
        <f t="shared" si="3"/>
        <v>2.0408163265306121E-2</v>
      </c>
    </row>
    <row r="113" spans="1:10" x14ac:dyDescent="0.2">
      <c r="A113" s="2">
        <f ca="1">IFERROR(__xludf.DUMMYFUNCTION("""COMPUTED_VALUE"""),45475.6666666666)</f>
        <v>45475.666666666599</v>
      </c>
      <c r="B113" s="2"/>
      <c r="C113" s="2"/>
      <c r="D113" s="1">
        <v>6275</v>
      </c>
      <c r="E113" s="1">
        <v>6350</v>
      </c>
      <c r="F113" s="1">
        <v>6150</v>
      </c>
      <c r="G113" s="1">
        <v>6200</v>
      </c>
      <c r="H113" s="1">
        <v>159356600</v>
      </c>
      <c r="I113" s="4">
        <f t="shared" si="2"/>
        <v>-8.0000000000000002E-3</v>
      </c>
      <c r="J113" s="4">
        <f t="shared" si="3"/>
        <v>1.2244897959183673E-2</v>
      </c>
    </row>
    <row r="114" spans="1:10" x14ac:dyDescent="0.2">
      <c r="A114" s="2">
        <f ca="1">IFERROR(__xludf.DUMMYFUNCTION("""COMPUTED_VALUE"""),45476.6666666666)</f>
        <v>45476.666666666599</v>
      </c>
      <c r="B114" s="2"/>
      <c r="C114" s="2"/>
      <c r="D114" s="1">
        <v>6275</v>
      </c>
      <c r="E114" s="1">
        <v>6300</v>
      </c>
      <c r="F114" s="1">
        <v>6100</v>
      </c>
      <c r="G114" s="1">
        <v>6225</v>
      </c>
      <c r="H114" s="1">
        <v>70017100</v>
      </c>
      <c r="I114" s="4">
        <f t="shared" si="2"/>
        <v>4.0322580645161289E-3</v>
      </c>
      <c r="J114" s="4">
        <f t="shared" si="3"/>
        <v>1.6326530612244899E-2</v>
      </c>
    </row>
    <row r="115" spans="1:10" x14ac:dyDescent="0.2">
      <c r="A115" s="2">
        <f ca="1">IFERROR(__xludf.DUMMYFUNCTION("""COMPUTED_VALUE"""),45477.6666666666)</f>
        <v>45477.666666666599</v>
      </c>
      <c r="B115" s="2"/>
      <c r="C115" s="2"/>
      <c r="D115" s="1">
        <v>6250</v>
      </c>
      <c r="E115" s="1">
        <v>6400</v>
      </c>
      <c r="F115" s="1">
        <v>6225</v>
      </c>
      <c r="G115" s="1">
        <v>6250</v>
      </c>
      <c r="H115" s="1">
        <v>90147800</v>
      </c>
      <c r="I115" s="4">
        <f t="shared" si="2"/>
        <v>4.0160642570281121E-3</v>
      </c>
      <c r="J115" s="4">
        <f t="shared" si="3"/>
        <v>2.0408163265306121E-2</v>
      </c>
    </row>
    <row r="116" spans="1:10" x14ac:dyDescent="0.2">
      <c r="A116" s="2">
        <f ca="1">IFERROR(__xludf.DUMMYFUNCTION("""COMPUTED_VALUE"""),45478.6666666666)</f>
        <v>45478.666666666599</v>
      </c>
      <c r="B116" s="2"/>
      <c r="C116" s="2"/>
      <c r="D116" s="1">
        <v>6325</v>
      </c>
      <c r="E116" s="1">
        <v>6500</v>
      </c>
      <c r="F116" s="1">
        <v>6300</v>
      </c>
      <c r="G116" s="1">
        <v>6425</v>
      </c>
      <c r="H116" s="1">
        <v>111646800</v>
      </c>
      <c r="I116" s="4">
        <f t="shared" si="2"/>
        <v>2.8000000000000001E-2</v>
      </c>
      <c r="J116" s="4">
        <f t="shared" si="3"/>
        <v>4.8979591836734691E-2</v>
      </c>
    </row>
    <row r="117" spans="1:10" x14ac:dyDescent="0.2">
      <c r="A117" s="2">
        <f ca="1">IFERROR(__xludf.DUMMYFUNCTION("""COMPUTED_VALUE"""),45481.6666666666)</f>
        <v>45481.666666666599</v>
      </c>
      <c r="B117" s="2"/>
      <c r="C117" s="2"/>
      <c r="D117" s="1">
        <v>6400</v>
      </c>
      <c r="E117" s="1">
        <v>6425</v>
      </c>
      <c r="F117" s="1">
        <v>6200</v>
      </c>
      <c r="G117" s="1">
        <v>6225</v>
      </c>
      <c r="H117" s="1">
        <v>138144000</v>
      </c>
      <c r="I117" s="4">
        <f t="shared" si="2"/>
        <v>-3.1128404669260701E-2</v>
      </c>
      <c r="J117" s="4">
        <f t="shared" si="3"/>
        <v>1.6326530612244899E-2</v>
      </c>
    </row>
    <row r="118" spans="1:10" x14ac:dyDescent="0.2">
      <c r="A118" s="2">
        <f ca="1">IFERROR(__xludf.DUMMYFUNCTION("""COMPUTED_VALUE"""),45482.6666666666)</f>
        <v>45482.666666666599</v>
      </c>
      <c r="B118" s="2"/>
      <c r="C118" s="2"/>
      <c r="D118" s="1">
        <v>6225</v>
      </c>
      <c r="E118" s="1">
        <v>6400</v>
      </c>
      <c r="F118" s="1">
        <v>6200</v>
      </c>
      <c r="G118" s="1">
        <v>6375</v>
      </c>
      <c r="H118" s="1">
        <v>84177600</v>
      </c>
      <c r="I118" s="4">
        <f t="shared" si="2"/>
        <v>2.4096385542168676E-2</v>
      </c>
      <c r="J118" s="4">
        <f t="shared" si="3"/>
        <v>4.0816326530612242E-2</v>
      </c>
    </row>
    <row r="119" spans="1:10" x14ac:dyDescent="0.2">
      <c r="A119" s="2">
        <f ca="1">IFERROR(__xludf.DUMMYFUNCTION("""COMPUTED_VALUE"""),45483.6666666666)</f>
        <v>45483.666666666599</v>
      </c>
      <c r="B119" s="2"/>
      <c r="C119" s="2"/>
      <c r="D119" s="1">
        <v>6375</v>
      </c>
      <c r="E119" s="1">
        <v>6450</v>
      </c>
      <c r="F119" s="1">
        <v>6300</v>
      </c>
      <c r="G119" s="1">
        <v>6375</v>
      </c>
      <c r="H119" s="1">
        <v>59685300</v>
      </c>
      <c r="I119" s="4">
        <f t="shared" si="2"/>
        <v>0</v>
      </c>
      <c r="J119" s="4">
        <f t="shared" si="3"/>
        <v>4.0816326530612242E-2</v>
      </c>
    </row>
    <row r="120" spans="1:10" x14ac:dyDescent="0.2">
      <c r="A120" s="2">
        <f ca="1">IFERROR(__xludf.DUMMYFUNCTION("""COMPUTED_VALUE"""),45484.6666666666)</f>
        <v>45484.666666666599</v>
      </c>
      <c r="B120" s="2"/>
      <c r="C120" s="2"/>
      <c r="D120" s="1">
        <v>6400</v>
      </c>
      <c r="E120" s="1">
        <v>6425</v>
      </c>
      <c r="F120" s="1">
        <v>6350</v>
      </c>
      <c r="G120" s="1">
        <v>6400</v>
      </c>
      <c r="H120" s="1">
        <v>66789800</v>
      </c>
      <c r="I120" s="4">
        <f t="shared" si="2"/>
        <v>3.9215686274509803E-3</v>
      </c>
      <c r="J120" s="4">
        <f t="shared" si="3"/>
        <v>4.4897959183673466E-2</v>
      </c>
    </row>
    <row r="121" spans="1:10" x14ac:dyDescent="0.2">
      <c r="A121" s="2">
        <f ca="1">IFERROR(__xludf.DUMMYFUNCTION("""COMPUTED_VALUE"""),45485.6666666666)</f>
        <v>45485.666666666599</v>
      </c>
      <c r="B121" s="2"/>
      <c r="C121" s="2"/>
      <c r="D121" s="1">
        <v>6450</v>
      </c>
      <c r="E121" s="1">
        <v>6550</v>
      </c>
      <c r="F121" s="1">
        <v>6400</v>
      </c>
      <c r="G121" s="1">
        <v>6425</v>
      </c>
      <c r="H121" s="1">
        <v>136132200</v>
      </c>
      <c r="I121" s="4">
        <f t="shared" si="2"/>
        <v>3.90625E-3</v>
      </c>
      <c r="J121" s="4">
        <f t="shared" si="3"/>
        <v>4.8979591836734691E-2</v>
      </c>
    </row>
    <row r="122" spans="1:10" x14ac:dyDescent="0.2">
      <c r="A122" s="2">
        <f ca="1">IFERROR(__xludf.DUMMYFUNCTION("""COMPUTED_VALUE"""),45488.6666666666)</f>
        <v>45488.666666666599</v>
      </c>
      <c r="B122" s="2"/>
      <c r="C122" s="2"/>
      <c r="D122" s="1">
        <v>6450</v>
      </c>
      <c r="E122" s="1">
        <v>6450</v>
      </c>
      <c r="F122" s="1">
        <v>6300</v>
      </c>
      <c r="G122" s="1">
        <v>6350</v>
      </c>
      <c r="H122" s="1">
        <v>66071800</v>
      </c>
      <c r="I122" s="4">
        <f t="shared" si="2"/>
        <v>-1.1673151750972763E-2</v>
      </c>
      <c r="J122" s="4">
        <f t="shared" si="3"/>
        <v>3.6734693877551024E-2</v>
      </c>
    </row>
    <row r="123" spans="1:10" x14ac:dyDescent="0.2">
      <c r="A123" s="2">
        <f ca="1">IFERROR(__xludf.DUMMYFUNCTION("""COMPUTED_VALUE"""),45489.6666666666)</f>
        <v>45489.666666666599</v>
      </c>
      <c r="B123" s="2"/>
      <c r="C123" s="2"/>
      <c r="D123" s="1">
        <v>6400</v>
      </c>
      <c r="E123" s="1">
        <v>6400</v>
      </c>
      <c r="F123" s="1">
        <v>6300</v>
      </c>
      <c r="G123" s="1">
        <v>6350</v>
      </c>
      <c r="H123" s="1">
        <v>64687900</v>
      </c>
      <c r="I123" s="4">
        <f t="shared" si="2"/>
        <v>0</v>
      </c>
      <c r="J123" s="4">
        <f t="shared" si="3"/>
        <v>3.6734693877551024E-2</v>
      </c>
    </row>
    <row r="124" spans="1:10" x14ac:dyDescent="0.2">
      <c r="A124" s="2">
        <f ca="1">IFERROR(__xludf.DUMMYFUNCTION("""COMPUTED_VALUE"""),45490.6666666666)</f>
        <v>45490.666666666599</v>
      </c>
      <c r="B124" s="2"/>
      <c r="C124" s="2"/>
      <c r="D124" s="1">
        <v>6450</v>
      </c>
      <c r="E124" s="1">
        <v>6525</v>
      </c>
      <c r="F124" s="1">
        <v>6375</v>
      </c>
      <c r="G124" s="1">
        <v>6450</v>
      </c>
      <c r="H124" s="1">
        <v>109729800</v>
      </c>
      <c r="I124" s="4">
        <f t="shared" si="2"/>
        <v>1.5748031496062992E-2</v>
      </c>
      <c r="J124" s="4">
        <f t="shared" si="3"/>
        <v>5.3061224489795916E-2</v>
      </c>
    </row>
    <row r="125" spans="1:10" x14ac:dyDescent="0.2">
      <c r="A125" s="2">
        <f ca="1">IFERROR(__xludf.DUMMYFUNCTION("""COMPUTED_VALUE"""),45491.6666666666)</f>
        <v>45491.666666666599</v>
      </c>
      <c r="B125" s="2"/>
      <c r="C125" s="2"/>
      <c r="D125" s="1">
        <v>6550</v>
      </c>
      <c r="E125" s="1">
        <v>6600</v>
      </c>
      <c r="F125" s="1">
        <v>6500</v>
      </c>
      <c r="G125" s="1">
        <v>6550</v>
      </c>
      <c r="H125" s="1">
        <v>132532000</v>
      </c>
      <c r="I125" s="4">
        <f t="shared" si="2"/>
        <v>1.5503875968992248E-2</v>
      </c>
      <c r="J125" s="4">
        <f t="shared" si="3"/>
        <v>6.9387755102040816E-2</v>
      </c>
    </row>
    <row r="126" spans="1:10" x14ac:dyDescent="0.2">
      <c r="A126" s="2">
        <f ca="1">IFERROR(__xludf.DUMMYFUNCTION("""COMPUTED_VALUE"""),45492.6666666666)</f>
        <v>45492.666666666599</v>
      </c>
      <c r="B126" s="2"/>
      <c r="C126" s="2"/>
      <c r="D126" s="1">
        <v>6500</v>
      </c>
      <c r="E126" s="1">
        <v>6525</v>
      </c>
      <c r="F126" s="1">
        <v>6450</v>
      </c>
      <c r="G126" s="1">
        <v>6525</v>
      </c>
      <c r="H126" s="1">
        <v>63165500</v>
      </c>
      <c r="I126" s="4">
        <f t="shared" si="2"/>
        <v>-3.8167938931297708E-3</v>
      </c>
      <c r="J126" s="4">
        <f t="shared" si="3"/>
        <v>6.5306122448979598E-2</v>
      </c>
    </row>
    <row r="127" spans="1:10" x14ac:dyDescent="0.2">
      <c r="A127" s="2">
        <f ca="1">IFERROR(__xludf.DUMMYFUNCTION("""COMPUTED_VALUE"""),45495.6666666666)</f>
        <v>45495.666666666599</v>
      </c>
      <c r="B127" s="2"/>
      <c r="C127" s="2"/>
      <c r="D127" s="1">
        <v>6575</v>
      </c>
      <c r="E127" s="1">
        <v>6700</v>
      </c>
      <c r="F127" s="1">
        <v>6525</v>
      </c>
      <c r="G127" s="1">
        <v>6700</v>
      </c>
      <c r="H127" s="1">
        <v>110467000</v>
      </c>
      <c r="I127" s="4">
        <f t="shared" si="2"/>
        <v>2.681992337164751E-2</v>
      </c>
      <c r="J127" s="4">
        <f t="shared" si="3"/>
        <v>9.3877551020408165E-2</v>
      </c>
    </row>
    <row r="128" spans="1:10" x14ac:dyDescent="0.2">
      <c r="A128" s="2">
        <f ca="1">IFERROR(__xludf.DUMMYFUNCTION("""COMPUTED_VALUE"""),45496.6666666666)</f>
        <v>45496.666666666599</v>
      </c>
      <c r="B128" s="2"/>
      <c r="C128" s="2"/>
      <c r="D128" s="1">
        <v>6750</v>
      </c>
      <c r="E128" s="1">
        <v>6750</v>
      </c>
      <c r="F128" s="1">
        <v>6550</v>
      </c>
      <c r="G128" s="1">
        <v>6625</v>
      </c>
      <c r="H128" s="1">
        <v>77861700</v>
      </c>
      <c r="I128" s="4">
        <f t="shared" si="2"/>
        <v>-1.1194029850746268E-2</v>
      </c>
      <c r="J128" s="4">
        <f t="shared" si="3"/>
        <v>8.1632653061224483E-2</v>
      </c>
    </row>
    <row r="129" spans="1:10" x14ac:dyDescent="0.2">
      <c r="A129" s="2">
        <f ca="1">IFERROR(__xludf.DUMMYFUNCTION("""COMPUTED_VALUE"""),45497.6666666666)</f>
        <v>45497.666666666599</v>
      </c>
      <c r="B129" s="2"/>
      <c r="C129" s="2"/>
      <c r="D129" s="1">
        <v>6500</v>
      </c>
      <c r="E129" s="1">
        <v>6575</v>
      </c>
      <c r="F129" s="1">
        <v>6475</v>
      </c>
      <c r="G129" s="1">
        <v>6475</v>
      </c>
      <c r="H129" s="1">
        <v>63940900</v>
      </c>
      <c r="I129" s="4">
        <f t="shared" si="2"/>
        <v>-2.2641509433962263E-2</v>
      </c>
      <c r="J129" s="4">
        <f t="shared" si="3"/>
        <v>5.7142857142857141E-2</v>
      </c>
    </row>
    <row r="130" spans="1:10" x14ac:dyDescent="0.2">
      <c r="A130" s="2">
        <f ca="1">IFERROR(__xludf.DUMMYFUNCTION("""COMPUTED_VALUE"""),45498.6666666666)</f>
        <v>45498.666666666599</v>
      </c>
      <c r="B130" s="2"/>
      <c r="C130" s="2"/>
      <c r="D130" s="1">
        <v>6450</v>
      </c>
      <c r="E130" s="1">
        <v>6575</v>
      </c>
      <c r="F130" s="1">
        <v>6400</v>
      </c>
      <c r="G130" s="1">
        <v>6575</v>
      </c>
      <c r="H130" s="1">
        <v>66655400</v>
      </c>
      <c r="I130" s="4">
        <f t="shared" si="2"/>
        <v>1.5444015444015444E-2</v>
      </c>
      <c r="J130" s="4">
        <f t="shared" si="3"/>
        <v>7.3469387755102047E-2</v>
      </c>
    </row>
    <row r="131" spans="1:10" x14ac:dyDescent="0.2">
      <c r="A131" s="2">
        <f ca="1">IFERROR(__xludf.DUMMYFUNCTION("""COMPUTED_VALUE"""),45499.6666666666)</f>
        <v>45499.666666666599</v>
      </c>
      <c r="B131" s="2"/>
      <c r="C131" s="2"/>
      <c r="D131" s="1">
        <v>6575</v>
      </c>
      <c r="E131" s="1">
        <v>6625</v>
      </c>
      <c r="F131" s="1">
        <v>6500</v>
      </c>
      <c r="G131" s="1">
        <v>6550</v>
      </c>
      <c r="H131" s="1">
        <v>76519500</v>
      </c>
      <c r="I131" s="4">
        <f t="shared" si="2"/>
        <v>-3.8022813688212928E-3</v>
      </c>
      <c r="J131" s="4">
        <f t="shared" si="3"/>
        <v>6.9387755102040816E-2</v>
      </c>
    </row>
    <row r="132" spans="1:10" x14ac:dyDescent="0.2">
      <c r="A132" s="2">
        <f ca="1">IFERROR(__xludf.DUMMYFUNCTION("""COMPUTED_VALUE"""),45502.6666666666)</f>
        <v>45502.666666666599</v>
      </c>
      <c r="B132" s="2"/>
      <c r="C132" s="2"/>
      <c r="D132" s="1">
        <v>6550</v>
      </c>
      <c r="E132" s="1">
        <v>6550</v>
      </c>
      <c r="F132" s="1">
        <v>6450</v>
      </c>
      <c r="G132" s="1">
        <v>6475</v>
      </c>
      <c r="H132" s="1">
        <v>54435300</v>
      </c>
      <c r="I132" s="4">
        <f t="shared" ref="I132:I195" si="4">(G132-G131)/G131</f>
        <v>-1.1450381679389313E-2</v>
      </c>
      <c r="J132" s="4">
        <f t="shared" ref="J132:J195" si="5">(G132-$G$2)/$G$2</f>
        <v>5.7142857142857141E-2</v>
      </c>
    </row>
    <row r="133" spans="1:10" x14ac:dyDescent="0.2">
      <c r="A133" s="2">
        <f ca="1">IFERROR(__xludf.DUMMYFUNCTION("""COMPUTED_VALUE"""),45503.6666666666)</f>
        <v>45503.666666666599</v>
      </c>
      <c r="B133" s="2"/>
      <c r="C133" s="2"/>
      <c r="D133" s="1">
        <v>6475</v>
      </c>
      <c r="E133" s="1">
        <v>6550</v>
      </c>
      <c r="F133" s="1">
        <v>6375</v>
      </c>
      <c r="G133" s="1">
        <v>6475</v>
      </c>
      <c r="H133" s="1">
        <v>86701400</v>
      </c>
      <c r="I133" s="4">
        <f t="shared" si="4"/>
        <v>0</v>
      </c>
      <c r="J133" s="4">
        <f t="shared" si="5"/>
        <v>5.7142857142857141E-2</v>
      </c>
    </row>
    <row r="134" spans="1:10" x14ac:dyDescent="0.2">
      <c r="A134" s="2">
        <f ca="1">IFERROR(__xludf.DUMMYFUNCTION("""COMPUTED_VALUE"""),45504.6666666666)</f>
        <v>45504.666666666599</v>
      </c>
      <c r="B134" s="2"/>
      <c r="C134" s="2"/>
      <c r="D134" s="1">
        <v>6400</v>
      </c>
      <c r="E134" s="1">
        <v>6475</v>
      </c>
      <c r="F134" s="1">
        <v>6375</v>
      </c>
      <c r="G134" s="1">
        <v>6400</v>
      </c>
      <c r="H134" s="1">
        <v>99004100</v>
      </c>
      <c r="I134" s="4">
        <f t="shared" si="4"/>
        <v>-1.1583011583011582E-2</v>
      </c>
      <c r="J134" s="4">
        <f t="shared" si="5"/>
        <v>4.4897959183673466E-2</v>
      </c>
    </row>
    <row r="135" spans="1:10" x14ac:dyDescent="0.2">
      <c r="A135" s="2">
        <f ca="1">IFERROR(__xludf.DUMMYFUNCTION("""COMPUTED_VALUE"""),45505.6666666666)</f>
        <v>45505.666666666599</v>
      </c>
      <c r="B135" s="2"/>
      <c r="C135" s="2"/>
      <c r="D135" s="1">
        <v>6550</v>
      </c>
      <c r="E135" s="1">
        <v>6750</v>
      </c>
      <c r="F135" s="1">
        <v>6500</v>
      </c>
      <c r="G135" s="1">
        <v>6750</v>
      </c>
      <c r="H135" s="1">
        <v>163086200</v>
      </c>
      <c r="I135" s="4">
        <f t="shared" si="4"/>
        <v>5.46875E-2</v>
      </c>
      <c r="J135" s="4">
        <f t="shared" si="5"/>
        <v>0.10204081632653061</v>
      </c>
    </row>
    <row r="136" spans="1:10" x14ac:dyDescent="0.2">
      <c r="A136" s="2">
        <f ca="1">IFERROR(__xludf.DUMMYFUNCTION("""COMPUTED_VALUE"""),45506.6666666666)</f>
        <v>45506.666666666599</v>
      </c>
      <c r="B136" s="2"/>
      <c r="C136" s="2"/>
      <c r="D136" s="1">
        <v>6700</v>
      </c>
      <c r="E136" s="1">
        <v>6875</v>
      </c>
      <c r="F136" s="1">
        <v>6675</v>
      </c>
      <c r="G136" s="1">
        <v>6800</v>
      </c>
      <c r="H136" s="1">
        <v>167892400</v>
      </c>
      <c r="I136" s="4">
        <f t="shared" si="4"/>
        <v>7.4074074074074077E-3</v>
      </c>
      <c r="J136" s="4">
        <f t="shared" si="5"/>
        <v>0.11020408163265306</v>
      </c>
    </row>
    <row r="137" spans="1:10" x14ac:dyDescent="0.2">
      <c r="A137" s="2">
        <f ca="1">IFERROR(__xludf.DUMMYFUNCTION("""COMPUTED_VALUE"""),45509.6666666666)</f>
        <v>45509.666666666599</v>
      </c>
      <c r="B137" s="2"/>
      <c r="C137" s="2"/>
      <c r="D137" s="1">
        <v>6700</v>
      </c>
      <c r="E137" s="1">
        <v>6725</v>
      </c>
      <c r="F137" s="1">
        <v>6500</v>
      </c>
      <c r="G137" s="1">
        <v>6575</v>
      </c>
      <c r="H137" s="1">
        <v>184384000</v>
      </c>
      <c r="I137" s="4">
        <f t="shared" si="4"/>
        <v>-3.3088235294117647E-2</v>
      </c>
      <c r="J137" s="4">
        <f t="shared" si="5"/>
        <v>7.3469387755102047E-2</v>
      </c>
    </row>
    <row r="138" spans="1:10" x14ac:dyDescent="0.2">
      <c r="A138" s="2">
        <f ca="1">IFERROR(__xludf.DUMMYFUNCTION("""COMPUTED_VALUE"""),45510.6666666666)</f>
        <v>45510.666666666599</v>
      </c>
      <c r="B138" s="2"/>
      <c r="C138" s="2"/>
      <c r="D138" s="1">
        <v>6650</v>
      </c>
      <c r="E138" s="1">
        <v>6700</v>
      </c>
      <c r="F138" s="1">
        <v>6525</v>
      </c>
      <c r="G138" s="1">
        <v>6625</v>
      </c>
      <c r="H138" s="1">
        <v>95785000</v>
      </c>
      <c r="I138" s="4">
        <f t="shared" si="4"/>
        <v>7.6045627376425855E-3</v>
      </c>
      <c r="J138" s="4">
        <f t="shared" si="5"/>
        <v>8.1632653061224483E-2</v>
      </c>
    </row>
    <row r="139" spans="1:10" x14ac:dyDescent="0.2">
      <c r="A139" s="2">
        <f ca="1">IFERROR(__xludf.DUMMYFUNCTION("""COMPUTED_VALUE"""),45511.6666666666)</f>
        <v>45511.666666666599</v>
      </c>
      <c r="B139" s="2"/>
      <c r="C139" s="2"/>
      <c r="D139" s="1">
        <v>6725</v>
      </c>
      <c r="E139" s="1">
        <v>6775</v>
      </c>
      <c r="F139" s="1">
        <v>6650</v>
      </c>
      <c r="G139" s="1">
        <v>6775</v>
      </c>
      <c r="H139" s="1">
        <v>84634200</v>
      </c>
      <c r="I139" s="4">
        <f t="shared" si="4"/>
        <v>2.2641509433962263E-2</v>
      </c>
      <c r="J139" s="4">
        <f t="shared" si="5"/>
        <v>0.10612244897959183</v>
      </c>
    </row>
    <row r="140" spans="1:10" x14ac:dyDescent="0.2">
      <c r="A140" s="2">
        <f ca="1">IFERROR(__xludf.DUMMYFUNCTION("""COMPUTED_VALUE"""),45512.6666666666)</f>
        <v>45512.666666666599</v>
      </c>
      <c r="B140" s="2"/>
      <c r="C140" s="2"/>
      <c r="D140" s="1">
        <v>6800</v>
      </c>
      <c r="E140" s="1">
        <v>6850</v>
      </c>
      <c r="F140" s="1">
        <v>6725</v>
      </c>
      <c r="G140" s="1">
        <v>6800</v>
      </c>
      <c r="H140" s="1">
        <v>81408500</v>
      </c>
      <c r="I140" s="4">
        <f t="shared" si="4"/>
        <v>3.6900369003690036E-3</v>
      </c>
      <c r="J140" s="4">
        <f t="shared" si="5"/>
        <v>0.11020408163265306</v>
      </c>
    </row>
    <row r="141" spans="1:10" x14ac:dyDescent="0.2">
      <c r="A141" s="2">
        <f ca="1">IFERROR(__xludf.DUMMYFUNCTION("""COMPUTED_VALUE"""),45513.6666666666)</f>
        <v>45513.666666666599</v>
      </c>
      <c r="B141" s="2"/>
      <c r="C141" s="2"/>
      <c r="D141" s="1">
        <v>6825</v>
      </c>
      <c r="E141" s="1">
        <v>6900</v>
      </c>
      <c r="F141" s="1">
        <v>6800</v>
      </c>
      <c r="G141" s="1">
        <v>6850</v>
      </c>
      <c r="H141" s="1">
        <v>79710700</v>
      </c>
      <c r="I141" s="4">
        <f t="shared" si="4"/>
        <v>7.3529411764705881E-3</v>
      </c>
      <c r="J141" s="4">
        <f t="shared" si="5"/>
        <v>0.11836734693877551</v>
      </c>
    </row>
    <row r="142" spans="1:10" x14ac:dyDescent="0.2">
      <c r="A142" s="2">
        <f ca="1">IFERROR(__xludf.DUMMYFUNCTION("""COMPUTED_VALUE"""),45516.6666666666)</f>
        <v>45516.666666666599</v>
      </c>
      <c r="B142" s="2"/>
      <c r="C142" s="2"/>
      <c r="D142" s="1">
        <v>6875</v>
      </c>
      <c r="E142" s="1">
        <v>6900</v>
      </c>
      <c r="F142" s="1">
        <v>6775</v>
      </c>
      <c r="G142" s="1">
        <v>6900</v>
      </c>
      <c r="H142" s="1">
        <v>50756000</v>
      </c>
      <c r="I142" s="4">
        <f t="shared" si="4"/>
        <v>7.2992700729927005E-3</v>
      </c>
      <c r="J142" s="4">
        <f t="shared" si="5"/>
        <v>0.12653061224489795</v>
      </c>
    </row>
    <row r="143" spans="1:10" x14ac:dyDescent="0.2">
      <c r="A143" s="2">
        <f ca="1">IFERROR(__xludf.DUMMYFUNCTION("""COMPUTED_VALUE"""),45517.6666666666)</f>
        <v>45517.666666666599</v>
      </c>
      <c r="B143" s="2"/>
      <c r="C143" s="2"/>
      <c r="D143" s="1">
        <v>6850</v>
      </c>
      <c r="E143" s="1">
        <v>7000</v>
      </c>
      <c r="F143" s="1">
        <v>6850</v>
      </c>
      <c r="G143" s="1">
        <v>7000</v>
      </c>
      <c r="H143" s="1">
        <v>68666000</v>
      </c>
      <c r="I143" s="4">
        <f t="shared" si="4"/>
        <v>1.4492753623188406E-2</v>
      </c>
      <c r="J143" s="4">
        <f t="shared" si="5"/>
        <v>0.14285714285714285</v>
      </c>
    </row>
    <row r="144" spans="1:10" x14ac:dyDescent="0.2">
      <c r="A144" s="2">
        <f ca="1">IFERROR(__xludf.DUMMYFUNCTION("""COMPUTED_VALUE"""),45518.6666666666)</f>
        <v>45518.666666666599</v>
      </c>
      <c r="B144" s="2"/>
      <c r="C144" s="2"/>
      <c r="D144" s="1">
        <v>7075</v>
      </c>
      <c r="E144" s="1">
        <v>7100</v>
      </c>
      <c r="F144" s="1">
        <v>7025</v>
      </c>
      <c r="G144" s="1">
        <v>7075</v>
      </c>
      <c r="H144" s="1">
        <v>97695100</v>
      </c>
      <c r="I144" s="4">
        <f t="shared" si="4"/>
        <v>1.0714285714285714E-2</v>
      </c>
      <c r="J144" s="4">
        <f t="shared" si="5"/>
        <v>0.15510204081632653</v>
      </c>
    </row>
    <row r="145" spans="1:10" x14ac:dyDescent="0.2">
      <c r="A145" s="2">
        <f ca="1">IFERROR(__xludf.DUMMYFUNCTION("""COMPUTED_VALUE"""),45519.6666666666)</f>
        <v>45519.666666666599</v>
      </c>
      <c r="B145" s="2"/>
      <c r="C145" s="2"/>
      <c r="D145" s="1">
        <v>7075</v>
      </c>
      <c r="E145" s="1">
        <v>7075</v>
      </c>
      <c r="F145" s="1">
        <v>6925</v>
      </c>
      <c r="G145" s="1">
        <v>7025</v>
      </c>
      <c r="H145" s="1">
        <v>75955500</v>
      </c>
      <c r="I145" s="4">
        <f t="shared" si="4"/>
        <v>-7.0671378091872791E-3</v>
      </c>
      <c r="J145" s="4">
        <f t="shared" si="5"/>
        <v>0.14693877551020409</v>
      </c>
    </row>
    <row r="146" spans="1:10" x14ac:dyDescent="0.2">
      <c r="A146" s="2">
        <f ca="1">IFERROR(__xludf.DUMMYFUNCTION("""COMPUTED_VALUE"""),45520.6666666666)</f>
        <v>45520.666666666599</v>
      </c>
      <c r="B146" s="2"/>
      <c r="C146" s="2"/>
      <c r="D146" s="1">
        <v>7075</v>
      </c>
      <c r="E146" s="1">
        <v>7125</v>
      </c>
      <c r="F146" s="1">
        <v>7025</v>
      </c>
      <c r="G146" s="1">
        <v>7075</v>
      </c>
      <c r="H146" s="1">
        <v>64266400</v>
      </c>
      <c r="I146" s="4">
        <f t="shared" si="4"/>
        <v>7.1174377224199285E-3</v>
      </c>
      <c r="J146" s="4">
        <f t="shared" si="5"/>
        <v>0.15510204081632653</v>
      </c>
    </row>
    <row r="147" spans="1:10" x14ac:dyDescent="0.2">
      <c r="A147" s="2">
        <f ca="1">IFERROR(__xludf.DUMMYFUNCTION("""COMPUTED_VALUE"""),45523.6666666666)</f>
        <v>45523.666666666599</v>
      </c>
      <c r="B147" s="2"/>
      <c r="C147" s="2"/>
      <c r="D147" s="1">
        <v>7075</v>
      </c>
      <c r="E147" s="1">
        <v>7150</v>
      </c>
      <c r="F147" s="1">
        <v>7025</v>
      </c>
      <c r="G147" s="1">
        <v>7150</v>
      </c>
      <c r="H147" s="1">
        <v>50246100</v>
      </c>
      <c r="I147" s="4">
        <f t="shared" si="4"/>
        <v>1.0600706713780919E-2</v>
      </c>
      <c r="J147" s="4">
        <f t="shared" si="5"/>
        <v>0.16734693877551021</v>
      </c>
    </row>
    <row r="148" spans="1:10" x14ac:dyDescent="0.2">
      <c r="A148" s="2">
        <f ca="1">IFERROR(__xludf.DUMMYFUNCTION("""COMPUTED_VALUE"""),45524.6666666666)</f>
        <v>45524.666666666599</v>
      </c>
      <c r="B148" s="2"/>
      <c r="C148" s="2"/>
      <c r="D148" s="1">
        <v>7200</v>
      </c>
      <c r="E148" s="1">
        <v>7350</v>
      </c>
      <c r="F148" s="1">
        <v>7150</v>
      </c>
      <c r="G148" s="1">
        <v>7200</v>
      </c>
      <c r="H148" s="1">
        <v>102615900</v>
      </c>
      <c r="I148" s="4">
        <f t="shared" si="4"/>
        <v>6.993006993006993E-3</v>
      </c>
      <c r="J148" s="4">
        <f t="shared" si="5"/>
        <v>0.17551020408163265</v>
      </c>
    </row>
    <row r="149" spans="1:10" x14ac:dyDescent="0.2">
      <c r="A149" s="2">
        <f ca="1">IFERROR(__xludf.DUMMYFUNCTION("""COMPUTED_VALUE"""),45525.6666666666)</f>
        <v>45525.666666666599</v>
      </c>
      <c r="B149" s="2"/>
      <c r="C149" s="2"/>
      <c r="D149" s="1">
        <v>7300</v>
      </c>
      <c r="E149" s="1">
        <v>7300</v>
      </c>
      <c r="F149" s="1">
        <v>7225</v>
      </c>
      <c r="G149" s="1">
        <v>7250</v>
      </c>
      <c r="H149" s="1">
        <v>88487800</v>
      </c>
      <c r="I149" s="4">
        <f t="shared" si="4"/>
        <v>6.9444444444444441E-3</v>
      </c>
      <c r="J149" s="4">
        <f t="shared" si="5"/>
        <v>0.18367346938775511</v>
      </c>
    </row>
    <row r="150" spans="1:10" x14ac:dyDescent="0.2">
      <c r="A150" s="2">
        <f ca="1">IFERROR(__xludf.DUMMYFUNCTION("""COMPUTED_VALUE"""),45526.6666666666)</f>
        <v>45526.666666666599</v>
      </c>
      <c r="B150" s="2"/>
      <c r="C150" s="2"/>
      <c r="D150" s="1">
        <v>7150</v>
      </c>
      <c r="E150" s="1">
        <v>7175</v>
      </c>
      <c r="F150" s="1">
        <v>6925</v>
      </c>
      <c r="G150" s="1">
        <v>7050</v>
      </c>
      <c r="H150" s="1">
        <v>157323000</v>
      </c>
      <c r="I150" s="4">
        <f t="shared" si="4"/>
        <v>-2.7586206896551724E-2</v>
      </c>
      <c r="J150" s="4">
        <f t="shared" si="5"/>
        <v>0.15102040816326531</v>
      </c>
    </row>
    <row r="151" spans="1:10" x14ac:dyDescent="0.2">
      <c r="A151" s="2">
        <f ca="1">IFERROR(__xludf.DUMMYFUNCTION("""COMPUTED_VALUE"""),45527.6666666666)</f>
        <v>45527.666666666599</v>
      </c>
      <c r="B151" s="2"/>
      <c r="C151" s="2"/>
      <c r="D151" s="1">
        <v>7000</v>
      </c>
      <c r="E151" s="1">
        <v>7075</v>
      </c>
      <c r="F151" s="1">
        <v>6975</v>
      </c>
      <c r="G151" s="1">
        <v>7050</v>
      </c>
      <c r="H151" s="1">
        <v>111752100</v>
      </c>
      <c r="I151" s="4">
        <f t="shared" si="4"/>
        <v>0</v>
      </c>
      <c r="J151" s="4">
        <f t="shared" si="5"/>
        <v>0.15102040816326531</v>
      </c>
    </row>
    <row r="152" spans="1:10" x14ac:dyDescent="0.2">
      <c r="A152" s="2">
        <f ca="1">IFERROR(__xludf.DUMMYFUNCTION("""COMPUTED_VALUE"""),45530.6666666666)</f>
        <v>45530.666666666599</v>
      </c>
      <c r="B152" s="2"/>
      <c r="C152" s="2"/>
      <c r="D152" s="1">
        <v>7050</v>
      </c>
      <c r="E152" s="1">
        <v>7100</v>
      </c>
      <c r="F152" s="1">
        <v>7000</v>
      </c>
      <c r="G152" s="1">
        <v>7050</v>
      </c>
      <c r="H152" s="1">
        <v>78515400</v>
      </c>
      <c r="I152" s="4">
        <f t="shared" si="4"/>
        <v>0</v>
      </c>
      <c r="J152" s="4">
        <f t="shared" si="5"/>
        <v>0.15102040816326531</v>
      </c>
    </row>
    <row r="153" spans="1:10" x14ac:dyDescent="0.2">
      <c r="A153" s="2">
        <f ca="1">IFERROR(__xludf.DUMMYFUNCTION("""COMPUTED_VALUE"""),45531.6666666666)</f>
        <v>45531.666666666599</v>
      </c>
      <c r="B153" s="2"/>
      <c r="C153" s="2"/>
      <c r="D153" s="1">
        <v>7025</v>
      </c>
      <c r="E153" s="1">
        <v>7050</v>
      </c>
      <c r="F153" s="1">
        <v>6925</v>
      </c>
      <c r="G153" s="1">
        <v>7025</v>
      </c>
      <c r="H153" s="1">
        <v>91686700</v>
      </c>
      <c r="I153" s="4">
        <f t="shared" si="4"/>
        <v>-3.5460992907801418E-3</v>
      </c>
      <c r="J153" s="4">
        <f t="shared" si="5"/>
        <v>0.14693877551020409</v>
      </c>
    </row>
    <row r="154" spans="1:10" x14ac:dyDescent="0.2">
      <c r="A154" s="2">
        <f ca="1">IFERROR(__xludf.DUMMYFUNCTION("""COMPUTED_VALUE"""),45532.6666666666)</f>
        <v>45532.666666666599</v>
      </c>
      <c r="B154" s="2"/>
      <c r="C154" s="2"/>
      <c r="D154" s="1">
        <v>7025</v>
      </c>
      <c r="E154" s="1">
        <v>7225</v>
      </c>
      <c r="F154" s="1">
        <v>7000</v>
      </c>
      <c r="G154" s="1">
        <v>7225</v>
      </c>
      <c r="H154" s="1">
        <v>114606200</v>
      </c>
      <c r="I154" s="4">
        <f t="shared" si="4"/>
        <v>2.8469750889679714E-2</v>
      </c>
      <c r="J154" s="4">
        <f t="shared" si="5"/>
        <v>0.17959183673469387</v>
      </c>
    </row>
    <row r="155" spans="1:10" x14ac:dyDescent="0.2">
      <c r="A155" s="2">
        <f ca="1">IFERROR(__xludf.DUMMYFUNCTION("""COMPUTED_VALUE"""),45533.6666666666)</f>
        <v>45533.666666666599</v>
      </c>
      <c r="B155" s="2"/>
      <c r="C155" s="2"/>
      <c r="D155" s="1">
        <v>7300</v>
      </c>
      <c r="E155" s="1">
        <v>7300</v>
      </c>
      <c r="F155" s="1">
        <v>7100</v>
      </c>
      <c r="G155" s="1">
        <v>7100</v>
      </c>
      <c r="H155" s="1">
        <v>94475900</v>
      </c>
      <c r="I155" s="4">
        <f t="shared" si="4"/>
        <v>-1.7301038062283738E-2</v>
      </c>
      <c r="J155" s="4">
        <f t="shared" si="5"/>
        <v>0.15918367346938775</v>
      </c>
    </row>
    <row r="156" spans="1:10" x14ac:dyDescent="0.2">
      <c r="A156" s="2">
        <f ca="1">IFERROR(__xludf.DUMMYFUNCTION("""COMPUTED_VALUE"""),45534.6666666666)</f>
        <v>45534.666666666599</v>
      </c>
      <c r="B156" s="2"/>
      <c r="C156" s="2"/>
      <c r="D156" s="1">
        <v>7100</v>
      </c>
      <c r="E156" s="1">
        <v>7175</v>
      </c>
      <c r="F156" s="1">
        <v>7075</v>
      </c>
      <c r="G156" s="1">
        <v>7125</v>
      </c>
      <c r="H156" s="1">
        <v>153760500</v>
      </c>
      <c r="I156" s="4">
        <f t="shared" si="4"/>
        <v>3.5211267605633804E-3</v>
      </c>
      <c r="J156" s="4">
        <f t="shared" si="5"/>
        <v>0.16326530612244897</v>
      </c>
    </row>
    <row r="157" spans="1:10" x14ac:dyDescent="0.2">
      <c r="A157" s="2">
        <f ca="1">IFERROR(__xludf.DUMMYFUNCTION("""COMPUTED_VALUE"""),45537.6666666666)</f>
        <v>45537.666666666599</v>
      </c>
      <c r="B157" s="2"/>
      <c r="C157" s="2"/>
      <c r="D157" s="1">
        <v>7200</v>
      </c>
      <c r="E157" s="1">
        <v>7275</v>
      </c>
      <c r="F157" s="1">
        <v>7125</v>
      </c>
      <c r="G157" s="1">
        <v>7200</v>
      </c>
      <c r="H157" s="1">
        <v>82176000</v>
      </c>
      <c r="I157" s="4">
        <f t="shared" si="4"/>
        <v>1.0526315789473684E-2</v>
      </c>
      <c r="J157" s="4">
        <f t="shared" si="5"/>
        <v>0.17551020408163265</v>
      </c>
    </row>
    <row r="158" spans="1:10" x14ac:dyDescent="0.2">
      <c r="A158" s="2">
        <f ca="1">IFERROR(__xludf.DUMMYFUNCTION("""COMPUTED_VALUE"""),45538.6666666666)</f>
        <v>45538.666666666599</v>
      </c>
      <c r="B158" s="2"/>
      <c r="C158" s="2"/>
      <c r="D158" s="1">
        <v>7200</v>
      </c>
      <c r="E158" s="1">
        <v>7250</v>
      </c>
      <c r="F158" s="1">
        <v>7050</v>
      </c>
      <c r="G158" s="1">
        <v>7075</v>
      </c>
      <c r="H158" s="1">
        <v>75100800</v>
      </c>
      <c r="I158" s="4">
        <f t="shared" si="4"/>
        <v>-1.7361111111111112E-2</v>
      </c>
      <c r="J158" s="4">
        <f t="shared" si="5"/>
        <v>0.15510204081632653</v>
      </c>
    </row>
    <row r="159" spans="1:10" x14ac:dyDescent="0.2">
      <c r="A159" s="2">
        <f ca="1">IFERROR(__xludf.DUMMYFUNCTION("""COMPUTED_VALUE"""),45539.6666666666)</f>
        <v>45539.666666666599</v>
      </c>
      <c r="B159" s="2"/>
      <c r="C159" s="2"/>
      <c r="D159" s="1">
        <v>7000</v>
      </c>
      <c r="E159" s="1">
        <v>7175</v>
      </c>
      <c r="F159" s="1">
        <v>7000</v>
      </c>
      <c r="G159" s="1">
        <v>7175</v>
      </c>
      <c r="H159" s="1">
        <v>78781500</v>
      </c>
      <c r="I159" s="4">
        <f t="shared" si="4"/>
        <v>1.4134275618374558E-2</v>
      </c>
      <c r="J159" s="4">
        <f t="shared" si="5"/>
        <v>0.17142857142857143</v>
      </c>
    </row>
    <row r="160" spans="1:10" x14ac:dyDescent="0.2">
      <c r="A160" s="2">
        <f ca="1">IFERROR(__xludf.DUMMYFUNCTION("""COMPUTED_VALUE"""),45540.6666666666)</f>
        <v>45540.666666666599</v>
      </c>
      <c r="B160" s="2"/>
      <c r="C160" s="2"/>
      <c r="D160" s="1">
        <v>7125</v>
      </c>
      <c r="E160" s="1">
        <v>7225</v>
      </c>
      <c r="F160" s="1">
        <v>7125</v>
      </c>
      <c r="G160" s="1">
        <v>7175</v>
      </c>
      <c r="H160" s="1">
        <v>59432000</v>
      </c>
      <c r="I160" s="4">
        <f t="shared" si="4"/>
        <v>0</v>
      </c>
      <c r="J160" s="4">
        <f t="shared" si="5"/>
        <v>0.17142857142857143</v>
      </c>
    </row>
    <row r="161" spans="1:10" x14ac:dyDescent="0.2">
      <c r="A161" s="2">
        <f ca="1">IFERROR(__xludf.DUMMYFUNCTION("""COMPUTED_VALUE"""),45541.6666666666)</f>
        <v>45541.666666666599</v>
      </c>
      <c r="B161" s="2"/>
      <c r="C161" s="2"/>
      <c r="D161" s="1">
        <v>7175</v>
      </c>
      <c r="E161" s="1">
        <v>7275</v>
      </c>
      <c r="F161" s="1">
        <v>7150</v>
      </c>
      <c r="G161" s="1">
        <v>7250</v>
      </c>
      <c r="H161" s="1">
        <v>63619300</v>
      </c>
      <c r="I161" s="4">
        <f t="shared" si="4"/>
        <v>1.0452961672473868E-2</v>
      </c>
      <c r="J161" s="4">
        <f t="shared" si="5"/>
        <v>0.18367346938775511</v>
      </c>
    </row>
    <row r="162" spans="1:10" x14ac:dyDescent="0.2">
      <c r="A162" s="2">
        <f ca="1">IFERROR(__xludf.DUMMYFUNCTION("""COMPUTED_VALUE"""),45544.6666666666)</f>
        <v>45544.666666666599</v>
      </c>
      <c r="B162" s="2"/>
      <c r="C162" s="2"/>
      <c r="D162" s="1">
        <v>7250</v>
      </c>
      <c r="E162" s="1">
        <v>7250</v>
      </c>
      <c r="F162" s="1">
        <v>7200</v>
      </c>
      <c r="G162" s="1">
        <v>7250</v>
      </c>
      <c r="H162" s="1">
        <v>71430300</v>
      </c>
      <c r="I162" s="4">
        <f t="shared" si="4"/>
        <v>0</v>
      </c>
      <c r="J162" s="4">
        <f t="shared" si="5"/>
        <v>0.18367346938775511</v>
      </c>
    </row>
    <row r="163" spans="1:10" x14ac:dyDescent="0.2">
      <c r="A163" s="2">
        <f ca="1">IFERROR(__xludf.DUMMYFUNCTION("""COMPUTED_VALUE"""),45545.6666666666)</f>
        <v>45545.666666666599</v>
      </c>
      <c r="B163" s="2"/>
      <c r="C163" s="2"/>
      <c r="D163" s="1">
        <v>7250</v>
      </c>
      <c r="E163" s="1">
        <v>7275</v>
      </c>
      <c r="F163" s="1">
        <v>7225</v>
      </c>
      <c r="G163" s="1">
        <v>7250</v>
      </c>
      <c r="H163" s="1">
        <v>73515700</v>
      </c>
      <c r="I163" s="4">
        <f t="shared" si="4"/>
        <v>0</v>
      </c>
      <c r="J163" s="4">
        <f t="shared" si="5"/>
        <v>0.18367346938775511</v>
      </c>
    </row>
    <row r="164" spans="1:10" x14ac:dyDescent="0.2">
      <c r="A164" s="2">
        <f ca="1">IFERROR(__xludf.DUMMYFUNCTION("""COMPUTED_VALUE"""),45546.6666666666)</f>
        <v>45546.666666666599</v>
      </c>
      <c r="B164" s="2"/>
      <c r="C164" s="2"/>
      <c r="D164" s="1">
        <v>7300</v>
      </c>
      <c r="E164" s="1">
        <v>7400</v>
      </c>
      <c r="F164" s="1">
        <v>7275</v>
      </c>
      <c r="G164" s="1">
        <v>7375</v>
      </c>
      <c r="H164" s="1">
        <v>91822300</v>
      </c>
      <c r="I164" s="4">
        <f t="shared" si="4"/>
        <v>1.7241379310344827E-2</v>
      </c>
      <c r="J164" s="4">
        <f t="shared" si="5"/>
        <v>0.20408163265306123</v>
      </c>
    </row>
    <row r="165" spans="1:10" x14ac:dyDescent="0.2">
      <c r="A165" s="2">
        <f ca="1">IFERROR(__xludf.DUMMYFUNCTION("""COMPUTED_VALUE"""),45547.6666666666)</f>
        <v>45547.666666666599</v>
      </c>
      <c r="B165" s="2"/>
      <c r="C165" s="2"/>
      <c r="D165" s="1">
        <v>7375</v>
      </c>
      <c r="E165" s="1">
        <v>7425</v>
      </c>
      <c r="F165" s="1">
        <v>7300</v>
      </c>
      <c r="G165" s="1">
        <v>7300</v>
      </c>
      <c r="H165" s="1">
        <v>68253700</v>
      </c>
      <c r="I165" s="4">
        <f t="shared" si="4"/>
        <v>-1.0169491525423728E-2</v>
      </c>
      <c r="J165" s="4">
        <f t="shared" si="5"/>
        <v>0.19183673469387755</v>
      </c>
    </row>
    <row r="166" spans="1:10" x14ac:dyDescent="0.2">
      <c r="A166" s="2">
        <f ca="1">IFERROR(__xludf.DUMMYFUNCTION("""COMPUTED_VALUE"""),45548.6666666666)</f>
        <v>45548.666666666599</v>
      </c>
      <c r="B166" s="2"/>
      <c r="C166" s="2"/>
      <c r="D166" s="1">
        <v>7300</v>
      </c>
      <c r="E166" s="1">
        <v>7300</v>
      </c>
      <c r="F166" s="1">
        <v>7225</v>
      </c>
      <c r="G166" s="1">
        <v>7275</v>
      </c>
      <c r="H166" s="1">
        <v>45854000</v>
      </c>
      <c r="I166" s="4">
        <f t="shared" si="4"/>
        <v>-3.4246575342465752E-3</v>
      </c>
      <c r="J166" s="4">
        <f t="shared" si="5"/>
        <v>0.18775510204081633</v>
      </c>
    </row>
    <row r="167" spans="1:10" x14ac:dyDescent="0.2">
      <c r="A167" s="2">
        <f ca="1">IFERROR(__xludf.DUMMYFUNCTION("""COMPUTED_VALUE"""),45552.6666666666)</f>
        <v>45552.666666666599</v>
      </c>
      <c r="B167" s="2"/>
      <c r="C167" s="2"/>
      <c r="D167" s="1">
        <v>7325</v>
      </c>
      <c r="E167" s="1">
        <v>7450</v>
      </c>
      <c r="F167" s="1">
        <v>7300</v>
      </c>
      <c r="G167" s="1">
        <v>7425</v>
      </c>
      <c r="H167" s="1">
        <v>96421400</v>
      </c>
      <c r="I167" s="4">
        <f t="shared" si="4"/>
        <v>2.0618556701030927E-2</v>
      </c>
      <c r="J167" s="4">
        <f t="shared" si="5"/>
        <v>0.21224489795918366</v>
      </c>
    </row>
    <row r="168" spans="1:10" x14ac:dyDescent="0.2">
      <c r="A168" s="2">
        <f ca="1">IFERROR(__xludf.DUMMYFUNCTION("""COMPUTED_VALUE"""),45553.6666666666)</f>
        <v>45553.666666666599</v>
      </c>
      <c r="B168" s="2"/>
      <c r="C168" s="2"/>
      <c r="D168" s="1">
        <v>7375</v>
      </c>
      <c r="E168" s="1">
        <v>7450</v>
      </c>
      <c r="F168" s="1">
        <v>7350</v>
      </c>
      <c r="G168" s="1">
        <v>7400</v>
      </c>
      <c r="H168" s="1">
        <v>47279000</v>
      </c>
      <c r="I168" s="4">
        <f t="shared" si="4"/>
        <v>-3.3670033670033669E-3</v>
      </c>
      <c r="J168" s="4">
        <f t="shared" si="5"/>
        <v>0.20816326530612245</v>
      </c>
    </row>
    <row r="169" spans="1:10" x14ac:dyDescent="0.2">
      <c r="A169" s="2">
        <f ca="1">IFERROR(__xludf.DUMMYFUNCTION("""COMPUTED_VALUE"""),45554.6666666666)</f>
        <v>45554.666666666599</v>
      </c>
      <c r="B169" s="2"/>
      <c r="C169" s="2"/>
      <c r="D169" s="1">
        <v>7450</v>
      </c>
      <c r="E169" s="1">
        <v>7550</v>
      </c>
      <c r="F169" s="1">
        <v>7400</v>
      </c>
      <c r="G169" s="1">
        <v>7400</v>
      </c>
      <c r="H169" s="1">
        <v>124377800</v>
      </c>
      <c r="I169" s="4">
        <f t="shared" si="4"/>
        <v>0</v>
      </c>
      <c r="J169" s="4">
        <f t="shared" si="5"/>
        <v>0.20816326530612245</v>
      </c>
    </row>
    <row r="170" spans="1:10" x14ac:dyDescent="0.2">
      <c r="A170" s="2">
        <f ca="1">IFERROR(__xludf.DUMMYFUNCTION("""COMPUTED_VALUE"""),45555.6666666666)</f>
        <v>45555.666666666599</v>
      </c>
      <c r="B170" s="2"/>
      <c r="C170" s="2"/>
      <c r="D170" s="1">
        <v>7400</v>
      </c>
      <c r="E170" s="1">
        <v>7425</v>
      </c>
      <c r="F170" s="1">
        <v>7300</v>
      </c>
      <c r="G170" s="1">
        <v>7300</v>
      </c>
      <c r="H170" s="1">
        <v>97901700</v>
      </c>
      <c r="I170" s="4">
        <f t="shared" si="4"/>
        <v>-1.3513513513513514E-2</v>
      </c>
      <c r="J170" s="4">
        <f t="shared" si="5"/>
        <v>0.19183673469387755</v>
      </c>
    </row>
    <row r="171" spans="1:10" x14ac:dyDescent="0.2">
      <c r="A171" s="2">
        <f ca="1">IFERROR(__xludf.DUMMYFUNCTION("""COMPUTED_VALUE"""),45558.6666666666)</f>
        <v>45558.666666666599</v>
      </c>
      <c r="B171" s="2"/>
      <c r="C171" s="2"/>
      <c r="D171" s="1">
        <v>7325</v>
      </c>
      <c r="E171" s="1">
        <v>7450</v>
      </c>
      <c r="F171" s="1">
        <v>7300</v>
      </c>
      <c r="G171" s="1">
        <v>7450</v>
      </c>
      <c r="H171" s="1">
        <v>79675600</v>
      </c>
      <c r="I171" s="4">
        <f t="shared" si="4"/>
        <v>2.0547945205479451E-2</v>
      </c>
      <c r="J171" s="4">
        <f t="shared" si="5"/>
        <v>0.21632653061224491</v>
      </c>
    </row>
    <row r="172" spans="1:10" x14ac:dyDescent="0.2">
      <c r="A172" s="2">
        <f ca="1">IFERROR(__xludf.DUMMYFUNCTION("""COMPUTED_VALUE"""),45559.6666666666)</f>
        <v>45559.666666666599</v>
      </c>
      <c r="B172" s="2"/>
      <c r="C172" s="2"/>
      <c r="D172" s="1">
        <v>7400</v>
      </c>
      <c r="E172" s="1">
        <v>7475</v>
      </c>
      <c r="F172" s="1">
        <v>7375</v>
      </c>
      <c r="G172" s="1">
        <v>7425</v>
      </c>
      <c r="H172" s="1">
        <v>81817100</v>
      </c>
      <c r="I172" s="4">
        <f t="shared" si="4"/>
        <v>-3.3557046979865771E-3</v>
      </c>
      <c r="J172" s="4">
        <f t="shared" si="5"/>
        <v>0.21224489795918366</v>
      </c>
    </row>
    <row r="173" spans="1:10" x14ac:dyDescent="0.2">
      <c r="A173" s="2">
        <f ca="1">IFERROR(__xludf.DUMMYFUNCTION("""COMPUTED_VALUE"""),45560.6666666666)</f>
        <v>45560.666666666599</v>
      </c>
      <c r="B173" s="2"/>
      <c r="C173" s="2"/>
      <c r="D173" s="1">
        <v>7350</v>
      </c>
      <c r="E173" s="1">
        <v>7350</v>
      </c>
      <c r="F173" s="1">
        <v>7050</v>
      </c>
      <c r="G173" s="1">
        <v>7200</v>
      </c>
      <c r="H173" s="1">
        <v>192197100</v>
      </c>
      <c r="I173" s="4">
        <f t="shared" si="4"/>
        <v>-3.0303030303030304E-2</v>
      </c>
      <c r="J173" s="4">
        <f t="shared" si="5"/>
        <v>0.17551020408163265</v>
      </c>
    </row>
    <row r="174" spans="1:10" x14ac:dyDescent="0.2">
      <c r="A174" s="2">
        <f ca="1">IFERROR(__xludf.DUMMYFUNCTION("""COMPUTED_VALUE"""),45561.6666666666)</f>
        <v>45561.666666666599</v>
      </c>
      <c r="B174" s="2"/>
      <c r="C174" s="2"/>
      <c r="D174" s="1">
        <v>7175</v>
      </c>
      <c r="E174" s="1">
        <v>7200</v>
      </c>
      <c r="F174" s="1">
        <v>7100</v>
      </c>
      <c r="G174" s="1">
        <v>7175</v>
      </c>
      <c r="H174" s="1">
        <v>173044000</v>
      </c>
      <c r="I174" s="4">
        <f t="shared" si="4"/>
        <v>-3.472222222222222E-3</v>
      </c>
      <c r="J174" s="4">
        <f t="shared" si="5"/>
        <v>0.17142857142857143</v>
      </c>
    </row>
    <row r="175" spans="1:10" x14ac:dyDescent="0.2">
      <c r="A175" s="2">
        <f ca="1">IFERROR(__xludf.DUMMYFUNCTION("""COMPUTED_VALUE"""),45562.6666666666)</f>
        <v>45562.666666666599</v>
      </c>
      <c r="B175" s="2"/>
      <c r="C175" s="2"/>
      <c r="D175" s="1">
        <v>7025</v>
      </c>
      <c r="E175" s="1">
        <v>7125</v>
      </c>
      <c r="F175" s="1">
        <v>7000</v>
      </c>
      <c r="G175" s="1">
        <v>7050</v>
      </c>
      <c r="H175" s="1">
        <v>161405200</v>
      </c>
      <c r="I175" s="4">
        <f t="shared" si="4"/>
        <v>-1.7421602787456445E-2</v>
      </c>
      <c r="J175" s="4">
        <f t="shared" si="5"/>
        <v>0.15102040816326531</v>
      </c>
    </row>
    <row r="176" spans="1:10" x14ac:dyDescent="0.2">
      <c r="A176" s="2">
        <f ca="1">IFERROR(__xludf.DUMMYFUNCTION("""COMPUTED_VALUE"""),45565.6666666666)</f>
        <v>45565.666666666599</v>
      </c>
      <c r="B176" s="2"/>
      <c r="C176" s="2"/>
      <c r="D176" s="1">
        <v>7000</v>
      </c>
      <c r="E176" s="1">
        <v>7025</v>
      </c>
      <c r="F176" s="1">
        <v>6875</v>
      </c>
      <c r="G176" s="1">
        <v>6925</v>
      </c>
      <c r="H176" s="1">
        <v>166203500</v>
      </c>
      <c r="I176" s="4">
        <f t="shared" si="4"/>
        <v>-1.7730496453900711E-2</v>
      </c>
      <c r="J176" s="4">
        <f t="shared" si="5"/>
        <v>0.1306122448979592</v>
      </c>
    </row>
    <row r="177" spans="1:10" x14ac:dyDescent="0.2">
      <c r="A177" s="2">
        <f ca="1">IFERROR(__xludf.DUMMYFUNCTION("""COMPUTED_VALUE"""),45566.6666666666)</f>
        <v>45566.666666666599</v>
      </c>
      <c r="B177" s="2"/>
      <c r="C177" s="2"/>
      <c r="D177" s="1">
        <v>7000</v>
      </c>
      <c r="E177" s="1">
        <v>7075</v>
      </c>
      <c r="F177" s="1">
        <v>6950</v>
      </c>
      <c r="G177" s="1">
        <v>7050</v>
      </c>
      <c r="H177" s="1">
        <v>82690100</v>
      </c>
      <c r="I177" s="4">
        <f t="shared" si="4"/>
        <v>1.8050541516245487E-2</v>
      </c>
      <c r="J177" s="4">
        <f t="shared" si="5"/>
        <v>0.15102040816326531</v>
      </c>
    </row>
    <row r="178" spans="1:10" x14ac:dyDescent="0.2">
      <c r="A178" s="2">
        <f ca="1">IFERROR(__xludf.DUMMYFUNCTION("""COMPUTED_VALUE"""),45567.6666666666)</f>
        <v>45567.666666666599</v>
      </c>
      <c r="B178" s="2"/>
      <c r="C178" s="2"/>
      <c r="D178" s="1">
        <v>7025</v>
      </c>
      <c r="E178" s="1">
        <v>7100</v>
      </c>
      <c r="F178" s="1">
        <v>6925</v>
      </c>
      <c r="G178" s="1">
        <v>6975</v>
      </c>
      <c r="H178" s="1">
        <v>91076400</v>
      </c>
      <c r="I178" s="4">
        <f t="shared" si="4"/>
        <v>-1.0638297872340425E-2</v>
      </c>
      <c r="J178" s="4">
        <f t="shared" si="5"/>
        <v>0.13877551020408163</v>
      </c>
    </row>
    <row r="179" spans="1:10" x14ac:dyDescent="0.2">
      <c r="A179" s="2">
        <f ca="1">IFERROR(__xludf.DUMMYFUNCTION("""COMPUTED_VALUE"""),45568.6666666666)</f>
        <v>45568.666666666599</v>
      </c>
      <c r="B179" s="2"/>
      <c r="C179" s="2"/>
      <c r="D179" s="1">
        <v>7000</v>
      </c>
      <c r="E179" s="1">
        <v>7075</v>
      </c>
      <c r="F179" s="1">
        <v>6900</v>
      </c>
      <c r="G179" s="1">
        <v>7050</v>
      </c>
      <c r="H179" s="1">
        <v>86264900</v>
      </c>
      <c r="I179" s="4">
        <f t="shared" si="4"/>
        <v>1.0752688172043012E-2</v>
      </c>
      <c r="J179" s="4">
        <f t="shared" si="5"/>
        <v>0.15102040816326531</v>
      </c>
    </row>
    <row r="180" spans="1:10" x14ac:dyDescent="0.2">
      <c r="A180" s="2">
        <f ca="1">IFERROR(__xludf.DUMMYFUNCTION("""COMPUTED_VALUE"""),45569.6666666666)</f>
        <v>45569.666666666599</v>
      </c>
      <c r="B180" s="2"/>
      <c r="C180" s="2"/>
      <c r="D180" s="1">
        <v>7025</v>
      </c>
      <c r="E180" s="1">
        <v>7050</v>
      </c>
      <c r="F180" s="1">
        <v>6900</v>
      </c>
      <c r="G180" s="1">
        <v>6950</v>
      </c>
      <c r="H180" s="1">
        <v>79485300</v>
      </c>
      <c r="I180" s="4">
        <f t="shared" si="4"/>
        <v>-1.4184397163120567E-2</v>
      </c>
      <c r="J180" s="4">
        <f t="shared" si="5"/>
        <v>0.13469387755102041</v>
      </c>
    </row>
    <row r="181" spans="1:10" x14ac:dyDescent="0.2">
      <c r="A181" s="2">
        <f ca="1">IFERROR(__xludf.DUMMYFUNCTION("""COMPUTED_VALUE"""),45572.6666666666)</f>
        <v>45572.666666666599</v>
      </c>
      <c r="B181" s="2"/>
      <c r="C181" s="2"/>
      <c r="D181" s="1">
        <v>6925</v>
      </c>
      <c r="E181" s="1">
        <v>6925</v>
      </c>
      <c r="F181" s="1">
        <v>6800</v>
      </c>
      <c r="G181" s="1">
        <v>6875</v>
      </c>
      <c r="H181" s="1">
        <v>103943100</v>
      </c>
      <c r="I181" s="4">
        <f t="shared" si="4"/>
        <v>-1.0791366906474821E-2</v>
      </c>
      <c r="J181" s="4">
        <f t="shared" si="5"/>
        <v>0.12244897959183673</v>
      </c>
    </row>
    <row r="182" spans="1:10" x14ac:dyDescent="0.2">
      <c r="A182" s="2">
        <f ca="1">IFERROR(__xludf.DUMMYFUNCTION("""COMPUTED_VALUE"""),45573.6666666666)</f>
        <v>45573.666666666599</v>
      </c>
      <c r="B182" s="2"/>
      <c r="C182" s="2"/>
      <c r="D182" s="1">
        <v>6825</v>
      </c>
      <c r="E182" s="1">
        <v>7175</v>
      </c>
      <c r="F182" s="1">
        <v>6775</v>
      </c>
      <c r="G182" s="1">
        <v>7075</v>
      </c>
      <c r="H182" s="1">
        <v>132141500</v>
      </c>
      <c r="I182" s="4">
        <f t="shared" si="4"/>
        <v>2.9090909090909091E-2</v>
      </c>
      <c r="J182" s="4">
        <f t="shared" si="5"/>
        <v>0.15510204081632653</v>
      </c>
    </row>
    <row r="183" spans="1:10" x14ac:dyDescent="0.2">
      <c r="A183" s="2">
        <f ca="1">IFERROR(__xludf.DUMMYFUNCTION("""COMPUTED_VALUE"""),45574.6666666666)</f>
        <v>45574.666666666599</v>
      </c>
      <c r="B183" s="2"/>
      <c r="C183" s="2"/>
      <c r="D183" s="1">
        <v>7075</v>
      </c>
      <c r="E183" s="1">
        <v>7175</v>
      </c>
      <c r="F183" s="1">
        <v>6950</v>
      </c>
      <c r="G183" s="1">
        <v>6950</v>
      </c>
      <c r="H183" s="1">
        <v>76515700</v>
      </c>
      <c r="I183" s="4">
        <f t="shared" si="4"/>
        <v>-1.7667844522968199E-2</v>
      </c>
      <c r="J183" s="4">
        <f t="shared" si="5"/>
        <v>0.13469387755102041</v>
      </c>
    </row>
    <row r="184" spans="1:10" x14ac:dyDescent="0.2">
      <c r="A184" s="2">
        <f ca="1">IFERROR(__xludf.DUMMYFUNCTION("""COMPUTED_VALUE"""),45575.6666666666)</f>
        <v>45575.666666666599</v>
      </c>
      <c r="B184" s="2"/>
      <c r="C184" s="2"/>
      <c r="D184" s="1">
        <v>6925</v>
      </c>
      <c r="E184" s="1">
        <v>7050</v>
      </c>
      <c r="F184" s="1">
        <v>6900</v>
      </c>
      <c r="G184" s="1">
        <v>6950</v>
      </c>
      <c r="H184" s="1">
        <v>44291900</v>
      </c>
      <c r="I184" s="4">
        <f t="shared" si="4"/>
        <v>0</v>
      </c>
      <c r="J184" s="4">
        <f t="shared" si="5"/>
        <v>0.13469387755102041</v>
      </c>
    </row>
    <row r="185" spans="1:10" x14ac:dyDescent="0.2">
      <c r="A185" s="2">
        <f ca="1">IFERROR(__xludf.DUMMYFUNCTION("""COMPUTED_VALUE"""),45576.6666666666)</f>
        <v>45576.666666666599</v>
      </c>
      <c r="B185" s="2"/>
      <c r="C185" s="2"/>
      <c r="D185" s="1">
        <v>7025</v>
      </c>
      <c r="E185" s="1">
        <v>7025</v>
      </c>
      <c r="F185" s="1">
        <v>6925</v>
      </c>
      <c r="G185" s="1">
        <v>6950</v>
      </c>
      <c r="H185" s="1">
        <v>45331500</v>
      </c>
      <c r="I185" s="4">
        <f t="shared" si="4"/>
        <v>0</v>
      </c>
      <c r="J185" s="4">
        <f t="shared" si="5"/>
        <v>0.13469387755102041</v>
      </c>
    </row>
    <row r="186" spans="1:10" x14ac:dyDescent="0.2">
      <c r="A186" s="2">
        <f ca="1">IFERROR(__xludf.DUMMYFUNCTION("""COMPUTED_VALUE"""),45579.6666666666)</f>
        <v>45579.666666666599</v>
      </c>
      <c r="B186" s="2"/>
      <c r="C186" s="2"/>
      <c r="D186" s="1">
        <v>6925</v>
      </c>
      <c r="E186" s="1">
        <v>6975</v>
      </c>
      <c r="F186" s="1">
        <v>6900</v>
      </c>
      <c r="G186" s="1">
        <v>6925</v>
      </c>
      <c r="H186" s="1">
        <v>55885300</v>
      </c>
      <c r="I186" s="4">
        <f t="shared" si="4"/>
        <v>-3.5971223021582736E-3</v>
      </c>
      <c r="J186" s="4">
        <f t="shared" si="5"/>
        <v>0.1306122448979592</v>
      </c>
    </row>
    <row r="187" spans="1:10" x14ac:dyDescent="0.2">
      <c r="A187" s="2">
        <f ca="1">IFERROR(__xludf.DUMMYFUNCTION("""COMPUTED_VALUE"""),45580.6666666666)</f>
        <v>45580.666666666599</v>
      </c>
      <c r="B187" s="2"/>
      <c r="C187" s="2"/>
      <c r="D187" s="1">
        <v>7000</v>
      </c>
      <c r="E187" s="1">
        <v>7100</v>
      </c>
      <c r="F187" s="1">
        <v>6925</v>
      </c>
      <c r="G187" s="1">
        <v>7050</v>
      </c>
      <c r="H187" s="1">
        <v>90358600</v>
      </c>
      <c r="I187" s="4">
        <f t="shared" si="4"/>
        <v>1.8050541516245487E-2</v>
      </c>
      <c r="J187" s="4">
        <f t="shared" si="5"/>
        <v>0.15102040816326531</v>
      </c>
    </row>
    <row r="188" spans="1:10" x14ac:dyDescent="0.2">
      <c r="A188" s="2">
        <f ca="1">IFERROR(__xludf.DUMMYFUNCTION("""COMPUTED_VALUE"""),45581.6666666666)</f>
        <v>45581.666666666599</v>
      </c>
      <c r="B188" s="2"/>
      <c r="C188" s="2"/>
      <c r="D188" s="1">
        <v>7050</v>
      </c>
      <c r="E188" s="1">
        <v>7075</v>
      </c>
      <c r="F188" s="1">
        <v>6925</v>
      </c>
      <c r="G188" s="1">
        <v>7000</v>
      </c>
      <c r="H188" s="1">
        <v>133022500</v>
      </c>
      <c r="I188" s="4">
        <f t="shared" si="4"/>
        <v>-7.0921985815602835E-3</v>
      </c>
      <c r="J188" s="4">
        <f t="shared" si="5"/>
        <v>0.14285714285714285</v>
      </c>
    </row>
    <row r="189" spans="1:10" x14ac:dyDescent="0.2">
      <c r="A189" s="2">
        <f ca="1">IFERROR(__xludf.DUMMYFUNCTION("""COMPUTED_VALUE"""),45582.6666666666)</f>
        <v>45582.666666666599</v>
      </c>
      <c r="B189" s="2"/>
      <c r="C189" s="2"/>
      <c r="D189" s="1">
        <v>7050</v>
      </c>
      <c r="E189" s="1">
        <v>7250</v>
      </c>
      <c r="F189" s="1">
        <v>7000</v>
      </c>
      <c r="G189" s="1">
        <v>7225</v>
      </c>
      <c r="H189" s="1">
        <v>90219900</v>
      </c>
      <c r="I189" s="4">
        <f t="shared" si="4"/>
        <v>3.214285714285714E-2</v>
      </c>
      <c r="J189" s="4">
        <f t="shared" si="5"/>
        <v>0.17959183673469387</v>
      </c>
    </row>
    <row r="190" spans="1:10" x14ac:dyDescent="0.2">
      <c r="A190" s="2">
        <f ca="1">IFERROR(__xludf.DUMMYFUNCTION("""COMPUTED_VALUE"""),45583.6666666666)</f>
        <v>45583.666666666599</v>
      </c>
      <c r="B190" s="2"/>
      <c r="C190" s="2"/>
      <c r="D190" s="1">
        <v>7275</v>
      </c>
      <c r="E190" s="1">
        <v>7300</v>
      </c>
      <c r="F190" s="1">
        <v>7175</v>
      </c>
      <c r="G190" s="1">
        <v>7175</v>
      </c>
      <c r="H190" s="1">
        <v>57379200</v>
      </c>
      <c r="I190" s="4">
        <f t="shared" si="4"/>
        <v>-6.920415224913495E-3</v>
      </c>
      <c r="J190" s="4">
        <f t="shared" si="5"/>
        <v>0.17142857142857143</v>
      </c>
    </row>
    <row r="191" spans="1:10" x14ac:dyDescent="0.2">
      <c r="A191" s="2">
        <f ca="1">IFERROR(__xludf.DUMMYFUNCTION("""COMPUTED_VALUE"""),45586.6666666666)</f>
        <v>45586.666666666599</v>
      </c>
      <c r="B191" s="2"/>
      <c r="C191" s="2"/>
      <c r="D191" s="1">
        <v>7250</v>
      </c>
      <c r="E191" s="1">
        <v>7250</v>
      </c>
      <c r="F191" s="1">
        <v>7125</v>
      </c>
      <c r="G191" s="1">
        <v>7200</v>
      </c>
      <c r="H191" s="1">
        <v>43056000</v>
      </c>
      <c r="I191" s="4">
        <f t="shared" si="4"/>
        <v>3.4843205574912892E-3</v>
      </c>
      <c r="J191" s="4">
        <f t="shared" si="5"/>
        <v>0.17551020408163265</v>
      </c>
    </row>
    <row r="192" spans="1:10" x14ac:dyDescent="0.2">
      <c r="A192" s="2">
        <f ca="1">IFERROR(__xludf.DUMMYFUNCTION("""COMPUTED_VALUE"""),45587.6666666666)</f>
        <v>45587.666666666599</v>
      </c>
      <c r="B192" s="2"/>
      <c r="C192" s="2"/>
      <c r="D192" s="1">
        <v>7150</v>
      </c>
      <c r="E192" s="1">
        <v>7175</v>
      </c>
      <c r="F192" s="1">
        <v>7075</v>
      </c>
      <c r="G192" s="1">
        <v>7075</v>
      </c>
      <c r="H192" s="1">
        <v>43582700</v>
      </c>
      <c r="I192" s="4">
        <f t="shared" si="4"/>
        <v>-1.7361111111111112E-2</v>
      </c>
      <c r="J192" s="4">
        <f t="shared" si="5"/>
        <v>0.15510204081632653</v>
      </c>
    </row>
    <row r="193" spans="1:10" x14ac:dyDescent="0.2">
      <c r="A193" s="2">
        <f ca="1">IFERROR(__xludf.DUMMYFUNCTION("""COMPUTED_VALUE"""),45588.6666666666)</f>
        <v>45588.666666666599</v>
      </c>
      <c r="B193" s="2"/>
      <c r="C193" s="2"/>
      <c r="D193" s="1">
        <v>7075</v>
      </c>
      <c r="E193" s="1">
        <v>7125</v>
      </c>
      <c r="F193" s="1">
        <v>7025</v>
      </c>
      <c r="G193" s="1">
        <v>7075</v>
      </c>
      <c r="H193" s="1">
        <v>38222900</v>
      </c>
      <c r="I193" s="4">
        <f t="shared" si="4"/>
        <v>0</v>
      </c>
      <c r="J193" s="4">
        <f t="shared" si="5"/>
        <v>0.15510204081632653</v>
      </c>
    </row>
    <row r="194" spans="1:10" x14ac:dyDescent="0.2">
      <c r="A194" s="2">
        <f ca="1">IFERROR(__xludf.DUMMYFUNCTION("""COMPUTED_VALUE"""),45589.6666666666)</f>
        <v>45589.666666666599</v>
      </c>
      <c r="B194" s="2"/>
      <c r="C194" s="2"/>
      <c r="D194" s="1">
        <v>7000</v>
      </c>
      <c r="E194" s="1">
        <v>7150</v>
      </c>
      <c r="F194" s="1">
        <v>6975</v>
      </c>
      <c r="G194" s="1">
        <v>6975</v>
      </c>
      <c r="H194" s="1">
        <v>65877100</v>
      </c>
      <c r="I194" s="4">
        <f t="shared" si="4"/>
        <v>-1.4134275618374558E-2</v>
      </c>
      <c r="J194" s="4">
        <f t="shared" si="5"/>
        <v>0.13877551020408163</v>
      </c>
    </row>
    <row r="195" spans="1:10" x14ac:dyDescent="0.2">
      <c r="A195" s="2">
        <f ca="1">IFERROR(__xludf.DUMMYFUNCTION("""COMPUTED_VALUE"""),45590.6666666666)</f>
        <v>45590.666666666599</v>
      </c>
      <c r="B195" s="2"/>
      <c r="C195" s="2"/>
      <c r="D195" s="1">
        <v>6975</v>
      </c>
      <c r="E195" s="1">
        <v>7050</v>
      </c>
      <c r="F195" s="1">
        <v>6975</v>
      </c>
      <c r="G195" s="1">
        <v>7050</v>
      </c>
      <c r="H195" s="1">
        <v>34637500</v>
      </c>
      <c r="I195" s="4">
        <f t="shared" si="4"/>
        <v>1.0752688172043012E-2</v>
      </c>
      <c r="J195" s="4">
        <f t="shared" si="5"/>
        <v>0.15102040816326531</v>
      </c>
    </row>
    <row r="196" spans="1:10" x14ac:dyDescent="0.2">
      <c r="A196" s="2">
        <f ca="1">IFERROR(__xludf.DUMMYFUNCTION("""COMPUTED_VALUE"""),45593.6666666666)</f>
        <v>45593.666666666599</v>
      </c>
      <c r="B196" s="2"/>
      <c r="C196" s="2"/>
      <c r="D196" s="1">
        <v>7075</v>
      </c>
      <c r="E196" s="1">
        <v>7075</v>
      </c>
      <c r="F196" s="1">
        <v>6800</v>
      </c>
      <c r="G196" s="1">
        <v>6825</v>
      </c>
      <c r="H196" s="1">
        <v>114500800</v>
      </c>
      <c r="I196" s="4">
        <f t="shared" ref="I196:I259" si="6">(G196-G195)/G195</f>
        <v>-3.1914893617021274E-2</v>
      </c>
      <c r="J196" s="4">
        <f t="shared" ref="J196:J259" si="7">(G196-$G$2)/$G$2</f>
        <v>0.11428571428571428</v>
      </c>
    </row>
    <row r="197" spans="1:10" x14ac:dyDescent="0.2">
      <c r="A197" s="2">
        <f ca="1">IFERROR(__xludf.DUMMYFUNCTION("""COMPUTED_VALUE"""),45594.6666666666)</f>
        <v>45594.666666666599</v>
      </c>
      <c r="B197" s="2"/>
      <c r="C197" s="2"/>
      <c r="D197" s="1">
        <v>6800</v>
      </c>
      <c r="E197" s="1">
        <v>6850</v>
      </c>
      <c r="F197" s="1">
        <v>6725</v>
      </c>
      <c r="G197" s="1">
        <v>6825</v>
      </c>
      <c r="H197" s="1">
        <v>91267000</v>
      </c>
      <c r="I197" s="4">
        <f t="shared" si="6"/>
        <v>0</v>
      </c>
      <c r="J197" s="4">
        <f t="shared" si="7"/>
        <v>0.11428571428571428</v>
      </c>
    </row>
    <row r="198" spans="1:10" x14ac:dyDescent="0.2">
      <c r="A198" s="2">
        <f ca="1">IFERROR(__xludf.DUMMYFUNCTION("""COMPUTED_VALUE"""),45595.6666666666)</f>
        <v>45595.666666666599</v>
      </c>
      <c r="B198" s="2"/>
      <c r="C198" s="2"/>
      <c r="D198" s="1">
        <v>6575</v>
      </c>
      <c r="E198" s="1">
        <v>6775</v>
      </c>
      <c r="F198" s="1">
        <v>6575</v>
      </c>
      <c r="G198" s="1">
        <v>6750</v>
      </c>
      <c r="H198" s="1">
        <v>122132700</v>
      </c>
      <c r="I198" s="4">
        <f t="shared" si="6"/>
        <v>-1.098901098901099E-2</v>
      </c>
      <c r="J198" s="4">
        <f t="shared" si="7"/>
        <v>0.10204081632653061</v>
      </c>
    </row>
    <row r="199" spans="1:10" x14ac:dyDescent="0.2">
      <c r="A199" s="2">
        <f ca="1">IFERROR(__xludf.DUMMYFUNCTION("""COMPUTED_VALUE"""),45596.6666666666)</f>
        <v>45596.666666666599</v>
      </c>
      <c r="B199" s="2"/>
      <c r="C199" s="2"/>
      <c r="D199" s="1">
        <v>6750</v>
      </c>
      <c r="E199" s="1">
        <v>6825</v>
      </c>
      <c r="F199" s="1">
        <v>6700</v>
      </c>
      <c r="G199" s="1">
        <v>6700</v>
      </c>
      <c r="H199" s="1">
        <v>126730700</v>
      </c>
      <c r="I199" s="4">
        <f t="shared" si="6"/>
        <v>-7.4074074074074077E-3</v>
      </c>
      <c r="J199" s="4">
        <f t="shared" si="7"/>
        <v>9.3877551020408165E-2</v>
      </c>
    </row>
    <row r="200" spans="1:10" x14ac:dyDescent="0.2">
      <c r="A200" s="2">
        <f ca="1">IFERROR(__xludf.DUMMYFUNCTION("""COMPUTED_VALUE"""),45597.6666666666)</f>
        <v>45597.666666666599</v>
      </c>
      <c r="B200" s="2"/>
      <c r="C200" s="2"/>
      <c r="D200" s="1">
        <v>6725</v>
      </c>
      <c r="E200" s="1">
        <v>6725</v>
      </c>
      <c r="F200" s="1">
        <v>6550</v>
      </c>
      <c r="G200" s="1">
        <v>6650</v>
      </c>
      <c r="H200" s="1">
        <v>101423100</v>
      </c>
      <c r="I200" s="4">
        <f t="shared" si="6"/>
        <v>-7.462686567164179E-3</v>
      </c>
      <c r="J200" s="4">
        <f t="shared" si="7"/>
        <v>8.5714285714285715E-2</v>
      </c>
    </row>
    <row r="201" spans="1:10" x14ac:dyDescent="0.2">
      <c r="A201" s="2">
        <f ca="1">IFERROR(__xludf.DUMMYFUNCTION("""COMPUTED_VALUE"""),45600.6666666666)</f>
        <v>45600.666666666599</v>
      </c>
      <c r="B201" s="2"/>
      <c r="C201" s="2"/>
      <c r="D201" s="1">
        <v>6600</v>
      </c>
      <c r="E201" s="1">
        <v>6800</v>
      </c>
      <c r="F201" s="1">
        <v>6525</v>
      </c>
      <c r="G201" s="1">
        <v>6750</v>
      </c>
      <c r="H201" s="1">
        <v>80208800</v>
      </c>
      <c r="I201" s="4">
        <f t="shared" si="6"/>
        <v>1.5037593984962405E-2</v>
      </c>
      <c r="J201" s="4">
        <f t="shared" si="7"/>
        <v>0.10204081632653061</v>
      </c>
    </row>
    <row r="202" spans="1:10" x14ac:dyDescent="0.2">
      <c r="A202" s="2">
        <f ca="1">IFERROR(__xludf.DUMMYFUNCTION("""COMPUTED_VALUE"""),45601.6666666666)</f>
        <v>45601.666666666599</v>
      </c>
      <c r="B202" s="2"/>
      <c r="C202" s="2"/>
      <c r="D202" s="1">
        <v>6725</v>
      </c>
      <c r="E202" s="1">
        <v>6950</v>
      </c>
      <c r="F202" s="1">
        <v>6675</v>
      </c>
      <c r="G202" s="1">
        <v>6925</v>
      </c>
      <c r="H202" s="1">
        <v>88661200</v>
      </c>
      <c r="I202" s="4">
        <f t="shared" si="6"/>
        <v>2.5925925925925925E-2</v>
      </c>
      <c r="J202" s="4">
        <f t="shared" si="7"/>
        <v>0.1306122448979592</v>
      </c>
    </row>
    <row r="203" spans="1:10" x14ac:dyDescent="0.2">
      <c r="A203" s="2">
        <f ca="1">IFERROR(__xludf.DUMMYFUNCTION("""COMPUTED_VALUE"""),45602.6666666666)</f>
        <v>45602.666666666599</v>
      </c>
      <c r="B203" s="2"/>
      <c r="C203" s="2"/>
      <c r="D203" s="1">
        <v>6925</v>
      </c>
      <c r="E203" s="1">
        <v>6925</v>
      </c>
      <c r="F203" s="1">
        <v>6550</v>
      </c>
      <c r="G203" s="1">
        <v>6550</v>
      </c>
      <c r="H203" s="1">
        <v>147272800</v>
      </c>
      <c r="I203" s="4">
        <f t="shared" si="6"/>
        <v>-5.4151624548736461E-2</v>
      </c>
      <c r="J203" s="4">
        <f t="shared" si="7"/>
        <v>6.9387755102040816E-2</v>
      </c>
    </row>
    <row r="204" spans="1:10" x14ac:dyDescent="0.2">
      <c r="A204" s="2">
        <f ca="1">IFERROR(__xludf.DUMMYFUNCTION("""COMPUTED_VALUE"""),45603.6666666666)</f>
        <v>45603.666666666599</v>
      </c>
      <c r="B204" s="2"/>
      <c r="C204" s="2"/>
      <c r="D204" s="1">
        <v>6500</v>
      </c>
      <c r="E204" s="1">
        <v>6550</v>
      </c>
      <c r="F204" s="1">
        <v>6425</v>
      </c>
      <c r="G204" s="1">
        <v>6425</v>
      </c>
      <c r="H204" s="1">
        <v>154758500</v>
      </c>
      <c r="I204" s="4">
        <f t="shared" si="6"/>
        <v>-1.9083969465648856E-2</v>
      </c>
      <c r="J204" s="4">
        <f t="shared" si="7"/>
        <v>4.8979591836734691E-2</v>
      </c>
    </row>
    <row r="205" spans="1:10" x14ac:dyDescent="0.2">
      <c r="A205" s="2">
        <f ca="1">IFERROR(__xludf.DUMMYFUNCTION("""COMPUTED_VALUE"""),45604.6666666666)</f>
        <v>45604.666666666599</v>
      </c>
      <c r="B205" s="2"/>
      <c r="C205" s="2"/>
      <c r="D205" s="1">
        <v>6425</v>
      </c>
      <c r="E205" s="1">
        <v>6525</v>
      </c>
      <c r="F205" s="1">
        <v>6275</v>
      </c>
      <c r="G205" s="1">
        <v>6325</v>
      </c>
      <c r="H205" s="1">
        <v>192423000</v>
      </c>
      <c r="I205" s="4">
        <f t="shared" si="6"/>
        <v>-1.556420233463035E-2</v>
      </c>
      <c r="J205" s="4">
        <f t="shared" si="7"/>
        <v>3.2653061224489799E-2</v>
      </c>
    </row>
    <row r="206" spans="1:10" x14ac:dyDescent="0.2">
      <c r="A206" s="2">
        <f ca="1">IFERROR(__xludf.DUMMYFUNCTION("""COMPUTED_VALUE"""),45607.6666666666)</f>
        <v>45607.666666666599</v>
      </c>
      <c r="B206" s="2"/>
      <c r="C206" s="2"/>
      <c r="D206" s="1">
        <v>6300</v>
      </c>
      <c r="E206" s="1">
        <v>6450</v>
      </c>
      <c r="F206" s="1">
        <v>6150</v>
      </c>
      <c r="G206" s="1">
        <v>6350</v>
      </c>
      <c r="H206" s="1">
        <v>125606000</v>
      </c>
      <c r="I206" s="4">
        <f t="shared" si="6"/>
        <v>3.952569169960474E-3</v>
      </c>
      <c r="J206" s="4">
        <f t="shared" si="7"/>
        <v>3.6734693877551024E-2</v>
      </c>
    </row>
    <row r="207" spans="1:10" x14ac:dyDescent="0.2">
      <c r="A207" s="2">
        <f ca="1">IFERROR(__xludf.DUMMYFUNCTION("""COMPUTED_VALUE"""),45608.6666666666)</f>
        <v>45608.666666666599</v>
      </c>
      <c r="B207" s="2"/>
      <c r="C207" s="2"/>
      <c r="D207" s="1">
        <v>6375</v>
      </c>
      <c r="E207" s="1">
        <v>6450</v>
      </c>
      <c r="F207" s="1">
        <v>6325</v>
      </c>
      <c r="G207" s="1">
        <v>6375</v>
      </c>
      <c r="H207" s="1">
        <v>117281700</v>
      </c>
      <c r="I207" s="4">
        <f t="shared" si="6"/>
        <v>3.937007874015748E-3</v>
      </c>
      <c r="J207" s="4">
        <f t="shared" si="7"/>
        <v>4.0816326530612242E-2</v>
      </c>
    </row>
    <row r="208" spans="1:10" x14ac:dyDescent="0.2">
      <c r="A208" s="2">
        <f ca="1">IFERROR(__xludf.DUMMYFUNCTION("""COMPUTED_VALUE"""),45609.6666666666)</f>
        <v>45609.666666666599</v>
      </c>
      <c r="B208" s="2"/>
      <c r="C208" s="2"/>
      <c r="D208" s="1">
        <v>6500</v>
      </c>
      <c r="E208" s="1">
        <v>6550</v>
      </c>
      <c r="F208" s="1">
        <v>6400</v>
      </c>
      <c r="G208" s="1">
        <v>6425</v>
      </c>
      <c r="H208" s="1">
        <v>102748300</v>
      </c>
      <c r="I208" s="4">
        <f t="shared" si="6"/>
        <v>7.8431372549019607E-3</v>
      </c>
      <c r="J208" s="4">
        <f t="shared" si="7"/>
        <v>4.8979591836734691E-2</v>
      </c>
    </row>
    <row r="209" spans="1:10" x14ac:dyDescent="0.2">
      <c r="A209" s="2">
        <f ca="1">IFERROR(__xludf.DUMMYFUNCTION("""COMPUTED_VALUE"""),45610.6666666666)</f>
        <v>45610.666666666599</v>
      </c>
      <c r="B209" s="2"/>
      <c r="C209" s="2"/>
      <c r="D209" s="1">
        <v>6375</v>
      </c>
      <c r="E209" s="1">
        <v>6475</v>
      </c>
      <c r="F209" s="1">
        <v>6350</v>
      </c>
      <c r="G209" s="1">
        <v>6375</v>
      </c>
      <c r="H209" s="1">
        <v>69750600</v>
      </c>
      <c r="I209" s="4">
        <f t="shared" si="6"/>
        <v>-7.7821011673151752E-3</v>
      </c>
      <c r="J209" s="4">
        <f t="shared" si="7"/>
        <v>4.0816326530612242E-2</v>
      </c>
    </row>
    <row r="210" spans="1:10" x14ac:dyDescent="0.2">
      <c r="A210" s="2">
        <f ca="1">IFERROR(__xludf.DUMMYFUNCTION("""COMPUTED_VALUE"""),45611.6666666666)</f>
        <v>45611.666666666599</v>
      </c>
      <c r="B210" s="2"/>
      <c r="C210" s="2"/>
      <c r="D210" s="1">
        <v>6300</v>
      </c>
      <c r="E210" s="1">
        <v>6400</v>
      </c>
      <c r="F210" s="1">
        <v>6300</v>
      </c>
      <c r="G210" s="1">
        <v>6350</v>
      </c>
      <c r="H210" s="1">
        <v>41079700</v>
      </c>
      <c r="I210" s="4">
        <f t="shared" si="6"/>
        <v>-3.9215686274509803E-3</v>
      </c>
      <c r="J210" s="4">
        <f t="shared" si="7"/>
        <v>3.6734693877551024E-2</v>
      </c>
    </row>
    <row r="211" spans="1:10" x14ac:dyDescent="0.2">
      <c r="A211" s="2">
        <f ca="1">IFERROR(__xludf.DUMMYFUNCTION("""COMPUTED_VALUE"""),45614.6666666666)</f>
        <v>45614.666666666599</v>
      </c>
      <c r="B211" s="2"/>
      <c r="C211" s="2"/>
      <c r="D211" s="1">
        <v>6350</v>
      </c>
      <c r="E211" s="1">
        <v>6425</v>
      </c>
      <c r="F211" s="1">
        <v>6225</v>
      </c>
      <c r="G211" s="1">
        <v>6325</v>
      </c>
      <c r="H211" s="1">
        <v>77471700</v>
      </c>
      <c r="I211" s="4">
        <f t="shared" si="6"/>
        <v>-3.937007874015748E-3</v>
      </c>
      <c r="J211" s="4">
        <f t="shared" si="7"/>
        <v>3.2653061224489799E-2</v>
      </c>
    </row>
    <row r="212" spans="1:10" x14ac:dyDescent="0.2">
      <c r="A212" s="2">
        <f ca="1">IFERROR(__xludf.DUMMYFUNCTION("""COMPUTED_VALUE"""),45615.6666666666)</f>
        <v>45615.666666666599</v>
      </c>
      <c r="B212" s="2"/>
      <c r="C212" s="2"/>
      <c r="D212" s="1">
        <v>6375</v>
      </c>
      <c r="E212" s="1">
        <v>6375</v>
      </c>
      <c r="F212" s="1">
        <v>6225</v>
      </c>
      <c r="G212" s="1">
        <v>6250</v>
      </c>
      <c r="H212" s="1">
        <v>95495700</v>
      </c>
      <c r="I212" s="4">
        <f t="shared" si="6"/>
        <v>-1.1857707509881422E-2</v>
      </c>
      <c r="J212" s="4">
        <f t="shared" si="7"/>
        <v>2.0408163265306121E-2</v>
      </c>
    </row>
    <row r="213" spans="1:10" x14ac:dyDescent="0.2">
      <c r="A213" s="2">
        <f ca="1">IFERROR(__xludf.DUMMYFUNCTION("""COMPUTED_VALUE"""),45616.6666666666)</f>
        <v>45616.666666666599</v>
      </c>
      <c r="B213" s="2"/>
      <c r="C213" s="2"/>
      <c r="D213" s="1">
        <v>6325</v>
      </c>
      <c r="E213" s="1">
        <v>6350</v>
      </c>
      <c r="F213" s="1">
        <v>6200</v>
      </c>
      <c r="G213" s="1">
        <v>6225</v>
      </c>
      <c r="H213" s="1">
        <v>68707200</v>
      </c>
      <c r="I213" s="4">
        <f t="shared" si="6"/>
        <v>-4.0000000000000001E-3</v>
      </c>
      <c r="J213" s="4">
        <f t="shared" si="7"/>
        <v>1.6326530612244899E-2</v>
      </c>
    </row>
    <row r="214" spans="1:10" x14ac:dyDescent="0.2">
      <c r="A214" s="2">
        <f ca="1">IFERROR(__xludf.DUMMYFUNCTION("""COMPUTED_VALUE"""),45617.6666666666)</f>
        <v>45617.666666666599</v>
      </c>
      <c r="B214" s="2"/>
      <c r="C214" s="2"/>
      <c r="D214" s="1">
        <v>6225</v>
      </c>
      <c r="E214" s="1">
        <v>6225</v>
      </c>
      <c r="F214" s="1">
        <v>6125</v>
      </c>
      <c r="G214" s="1">
        <v>6150</v>
      </c>
      <c r="H214" s="1">
        <v>76579300</v>
      </c>
      <c r="I214" s="4">
        <f t="shared" si="6"/>
        <v>-1.2048192771084338E-2</v>
      </c>
      <c r="J214" s="4">
        <f t="shared" si="7"/>
        <v>4.0816326530612249E-3</v>
      </c>
    </row>
    <row r="215" spans="1:10" x14ac:dyDescent="0.2">
      <c r="A215" s="2">
        <f ca="1">IFERROR(__xludf.DUMMYFUNCTION("""COMPUTED_VALUE"""),45618.6666666666)</f>
        <v>45618.666666666599</v>
      </c>
      <c r="B215" s="2"/>
      <c r="C215" s="2"/>
      <c r="D215" s="1">
        <v>6125</v>
      </c>
      <c r="E215" s="1">
        <v>6300</v>
      </c>
      <c r="F215" s="1">
        <v>6100</v>
      </c>
      <c r="G215" s="1">
        <v>6250</v>
      </c>
      <c r="H215" s="1">
        <v>80236400</v>
      </c>
      <c r="I215" s="4">
        <f t="shared" si="6"/>
        <v>1.6260162601626018E-2</v>
      </c>
      <c r="J215" s="4">
        <f t="shared" si="7"/>
        <v>2.0408163265306121E-2</v>
      </c>
    </row>
    <row r="216" spans="1:10" x14ac:dyDescent="0.2">
      <c r="A216" s="2">
        <f ca="1">IFERROR(__xludf.DUMMYFUNCTION("""COMPUTED_VALUE"""),45621.6666666666)</f>
        <v>45621.666666666599</v>
      </c>
      <c r="B216" s="2"/>
      <c r="C216" s="2"/>
      <c r="D216" s="1">
        <v>6325</v>
      </c>
      <c r="E216" s="1">
        <v>6600</v>
      </c>
      <c r="F216" s="1">
        <v>6325</v>
      </c>
      <c r="G216" s="1">
        <v>6575</v>
      </c>
      <c r="H216" s="1">
        <v>183449100</v>
      </c>
      <c r="I216" s="4">
        <f t="shared" si="6"/>
        <v>5.1999999999999998E-2</v>
      </c>
      <c r="J216" s="4">
        <f t="shared" si="7"/>
        <v>7.3469387755102047E-2</v>
      </c>
    </row>
    <row r="217" spans="1:10" x14ac:dyDescent="0.2">
      <c r="A217" s="2">
        <f ca="1">IFERROR(__xludf.DUMMYFUNCTION("""COMPUTED_VALUE"""),45622.6666666666)</f>
        <v>45622.666666666599</v>
      </c>
      <c r="B217" s="2"/>
      <c r="C217" s="2"/>
      <c r="D217" s="1">
        <v>6600</v>
      </c>
      <c r="E217" s="1">
        <v>6600</v>
      </c>
      <c r="F217" s="1">
        <v>6325</v>
      </c>
      <c r="G217" s="1">
        <v>6400</v>
      </c>
      <c r="H217" s="1">
        <v>107194300</v>
      </c>
      <c r="I217" s="4">
        <f t="shared" si="6"/>
        <v>-2.6615969581749048E-2</v>
      </c>
      <c r="J217" s="4">
        <f t="shared" si="7"/>
        <v>4.4897959183673466E-2</v>
      </c>
    </row>
    <row r="218" spans="1:10" x14ac:dyDescent="0.2">
      <c r="A218" s="2">
        <f ca="1">IFERROR(__xludf.DUMMYFUNCTION("""COMPUTED_VALUE"""),45624.6666666666)</f>
        <v>45624.666666666599</v>
      </c>
      <c r="B218" s="2"/>
      <c r="C218" s="2"/>
      <c r="D218" s="1">
        <v>6350</v>
      </c>
      <c r="E218" s="1">
        <v>6525</v>
      </c>
      <c r="F218" s="1">
        <v>6350</v>
      </c>
      <c r="G218" s="1">
        <v>6450</v>
      </c>
      <c r="H218" s="1">
        <v>81883200</v>
      </c>
      <c r="I218" s="4">
        <f t="shared" si="6"/>
        <v>7.8125E-3</v>
      </c>
      <c r="J218" s="4">
        <f t="shared" si="7"/>
        <v>5.3061224489795916E-2</v>
      </c>
    </row>
    <row r="219" spans="1:10" x14ac:dyDescent="0.2">
      <c r="A219" s="2">
        <f ca="1">IFERROR(__xludf.DUMMYFUNCTION("""COMPUTED_VALUE"""),45625.6666666666)</f>
        <v>45625.666666666599</v>
      </c>
      <c r="B219" s="2"/>
      <c r="C219" s="2"/>
      <c r="D219" s="1">
        <v>6325</v>
      </c>
      <c r="E219" s="1">
        <v>6375</v>
      </c>
      <c r="F219" s="1">
        <v>6125</v>
      </c>
      <c r="G219" s="1">
        <v>6150</v>
      </c>
      <c r="H219" s="1">
        <v>157628700</v>
      </c>
      <c r="I219" s="4">
        <f t="shared" si="6"/>
        <v>-4.6511627906976744E-2</v>
      </c>
      <c r="J219" s="4">
        <f t="shared" si="7"/>
        <v>4.0816326530612249E-3</v>
      </c>
    </row>
    <row r="220" spans="1:10" x14ac:dyDescent="0.2">
      <c r="A220" s="2">
        <f ca="1">IFERROR(__xludf.DUMMYFUNCTION("""COMPUTED_VALUE"""),45628.6666666666)</f>
        <v>45628.666666666599</v>
      </c>
      <c r="B220" s="2"/>
      <c r="C220" s="2"/>
      <c r="D220" s="1">
        <v>6175</v>
      </c>
      <c r="E220" s="1">
        <v>6250</v>
      </c>
      <c r="F220" s="1">
        <v>5975</v>
      </c>
      <c r="G220" s="1">
        <v>6000</v>
      </c>
      <c r="H220" s="1">
        <v>114555300</v>
      </c>
      <c r="I220" s="4">
        <f t="shared" si="6"/>
        <v>-2.4390243902439025E-2</v>
      </c>
      <c r="J220" s="4">
        <f t="shared" si="7"/>
        <v>-2.0408163265306121E-2</v>
      </c>
    </row>
    <row r="221" spans="1:10" x14ac:dyDescent="0.2">
      <c r="A221" s="2">
        <f ca="1">IFERROR(__xludf.DUMMYFUNCTION("""COMPUTED_VALUE"""),45629.6666666666)</f>
        <v>45629.666666666599</v>
      </c>
      <c r="B221" s="2"/>
      <c r="C221" s="2"/>
      <c r="D221" s="1">
        <v>6100</v>
      </c>
      <c r="E221" s="1">
        <v>6275</v>
      </c>
      <c r="F221" s="1">
        <v>6100</v>
      </c>
      <c r="G221" s="1">
        <v>6275</v>
      </c>
      <c r="H221" s="1">
        <v>99509800</v>
      </c>
      <c r="I221" s="4">
        <f t="shared" si="6"/>
        <v>4.583333333333333E-2</v>
      </c>
      <c r="J221" s="4">
        <f t="shared" si="7"/>
        <v>2.4489795918367346E-2</v>
      </c>
    </row>
    <row r="222" spans="1:10" x14ac:dyDescent="0.2">
      <c r="A222" s="2">
        <f ca="1">IFERROR(__xludf.DUMMYFUNCTION("""COMPUTED_VALUE"""),45630.6666666666)</f>
        <v>45630.666666666599</v>
      </c>
      <c r="B222" s="2"/>
      <c r="C222" s="2"/>
      <c r="D222" s="1">
        <v>6275</v>
      </c>
      <c r="E222" s="1">
        <v>6450</v>
      </c>
      <c r="F222" s="1">
        <v>6225</v>
      </c>
      <c r="G222" s="1">
        <v>6375</v>
      </c>
      <c r="H222" s="1">
        <v>75260000</v>
      </c>
      <c r="I222" s="4">
        <f t="shared" si="6"/>
        <v>1.5936254980079681E-2</v>
      </c>
      <c r="J222" s="4">
        <f t="shared" si="7"/>
        <v>4.0816326530612242E-2</v>
      </c>
    </row>
    <row r="223" spans="1:10" x14ac:dyDescent="0.2">
      <c r="A223" s="2">
        <f ca="1">IFERROR(__xludf.DUMMYFUNCTION("""COMPUTED_VALUE"""),45631.6666666666)</f>
        <v>45631.666666666599</v>
      </c>
      <c r="B223" s="2"/>
      <c r="C223" s="2"/>
      <c r="D223" s="1">
        <v>6350</v>
      </c>
      <c r="E223" s="1">
        <v>6375</v>
      </c>
      <c r="F223" s="1">
        <v>6150</v>
      </c>
      <c r="G223" s="1">
        <v>6150</v>
      </c>
      <c r="H223" s="1">
        <v>69528700</v>
      </c>
      <c r="I223" s="4">
        <f t="shared" si="6"/>
        <v>-3.5294117647058823E-2</v>
      </c>
      <c r="J223" s="4">
        <f t="shared" si="7"/>
        <v>4.0816326530612249E-3</v>
      </c>
    </row>
    <row r="224" spans="1:10" x14ac:dyDescent="0.2">
      <c r="A224" s="2">
        <f ca="1">IFERROR(__xludf.DUMMYFUNCTION("""COMPUTED_VALUE"""),45632.6666666666)</f>
        <v>45632.666666666599</v>
      </c>
      <c r="B224" s="2"/>
      <c r="C224" s="2"/>
      <c r="D224" s="1">
        <v>6200</v>
      </c>
      <c r="E224" s="1">
        <v>6275</v>
      </c>
      <c r="F224" s="1">
        <v>6125</v>
      </c>
      <c r="G224" s="1">
        <v>6225</v>
      </c>
      <c r="H224" s="1">
        <v>75989700</v>
      </c>
      <c r="I224" s="4">
        <f t="shared" si="6"/>
        <v>1.2195121951219513E-2</v>
      </c>
      <c r="J224" s="4">
        <f t="shared" si="7"/>
        <v>1.6326530612244899E-2</v>
      </c>
    </row>
    <row r="225" spans="1:10" x14ac:dyDescent="0.2">
      <c r="A225" s="2">
        <f ca="1">IFERROR(__xludf.DUMMYFUNCTION("""COMPUTED_VALUE"""),45635.6666666666)</f>
        <v>45635.666666666599</v>
      </c>
      <c r="B225" s="2"/>
      <c r="C225" s="2"/>
      <c r="D225" s="1">
        <v>6175</v>
      </c>
      <c r="E225" s="1">
        <v>6375</v>
      </c>
      <c r="F225" s="1">
        <v>6175</v>
      </c>
      <c r="G225" s="1">
        <v>6375</v>
      </c>
      <c r="H225" s="1">
        <v>74220300</v>
      </c>
      <c r="I225" s="4">
        <f t="shared" si="6"/>
        <v>2.4096385542168676E-2</v>
      </c>
      <c r="J225" s="4">
        <f t="shared" si="7"/>
        <v>4.0816326530612242E-2</v>
      </c>
    </row>
    <row r="226" spans="1:10" x14ac:dyDescent="0.2">
      <c r="A226" s="2">
        <f ca="1">IFERROR(__xludf.DUMMYFUNCTION("""COMPUTED_VALUE"""),45636.6666666666)</f>
        <v>45636.666666666599</v>
      </c>
      <c r="B226" s="2"/>
      <c r="C226" s="2"/>
      <c r="D226" s="1">
        <v>6275</v>
      </c>
      <c r="E226" s="1">
        <v>6325</v>
      </c>
      <c r="F226" s="1">
        <v>6225</v>
      </c>
      <c r="G226" s="1">
        <v>6300</v>
      </c>
      <c r="H226" s="1">
        <v>92245000</v>
      </c>
      <c r="I226" s="4">
        <f t="shared" si="6"/>
        <v>-1.1764705882352941E-2</v>
      </c>
      <c r="J226" s="4">
        <f t="shared" si="7"/>
        <v>2.8571428571428571E-2</v>
      </c>
    </row>
    <row r="227" spans="1:10" x14ac:dyDescent="0.2">
      <c r="A227" s="2">
        <f ca="1">IFERROR(__xludf.DUMMYFUNCTION("""COMPUTED_VALUE"""),45637.6666666666)</f>
        <v>45637.666666666599</v>
      </c>
      <c r="B227" s="2"/>
      <c r="C227" s="2"/>
      <c r="D227" s="1">
        <v>6300</v>
      </c>
      <c r="E227" s="1">
        <v>6400</v>
      </c>
      <c r="F227" s="1">
        <v>6300</v>
      </c>
      <c r="G227" s="1">
        <v>6300</v>
      </c>
      <c r="H227" s="1">
        <v>62509600</v>
      </c>
      <c r="I227" s="4">
        <f t="shared" si="6"/>
        <v>0</v>
      </c>
      <c r="J227" s="4">
        <f t="shared" si="7"/>
        <v>2.8571428571428571E-2</v>
      </c>
    </row>
    <row r="228" spans="1:10" x14ac:dyDescent="0.2">
      <c r="A228" s="2">
        <f ca="1">IFERROR(__xludf.DUMMYFUNCTION("""COMPUTED_VALUE"""),45638.6666666666)</f>
        <v>45638.666666666599</v>
      </c>
      <c r="B228" s="2"/>
      <c r="C228" s="2"/>
      <c r="D228" s="1">
        <v>6200</v>
      </c>
      <c r="E228" s="1">
        <v>6225</v>
      </c>
      <c r="F228" s="1">
        <v>6100</v>
      </c>
      <c r="G228" s="1">
        <v>6125</v>
      </c>
      <c r="H228" s="1">
        <v>96707500</v>
      </c>
      <c r="I228" s="4">
        <f t="shared" si="6"/>
        <v>-2.7777777777777776E-2</v>
      </c>
      <c r="J228" s="4">
        <f t="shared" si="7"/>
        <v>0</v>
      </c>
    </row>
    <row r="229" spans="1:10" x14ac:dyDescent="0.2">
      <c r="A229" s="2">
        <f ca="1">IFERROR(__xludf.DUMMYFUNCTION("""COMPUTED_VALUE"""),45639.6666666666)</f>
        <v>45639.666666666599</v>
      </c>
      <c r="B229" s="2"/>
      <c r="C229" s="2"/>
      <c r="D229" s="1">
        <v>6025</v>
      </c>
      <c r="E229" s="1">
        <v>6100</v>
      </c>
      <c r="F229" s="1">
        <v>5975</v>
      </c>
      <c r="G229" s="1">
        <v>6025</v>
      </c>
      <c r="H229" s="1">
        <v>135581400</v>
      </c>
      <c r="I229" s="4">
        <f t="shared" si="6"/>
        <v>-1.6326530612244899E-2</v>
      </c>
      <c r="J229" s="4">
        <f t="shared" si="7"/>
        <v>-1.6326530612244899E-2</v>
      </c>
    </row>
    <row r="230" spans="1:10" x14ac:dyDescent="0.2">
      <c r="A230" s="2">
        <f ca="1">IFERROR(__xludf.DUMMYFUNCTION("""COMPUTED_VALUE"""),45642.6666666666)</f>
        <v>45642.666666666599</v>
      </c>
      <c r="B230" s="2"/>
      <c r="C230" s="2"/>
      <c r="D230" s="1">
        <v>5900</v>
      </c>
      <c r="E230" s="1">
        <v>6100</v>
      </c>
      <c r="F230" s="1">
        <v>5900</v>
      </c>
      <c r="G230" s="1">
        <v>6075</v>
      </c>
      <c r="H230" s="1">
        <v>105375900</v>
      </c>
      <c r="I230" s="4">
        <f t="shared" si="6"/>
        <v>8.2987551867219917E-3</v>
      </c>
      <c r="J230" s="4">
        <f t="shared" si="7"/>
        <v>-8.1632653061224497E-3</v>
      </c>
    </row>
    <row r="231" spans="1:10" x14ac:dyDescent="0.2">
      <c r="A231" s="2">
        <f ca="1">IFERROR(__xludf.DUMMYFUNCTION("""COMPUTED_VALUE"""),45643.6666666666)</f>
        <v>45643.666666666599</v>
      </c>
      <c r="B231" s="2"/>
      <c r="C231" s="2"/>
      <c r="D231" s="1">
        <v>6050</v>
      </c>
      <c r="E231" s="1">
        <v>6075</v>
      </c>
      <c r="F231" s="1">
        <v>5925</v>
      </c>
      <c r="G231" s="1">
        <v>5950</v>
      </c>
      <c r="H231" s="1">
        <v>72109300</v>
      </c>
      <c r="I231" s="4">
        <f t="shared" si="6"/>
        <v>-2.0576131687242798E-2</v>
      </c>
      <c r="J231" s="4">
        <f t="shared" si="7"/>
        <v>-2.8571428571428571E-2</v>
      </c>
    </row>
    <row r="232" spans="1:10" x14ac:dyDescent="0.2">
      <c r="A232" s="2">
        <f ca="1">IFERROR(__xludf.DUMMYFUNCTION("""COMPUTED_VALUE"""),45644.6666666666)</f>
        <v>45644.666666666599</v>
      </c>
      <c r="B232" s="2"/>
      <c r="C232" s="2"/>
      <c r="D232" s="1">
        <v>5925</v>
      </c>
      <c r="E232" s="1">
        <v>6000</v>
      </c>
      <c r="F232" s="1">
        <v>5775</v>
      </c>
      <c r="G232" s="1">
        <v>5825</v>
      </c>
      <c r="H232" s="1">
        <v>153164600</v>
      </c>
      <c r="I232" s="4">
        <f t="shared" si="6"/>
        <v>-2.100840336134454E-2</v>
      </c>
      <c r="J232" s="4">
        <f t="shared" si="7"/>
        <v>-4.8979591836734691E-2</v>
      </c>
    </row>
    <row r="233" spans="1:10" x14ac:dyDescent="0.2">
      <c r="A233" s="2">
        <f ca="1">IFERROR(__xludf.DUMMYFUNCTION("""COMPUTED_VALUE"""),45645.6666666666)</f>
        <v>45645.666666666599</v>
      </c>
      <c r="B233" s="2"/>
      <c r="C233" s="2"/>
      <c r="D233" s="1">
        <v>5625</v>
      </c>
      <c r="E233" s="1">
        <v>5725</v>
      </c>
      <c r="F233" s="1">
        <v>5600</v>
      </c>
      <c r="G233" s="1">
        <v>5675</v>
      </c>
      <c r="H233" s="1">
        <v>277793000</v>
      </c>
      <c r="I233" s="4">
        <f t="shared" si="6"/>
        <v>-2.575107296137339E-2</v>
      </c>
      <c r="J233" s="4">
        <f t="shared" si="7"/>
        <v>-7.3469387755102047E-2</v>
      </c>
    </row>
    <row r="234" spans="1:10" x14ac:dyDescent="0.2">
      <c r="A234" s="2">
        <f ca="1">IFERROR(__xludf.DUMMYFUNCTION("""COMPUTED_VALUE"""),45646.6666666666)</f>
        <v>45646.666666666599</v>
      </c>
      <c r="B234" s="2"/>
      <c r="C234" s="2"/>
      <c r="D234" s="1">
        <v>5675</v>
      </c>
      <c r="E234" s="1">
        <v>5750</v>
      </c>
      <c r="F234" s="1">
        <v>5625</v>
      </c>
      <c r="G234" s="1">
        <v>5675</v>
      </c>
      <c r="H234" s="1">
        <v>148568600</v>
      </c>
      <c r="I234" s="4">
        <f t="shared" si="6"/>
        <v>0</v>
      </c>
      <c r="J234" s="4">
        <f t="shared" si="7"/>
        <v>-7.3469387755102047E-2</v>
      </c>
    </row>
    <row r="235" spans="1:10" x14ac:dyDescent="0.2">
      <c r="A235" s="2">
        <f ca="1">IFERROR(__xludf.DUMMYFUNCTION("""COMPUTED_VALUE"""),45649.6666666666)</f>
        <v>45649.666666666599</v>
      </c>
      <c r="B235" s="2"/>
      <c r="C235" s="2"/>
      <c r="D235" s="1">
        <v>5800</v>
      </c>
      <c r="E235" s="1">
        <v>5875</v>
      </c>
      <c r="F235" s="1">
        <v>5725</v>
      </c>
      <c r="G235" s="1">
        <v>5825</v>
      </c>
      <c r="H235" s="1">
        <v>82910100</v>
      </c>
      <c r="I235" s="4">
        <f t="shared" si="6"/>
        <v>2.643171806167401E-2</v>
      </c>
      <c r="J235" s="4">
        <f t="shared" si="7"/>
        <v>-4.8979591836734691E-2</v>
      </c>
    </row>
    <row r="236" spans="1:10" x14ac:dyDescent="0.2">
      <c r="A236" s="2">
        <f ca="1">IFERROR(__xludf.DUMMYFUNCTION("""COMPUTED_VALUE"""),45650.6666666666)</f>
        <v>45650.666666666599</v>
      </c>
      <c r="B236" s="2"/>
      <c r="C236" s="2"/>
      <c r="D236" s="1">
        <v>5825</v>
      </c>
      <c r="E236" s="1">
        <v>5875</v>
      </c>
      <c r="F236" s="1">
        <v>5750</v>
      </c>
      <c r="G236" s="1">
        <v>5750</v>
      </c>
      <c r="H236" s="1">
        <v>41240900</v>
      </c>
      <c r="I236" s="4">
        <f t="shared" si="6"/>
        <v>-1.2875536480686695E-2</v>
      </c>
      <c r="J236" s="4">
        <f t="shared" si="7"/>
        <v>-6.1224489795918366E-2</v>
      </c>
    </row>
    <row r="237" spans="1:10" x14ac:dyDescent="0.2">
      <c r="A237" s="2">
        <f ca="1">IFERROR(__xludf.DUMMYFUNCTION("""COMPUTED_VALUE"""),45653.6666666666)</f>
        <v>45653.666666666599</v>
      </c>
      <c r="B237" s="2"/>
      <c r="C237" s="2"/>
      <c r="D237" s="1">
        <v>5750</v>
      </c>
      <c r="E237" s="1">
        <v>5850</v>
      </c>
      <c r="F237" s="1">
        <v>5750</v>
      </c>
      <c r="G237" s="1">
        <v>5800</v>
      </c>
      <c r="H237" s="1">
        <v>46126800</v>
      </c>
      <c r="I237" s="4">
        <f t="shared" si="6"/>
        <v>8.6956521739130436E-3</v>
      </c>
      <c r="J237" s="4">
        <f t="shared" si="7"/>
        <v>-5.3061224489795916E-2</v>
      </c>
    </row>
    <row r="238" spans="1:10" x14ac:dyDescent="0.2">
      <c r="A238" s="2">
        <f ca="1">IFERROR(__xludf.DUMMYFUNCTION("""COMPUTED_VALUE"""),45656.6666666666)</f>
        <v>45656.666666666599</v>
      </c>
      <c r="B238" s="2"/>
      <c r="C238" s="2"/>
      <c r="D238" s="1">
        <v>5675</v>
      </c>
      <c r="E238" s="1">
        <v>5750</v>
      </c>
      <c r="F238" s="1">
        <v>5650</v>
      </c>
      <c r="G238" s="1">
        <v>5700</v>
      </c>
      <c r="H238" s="1">
        <v>96782100</v>
      </c>
      <c r="I238" s="4">
        <f t="shared" si="6"/>
        <v>-1.7241379310344827E-2</v>
      </c>
      <c r="J238" s="4">
        <f t="shared" si="7"/>
        <v>-6.9387755102040816E-2</v>
      </c>
    </row>
    <row r="239" spans="1:10" x14ac:dyDescent="0.2">
      <c r="A239" s="2">
        <f ca="1">IFERROR(__xludf.DUMMYFUNCTION("""COMPUTED_VALUE"""),45659.6666666666)</f>
        <v>45659.666666666599</v>
      </c>
      <c r="B239" s="2"/>
      <c r="C239" s="2"/>
      <c r="D239" s="1">
        <v>5700</v>
      </c>
      <c r="E239" s="1">
        <v>5850</v>
      </c>
      <c r="F239" s="1">
        <v>5700</v>
      </c>
      <c r="G239" s="1">
        <v>5850</v>
      </c>
      <c r="H239" s="1">
        <v>82914600</v>
      </c>
      <c r="I239" s="4">
        <f t="shared" si="6"/>
        <v>2.6315789473684209E-2</v>
      </c>
      <c r="J239" s="4">
        <f t="shared" si="7"/>
        <v>-4.4897959183673466E-2</v>
      </c>
    </row>
    <row r="240" spans="1:10" x14ac:dyDescent="0.2">
      <c r="A240" s="2">
        <f ca="1">IFERROR(__xludf.DUMMYFUNCTION("""COMPUTED_VALUE"""),45660.6666666666)</f>
        <v>45660.666666666599</v>
      </c>
      <c r="B240" s="2"/>
      <c r="C240" s="2"/>
      <c r="D240" s="1">
        <v>5850</v>
      </c>
      <c r="E240" s="1">
        <v>5875</v>
      </c>
      <c r="F240" s="1">
        <v>5775</v>
      </c>
      <c r="G240" s="1">
        <v>5800</v>
      </c>
      <c r="H240" s="1">
        <v>58067100</v>
      </c>
      <c r="I240" s="4">
        <f t="shared" si="6"/>
        <v>-8.5470085470085479E-3</v>
      </c>
      <c r="J240" s="4">
        <f t="shared" si="7"/>
        <v>-5.3061224489795916E-2</v>
      </c>
    </row>
    <row r="241" spans="1:10" x14ac:dyDescent="0.2">
      <c r="A241" s="2">
        <f ca="1">IFERROR(__xludf.DUMMYFUNCTION("""COMPUTED_VALUE"""),45663.6666666666)</f>
        <v>45663.666666666599</v>
      </c>
      <c r="B241" s="2"/>
      <c r="C241" s="2"/>
      <c r="D241" s="1">
        <v>5825</v>
      </c>
      <c r="E241" s="1">
        <v>5825</v>
      </c>
      <c r="F241" s="1">
        <v>5650</v>
      </c>
      <c r="G241" s="1">
        <v>5675</v>
      </c>
      <c r="H241" s="1">
        <v>68443700</v>
      </c>
      <c r="I241" s="4">
        <f t="shared" si="6"/>
        <v>-2.1551724137931036E-2</v>
      </c>
      <c r="J241" s="4">
        <f t="shared" si="7"/>
        <v>-7.3469387755102047E-2</v>
      </c>
    </row>
    <row r="242" spans="1:10" x14ac:dyDescent="0.2">
      <c r="A242" s="2">
        <f ca="1">IFERROR(__xludf.DUMMYFUNCTION("""COMPUTED_VALUE"""),45664.6666666666)</f>
        <v>45664.666666666599</v>
      </c>
      <c r="B242" s="2"/>
      <c r="C242" s="2"/>
      <c r="D242" s="1">
        <v>5600</v>
      </c>
      <c r="E242" s="1">
        <v>5650</v>
      </c>
      <c r="F242" s="1">
        <v>5550</v>
      </c>
      <c r="G242" s="1">
        <v>5600</v>
      </c>
      <c r="H242" s="1">
        <v>96982300</v>
      </c>
      <c r="I242" s="4">
        <f t="shared" si="6"/>
        <v>-1.3215859030837005E-2</v>
      </c>
      <c r="J242" s="4">
        <f t="shared" si="7"/>
        <v>-8.5714285714285715E-2</v>
      </c>
    </row>
    <row r="243" spans="1:10" x14ac:dyDescent="0.2">
      <c r="A243" s="2">
        <f ca="1">IFERROR(__xludf.DUMMYFUNCTION("""COMPUTED_VALUE"""),45665.6666666666)</f>
        <v>45665.666666666599</v>
      </c>
      <c r="B243" s="2"/>
      <c r="C243" s="2"/>
      <c r="D243" s="1">
        <v>5600</v>
      </c>
      <c r="E243" s="1">
        <v>5750</v>
      </c>
      <c r="F243" s="1">
        <v>5600</v>
      </c>
      <c r="G243" s="1">
        <v>5750</v>
      </c>
      <c r="H243" s="1">
        <v>118246100</v>
      </c>
      <c r="I243" s="4">
        <f t="shared" si="6"/>
        <v>2.6785714285714284E-2</v>
      </c>
      <c r="J243" s="4">
        <f t="shared" si="7"/>
        <v>-6.1224489795918366E-2</v>
      </c>
    </row>
    <row r="244" spans="1:10" x14ac:dyDescent="0.2">
      <c r="A244" s="2">
        <f ca="1">IFERROR(__xludf.DUMMYFUNCTION("""COMPUTED_VALUE"""),45666.6666666666)</f>
        <v>45666.666666666599</v>
      </c>
      <c r="B244" s="2"/>
      <c r="C244" s="2"/>
      <c r="D244" s="1">
        <v>5725</v>
      </c>
      <c r="E244" s="1">
        <v>5775</v>
      </c>
      <c r="F244" s="1">
        <v>5700</v>
      </c>
      <c r="G244" s="1">
        <v>5750</v>
      </c>
      <c r="H244" s="1">
        <v>56491700</v>
      </c>
      <c r="I244" s="4">
        <f t="shared" si="6"/>
        <v>0</v>
      </c>
      <c r="J244" s="4">
        <f t="shared" si="7"/>
        <v>-6.1224489795918366E-2</v>
      </c>
    </row>
    <row r="245" spans="1:10" x14ac:dyDescent="0.2">
      <c r="A245" s="2">
        <f ca="1">IFERROR(__xludf.DUMMYFUNCTION("""COMPUTED_VALUE"""),45667.6666666666)</f>
        <v>45667.666666666599</v>
      </c>
      <c r="B245" s="2"/>
      <c r="C245" s="2"/>
      <c r="D245" s="1">
        <v>5750</v>
      </c>
      <c r="E245" s="1">
        <v>5775</v>
      </c>
      <c r="F245" s="1">
        <v>5600</v>
      </c>
      <c r="G245" s="1">
        <v>5600</v>
      </c>
      <c r="H245" s="1">
        <v>77751500</v>
      </c>
      <c r="I245" s="4">
        <f t="shared" si="6"/>
        <v>-2.6086956521739129E-2</v>
      </c>
      <c r="J245" s="4">
        <f t="shared" si="7"/>
        <v>-8.5714285714285715E-2</v>
      </c>
    </row>
    <row r="246" spans="1:10" x14ac:dyDescent="0.2">
      <c r="A246" s="2">
        <f ca="1">IFERROR(__xludf.DUMMYFUNCTION("""COMPUTED_VALUE"""),45670.6666666666)</f>
        <v>45670.666666666599</v>
      </c>
      <c r="B246" s="2"/>
      <c r="C246" s="2"/>
      <c r="D246" s="1">
        <v>5500</v>
      </c>
      <c r="E246" s="1">
        <v>5550</v>
      </c>
      <c r="F246" s="1">
        <v>5475</v>
      </c>
      <c r="G246" s="1">
        <v>5525</v>
      </c>
      <c r="H246" s="1">
        <v>99953900</v>
      </c>
      <c r="I246" s="4">
        <f t="shared" si="6"/>
        <v>-1.3392857142857142E-2</v>
      </c>
      <c r="J246" s="4">
        <f t="shared" si="7"/>
        <v>-9.7959183673469383E-2</v>
      </c>
    </row>
    <row r="247" spans="1:10" x14ac:dyDescent="0.2">
      <c r="A247" s="2">
        <f ca="1">IFERROR(__xludf.DUMMYFUNCTION("""COMPUTED_VALUE"""),45671.6666666666)</f>
        <v>45671.666666666599</v>
      </c>
      <c r="B247" s="2"/>
      <c r="C247" s="2"/>
      <c r="D247" s="1">
        <v>5425</v>
      </c>
      <c r="E247" s="1">
        <v>5575</v>
      </c>
      <c r="F247" s="1">
        <v>5400</v>
      </c>
      <c r="G247" s="1">
        <v>5400</v>
      </c>
      <c r="H247" s="1">
        <v>97351900</v>
      </c>
      <c r="I247" s="4">
        <f t="shared" si="6"/>
        <v>-2.2624434389140271E-2</v>
      </c>
      <c r="J247" s="4">
        <f t="shared" si="7"/>
        <v>-0.11836734693877551</v>
      </c>
    </row>
    <row r="248" spans="1:10" x14ac:dyDescent="0.2">
      <c r="A248" s="2">
        <f ca="1">IFERROR(__xludf.DUMMYFUNCTION("""COMPUTED_VALUE"""),45672.6666666666)</f>
        <v>45672.666666666599</v>
      </c>
      <c r="B248" s="2"/>
      <c r="C248" s="2"/>
      <c r="D248" s="1">
        <v>5475</v>
      </c>
      <c r="E248" s="1">
        <v>5825</v>
      </c>
      <c r="F248" s="1">
        <v>5450</v>
      </c>
      <c r="G248" s="1">
        <v>5750</v>
      </c>
      <c r="H248" s="1">
        <v>194025700</v>
      </c>
      <c r="I248" s="4">
        <f t="shared" si="6"/>
        <v>6.4814814814814811E-2</v>
      </c>
      <c r="J248" s="4">
        <f t="shared" si="7"/>
        <v>-6.1224489795918366E-2</v>
      </c>
    </row>
    <row r="249" spans="1:10" x14ac:dyDescent="0.2">
      <c r="A249" s="2">
        <f ca="1">IFERROR(__xludf.DUMMYFUNCTION("""COMPUTED_VALUE"""),45673.6666666666)</f>
        <v>45673.666666666599</v>
      </c>
      <c r="B249" s="2"/>
      <c r="C249" s="2"/>
      <c r="D249" s="1">
        <v>6075</v>
      </c>
      <c r="E249" s="1">
        <v>6200</v>
      </c>
      <c r="F249" s="1">
        <v>5850</v>
      </c>
      <c r="G249" s="1">
        <v>5875</v>
      </c>
      <c r="H249" s="1">
        <v>204359900</v>
      </c>
      <c r="I249" s="4">
        <f t="shared" si="6"/>
        <v>2.1739130434782608E-2</v>
      </c>
      <c r="J249" s="4">
        <f t="shared" si="7"/>
        <v>-4.0816326530612242E-2</v>
      </c>
    </row>
    <row r="250" spans="1:10" x14ac:dyDescent="0.2">
      <c r="A250" s="2">
        <f ca="1">IFERROR(__xludf.DUMMYFUNCTION("""COMPUTED_VALUE"""),45674.6666666666)</f>
        <v>45674.666666666599</v>
      </c>
      <c r="B250" s="2"/>
      <c r="C250" s="2"/>
      <c r="D250" s="1">
        <v>5800</v>
      </c>
      <c r="E250" s="1">
        <v>6050</v>
      </c>
      <c r="F250" s="1">
        <v>5750</v>
      </c>
      <c r="G250" s="1">
        <v>5875</v>
      </c>
      <c r="H250" s="1">
        <v>114054600</v>
      </c>
      <c r="I250" s="4">
        <f t="shared" si="6"/>
        <v>0</v>
      </c>
      <c r="J250" s="4">
        <f t="shared" si="7"/>
        <v>-4.0816326530612242E-2</v>
      </c>
    </row>
    <row r="251" spans="1:10" x14ac:dyDescent="0.2">
      <c r="A251" s="2">
        <f ca="1">IFERROR(__xludf.DUMMYFUNCTION("""COMPUTED_VALUE"""),45677.6666666666)</f>
        <v>45677.666666666599</v>
      </c>
      <c r="B251" s="2"/>
      <c r="C251" s="2"/>
      <c r="D251" s="1">
        <v>6000</v>
      </c>
      <c r="E251" s="1">
        <v>6050</v>
      </c>
      <c r="F251" s="1">
        <v>5925</v>
      </c>
      <c r="G251" s="1">
        <v>6000</v>
      </c>
      <c r="H251" s="1">
        <v>84338400</v>
      </c>
      <c r="I251" s="4">
        <f t="shared" si="6"/>
        <v>2.1276595744680851E-2</v>
      </c>
      <c r="J251" s="4">
        <f t="shared" si="7"/>
        <v>-2.0408163265306121E-2</v>
      </c>
    </row>
    <row r="252" spans="1:10" x14ac:dyDescent="0.2">
      <c r="A252" s="2">
        <f ca="1">IFERROR(__xludf.DUMMYFUNCTION("""COMPUTED_VALUE"""),45678.6666666666)</f>
        <v>45678.666666666599</v>
      </c>
      <c r="B252" s="2"/>
      <c r="C252" s="2"/>
      <c r="D252" s="1">
        <v>6100</v>
      </c>
      <c r="E252" s="1">
        <v>6175</v>
      </c>
      <c r="F252" s="1">
        <v>6025</v>
      </c>
      <c r="G252" s="1">
        <v>6050</v>
      </c>
      <c r="H252" s="1">
        <v>115355900</v>
      </c>
      <c r="I252" s="4">
        <f t="shared" si="6"/>
        <v>8.3333333333333332E-3</v>
      </c>
      <c r="J252" s="4">
        <f t="shared" si="7"/>
        <v>-1.2244897959183673E-2</v>
      </c>
    </row>
    <row r="253" spans="1:10" x14ac:dyDescent="0.2">
      <c r="A253" s="2">
        <f ca="1">IFERROR(__xludf.DUMMYFUNCTION("""COMPUTED_VALUE"""),45679.6666666666)</f>
        <v>45679.666666666599</v>
      </c>
      <c r="B253" s="2"/>
      <c r="C253" s="2"/>
      <c r="D253" s="1">
        <v>6150</v>
      </c>
      <c r="E253" s="1">
        <v>6200</v>
      </c>
      <c r="F253" s="1">
        <v>6100</v>
      </c>
      <c r="G253" s="1">
        <v>6150</v>
      </c>
      <c r="H253" s="1">
        <v>117929800</v>
      </c>
      <c r="I253" s="4">
        <f t="shared" si="6"/>
        <v>1.6528925619834711E-2</v>
      </c>
      <c r="J253" s="4">
        <f t="shared" si="7"/>
        <v>4.0816326530612249E-3</v>
      </c>
    </row>
    <row r="254" spans="1:10" x14ac:dyDescent="0.2">
      <c r="A254" s="2">
        <f ca="1">IFERROR(__xludf.DUMMYFUNCTION("""COMPUTED_VALUE"""),45680.6666666666)</f>
        <v>45680.666666666599</v>
      </c>
      <c r="B254" s="2"/>
      <c r="C254" s="2"/>
      <c r="D254" s="1">
        <v>6200</v>
      </c>
      <c r="E254" s="1">
        <v>6300</v>
      </c>
      <c r="F254" s="1">
        <v>6175</v>
      </c>
      <c r="G254" s="1">
        <v>6175</v>
      </c>
      <c r="H254" s="1">
        <v>120893700</v>
      </c>
      <c r="I254" s="4">
        <f t="shared" si="6"/>
        <v>4.0650406504065045E-3</v>
      </c>
      <c r="J254" s="4">
        <f t="shared" si="7"/>
        <v>8.1632653061224497E-3</v>
      </c>
    </row>
    <row r="255" spans="1:10" x14ac:dyDescent="0.2">
      <c r="A255" s="2">
        <f ca="1">IFERROR(__xludf.DUMMYFUNCTION("""COMPUTED_VALUE"""),45681.6666666666)</f>
        <v>45681.666666666599</v>
      </c>
      <c r="B255" s="2"/>
      <c r="C255" s="2"/>
      <c r="D255" s="1">
        <v>6250</v>
      </c>
      <c r="E255" s="1">
        <v>6250</v>
      </c>
      <c r="F255" s="1">
        <v>6125</v>
      </c>
      <c r="G255" s="1">
        <v>6125</v>
      </c>
      <c r="H255" s="1">
        <v>96161800</v>
      </c>
      <c r="I255" s="4">
        <f t="shared" si="6"/>
        <v>-8.0971659919028341E-3</v>
      </c>
      <c r="J255" s="4">
        <f t="shared" si="7"/>
        <v>0</v>
      </c>
    </row>
    <row r="256" spans="1:10" x14ac:dyDescent="0.2">
      <c r="A256" s="2">
        <f ca="1">IFERROR(__xludf.DUMMYFUNCTION("""COMPUTED_VALUE"""),45687.6666666666)</f>
        <v>45687.666666666599</v>
      </c>
      <c r="B256" s="2"/>
      <c r="C256" s="2"/>
      <c r="D256" s="1">
        <v>6100</v>
      </c>
      <c r="E256" s="1">
        <v>6225</v>
      </c>
      <c r="F256" s="1">
        <v>6075</v>
      </c>
      <c r="G256" s="1">
        <v>6100</v>
      </c>
      <c r="H256" s="1">
        <v>101400400</v>
      </c>
      <c r="I256" s="4">
        <f t="shared" si="6"/>
        <v>-4.0816326530612249E-3</v>
      </c>
      <c r="J256" s="4">
        <f t="shared" si="7"/>
        <v>-4.0816326530612249E-3</v>
      </c>
    </row>
    <row r="257" spans="1:10" x14ac:dyDescent="0.2">
      <c r="A257" s="2">
        <f ca="1">IFERROR(__xludf.DUMMYFUNCTION("""COMPUTED_VALUE"""),45688.6666666666)</f>
        <v>45688.666666666599</v>
      </c>
      <c r="B257" s="2"/>
      <c r="C257" s="2"/>
      <c r="D257" s="1">
        <v>6175</v>
      </c>
      <c r="E257" s="1">
        <v>6225</v>
      </c>
      <c r="F257" s="1">
        <v>6025</v>
      </c>
      <c r="G257" s="1">
        <v>6025</v>
      </c>
      <c r="H257" s="1">
        <v>107861000</v>
      </c>
      <c r="I257" s="4">
        <f t="shared" si="6"/>
        <v>-1.2295081967213115E-2</v>
      </c>
      <c r="J257" s="4">
        <f t="shared" si="7"/>
        <v>-1.6326530612244899E-2</v>
      </c>
    </row>
    <row r="258" spans="1:10" x14ac:dyDescent="0.2">
      <c r="A258" s="2">
        <f ca="1">IFERROR(__xludf.DUMMYFUNCTION("""COMPUTED_VALUE"""),45691.6666666666)</f>
        <v>45691.666666666599</v>
      </c>
      <c r="B258" s="2"/>
      <c r="C258" s="2"/>
      <c r="D258" s="1">
        <v>5975</v>
      </c>
      <c r="E258" s="1">
        <v>6000</v>
      </c>
      <c r="F258" s="1">
        <v>5700</v>
      </c>
      <c r="G258" s="1">
        <v>5800</v>
      </c>
      <c r="H258" s="1">
        <v>182181700</v>
      </c>
      <c r="I258" s="4">
        <f t="shared" si="6"/>
        <v>-3.7344398340248962E-2</v>
      </c>
      <c r="J258" s="4">
        <f t="shared" si="7"/>
        <v>-5.3061224489795916E-2</v>
      </c>
    </row>
    <row r="259" spans="1:10" x14ac:dyDescent="0.2">
      <c r="A259" s="2">
        <f ca="1">IFERROR(__xludf.DUMMYFUNCTION("""COMPUTED_VALUE"""),45692.6666666666)</f>
        <v>45692.666666666599</v>
      </c>
      <c r="B259" s="2"/>
      <c r="C259" s="2"/>
      <c r="D259" s="1">
        <v>5825</v>
      </c>
      <c r="E259" s="1">
        <v>5850</v>
      </c>
      <c r="F259" s="1">
        <v>5625</v>
      </c>
      <c r="G259" s="1">
        <v>5675</v>
      </c>
      <c r="H259" s="1">
        <v>121871500</v>
      </c>
      <c r="I259" s="4">
        <f t="shared" si="6"/>
        <v>-2.1551724137931036E-2</v>
      </c>
      <c r="J259" s="4">
        <f t="shared" si="7"/>
        <v>-7.3469387755102047E-2</v>
      </c>
    </row>
    <row r="260" spans="1:10" x14ac:dyDescent="0.2">
      <c r="A260" s="2">
        <f ca="1">IFERROR(__xludf.DUMMYFUNCTION("""COMPUTED_VALUE"""),45693.6666666666)</f>
        <v>45693.666666666599</v>
      </c>
      <c r="B260" s="2"/>
      <c r="C260" s="2"/>
      <c r="D260" s="1">
        <v>5600</v>
      </c>
      <c r="E260" s="1">
        <v>5600</v>
      </c>
      <c r="F260" s="1">
        <v>5475</v>
      </c>
      <c r="G260" s="1">
        <v>5525</v>
      </c>
      <c r="H260" s="1">
        <v>185656000</v>
      </c>
      <c r="I260" s="4">
        <f t="shared" ref="I260:I323" si="8">(G260-G259)/G259</f>
        <v>-2.643171806167401E-2</v>
      </c>
      <c r="J260" s="4">
        <f t="shared" ref="J260:J323" si="9">(G260-$G$2)/$G$2</f>
        <v>-9.7959183673469383E-2</v>
      </c>
    </row>
    <row r="261" spans="1:10" x14ac:dyDescent="0.2">
      <c r="A261" s="2">
        <f ca="1">IFERROR(__xludf.DUMMYFUNCTION("""COMPUTED_VALUE"""),45694.6666666666)</f>
        <v>45694.666666666599</v>
      </c>
      <c r="B261" s="2"/>
      <c r="C261" s="2"/>
      <c r="D261" s="1">
        <v>5425</v>
      </c>
      <c r="E261" s="1">
        <v>5425</v>
      </c>
      <c r="F261" s="1">
        <v>5000</v>
      </c>
      <c r="G261" s="1">
        <v>5100</v>
      </c>
      <c r="H261" s="1">
        <v>642118700</v>
      </c>
      <c r="I261" s="4">
        <f t="shared" si="8"/>
        <v>-7.6923076923076927E-2</v>
      </c>
      <c r="J261" s="4">
        <f t="shared" si="9"/>
        <v>-0.16734693877551021</v>
      </c>
    </row>
    <row r="262" spans="1:10" x14ac:dyDescent="0.2">
      <c r="A262" s="2">
        <f ca="1">IFERROR(__xludf.DUMMYFUNCTION("""COMPUTED_VALUE"""),45695.6666666666)</f>
        <v>45695.666666666599</v>
      </c>
      <c r="B262" s="2"/>
      <c r="C262" s="2"/>
      <c r="D262" s="1">
        <v>5000</v>
      </c>
      <c r="E262" s="1">
        <v>5150</v>
      </c>
      <c r="F262" s="1">
        <v>4950</v>
      </c>
      <c r="G262" s="1">
        <v>5150</v>
      </c>
      <c r="H262" s="1">
        <v>407896100</v>
      </c>
      <c r="I262" s="4">
        <f t="shared" si="8"/>
        <v>9.8039215686274508E-3</v>
      </c>
      <c r="J262" s="4">
        <f t="shared" si="9"/>
        <v>-0.15918367346938775</v>
      </c>
    </row>
    <row r="263" spans="1:10" x14ac:dyDescent="0.2">
      <c r="A263" s="2">
        <f ca="1">IFERROR(__xludf.DUMMYFUNCTION("""COMPUTED_VALUE"""),45698.6666666666)</f>
        <v>45698.666666666599</v>
      </c>
      <c r="B263" s="2"/>
      <c r="C263" s="2"/>
      <c r="D263" s="1">
        <v>5150</v>
      </c>
      <c r="E263" s="1">
        <v>5150</v>
      </c>
      <c r="F263" s="1">
        <v>4990</v>
      </c>
      <c r="G263" s="1">
        <v>5000</v>
      </c>
      <c r="H263" s="1">
        <v>169384300</v>
      </c>
      <c r="I263" s="4">
        <f t="shared" si="8"/>
        <v>-2.9126213592233011E-2</v>
      </c>
      <c r="J263" s="4">
        <f t="shared" si="9"/>
        <v>-0.18367346938775511</v>
      </c>
    </row>
    <row r="264" spans="1:10" x14ac:dyDescent="0.2">
      <c r="A264" s="2">
        <f ca="1">IFERROR(__xludf.DUMMYFUNCTION("""COMPUTED_VALUE"""),45699.6666666666)</f>
        <v>45699.666666666599</v>
      </c>
      <c r="B264" s="2"/>
      <c r="C264" s="2"/>
      <c r="D264" s="1">
        <v>4750</v>
      </c>
      <c r="E264" s="1">
        <v>4950</v>
      </c>
      <c r="F264" s="1">
        <v>4750</v>
      </c>
      <c r="G264" s="1">
        <v>4880</v>
      </c>
      <c r="H264" s="1">
        <v>316743200</v>
      </c>
      <c r="I264" s="4">
        <f t="shared" si="8"/>
        <v>-2.4E-2</v>
      </c>
      <c r="J264" s="4">
        <f t="shared" si="9"/>
        <v>-0.20326530612244897</v>
      </c>
    </row>
    <row r="265" spans="1:10" x14ac:dyDescent="0.2">
      <c r="A265" s="2">
        <f ca="1">IFERROR(__xludf.DUMMYFUNCTION("""COMPUTED_VALUE"""),45700.6666666666)</f>
        <v>45700.666666666599</v>
      </c>
      <c r="B265" s="2"/>
      <c r="C265" s="2"/>
      <c r="D265" s="1">
        <v>4920</v>
      </c>
      <c r="E265" s="1">
        <v>4950</v>
      </c>
      <c r="F265" s="1">
        <v>4830</v>
      </c>
      <c r="G265" s="1">
        <v>4940</v>
      </c>
      <c r="H265" s="1">
        <v>225073300</v>
      </c>
      <c r="I265" s="4">
        <f t="shared" si="8"/>
        <v>1.2295081967213115E-2</v>
      </c>
      <c r="J265" s="4">
        <f t="shared" si="9"/>
        <v>-0.19346938775510203</v>
      </c>
    </row>
    <row r="266" spans="1:10" x14ac:dyDescent="0.2">
      <c r="A266" s="2">
        <f ca="1">IFERROR(__xludf.DUMMYFUNCTION("""COMPUTED_VALUE"""),45701.6666666666)</f>
        <v>45701.666666666599</v>
      </c>
      <c r="B266" s="2"/>
      <c r="C266" s="2"/>
      <c r="D266" s="1">
        <v>4940</v>
      </c>
      <c r="E266" s="1">
        <v>5075</v>
      </c>
      <c r="F266" s="1">
        <v>4900</v>
      </c>
      <c r="G266" s="1">
        <v>5025</v>
      </c>
      <c r="H266" s="1">
        <v>215271400</v>
      </c>
      <c r="I266" s="4">
        <f t="shared" si="8"/>
        <v>1.7206477732793522E-2</v>
      </c>
      <c r="J266" s="4">
        <f t="shared" si="9"/>
        <v>-0.17959183673469387</v>
      </c>
    </row>
    <row r="267" spans="1:10" x14ac:dyDescent="0.2">
      <c r="A267" s="2">
        <f ca="1">IFERROR(__xludf.DUMMYFUNCTION("""COMPUTED_VALUE"""),45702.6666666666)</f>
        <v>45702.666666666599</v>
      </c>
      <c r="B267" s="2"/>
      <c r="C267" s="2"/>
      <c r="D267" s="1">
        <v>5100</v>
      </c>
      <c r="E267" s="1">
        <v>5200</v>
      </c>
      <c r="F267" s="1">
        <v>4970</v>
      </c>
      <c r="G267" s="1">
        <v>5125</v>
      </c>
      <c r="H267" s="1">
        <v>239709300</v>
      </c>
      <c r="I267" s="4">
        <f t="shared" si="8"/>
        <v>1.9900497512437811E-2</v>
      </c>
      <c r="J267" s="4">
        <f t="shared" si="9"/>
        <v>-0.16326530612244897</v>
      </c>
    </row>
    <row r="268" spans="1:10" x14ac:dyDescent="0.2">
      <c r="A268" s="2">
        <f ca="1">IFERROR(__xludf.DUMMYFUNCTION("""COMPUTED_VALUE"""),45705.6666666666)</f>
        <v>45705.666666666599</v>
      </c>
      <c r="B268" s="2"/>
      <c r="C268" s="2"/>
      <c r="D268" s="1">
        <v>5200</v>
      </c>
      <c r="E268" s="1">
        <v>5475</v>
      </c>
      <c r="F268" s="1">
        <v>5175</v>
      </c>
      <c r="G268" s="1">
        <v>5425</v>
      </c>
      <c r="H268" s="1">
        <v>223837300</v>
      </c>
      <c r="I268" s="4">
        <f t="shared" si="8"/>
        <v>5.8536585365853662E-2</v>
      </c>
      <c r="J268" s="4">
        <f t="shared" si="9"/>
        <v>-0.11428571428571428</v>
      </c>
    </row>
    <row r="269" spans="1:10" x14ac:dyDescent="0.2">
      <c r="A269" s="2">
        <f ca="1">IFERROR(__xludf.DUMMYFUNCTION("""COMPUTED_VALUE"""),45706.6666666666)</f>
        <v>45706.666666666599</v>
      </c>
      <c r="B269" s="2"/>
      <c r="C269" s="2"/>
      <c r="D269" s="1">
        <v>5450</v>
      </c>
      <c r="E269" s="1">
        <v>5550</v>
      </c>
      <c r="F269" s="1">
        <v>5375</v>
      </c>
      <c r="G269" s="1">
        <v>5450</v>
      </c>
      <c r="H269" s="1">
        <v>157430200</v>
      </c>
      <c r="I269" s="4">
        <f t="shared" si="8"/>
        <v>4.608294930875576E-3</v>
      </c>
      <c r="J269" s="4">
        <f t="shared" si="9"/>
        <v>-0.11020408163265306</v>
      </c>
    </row>
    <row r="270" spans="1:10" x14ac:dyDescent="0.2">
      <c r="A270" s="2">
        <f ca="1">IFERROR(__xludf.DUMMYFUNCTION("""COMPUTED_VALUE"""),45707.6666666666)</f>
        <v>45707.666666666599</v>
      </c>
      <c r="B270" s="2"/>
      <c r="C270" s="2"/>
      <c r="D270" s="1">
        <v>5375</v>
      </c>
      <c r="E270" s="1">
        <v>5400</v>
      </c>
      <c r="F270" s="1">
        <v>5125</v>
      </c>
      <c r="G270" s="1">
        <v>5175</v>
      </c>
      <c r="H270" s="1">
        <v>204335500</v>
      </c>
      <c r="I270" s="4">
        <f t="shared" si="8"/>
        <v>-5.0458715596330278E-2</v>
      </c>
      <c r="J270" s="4">
        <f t="shared" si="9"/>
        <v>-0.15510204081632653</v>
      </c>
    </row>
    <row r="271" spans="1:10" x14ac:dyDescent="0.2">
      <c r="A271" s="2">
        <f ca="1">IFERROR(__xludf.DUMMYFUNCTION("""COMPUTED_VALUE"""),45708.6666666666)</f>
        <v>45708.666666666599</v>
      </c>
      <c r="B271" s="2"/>
      <c r="C271" s="2"/>
      <c r="D271" s="1">
        <v>5125</v>
      </c>
      <c r="E271" s="1">
        <v>5225</v>
      </c>
      <c r="F271" s="1">
        <v>5100</v>
      </c>
      <c r="G271" s="1">
        <v>5150</v>
      </c>
      <c r="H271" s="1">
        <v>98363500</v>
      </c>
      <c r="I271" s="4">
        <f t="shared" si="8"/>
        <v>-4.830917874396135E-3</v>
      </c>
      <c r="J271" s="4">
        <f t="shared" si="9"/>
        <v>-0.15918367346938775</v>
      </c>
    </row>
    <row r="272" spans="1:10" x14ac:dyDescent="0.2">
      <c r="A272" s="2">
        <f ca="1">IFERROR(__xludf.DUMMYFUNCTION("""COMPUTED_VALUE"""),45709.6666666666)</f>
        <v>45709.666666666599</v>
      </c>
      <c r="B272" s="2"/>
      <c r="C272" s="2"/>
      <c r="D272" s="1">
        <v>5000</v>
      </c>
      <c r="E272" s="1">
        <v>5100</v>
      </c>
      <c r="F272" s="1">
        <v>5000</v>
      </c>
      <c r="G272" s="1">
        <v>5075</v>
      </c>
      <c r="H272" s="1">
        <v>152528600</v>
      </c>
      <c r="I272" s="4">
        <f t="shared" si="8"/>
        <v>-1.4563106796116505E-2</v>
      </c>
      <c r="J272" s="4">
        <f t="shared" si="9"/>
        <v>-0.17142857142857143</v>
      </c>
    </row>
    <row r="273" spans="1:10" x14ac:dyDescent="0.2">
      <c r="A273" s="2">
        <f ca="1">IFERROR(__xludf.DUMMYFUNCTION("""COMPUTED_VALUE"""),45712.6666666666)</f>
        <v>45712.666666666599</v>
      </c>
      <c r="B273" s="2"/>
      <c r="C273" s="2"/>
      <c r="D273" s="1">
        <v>5050</v>
      </c>
      <c r="E273" s="1">
        <v>5075</v>
      </c>
      <c r="F273" s="1">
        <v>4980</v>
      </c>
      <c r="G273" s="1">
        <v>5025</v>
      </c>
      <c r="H273" s="1">
        <v>127578500</v>
      </c>
      <c r="I273" s="4">
        <f t="shared" si="8"/>
        <v>-9.852216748768473E-3</v>
      </c>
      <c r="J273" s="4">
        <f t="shared" si="9"/>
        <v>-0.17959183673469387</v>
      </c>
    </row>
    <row r="274" spans="1:10" x14ac:dyDescent="0.2">
      <c r="A274" s="2">
        <f ca="1">IFERROR(__xludf.DUMMYFUNCTION("""COMPUTED_VALUE"""),45713.6666666666)</f>
        <v>45713.666666666599</v>
      </c>
      <c r="B274" s="2"/>
      <c r="C274" s="2"/>
      <c r="D274" s="1">
        <v>5000</v>
      </c>
      <c r="E274" s="1">
        <v>5025</v>
      </c>
      <c r="F274" s="1">
        <v>4860</v>
      </c>
      <c r="G274" s="1">
        <v>4870</v>
      </c>
      <c r="H274" s="1">
        <v>224607800</v>
      </c>
      <c r="I274" s="4">
        <f t="shared" si="8"/>
        <v>-3.0845771144278607E-2</v>
      </c>
      <c r="J274" s="4">
        <f t="shared" si="9"/>
        <v>-0.20489795918367346</v>
      </c>
    </row>
    <row r="275" spans="1:10" x14ac:dyDescent="0.2">
      <c r="A275" s="2">
        <f ca="1">IFERROR(__xludf.DUMMYFUNCTION("""COMPUTED_VALUE"""),45714.6666666666)</f>
        <v>45714.666666666599</v>
      </c>
      <c r="B275" s="2"/>
      <c r="C275" s="2"/>
      <c r="D275" s="1">
        <v>4860</v>
      </c>
      <c r="E275" s="1">
        <v>4980</v>
      </c>
      <c r="F275" s="1">
        <v>4850</v>
      </c>
      <c r="G275" s="1">
        <v>4920</v>
      </c>
      <c r="H275" s="1">
        <v>161836900</v>
      </c>
      <c r="I275" s="4">
        <f t="shared" si="8"/>
        <v>1.0266940451745379E-2</v>
      </c>
      <c r="J275" s="4">
        <f t="shared" si="9"/>
        <v>-0.19673469387755102</v>
      </c>
    </row>
    <row r="276" spans="1:10" x14ac:dyDescent="0.2">
      <c r="A276" s="2">
        <f ca="1">IFERROR(__xludf.DUMMYFUNCTION("""COMPUTED_VALUE"""),45715.6666666666)</f>
        <v>45715.666666666599</v>
      </c>
      <c r="B276" s="2"/>
      <c r="C276" s="2"/>
      <c r="D276" s="1">
        <v>4930</v>
      </c>
      <c r="E276" s="1">
        <v>4950</v>
      </c>
      <c r="F276" s="1">
        <v>4660</v>
      </c>
      <c r="G276" s="1">
        <v>4660</v>
      </c>
      <c r="H276" s="1">
        <v>334919800</v>
      </c>
      <c r="I276" s="4">
        <f t="shared" si="8"/>
        <v>-5.2845528455284556E-2</v>
      </c>
      <c r="J276" s="4">
        <f t="shared" si="9"/>
        <v>-0.23918367346938776</v>
      </c>
    </row>
    <row r="277" spans="1:10" x14ac:dyDescent="0.2">
      <c r="A277" s="2">
        <f ca="1">IFERROR(__xludf.DUMMYFUNCTION("""COMPUTED_VALUE"""),45716.6666666666)</f>
        <v>45716.666666666599</v>
      </c>
      <c r="B277" s="2"/>
      <c r="C277" s="2"/>
      <c r="D277" s="1">
        <v>4620</v>
      </c>
      <c r="E277" s="1">
        <v>4690</v>
      </c>
      <c r="F277" s="1">
        <v>4550</v>
      </c>
      <c r="G277" s="1">
        <v>4600</v>
      </c>
      <c r="H277" s="1">
        <v>464696700</v>
      </c>
      <c r="I277" s="4">
        <f t="shared" si="8"/>
        <v>-1.2875536480686695E-2</v>
      </c>
      <c r="J277" s="4">
        <f t="shared" si="9"/>
        <v>-0.24897959183673468</v>
      </c>
    </row>
    <row r="278" spans="1:10" x14ac:dyDescent="0.2">
      <c r="A278" s="2">
        <f ca="1">IFERROR(__xludf.DUMMYFUNCTION("""COMPUTED_VALUE"""),45719.6666666666)</f>
        <v>45719.666666666599</v>
      </c>
      <c r="B278" s="2"/>
      <c r="C278" s="2"/>
      <c r="D278" s="1">
        <v>4750</v>
      </c>
      <c r="E278" s="1">
        <v>4980</v>
      </c>
      <c r="F278" s="1">
        <v>4700</v>
      </c>
      <c r="G278" s="1">
        <v>4900</v>
      </c>
      <c r="H278" s="1">
        <v>257118300</v>
      </c>
      <c r="I278" s="4">
        <f t="shared" si="8"/>
        <v>6.5217391304347824E-2</v>
      </c>
      <c r="J278" s="4">
        <f t="shared" si="9"/>
        <v>-0.2</v>
      </c>
    </row>
    <row r="279" spans="1:10" x14ac:dyDescent="0.2">
      <c r="A279" s="2">
        <f ca="1">IFERROR(__xludf.DUMMYFUNCTION("""COMPUTED_VALUE"""),45720.6666666666)</f>
        <v>45720.666666666599</v>
      </c>
      <c r="B279" s="2"/>
      <c r="C279" s="2"/>
      <c r="D279" s="1">
        <v>4900</v>
      </c>
      <c r="E279" s="1">
        <v>4920</v>
      </c>
      <c r="F279" s="1">
        <v>4750</v>
      </c>
      <c r="G279" s="1">
        <v>4840</v>
      </c>
      <c r="H279" s="1">
        <v>144346500</v>
      </c>
      <c r="I279" s="4">
        <f t="shared" si="8"/>
        <v>-1.2244897959183673E-2</v>
      </c>
      <c r="J279" s="4">
        <f t="shared" si="9"/>
        <v>-0.20979591836734693</v>
      </c>
    </row>
    <row r="280" spans="1:10" x14ac:dyDescent="0.2">
      <c r="A280" s="2">
        <f ca="1">IFERROR(__xludf.DUMMYFUNCTION("""COMPUTED_VALUE"""),45721.6666666666)</f>
        <v>45721.666666666599</v>
      </c>
      <c r="B280" s="2"/>
      <c r="C280" s="2"/>
      <c r="D280" s="1">
        <v>4860</v>
      </c>
      <c r="E280" s="1">
        <v>5050</v>
      </c>
      <c r="F280" s="1">
        <v>4860</v>
      </c>
      <c r="G280" s="1">
        <v>4860</v>
      </c>
      <c r="H280" s="1">
        <v>252222800</v>
      </c>
      <c r="I280" s="4">
        <f t="shared" si="8"/>
        <v>4.1322314049586778E-3</v>
      </c>
      <c r="J280" s="4">
        <f t="shared" si="9"/>
        <v>-0.20653061224489797</v>
      </c>
    </row>
    <row r="281" spans="1:10" x14ac:dyDescent="0.2">
      <c r="A281" s="2">
        <f ca="1">IFERROR(__xludf.DUMMYFUNCTION("""COMPUTED_VALUE"""),45722.6666666666)</f>
        <v>45722.666666666599</v>
      </c>
      <c r="B281" s="2"/>
      <c r="C281" s="2"/>
      <c r="D281" s="1">
        <v>4910</v>
      </c>
      <c r="E281" s="1">
        <v>4980</v>
      </c>
      <c r="F281" s="1">
        <v>4870</v>
      </c>
      <c r="G281" s="1">
        <v>4870</v>
      </c>
      <c r="H281" s="1">
        <v>194909200</v>
      </c>
      <c r="I281" s="4">
        <f t="shared" si="8"/>
        <v>2.05761316872428E-3</v>
      </c>
      <c r="J281" s="4">
        <f t="shared" si="9"/>
        <v>-0.20489795918367346</v>
      </c>
    </row>
    <row r="282" spans="1:10" x14ac:dyDescent="0.2">
      <c r="A282" s="2">
        <f ca="1">IFERROR(__xludf.DUMMYFUNCTION("""COMPUTED_VALUE"""),45723.6666666666)</f>
        <v>45723.666666666599</v>
      </c>
      <c r="B282" s="2"/>
      <c r="C282" s="2"/>
      <c r="D282" s="1">
        <v>4870</v>
      </c>
      <c r="E282" s="1">
        <v>4870</v>
      </c>
      <c r="F282" s="1">
        <v>4810</v>
      </c>
      <c r="G282" s="1">
        <v>4840</v>
      </c>
      <c r="H282" s="1">
        <v>117916600</v>
      </c>
      <c r="I282" s="4">
        <f t="shared" si="8"/>
        <v>-6.1601642710472282E-3</v>
      </c>
      <c r="J282" s="4">
        <f t="shared" si="9"/>
        <v>-0.20979591836734693</v>
      </c>
    </row>
    <row r="283" spans="1:10" x14ac:dyDescent="0.2">
      <c r="A283" s="2">
        <f ca="1">IFERROR(__xludf.DUMMYFUNCTION("""COMPUTED_VALUE"""),45726.6666666666)</f>
        <v>45726.666666666599</v>
      </c>
      <c r="B283" s="2"/>
      <c r="C283" s="2"/>
      <c r="D283" s="1">
        <v>4730</v>
      </c>
      <c r="E283" s="1">
        <v>4760</v>
      </c>
      <c r="F283" s="1">
        <v>4660</v>
      </c>
      <c r="G283" s="1">
        <v>4710</v>
      </c>
      <c r="H283" s="1">
        <v>231152200</v>
      </c>
      <c r="I283" s="4">
        <f t="shared" si="8"/>
        <v>-2.6859504132231406E-2</v>
      </c>
      <c r="J283" s="4">
        <f t="shared" si="9"/>
        <v>-0.2310204081632653</v>
      </c>
    </row>
    <row r="284" spans="1:10" x14ac:dyDescent="0.2">
      <c r="A284" s="2">
        <f ca="1">IFERROR(__xludf.DUMMYFUNCTION("""COMPUTED_VALUE"""),45727.6666666666)</f>
        <v>45727.666666666599</v>
      </c>
      <c r="B284" s="2"/>
      <c r="C284" s="2"/>
      <c r="D284" s="1">
        <v>4650</v>
      </c>
      <c r="E284" s="1">
        <v>4780</v>
      </c>
      <c r="F284" s="1">
        <v>4640</v>
      </c>
      <c r="G284" s="1">
        <v>4740</v>
      </c>
      <c r="H284" s="1">
        <v>150738100</v>
      </c>
      <c r="I284" s="4">
        <f t="shared" si="8"/>
        <v>6.369426751592357E-3</v>
      </c>
      <c r="J284" s="4">
        <f t="shared" si="9"/>
        <v>-0.22612244897959183</v>
      </c>
    </row>
    <row r="285" spans="1:10" x14ac:dyDescent="0.2">
      <c r="A285" s="2">
        <f ca="1">IFERROR(__xludf.DUMMYFUNCTION("""COMPUTED_VALUE"""),45728.6666666666)</f>
        <v>45728.666666666599</v>
      </c>
      <c r="B285" s="2"/>
      <c r="C285" s="2"/>
      <c r="D285" s="1">
        <v>4750</v>
      </c>
      <c r="E285" s="1">
        <v>4880</v>
      </c>
      <c r="F285" s="1">
        <v>4750</v>
      </c>
      <c r="G285" s="1">
        <v>4880</v>
      </c>
      <c r="H285" s="1">
        <v>129973900</v>
      </c>
      <c r="I285" s="4">
        <f t="shared" si="8"/>
        <v>2.9535864978902954E-2</v>
      </c>
      <c r="J285" s="4">
        <f t="shared" si="9"/>
        <v>-0.20326530612244897</v>
      </c>
    </row>
    <row r="286" spans="1:10" x14ac:dyDescent="0.2">
      <c r="A286" s="2">
        <f ca="1">IFERROR(__xludf.DUMMYFUNCTION("""COMPUTED_VALUE"""),45729.6666666666)</f>
        <v>45729.666666666599</v>
      </c>
      <c r="B286" s="2"/>
      <c r="C286" s="2"/>
      <c r="D286" s="1">
        <v>4940</v>
      </c>
      <c r="E286" s="1">
        <v>4940</v>
      </c>
      <c r="F286" s="1">
        <v>4710</v>
      </c>
      <c r="G286" s="1">
        <v>4740</v>
      </c>
      <c r="H286" s="1">
        <v>176286000</v>
      </c>
      <c r="I286" s="4">
        <f t="shared" si="8"/>
        <v>-2.8688524590163935E-2</v>
      </c>
      <c r="J286" s="4">
        <f t="shared" si="9"/>
        <v>-0.22612244897959183</v>
      </c>
    </row>
    <row r="287" spans="1:10" x14ac:dyDescent="0.2">
      <c r="A287" s="2">
        <f ca="1">IFERROR(__xludf.DUMMYFUNCTION("""COMPUTED_VALUE"""),45730.6666666666)</f>
        <v>45730.666666666599</v>
      </c>
      <c r="B287" s="2"/>
      <c r="C287" s="2"/>
      <c r="D287" s="1">
        <v>4640</v>
      </c>
      <c r="E287" s="1">
        <v>4800</v>
      </c>
      <c r="F287" s="1">
        <v>4640</v>
      </c>
      <c r="G287" s="1">
        <v>4740</v>
      </c>
      <c r="H287" s="1">
        <v>154331400</v>
      </c>
      <c r="I287" s="4">
        <f t="shared" si="8"/>
        <v>0</v>
      </c>
      <c r="J287" s="4">
        <f t="shared" si="9"/>
        <v>-0.22612244897959183</v>
      </c>
    </row>
    <row r="288" spans="1:10" x14ac:dyDescent="0.2">
      <c r="A288" s="2">
        <f ca="1">IFERROR(__xludf.DUMMYFUNCTION("""COMPUTED_VALUE"""),45733.6666666666)</f>
        <v>45733.666666666599</v>
      </c>
      <c r="B288" s="2"/>
      <c r="C288" s="2"/>
      <c r="D288" s="1">
        <v>4740</v>
      </c>
      <c r="E288" s="1">
        <v>4770</v>
      </c>
      <c r="F288" s="1">
        <v>4660</v>
      </c>
      <c r="G288" s="1">
        <v>4680</v>
      </c>
      <c r="H288" s="1">
        <v>135692800</v>
      </c>
      <c r="I288" s="4">
        <f t="shared" si="8"/>
        <v>-1.2658227848101266E-2</v>
      </c>
      <c r="J288" s="4">
        <f t="shared" si="9"/>
        <v>-0.23591836734693877</v>
      </c>
    </row>
    <row r="289" spans="1:10" x14ac:dyDescent="0.2">
      <c r="A289" s="2">
        <f ca="1">IFERROR(__xludf.DUMMYFUNCTION("""COMPUTED_VALUE"""),45734.6666666666)</f>
        <v>45734.666666666599</v>
      </c>
      <c r="B289" s="2"/>
      <c r="C289" s="2"/>
      <c r="D289" s="1">
        <v>4680</v>
      </c>
      <c r="E289" s="1">
        <v>4690</v>
      </c>
      <c r="F289" s="1">
        <v>4300</v>
      </c>
      <c r="G289" s="1">
        <v>4530</v>
      </c>
      <c r="H289" s="1">
        <v>387565100</v>
      </c>
      <c r="I289" s="4">
        <f t="shared" si="8"/>
        <v>-3.2051282051282048E-2</v>
      </c>
      <c r="J289" s="4">
        <f t="shared" si="9"/>
        <v>-0.26040816326530614</v>
      </c>
    </row>
    <row r="290" spans="1:10" x14ac:dyDescent="0.2">
      <c r="A290" s="2">
        <f ca="1">IFERROR(__xludf.DUMMYFUNCTION("""COMPUTED_VALUE"""),45735.6666666666)</f>
        <v>45735.666666666599</v>
      </c>
      <c r="B290" s="2"/>
      <c r="C290" s="2"/>
      <c r="D290" s="1">
        <v>4530</v>
      </c>
      <c r="E290" s="1">
        <v>4700</v>
      </c>
      <c r="F290" s="1">
        <v>4440</v>
      </c>
      <c r="G290" s="1">
        <v>4680</v>
      </c>
      <c r="H290" s="1">
        <v>273084800</v>
      </c>
      <c r="I290" s="4">
        <f t="shared" si="8"/>
        <v>3.3112582781456956E-2</v>
      </c>
      <c r="J290" s="4">
        <f t="shared" si="9"/>
        <v>-0.23591836734693877</v>
      </c>
    </row>
    <row r="291" spans="1:10" x14ac:dyDescent="0.2">
      <c r="A291" s="2">
        <f ca="1">IFERROR(__xludf.DUMMYFUNCTION("""COMPUTED_VALUE"""),45736.6666666666)</f>
        <v>45736.666666666599</v>
      </c>
      <c r="B291" s="2"/>
      <c r="C291" s="2"/>
      <c r="D291" s="1">
        <v>4760</v>
      </c>
      <c r="E291" s="1">
        <v>4770</v>
      </c>
      <c r="F291" s="1">
        <v>4610</v>
      </c>
      <c r="G291" s="1">
        <v>4620</v>
      </c>
      <c r="H291" s="1">
        <v>138209700</v>
      </c>
      <c r="I291" s="4">
        <f t="shared" si="8"/>
        <v>-1.282051282051282E-2</v>
      </c>
      <c r="J291" s="4">
        <f t="shared" si="9"/>
        <v>-0.24571428571428572</v>
      </c>
    </row>
    <row r="292" spans="1:10" x14ac:dyDescent="0.2">
      <c r="A292" s="2">
        <f ca="1">IFERROR(__xludf.DUMMYFUNCTION("""COMPUTED_VALUE"""),45737.6666666666)</f>
        <v>45737.666666666599</v>
      </c>
      <c r="B292" s="2"/>
      <c r="C292" s="2"/>
      <c r="D292" s="1">
        <v>4600</v>
      </c>
      <c r="E292" s="1">
        <v>4610</v>
      </c>
      <c r="F292" s="1">
        <v>4380</v>
      </c>
      <c r="G292" s="1">
        <v>4410</v>
      </c>
      <c r="H292" s="1">
        <v>374396400</v>
      </c>
      <c r="I292" s="4">
        <f t="shared" si="8"/>
        <v>-4.5454545454545456E-2</v>
      </c>
      <c r="J292" s="4">
        <f t="shared" si="9"/>
        <v>-0.28000000000000003</v>
      </c>
    </row>
    <row r="293" spans="1:10" x14ac:dyDescent="0.2">
      <c r="A293" s="2">
        <f ca="1">IFERROR(__xludf.DUMMYFUNCTION("""COMPUTED_VALUE"""),45740.6666666666)</f>
        <v>45740.666666666599</v>
      </c>
      <c r="B293" s="2"/>
      <c r="C293" s="2"/>
      <c r="D293" s="1">
        <v>4350</v>
      </c>
      <c r="E293" s="1">
        <v>4530</v>
      </c>
      <c r="F293" s="1">
        <v>4250</v>
      </c>
      <c r="G293" s="1">
        <v>4460</v>
      </c>
      <c r="H293" s="1">
        <v>319017400</v>
      </c>
      <c r="I293" s="4">
        <f t="shared" si="8"/>
        <v>1.1337868480725623E-2</v>
      </c>
      <c r="J293" s="4">
        <f t="shared" si="9"/>
        <v>-0.27183673469387754</v>
      </c>
    </row>
    <row r="294" spans="1:10" x14ac:dyDescent="0.2">
      <c r="A294" s="2">
        <f ca="1">IFERROR(__xludf.DUMMYFUNCTION("""COMPUTED_VALUE"""),45741.6666666666)</f>
        <v>45741.666666666599</v>
      </c>
      <c r="B294" s="2"/>
      <c r="C294" s="2"/>
      <c r="D294" s="1">
        <v>4500</v>
      </c>
      <c r="E294" s="1">
        <v>4810</v>
      </c>
      <c r="F294" s="1">
        <v>4500</v>
      </c>
      <c r="G294" s="1">
        <v>4740</v>
      </c>
      <c r="H294" s="1">
        <v>313034100</v>
      </c>
      <c r="I294" s="4">
        <f t="shared" si="8"/>
        <v>6.2780269058295965E-2</v>
      </c>
      <c r="J294" s="4">
        <f t="shared" si="9"/>
        <v>-0.22612244897959183</v>
      </c>
    </row>
    <row r="295" spans="1:10" x14ac:dyDescent="0.2">
      <c r="A295" s="2">
        <f ca="1">IFERROR(__xludf.DUMMYFUNCTION("""COMPUTED_VALUE"""),45742.6666666666)</f>
        <v>45742.666666666599</v>
      </c>
      <c r="B295" s="2"/>
      <c r="C295" s="2"/>
      <c r="D295" s="1">
        <v>4980</v>
      </c>
      <c r="E295" s="1">
        <v>5175</v>
      </c>
      <c r="F295" s="1">
        <v>4930</v>
      </c>
      <c r="G295" s="1">
        <v>5150</v>
      </c>
      <c r="H295" s="1">
        <v>582172700</v>
      </c>
      <c r="I295" s="4">
        <f t="shared" si="8"/>
        <v>8.6497890295358648E-2</v>
      </c>
      <c r="J295" s="4">
        <f t="shared" si="9"/>
        <v>-0.15918367346938775</v>
      </c>
    </row>
    <row r="296" spans="1:10" x14ac:dyDescent="0.2">
      <c r="A296" s="2">
        <f ca="1">IFERROR(__xludf.DUMMYFUNCTION("""COMPUTED_VALUE"""),45743.6666666666)</f>
        <v>45743.666666666599</v>
      </c>
      <c r="B296" s="2"/>
      <c r="C296" s="2"/>
      <c r="D296" s="1">
        <v>5150</v>
      </c>
      <c r="E296" s="1">
        <v>5250</v>
      </c>
      <c r="F296" s="1">
        <v>5050</v>
      </c>
      <c r="G296" s="1">
        <v>5200</v>
      </c>
      <c r="H296" s="1">
        <v>301025300</v>
      </c>
      <c r="I296" s="4">
        <f t="shared" si="8"/>
        <v>9.7087378640776691E-3</v>
      </c>
      <c r="J296" s="4">
        <f t="shared" si="9"/>
        <v>-0.15102040816326531</v>
      </c>
    </row>
    <row r="297" spans="1:10" x14ac:dyDescent="0.2">
      <c r="A297" s="2">
        <f ca="1">IFERROR(__xludf.DUMMYFUNCTION("""COMPUTED_VALUE"""),45755.6666666666)</f>
        <v>45755.666666666599</v>
      </c>
      <c r="B297" s="2"/>
      <c r="C297" s="2"/>
      <c r="D297" s="1">
        <v>4500</v>
      </c>
      <c r="E297" s="1">
        <v>4830</v>
      </c>
      <c r="F297" s="1">
        <v>4500</v>
      </c>
      <c r="G297" s="1">
        <v>4670</v>
      </c>
      <c r="H297" s="1">
        <v>738455000</v>
      </c>
      <c r="I297" s="4">
        <f t="shared" si="8"/>
        <v>-0.10192307692307692</v>
      </c>
      <c r="J297" s="4">
        <f t="shared" si="9"/>
        <v>-0.23755102040816325</v>
      </c>
    </row>
    <row r="298" spans="1:10" x14ac:dyDescent="0.2">
      <c r="A298" s="2">
        <f ca="1">IFERROR(__xludf.DUMMYFUNCTION("""COMPUTED_VALUE"""),45756.6666666666)</f>
        <v>45756.666666666599</v>
      </c>
      <c r="B298" s="2"/>
      <c r="C298" s="2"/>
      <c r="D298" s="1">
        <v>4630</v>
      </c>
      <c r="E298" s="1">
        <v>4790</v>
      </c>
      <c r="F298" s="1">
        <v>4630</v>
      </c>
      <c r="G298" s="1">
        <v>4710</v>
      </c>
      <c r="H298" s="1">
        <v>316821100</v>
      </c>
      <c r="I298" s="4">
        <f t="shared" si="8"/>
        <v>8.5653104925053538E-3</v>
      </c>
      <c r="J298" s="4">
        <f t="shared" si="9"/>
        <v>-0.2310204081632653</v>
      </c>
    </row>
    <row r="299" spans="1:10" x14ac:dyDescent="0.2">
      <c r="A299" s="2">
        <f ca="1">IFERROR(__xludf.DUMMYFUNCTION("""COMPUTED_VALUE"""),45757.6666666666)</f>
        <v>45757.666666666599</v>
      </c>
      <c r="B299" s="2"/>
      <c r="C299" s="2"/>
      <c r="D299" s="1">
        <v>5200</v>
      </c>
      <c r="E299" s="1">
        <v>5225</v>
      </c>
      <c r="F299" s="1">
        <v>4970</v>
      </c>
      <c r="G299" s="1">
        <v>5025</v>
      </c>
      <c r="H299" s="1">
        <v>559966600</v>
      </c>
      <c r="I299" s="4">
        <f t="shared" si="8"/>
        <v>6.6878980891719744E-2</v>
      </c>
      <c r="J299" s="4">
        <f t="shared" si="9"/>
        <v>-0.17959183673469387</v>
      </c>
    </row>
    <row r="300" spans="1:10" x14ac:dyDescent="0.2">
      <c r="A300" s="2">
        <f ca="1">IFERROR(__xludf.DUMMYFUNCTION("""COMPUTED_VALUE"""),45758.6666666666)</f>
        <v>45758.666666666599</v>
      </c>
      <c r="B300" s="2"/>
      <c r="C300" s="2"/>
      <c r="D300" s="1">
        <v>5000</v>
      </c>
      <c r="E300" s="1">
        <v>5175</v>
      </c>
      <c r="F300" s="1">
        <v>4950</v>
      </c>
      <c r="G300" s="1">
        <v>5100</v>
      </c>
      <c r="H300" s="1">
        <v>384917500</v>
      </c>
      <c r="I300" s="4">
        <f t="shared" si="8"/>
        <v>1.4925373134328358E-2</v>
      </c>
      <c r="J300" s="4">
        <f t="shared" si="9"/>
        <v>-0.16734693877551021</v>
      </c>
    </row>
    <row r="301" spans="1:10" x14ac:dyDescent="0.2">
      <c r="A301" s="2">
        <f ca="1">IFERROR(__xludf.DUMMYFUNCTION("""COMPUTED_VALUE"""),45761.6666666666)</f>
        <v>45761.666666666599</v>
      </c>
      <c r="B301" s="2"/>
      <c r="C301" s="2"/>
      <c r="D301" s="1">
        <v>4650</v>
      </c>
      <c r="E301" s="1">
        <v>4750</v>
      </c>
      <c r="F301" s="1">
        <v>4650</v>
      </c>
      <c r="G301" s="1">
        <v>4750</v>
      </c>
      <c r="H301" s="1">
        <v>423716000</v>
      </c>
      <c r="I301" s="4">
        <f t="shared" si="8"/>
        <v>-6.8627450980392163E-2</v>
      </c>
      <c r="J301" s="4">
        <f t="shared" si="9"/>
        <v>-0.22448979591836735</v>
      </c>
    </row>
    <row r="302" spans="1:10" x14ac:dyDescent="0.2">
      <c r="A302" s="2">
        <f ca="1">IFERROR(__xludf.DUMMYFUNCTION("""COMPUTED_VALUE"""),45762.6666666666)</f>
        <v>45762.666666666599</v>
      </c>
      <c r="B302" s="2"/>
      <c r="C302" s="2"/>
      <c r="D302" s="1">
        <v>4800</v>
      </c>
      <c r="E302" s="1">
        <v>4820</v>
      </c>
      <c r="F302" s="1">
        <v>4710</v>
      </c>
      <c r="G302" s="1">
        <v>4710</v>
      </c>
      <c r="H302" s="1">
        <v>230981700</v>
      </c>
      <c r="I302" s="4">
        <f t="shared" si="8"/>
        <v>-8.4210526315789472E-3</v>
      </c>
      <c r="J302" s="4">
        <f t="shared" si="9"/>
        <v>-0.2310204081632653</v>
      </c>
    </row>
    <row r="303" spans="1:10" x14ac:dyDescent="0.2">
      <c r="A303" s="2">
        <f ca="1">IFERROR(__xludf.DUMMYFUNCTION("""COMPUTED_VALUE"""),45763.6666666666)</f>
        <v>45763.666666666599</v>
      </c>
      <c r="B303" s="2"/>
      <c r="C303" s="2"/>
      <c r="D303" s="1">
        <v>4740</v>
      </c>
      <c r="E303" s="1">
        <v>4750</v>
      </c>
      <c r="F303" s="1">
        <v>4590</v>
      </c>
      <c r="G303" s="1">
        <v>4630</v>
      </c>
      <c r="H303" s="1">
        <v>201660000</v>
      </c>
      <c r="I303" s="4">
        <f t="shared" si="8"/>
        <v>-1.6985138004246284E-2</v>
      </c>
      <c r="J303" s="4">
        <f t="shared" si="9"/>
        <v>-0.24408163265306124</v>
      </c>
    </row>
    <row r="304" spans="1:10" x14ac:dyDescent="0.2">
      <c r="A304" s="2">
        <f ca="1">IFERROR(__xludf.DUMMYFUNCTION("""COMPUTED_VALUE"""),45764.6666666666)</f>
        <v>45764.666666666599</v>
      </c>
      <c r="B304" s="2"/>
      <c r="C304" s="2"/>
      <c r="D304" s="1">
        <v>4630</v>
      </c>
      <c r="E304" s="1">
        <v>4660</v>
      </c>
      <c r="F304" s="1">
        <v>4570</v>
      </c>
      <c r="G304" s="1">
        <v>4600</v>
      </c>
      <c r="H304" s="1">
        <v>165381400</v>
      </c>
      <c r="I304" s="4">
        <f t="shared" si="8"/>
        <v>-6.4794816414686825E-3</v>
      </c>
      <c r="J304" s="4">
        <f t="shared" si="9"/>
        <v>-0.24897959183673468</v>
      </c>
    </row>
    <row r="305" spans="1:10" x14ac:dyDescent="0.2">
      <c r="A305" s="2">
        <f ca="1">IFERROR(__xludf.DUMMYFUNCTION("""COMPUTED_VALUE"""),45768.6666666666)</f>
        <v>45768.666666666599</v>
      </c>
      <c r="B305" s="2"/>
      <c r="C305" s="2"/>
      <c r="D305" s="1">
        <v>4600</v>
      </c>
      <c r="E305" s="1">
        <v>4640</v>
      </c>
      <c r="F305" s="1">
        <v>4560</v>
      </c>
      <c r="G305" s="1">
        <v>4610</v>
      </c>
      <c r="H305" s="1">
        <v>83034600</v>
      </c>
      <c r="I305" s="4">
        <f t="shared" si="8"/>
        <v>2.1739130434782609E-3</v>
      </c>
      <c r="J305" s="4">
        <f t="shared" si="9"/>
        <v>-0.2473469387755102</v>
      </c>
    </row>
    <row r="306" spans="1:10" x14ac:dyDescent="0.2">
      <c r="A306" s="2">
        <f ca="1">IFERROR(__xludf.DUMMYFUNCTION("""COMPUTED_VALUE"""),45769.6666666666)</f>
        <v>45769.666666666599</v>
      </c>
      <c r="B306" s="2"/>
      <c r="C306" s="2"/>
      <c r="D306" s="1">
        <v>4610</v>
      </c>
      <c r="E306" s="1">
        <v>4720</v>
      </c>
      <c r="F306" s="1">
        <v>4590</v>
      </c>
      <c r="G306" s="1">
        <v>4720</v>
      </c>
      <c r="H306" s="1">
        <v>126426200</v>
      </c>
      <c r="I306" s="4">
        <f t="shared" si="8"/>
        <v>2.3861171366594359E-2</v>
      </c>
      <c r="J306" s="4">
        <f t="shared" si="9"/>
        <v>-0.22938775510204082</v>
      </c>
    </row>
    <row r="307" spans="1:10" x14ac:dyDescent="0.2">
      <c r="A307" s="2">
        <f ca="1">IFERROR(__xludf.DUMMYFUNCTION("""COMPUTED_VALUE"""),45770.6666666666)</f>
        <v>45770.666666666599</v>
      </c>
      <c r="B307" s="2"/>
      <c r="C307" s="2"/>
      <c r="D307" s="1">
        <v>4780</v>
      </c>
      <c r="E307" s="1">
        <v>4900</v>
      </c>
      <c r="F307" s="1">
        <v>4740</v>
      </c>
      <c r="G307" s="1">
        <v>4900</v>
      </c>
      <c r="H307" s="1">
        <v>273395600</v>
      </c>
      <c r="I307" s="4">
        <f t="shared" si="8"/>
        <v>3.8135593220338986E-2</v>
      </c>
      <c r="J307" s="4">
        <f t="shared" si="9"/>
        <v>-0.2</v>
      </c>
    </row>
    <row r="308" spans="1:10" x14ac:dyDescent="0.2">
      <c r="A308" s="2">
        <f ca="1">IFERROR(__xludf.DUMMYFUNCTION("""COMPUTED_VALUE"""),45771.6666666666)</f>
        <v>45771.666666666599</v>
      </c>
      <c r="B308" s="2"/>
      <c r="C308" s="2"/>
      <c r="D308" s="1">
        <v>4950</v>
      </c>
      <c r="E308" s="1">
        <v>5025</v>
      </c>
      <c r="F308" s="1">
        <v>4860</v>
      </c>
      <c r="G308" s="1">
        <v>4890</v>
      </c>
      <c r="H308" s="1">
        <v>282970000</v>
      </c>
      <c r="I308" s="4">
        <f t="shared" si="8"/>
        <v>-2.0408163265306124E-3</v>
      </c>
      <c r="J308" s="4">
        <f t="shared" si="9"/>
        <v>-0.20163265306122449</v>
      </c>
    </row>
    <row r="309" spans="1:10" x14ac:dyDescent="0.2">
      <c r="A309" s="2">
        <f ca="1">IFERROR(__xludf.DUMMYFUNCTION("""COMPUTED_VALUE"""),45772.6666666666)</f>
        <v>45772.666666666599</v>
      </c>
      <c r="B309" s="2"/>
      <c r="C309" s="2"/>
      <c r="D309" s="1">
        <v>4960</v>
      </c>
      <c r="E309" s="1">
        <v>4960</v>
      </c>
      <c r="F309" s="1">
        <v>4900</v>
      </c>
      <c r="G309" s="1">
        <v>4900</v>
      </c>
      <c r="H309" s="1">
        <v>134208400</v>
      </c>
      <c r="I309" s="4">
        <f t="shared" si="8"/>
        <v>2.0449897750511249E-3</v>
      </c>
      <c r="J309" s="4">
        <f t="shared" si="9"/>
        <v>-0.2</v>
      </c>
    </row>
    <row r="310" spans="1:10" x14ac:dyDescent="0.2">
      <c r="A310" s="2">
        <f ca="1">IFERROR(__xludf.DUMMYFUNCTION("""COMPUTED_VALUE"""),45775.6666666666)</f>
        <v>45775.666666666599</v>
      </c>
      <c r="B310" s="2"/>
      <c r="C310" s="2"/>
      <c r="D310" s="1">
        <v>4950</v>
      </c>
      <c r="E310" s="1">
        <v>4980</v>
      </c>
      <c r="F310" s="1">
        <v>4890</v>
      </c>
      <c r="G310" s="1">
        <v>4920</v>
      </c>
      <c r="H310" s="1">
        <v>90697900</v>
      </c>
      <c r="I310" s="4">
        <f t="shared" si="8"/>
        <v>4.0816326530612249E-3</v>
      </c>
      <c r="J310" s="4">
        <f t="shared" si="9"/>
        <v>-0.19673469387755102</v>
      </c>
    </row>
    <row r="311" spans="1:10" x14ac:dyDescent="0.2">
      <c r="A311" s="2">
        <f ca="1">IFERROR(__xludf.DUMMYFUNCTION("""COMPUTED_VALUE"""),45776.6666666666)</f>
        <v>45776.666666666599</v>
      </c>
      <c r="B311" s="2"/>
      <c r="C311" s="2"/>
      <c r="D311" s="1">
        <v>4930</v>
      </c>
      <c r="E311" s="1">
        <v>4950</v>
      </c>
      <c r="F311" s="1">
        <v>4880</v>
      </c>
      <c r="G311" s="1">
        <v>4940</v>
      </c>
      <c r="H311" s="1">
        <v>108857600</v>
      </c>
      <c r="I311" s="4">
        <f t="shared" si="8"/>
        <v>4.0650406504065045E-3</v>
      </c>
      <c r="J311" s="4">
        <f t="shared" si="9"/>
        <v>-0.19346938775510203</v>
      </c>
    </row>
    <row r="312" spans="1:10" x14ac:dyDescent="0.2">
      <c r="A312" s="2">
        <f ca="1">IFERROR(__xludf.DUMMYFUNCTION("""COMPUTED_VALUE"""),45777.6666666666)</f>
        <v>45777.666666666599</v>
      </c>
      <c r="B312" s="2"/>
      <c r="C312" s="2"/>
      <c r="D312" s="1">
        <v>4900</v>
      </c>
      <c r="E312" s="1">
        <v>4920</v>
      </c>
      <c r="F312" s="1">
        <v>4810</v>
      </c>
      <c r="G312" s="1">
        <v>4890</v>
      </c>
      <c r="H312" s="1">
        <v>278360600</v>
      </c>
      <c r="I312" s="4">
        <f t="shared" si="8"/>
        <v>-1.0121457489878543E-2</v>
      </c>
      <c r="J312" s="4">
        <f t="shared" si="9"/>
        <v>-0.20163265306122449</v>
      </c>
    </row>
    <row r="313" spans="1:10" x14ac:dyDescent="0.2">
      <c r="A313" s="2">
        <f ca="1">IFERROR(__xludf.DUMMYFUNCTION("""COMPUTED_VALUE"""),45779.6666666666)</f>
        <v>45779.666666666599</v>
      </c>
      <c r="B313" s="2"/>
      <c r="C313" s="2"/>
      <c r="D313" s="1">
        <v>4980</v>
      </c>
      <c r="E313" s="1">
        <v>4980</v>
      </c>
      <c r="F313" s="1">
        <v>4910</v>
      </c>
      <c r="G313" s="1">
        <v>4960</v>
      </c>
      <c r="H313" s="1">
        <v>146800800</v>
      </c>
      <c r="I313" s="4">
        <f t="shared" si="8"/>
        <v>1.4314928425357873E-2</v>
      </c>
      <c r="J313" s="4">
        <f t="shared" si="9"/>
        <v>-0.19020408163265307</v>
      </c>
    </row>
    <row r="314" spans="1:10" x14ac:dyDescent="0.2">
      <c r="A314" s="2">
        <f ca="1">IFERROR(__xludf.DUMMYFUNCTION("""COMPUTED_VALUE"""),45782.6666666666)</f>
        <v>45782.666666666599</v>
      </c>
      <c r="B314" s="2"/>
      <c r="C314" s="2"/>
      <c r="D314" s="1">
        <v>4990</v>
      </c>
      <c r="E314" s="1">
        <v>5100</v>
      </c>
      <c r="F314" s="1">
        <v>4960</v>
      </c>
      <c r="G314" s="1">
        <v>4980</v>
      </c>
      <c r="H314" s="1">
        <v>154073100</v>
      </c>
      <c r="I314" s="4">
        <f t="shared" si="8"/>
        <v>4.0322580645161289E-3</v>
      </c>
      <c r="J314" s="4">
        <f t="shared" si="9"/>
        <v>-0.18693877551020407</v>
      </c>
    </row>
    <row r="315" spans="1:10" x14ac:dyDescent="0.2">
      <c r="A315" s="2">
        <f ca="1">IFERROR(__xludf.DUMMYFUNCTION("""COMPUTED_VALUE"""),45783.6666666666)</f>
        <v>45783.666666666599</v>
      </c>
      <c r="B315" s="2"/>
      <c r="C315" s="2"/>
      <c r="D315" s="1">
        <v>5025</v>
      </c>
      <c r="E315" s="1">
        <v>5050</v>
      </c>
      <c r="F315" s="1">
        <v>4980</v>
      </c>
      <c r="G315" s="1">
        <v>4980</v>
      </c>
      <c r="H315" s="1">
        <v>120165500</v>
      </c>
      <c r="I315" s="4">
        <f t="shared" si="8"/>
        <v>0</v>
      </c>
      <c r="J315" s="4">
        <f t="shared" si="9"/>
        <v>-0.18693877551020407</v>
      </c>
    </row>
    <row r="316" spans="1:10" x14ac:dyDescent="0.2">
      <c r="A316" s="2">
        <f ca="1">IFERROR(__xludf.DUMMYFUNCTION("""COMPUTED_VALUE"""),45784.6666666666)</f>
        <v>45784.666666666599</v>
      </c>
      <c r="B316" s="2"/>
      <c r="C316" s="2"/>
      <c r="D316" s="1">
        <v>5050</v>
      </c>
      <c r="E316" s="1">
        <v>5050</v>
      </c>
      <c r="F316" s="1">
        <v>4950</v>
      </c>
      <c r="G316" s="1">
        <v>4950</v>
      </c>
      <c r="H316" s="1">
        <v>100674600</v>
      </c>
      <c r="I316" s="4">
        <f t="shared" si="8"/>
        <v>-6.024096385542169E-3</v>
      </c>
      <c r="J316" s="4">
        <f t="shared" si="9"/>
        <v>-0.19183673469387755</v>
      </c>
    </row>
    <row r="317" spans="1:10" x14ac:dyDescent="0.2">
      <c r="A317" s="2">
        <f ca="1">IFERROR(__xludf.DUMMYFUNCTION("""COMPUTED_VALUE"""),45785.6666666666)</f>
        <v>45785.666666666599</v>
      </c>
      <c r="B317" s="2"/>
      <c r="C317" s="2"/>
      <c r="D317" s="1">
        <v>4960</v>
      </c>
      <c r="E317" s="1">
        <v>5025</v>
      </c>
      <c r="F317" s="1">
        <v>4790</v>
      </c>
      <c r="G317" s="1">
        <v>4790</v>
      </c>
      <c r="H317" s="1">
        <v>205199700</v>
      </c>
      <c r="I317" s="4">
        <f t="shared" si="8"/>
        <v>-3.2323232323232323E-2</v>
      </c>
      <c r="J317" s="4">
        <f t="shared" si="9"/>
        <v>-0.21795918367346939</v>
      </c>
    </row>
    <row r="318" spans="1:10" x14ac:dyDescent="0.2">
      <c r="A318" s="2">
        <f ca="1">IFERROR(__xludf.DUMMYFUNCTION("""COMPUTED_VALUE"""),45786.6666666666)</f>
        <v>45786.666666666599</v>
      </c>
      <c r="B318" s="2"/>
      <c r="C318" s="2"/>
      <c r="D318" s="1">
        <v>4790</v>
      </c>
      <c r="E318" s="1">
        <v>4830</v>
      </c>
      <c r="F318" s="1">
        <v>4750</v>
      </c>
      <c r="G318" s="1">
        <v>4770</v>
      </c>
      <c r="H318" s="1">
        <v>164014200</v>
      </c>
      <c r="I318" s="4">
        <f t="shared" si="8"/>
        <v>-4.1753653444676405E-3</v>
      </c>
      <c r="J318" s="4">
        <f t="shared" si="9"/>
        <v>-0.22122448979591836</v>
      </c>
    </row>
    <row r="319" spans="1:10" x14ac:dyDescent="0.2">
      <c r="A319" s="2">
        <f ca="1">IFERROR(__xludf.DUMMYFUNCTION("""COMPUTED_VALUE"""),45791.6666666666)</f>
        <v>45791.666666666599</v>
      </c>
      <c r="B319" s="2"/>
      <c r="C319" s="2"/>
      <c r="D319" s="1">
        <v>4890</v>
      </c>
      <c r="E319" s="1">
        <v>5050</v>
      </c>
      <c r="F319" s="1">
        <v>4880</v>
      </c>
      <c r="G319" s="1">
        <v>5050</v>
      </c>
      <c r="H319" s="1">
        <v>342468200</v>
      </c>
      <c r="I319" s="4">
        <f t="shared" si="8"/>
        <v>5.8700209643605873E-2</v>
      </c>
      <c r="J319" s="4">
        <f t="shared" si="9"/>
        <v>-0.17551020408163265</v>
      </c>
    </row>
    <row r="320" spans="1:10" x14ac:dyDescent="0.2">
      <c r="A320" s="2">
        <f ca="1">IFERROR(__xludf.DUMMYFUNCTION("""COMPUTED_VALUE"""),45792.6666666666)</f>
        <v>45792.666666666599</v>
      </c>
      <c r="B320" s="2"/>
      <c r="C320" s="2"/>
      <c r="D320" s="1">
        <v>5075</v>
      </c>
      <c r="E320" s="1">
        <v>5400</v>
      </c>
      <c r="F320" s="1">
        <v>5050</v>
      </c>
      <c r="G320" s="1">
        <v>5325</v>
      </c>
      <c r="H320" s="1">
        <v>300147300</v>
      </c>
      <c r="I320" s="4">
        <f t="shared" si="8"/>
        <v>5.4455445544554455E-2</v>
      </c>
      <c r="J320" s="4">
        <f t="shared" si="9"/>
        <v>-0.1306122448979592</v>
      </c>
    </row>
    <row r="321" spans="1:10" x14ac:dyDescent="0.2">
      <c r="A321" s="2">
        <f ca="1">IFERROR(__xludf.DUMMYFUNCTION("""COMPUTED_VALUE"""),45793.6666666666)</f>
        <v>45793.666666666599</v>
      </c>
      <c r="B321" s="2"/>
      <c r="C321" s="2"/>
      <c r="D321" s="1">
        <v>5425</v>
      </c>
      <c r="E321" s="1">
        <v>5475</v>
      </c>
      <c r="F321" s="1">
        <v>5200</v>
      </c>
      <c r="G321" s="1">
        <v>5475</v>
      </c>
      <c r="H321" s="1">
        <v>229382100</v>
      </c>
      <c r="I321" s="4">
        <f t="shared" si="8"/>
        <v>2.8169014084507043E-2</v>
      </c>
      <c r="J321" s="4">
        <f t="shared" si="9"/>
        <v>-0.10612244897959183</v>
      </c>
    </row>
    <row r="322" spans="1:10" x14ac:dyDescent="0.2">
      <c r="A322" s="2">
        <f ca="1">IFERROR(__xludf.DUMMYFUNCTION("""COMPUTED_VALUE"""),45796.6666666666)</f>
        <v>45796.666666666599</v>
      </c>
      <c r="B322" s="2"/>
      <c r="C322" s="2"/>
      <c r="D322" s="1">
        <v>5450</v>
      </c>
      <c r="E322" s="1">
        <v>5575</v>
      </c>
      <c r="F322" s="1">
        <v>5400</v>
      </c>
      <c r="G322" s="1">
        <v>5525</v>
      </c>
      <c r="H322" s="1">
        <v>191440600</v>
      </c>
      <c r="I322" s="4">
        <f t="shared" si="8"/>
        <v>9.1324200913242004E-3</v>
      </c>
      <c r="J322" s="4">
        <f t="shared" si="9"/>
        <v>-9.7959183673469383E-2</v>
      </c>
    </row>
    <row r="323" spans="1:10" x14ac:dyDescent="0.2">
      <c r="A323" s="2">
        <f ca="1">IFERROR(__xludf.DUMMYFUNCTION("""COMPUTED_VALUE"""),45797.6666666666)</f>
        <v>45797.666666666599</v>
      </c>
      <c r="B323" s="2"/>
      <c r="C323" s="2"/>
      <c r="D323" s="1">
        <v>5500</v>
      </c>
      <c r="E323" s="1">
        <v>5550</v>
      </c>
      <c r="F323" s="1">
        <v>5350</v>
      </c>
      <c r="G323" s="1">
        <v>5400</v>
      </c>
      <c r="H323" s="1">
        <v>145525700</v>
      </c>
      <c r="I323" s="4">
        <f t="shared" si="8"/>
        <v>-2.2624434389140271E-2</v>
      </c>
      <c r="J323" s="4">
        <f t="shared" si="9"/>
        <v>-0.11836734693877551</v>
      </c>
    </row>
    <row r="324" spans="1:10" x14ac:dyDescent="0.2">
      <c r="A324" s="2">
        <f ca="1">IFERROR(__xludf.DUMMYFUNCTION("""COMPUTED_VALUE"""),45798.6666666666)</f>
        <v>45798.666666666599</v>
      </c>
      <c r="B324" s="2"/>
      <c r="C324" s="2"/>
      <c r="D324" s="1">
        <v>5400</v>
      </c>
      <c r="E324" s="1">
        <v>5550</v>
      </c>
      <c r="F324" s="1">
        <v>5375</v>
      </c>
      <c r="G324" s="1">
        <v>5450</v>
      </c>
      <c r="H324" s="1">
        <v>167077200</v>
      </c>
      <c r="I324" s="4">
        <f t="shared" ref="I324:I387" si="10">(G324-G323)/G323</f>
        <v>9.2592592592592587E-3</v>
      </c>
      <c r="J324" s="4">
        <f t="shared" ref="J324:J387" si="11">(G324-$G$2)/$G$2</f>
        <v>-0.11020408163265306</v>
      </c>
    </row>
    <row r="325" spans="1:10" x14ac:dyDescent="0.2">
      <c r="A325" s="2">
        <f ca="1">IFERROR(__xludf.DUMMYFUNCTION("""COMPUTED_VALUE"""),45799.6666666666)</f>
        <v>45799.666666666599</v>
      </c>
      <c r="B325" s="2"/>
      <c r="C325" s="2"/>
      <c r="D325" s="1">
        <v>5450</v>
      </c>
      <c r="E325" s="1">
        <v>5500</v>
      </c>
      <c r="F325" s="1">
        <v>5400</v>
      </c>
      <c r="G325" s="1">
        <v>5450</v>
      </c>
      <c r="H325" s="1">
        <v>137585600</v>
      </c>
      <c r="I325" s="4">
        <f t="shared" si="10"/>
        <v>0</v>
      </c>
      <c r="J325" s="4">
        <f t="shared" si="11"/>
        <v>-0.11020408163265306</v>
      </c>
    </row>
    <row r="326" spans="1:10" x14ac:dyDescent="0.2">
      <c r="A326" s="2">
        <f ca="1">IFERROR(__xludf.DUMMYFUNCTION("""COMPUTED_VALUE"""),45800.6666666666)</f>
        <v>45800.666666666599</v>
      </c>
      <c r="B326" s="2"/>
      <c r="C326" s="2"/>
      <c r="D326" s="1">
        <v>5500</v>
      </c>
      <c r="E326" s="1">
        <v>5500</v>
      </c>
      <c r="F326" s="1">
        <v>5375</v>
      </c>
      <c r="G326" s="1">
        <v>5425</v>
      </c>
      <c r="H326" s="1">
        <v>86586500</v>
      </c>
      <c r="I326" s="4">
        <f t="shared" si="10"/>
        <v>-4.5871559633027525E-3</v>
      </c>
      <c r="J326" s="4">
        <f t="shared" si="11"/>
        <v>-0.11428571428571428</v>
      </c>
    </row>
    <row r="327" spans="1:10" x14ac:dyDescent="0.2">
      <c r="A327" s="2">
        <f ca="1">IFERROR(__xludf.DUMMYFUNCTION("""COMPUTED_VALUE"""),45803.6666666666)</f>
        <v>45803.666666666599</v>
      </c>
      <c r="B327" s="2"/>
      <c r="C327" s="2"/>
      <c r="D327" s="1">
        <v>5425</v>
      </c>
      <c r="E327" s="1">
        <v>5475</v>
      </c>
      <c r="F327" s="1">
        <v>5300</v>
      </c>
      <c r="G327" s="1">
        <v>5475</v>
      </c>
      <c r="H327" s="1">
        <v>102960800</v>
      </c>
      <c r="I327" s="4">
        <f t="shared" si="10"/>
        <v>9.2165898617511521E-3</v>
      </c>
      <c r="J327" s="4">
        <f t="shared" si="11"/>
        <v>-0.10612244897959183</v>
      </c>
    </row>
    <row r="328" spans="1:10" x14ac:dyDescent="0.2">
      <c r="A328" s="2">
        <f ca="1">IFERROR(__xludf.DUMMYFUNCTION("""COMPUTED_VALUE"""),45804.6666666666)</f>
        <v>45804.666666666599</v>
      </c>
      <c r="B328" s="2"/>
      <c r="C328" s="2"/>
      <c r="D328" s="1">
        <v>5500</v>
      </c>
      <c r="E328" s="1">
        <v>5500</v>
      </c>
      <c r="F328" s="1">
        <v>5400</v>
      </c>
      <c r="G328" s="1">
        <v>5400</v>
      </c>
      <c r="H328" s="1">
        <v>86083800</v>
      </c>
      <c r="I328" s="4">
        <f t="shared" si="10"/>
        <v>-1.3698630136986301E-2</v>
      </c>
      <c r="J328" s="4">
        <f t="shared" si="11"/>
        <v>-0.11836734693877551</v>
      </c>
    </row>
    <row r="329" spans="1:10" x14ac:dyDescent="0.2">
      <c r="A329" s="2">
        <f ca="1">IFERROR(__xludf.DUMMYFUNCTION("""COMPUTED_VALUE"""),45805.6666666666)</f>
        <v>45805.666666666599</v>
      </c>
      <c r="B329" s="2"/>
      <c r="C329" s="2"/>
      <c r="D329" s="1">
        <v>5400</v>
      </c>
      <c r="E329" s="1">
        <v>5425</v>
      </c>
      <c r="F329" s="1">
        <v>5300</v>
      </c>
      <c r="G329" s="1">
        <v>5300</v>
      </c>
      <c r="H329" s="1">
        <v>190669100</v>
      </c>
      <c r="I329" s="4">
        <f t="shared" si="10"/>
        <v>-1.8518518518518517E-2</v>
      </c>
      <c r="J329" s="4">
        <f t="shared" si="11"/>
        <v>-0.13469387755102041</v>
      </c>
    </row>
    <row r="330" spans="1:10" x14ac:dyDescent="0.2">
      <c r="A330" s="2">
        <f ca="1">IFERROR(__xludf.DUMMYFUNCTION("""COMPUTED_VALUE"""),45810.6666666666)</f>
        <v>45810.666666666599</v>
      </c>
      <c r="B330" s="2"/>
      <c r="C330" s="2"/>
      <c r="D330" s="1">
        <v>5200</v>
      </c>
      <c r="E330" s="1">
        <v>5250</v>
      </c>
      <c r="F330" s="1">
        <v>5025</v>
      </c>
      <c r="G330" s="1">
        <v>5075</v>
      </c>
      <c r="H330" s="1">
        <v>373474500</v>
      </c>
      <c r="I330" s="4">
        <f t="shared" si="10"/>
        <v>-4.2452830188679243E-2</v>
      </c>
      <c r="J330" s="4">
        <f t="shared" si="11"/>
        <v>-0.17142857142857143</v>
      </c>
    </row>
    <row r="331" spans="1:10" x14ac:dyDescent="0.2">
      <c r="A331" s="2">
        <f ca="1">IFERROR(__xludf.DUMMYFUNCTION("""COMPUTED_VALUE"""),45811.6666666666)</f>
        <v>45811.666666666599</v>
      </c>
      <c r="B331" s="2"/>
      <c r="C331" s="2"/>
      <c r="D331" s="1">
        <v>5100</v>
      </c>
      <c r="E331" s="1">
        <v>5125</v>
      </c>
      <c r="F331" s="1">
        <v>4950</v>
      </c>
      <c r="G331" s="1">
        <v>5050</v>
      </c>
      <c r="H331" s="1">
        <v>169321800</v>
      </c>
      <c r="I331" s="4">
        <f t="shared" si="10"/>
        <v>-4.9261083743842365E-3</v>
      </c>
      <c r="J331" s="4">
        <f t="shared" si="11"/>
        <v>-0.17551020408163265</v>
      </c>
    </row>
    <row r="332" spans="1:10" x14ac:dyDescent="0.2">
      <c r="A332" s="2">
        <f ca="1">IFERROR(__xludf.DUMMYFUNCTION("""COMPUTED_VALUE"""),45812.6666666666)</f>
        <v>45812.666666666599</v>
      </c>
      <c r="B332" s="2"/>
      <c r="C332" s="2"/>
      <c r="D332" s="1">
        <v>5125</v>
      </c>
      <c r="E332" s="1">
        <v>5125</v>
      </c>
      <c r="F332" s="1">
        <v>4980</v>
      </c>
      <c r="G332" s="1">
        <v>5025</v>
      </c>
      <c r="H332" s="1">
        <v>139577800</v>
      </c>
      <c r="I332" s="4">
        <f t="shared" si="10"/>
        <v>-4.9504950495049506E-3</v>
      </c>
      <c r="J332" s="4">
        <f t="shared" si="11"/>
        <v>-0.17959183673469387</v>
      </c>
    </row>
    <row r="333" spans="1:10" x14ac:dyDescent="0.2">
      <c r="A333" s="2">
        <f ca="1">IFERROR(__xludf.DUMMYFUNCTION("""COMPUTED_VALUE"""),45813.6666666666)</f>
        <v>45813.666666666599</v>
      </c>
      <c r="B333" s="2"/>
      <c r="C333" s="2"/>
      <c r="D333" s="1">
        <v>5050</v>
      </c>
      <c r="E333" s="1">
        <v>5075</v>
      </c>
      <c r="F333" s="1">
        <v>5000</v>
      </c>
      <c r="G333" s="1">
        <v>5075</v>
      </c>
      <c r="H333" s="1">
        <v>69179700</v>
      </c>
      <c r="I333" s="4">
        <f t="shared" si="10"/>
        <v>9.9502487562189053E-3</v>
      </c>
      <c r="J333" s="4">
        <f t="shared" si="11"/>
        <v>-0.17142857142857143</v>
      </c>
    </row>
    <row r="334" spans="1:10" x14ac:dyDescent="0.2">
      <c r="A334" s="2">
        <f ca="1">IFERROR(__xludf.DUMMYFUNCTION("""COMPUTED_VALUE"""),45818.6666666666)</f>
        <v>45818.666666666599</v>
      </c>
      <c r="B334" s="2"/>
      <c r="C334" s="2"/>
      <c r="D334" s="1">
        <v>5075</v>
      </c>
      <c r="E334" s="1">
        <v>5250</v>
      </c>
      <c r="F334" s="1">
        <v>5075</v>
      </c>
      <c r="G334" s="1">
        <v>5250</v>
      </c>
      <c r="H334" s="1">
        <v>158265000</v>
      </c>
      <c r="I334" s="4">
        <f t="shared" si="10"/>
        <v>3.4482758620689655E-2</v>
      </c>
      <c r="J334" s="4">
        <f t="shared" si="11"/>
        <v>-0.14285714285714285</v>
      </c>
    </row>
    <row r="335" spans="1:10" x14ac:dyDescent="0.2">
      <c r="A335" s="2">
        <f ca="1">IFERROR(__xludf.DUMMYFUNCTION("""COMPUTED_VALUE"""),45819.6666666666)</f>
        <v>45819.666666666599</v>
      </c>
      <c r="B335" s="2"/>
      <c r="C335" s="2"/>
      <c r="D335" s="1">
        <v>5300</v>
      </c>
      <c r="E335" s="1">
        <v>5300</v>
      </c>
      <c r="F335" s="1">
        <v>5150</v>
      </c>
      <c r="G335" s="1">
        <v>5200</v>
      </c>
      <c r="H335" s="1">
        <v>90666100</v>
      </c>
      <c r="I335" s="4">
        <f t="shared" si="10"/>
        <v>-9.5238095238095247E-3</v>
      </c>
      <c r="J335" s="4">
        <f t="shared" si="11"/>
        <v>-0.15102040816326531</v>
      </c>
    </row>
    <row r="336" spans="1:10" x14ac:dyDescent="0.2">
      <c r="A336" s="2">
        <f ca="1">IFERROR(__xludf.DUMMYFUNCTION("""COMPUTED_VALUE"""),45820.6666666666)</f>
        <v>45820.666666666599</v>
      </c>
      <c r="B336" s="2"/>
      <c r="C336" s="2"/>
      <c r="D336" s="1">
        <v>5225</v>
      </c>
      <c r="E336" s="1">
        <v>5225</v>
      </c>
      <c r="F336" s="1">
        <v>5125</v>
      </c>
      <c r="G336" s="1">
        <v>5175</v>
      </c>
      <c r="H336" s="1">
        <v>72423700</v>
      </c>
      <c r="I336" s="4">
        <f t="shared" si="10"/>
        <v>-4.807692307692308E-3</v>
      </c>
      <c r="J336" s="4">
        <f t="shared" si="11"/>
        <v>-0.15510204081632653</v>
      </c>
    </row>
    <row r="337" spans="1:10" x14ac:dyDescent="0.2">
      <c r="A337" s="2">
        <f ca="1">IFERROR(__xludf.DUMMYFUNCTION("""COMPUTED_VALUE"""),45821.6666666666)</f>
        <v>45821.666666666599</v>
      </c>
      <c r="B337" s="2"/>
      <c r="C337" s="2"/>
      <c r="D337" s="1">
        <v>5175</v>
      </c>
      <c r="E337" s="1">
        <v>5250</v>
      </c>
      <c r="F337" s="1">
        <v>5100</v>
      </c>
      <c r="G337" s="1">
        <v>5150</v>
      </c>
      <c r="H337" s="1">
        <v>128071000</v>
      </c>
      <c r="I337" s="4">
        <f t="shared" si="10"/>
        <v>-4.830917874396135E-3</v>
      </c>
      <c r="J337" s="4">
        <f t="shared" si="11"/>
        <v>-0.15918367346938775</v>
      </c>
    </row>
    <row r="338" spans="1:10" x14ac:dyDescent="0.2">
      <c r="A338" s="2">
        <f ca="1">IFERROR(__xludf.DUMMYFUNCTION("""COMPUTED_VALUE"""),45824.6666666666)</f>
        <v>45824.666666666599</v>
      </c>
      <c r="B338" s="2"/>
      <c r="C338" s="2"/>
      <c r="D338" s="1">
        <v>5150</v>
      </c>
      <c r="E338" s="1">
        <v>5200</v>
      </c>
      <c r="F338" s="1">
        <v>5100</v>
      </c>
      <c r="G338" s="1">
        <v>5150</v>
      </c>
      <c r="H338" s="1">
        <v>61695600</v>
      </c>
      <c r="I338" s="4">
        <f t="shared" si="10"/>
        <v>0</v>
      </c>
      <c r="J338" s="4">
        <f t="shared" si="11"/>
        <v>-0.15918367346938775</v>
      </c>
    </row>
    <row r="339" spans="1:10" x14ac:dyDescent="0.2">
      <c r="A339" s="2">
        <f ca="1">IFERROR(__xludf.DUMMYFUNCTION("""COMPUTED_VALUE"""),45825.6666666666)</f>
        <v>45825.666666666599</v>
      </c>
      <c r="B339" s="2"/>
      <c r="C339" s="2"/>
      <c r="D339" s="1">
        <v>5175</v>
      </c>
      <c r="E339" s="1">
        <v>5225</v>
      </c>
      <c r="F339" s="1">
        <v>5100</v>
      </c>
      <c r="G339" s="1">
        <v>5100</v>
      </c>
      <c r="H339" s="1">
        <v>70657700</v>
      </c>
      <c r="I339" s="4">
        <f t="shared" si="10"/>
        <v>-9.7087378640776691E-3</v>
      </c>
      <c r="J339" s="4">
        <f t="shared" si="11"/>
        <v>-0.16734693877551021</v>
      </c>
    </row>
    <row r="340" spans="1:10" x14ac:dyDescent="0.2">
      <c r="A340" s="2">
        <f ca="1">IFERROR(__xludf.DUMMYFUNCTION("""COMPUTED_VALUE"""),45826.6666666666)</f>
        <v>45826.666666666599</v>
      </c>
      <c r="B340" s="2"/>
      <c r="C340" s="2"/>
      <c r="D340" s="1">
        <v>5075</v>
      </c>
      <c r="E340" s="1">
        <v>5100</v>
      </c>
      <c r="F340" s="1">
        <v>5025</v>
      </c>
      <c r="G340" s="1">
        <v>5075</v>
      </c>
      <c r="H340" s="1">
        <v>53353000</v>
      </c>
      <c r="I340" s="4">
        <f t="shared" si="10"/>
        <v>-4.9019607843137254E-3</v>
      </c>
      <c r="J340" s="4">
        <f t="shared" si="11"/>
        <v>-0.17142857142857143</v>
      </c>
    </row>
    <row r="341" spans="1:10" x14ac:dyDescent="0.2">
      <c r="A341" s="2">
        <f ca="1">IFERROR(__xludf.DUMMYFUNCTION("""COMPUTED_VALUE"""),45827.6666666666)</f>
        <v>45827.666666666599</v>
      </c>
      <c r="B341" s="2"/>
      <c r="C341" s="2"/>
      <c r="D341" s="1">
        <v>5050</v>
      </c>
      <c r="E341" s="1">
        <v>5050</v>
      </c>
      <c r="F341" s="1">
        <v>4910</v>
      </c>
      <c r="G341" s="1">
        <v>4970</v>
      </c>
      <c r="H341" s="1">
        <v>114769600</v>
      </c>
      <c r="I341" s="4">
        <f t="shared" si="10"/>
        <v>-2.0689655172413793E-2</v>
      </c>
      <c r="J341" s="4">
        <f t="shared" si="11"/>
        <v>-0.18857142857142858</v>
      </c>
    </row>
    <row r="342" spans="1:10" x14ac:dyDescent="0.2">
      <c r="A342" s="2">
        <f ca="1">IFERROR(__xludf.DUMMYFUNCTION("""COMPUTED_VALUE"""),45828.6666666666)</f>
        <v>45828.666666666599</v>
      </c>
      <c r="B342" s="2"/>
      <c r="C342" s="2"/>
      <c r="D342" s="1">
        <v>4940</v>
      </c>
      <c r="E342" s="1">
        <v>4990</v>
      </c>
      <c r="F342" s="1">
        <v>4830</v>
      </c>
      <c r="G342" s="1">
        <v>4930</v>
      </c>
      <c r="H342" s="1">
        <v>301154300</v>
      </c>
      <c r="I342" s="4">
        <f t="shared" si="10"/>
        <v>-8.0482897384305842E-3</v>
      </c>
      <c r="J342" s="4">
        <f t="shared" si="11"/>
        <v>-0.19510204081632654</v>
      </c>
    </row>
    <row r="343" spans="1:10" x14ac:dyDescent="0.2">
      <c r="A343" s="2">
        <f ca="1">IFERROR(__xludf.DUMMYFUNCTION("""COMPUTED_VALUE"""),45831.6666666666)</f>
        <v>45831.666666666599</v>
      </c>
      <c r="B343" s="2"/>
      <c r="C343" s="2"/>
      <c r="D343" s="1">
        <v>4870</v>
      </c>
      <c r="E343" s="1">
        <v>4930</v>
      </c>
      <c r="F343" s="1">
        <v>4800</v>
      </c>
      <c r="G343" s="1">
        <v>4920</v>
      </c>
      <c r="H343" s="1">
        <v>119439200</v>
      </c>
      <c r="I343" s="4">
        <f t="shared" si="10"/>
        <v>-2.0283975659229209E-3</v>
      </c>
      <c r="J343" s="4">
        <f t="shared" si="11"/>
        <v>-0.19673469387755102</v>
      </c>
    </row>
    <row r="344" spans="1:10" x14ac:dyDescent="0.2">
      <c r="A344" s="2">
        <f ca="1">IFERROR(__xludf.DUMMYFUNCTION("""COMPUTED_VALUE"""),45832.6666666666)</f>
        <v>45832.666666666599</v>
      </c>
      <c r="B344" s="2"/>
      <c r="C344" s="2"/>
      <c r="D344" s="1">
        <v>5050</v>
      </c>
      <c r="E344" s="1">
        <v>5125</v>
      </c>
      <c r="F344" s="1">
        <v>5025</v>
      </c>
      <c r="G344" s="1">
        <v>5025</v>
      </c>
      <c r="H344" s="1">
        <v>126563900</v>
      </c>
      <c r="I344" s="4">
        <f t="shared" si="10"/>
        <v>2.1341463414634148E-2</v>
      </c>
      <c r="J344" s="4">
        <f t="shared" si="11"/>
        <v>-0.17959183673469387</v>
      </c>
    </row>
    <row r="345" spans="1:10" x14ac:dyDescent="0.2">
      <c r="A345" s="2">
        <f ca="1">IFERROR(__xludf.DUMMYFUNCTION("""COMPUTED_VALUE"""),45833.6666666666)</f>
        <v>45833.666666666599</v>
      </c>
      <c r="B345" s="2"/>
      <c r="C345" s="2"/>
      <c r="D345" s="1">
        <v>5025</v>
      </c>
      <c r="E345" s="1">
        <v>5050</v>
      </c>
      <c r="F345" s="1">
        <v>4880</v>
      </c>
      <c r="G345" s="1">
        <v>4880</v>
      </c>
      <c r="H345" s="1">
        <v>139963400</v>
      </c>
      <c r="I345" s="4">
        <f t="shared" si="10"/>
        <v>-2.8855721393034824E-2</v>
      </c>
      <c r="J345" s="4">
        <f t="shared" si="11"/>
        <v>-0.20326530612244897</v>
      </c>
    </row>
    <row r="346" spans="1:10" x14ac:dyDescent="0.2">
      <c r="A346" s="2">
        <f ca="1">IFERROR(__xludf.DUMMYFUNCTION("""COMPUTED_VALUE"""),45834.6666666666)</f>
        <v>45834.666666666599</v>
      </c>
      <c r="B346" s="2"/>
      <c r="C346" s="2"/>
      <c r="D346" s="1">
        <v>4950</v>
      </c>
      <c r="E346" s="1">
        <v>5025</v>
      </c>
      <c r="F346" s="1">
        <v>4910</v>
      </c>
      <c r="G346" s="1">
        <v>5025</v>
      </c>
      <c r="H346" s="1">
        <v>94704500</v>
      </c>
      <c r="I346" s="4">
        <f t="shared" si="10"/>
        <v>2.9713114754098359E-2</v>
      </c>
      <c r="J346" s="4">
        <f t="shared" si="11"/>
        <v>-0.17959183673469387</v>
      </c>
    </row>
    <row r="347" spans="1:10" x14ac:dyDescent="0.2">
      <c r="A347" s="2">
        <f ca="1">IFERROR(__xludf.DUMMYFUNCTION("""COMPUTED_VALUE"""),45838.6666666666)</f>
        <v>45838.666666666599</v>
      </c>
      <c r="B347" s="2"/>
      <c r="C347" s="2"/>
      <c r="D347" s="1">
        <v>5050</v>
      </c>
      <c r="E347" s="1">
        <v>5050</v>
      </c>
      <c r="F347" s="1">
        <v>4880</v>
      </c>
      <c r="G347" s="1">
        <v>4880</v>
      </c>
      <c r="H347" s="1">
        <v>220479900</v>
      </c>
      <c r="I347" s="4">
        <f t="shared" si="10"/>
        <v>-2.8855721393034824E-2</v>
      </c>
      <c r="J347" s="4">
        <f t="shared" si="11"/>
        <v>-0.20326530612244897</v>
      </c>
    </row>
    <row r="348" spans="1:10" x14ac:dyDescent="0.2">
      <c r="A348" s="2">
        <f ca="1">IFERROR(__xludf.DUMMYFUNCTION("""COMPUTED_VALUE"""),45839.6666666666)</f>
        <v>45839.666666666599</v>
      </c>
      <c r="B348" s="2"/>
      <c r="C348" s="2"/>
      <c r="D348" s="1">
        <v>4900</v>
      </c>
      <c r="E348" s="1">
        <v>4910</v>
      </c>
      <c r="F348" s="1">
        <v>4710</v>
      </c>
      <c r="G348" s="1">
        <v>4750</v>
      </c>
      <c r="H348" s="1">
        <v>319875800</v>
      </c>
      <c r="I348" s="4">
        <f t="shared" si="10"/>
        <v>-2.663934426229508E-2</v>
      </c>
      <c r="J348" s="4">
        <f t="shared" si="11"/>
        <v>-0.22448979591836735</v>
      </c>
    </row>
    <row r="349" spans="1:10" x14ac:dyDescent="0.2">
      <c r="A349" s="2">
        <f ca="1">IFERROR(__xludf.DUMMYFUNCTION("""COMPUTED_VALUE"""),45840.6666666666)</f>
        <v>45840.666666666599</v>
      </c>
      <c r="B349" s="2"/>
      <c r="C349" s="2"/>
      <c r="D349" s="1">
        <v>4730</v>
      </c>
      <c r="E349" s="1">
        <v>4770</v>
      </c>
      <c r="F349" s="1">
        <v>4710</v>
      </c>
      <c r="G349" s="1">
        <v>4770</v>
      </c>
      <c r="H349" s="1">
        <v>159152200</v>
      </c>
      <c r="I349" s="4">
        <f t="shared" si="10"/>
        <v>4.2105263157894736E-3</v>
      </c>
      <c r="J349" s="4">
        <f t="shared" si="11"/>
        <v>-0.22122448979591836</v>
      </c>
    </row>
    <row r="350" spans="1:10" x14ac:dyDescent="0.2">
      <c r="A350" s="2">
        <f ca="1">IFERROR(__xludf.DUMMYFUNCTION("""COMPUTED_VALUE"""),45841.6666666666)</f>
        <v>45841.666666666599</v>
      </c>
      <c r="B350" s="2"/>
      <c r="C350" s="2"/>
      <c r="D350" s="1">
        <v>4780</v>
      </c>
      <c r="E350" s="1">
        <v>4850</v>
      </c>
      <c r="F350" s="1">
        <v>4720</v>
      </c>
      <c r="G350" s="1">
        <v>4740</v>
      </c>
      <c r="H350" s="1">
        <v>103849000</v>
      </c>
      <c r="I350" s="4">
        <f t="shared" si="10"/>
        <v>-6.2893081761006293E-3</v>
      </c>
      <c r="J350" s="4">
        <f t="shared" si="11"/>
        <v>-0.22612244897959183</v>
      </c>
    </row>
    <row r="351" spans="1:10" x14ac:dyDescent="0.2">
      <c r="A351" s="2">
        <f ca="1">IFERROR(__xludf.DUMMYFUNCTION("""COMPUTED_VALUE"""),45842.6666666666)</f>
        <v>45842.666666666599</v>
      </c>
      <c r="B351" s="2"/>
      <c r="C351" s="2"/>
      <c r="D351" s="1">
        <v>4750</v>
      </c>
      <c r="E351" s="1">
        <v>4790</v>
      </c>
      <c r="F351" s="1">
        <v>4700</v>
      </c>
      <c r="G351" s="1">
        <v>4740</v>
      </c>
      <c r="H351" s="1">
        <v>104170500</v>
      </c>
      <c r="I351" s="4">
        <f t="shared" si="10"/>
        <v>0</v>
      </c>
      <c r="J351" s="4">
        <f t="shared" si="11"/>
        <v>-0.22612244897959183</v>
      </c>
    </row>
    <row r="352" spans="1:10" x14ac:dyDescent="0.2">
      <c r="A352" s="2">
        <f ca="1">IFERROR(__xludf.DUMMYFUNCTION("""COMPUTED_VALUE"""),45845.6666666666)</f>
        <v>45845.666666666599</v>
      </c>
      <c r="B352" s="2"/>
      <c r="C352" s="2"/>
      <c r="D352" s="1">
        <v>4740</v>
      </c>
      <c r="E352" s="1">
        <v>4750</v>
      </c>
      <c r="F352" s="1">
        <v>4680</v>
      </c>
      <c r="G352" s="1">
        <v>4740</v>
      </c>
      <c r="H352" s="1">
        <v>120538300</v>
      </c>
      <c r="I352" s="4">
        <f t="shared" si="10"/>
        <v>0</v>
      </c>
      <c r="J352" s="4">
        <f t="shared" si="11"/>
        <v>-0.22612244897959183</v>
      </c>
    </row>
    <row r="353" spans="1:10" x14ac:dyDescent="0.2">
      <c r="A353" s="2">
        <f ca="1">IFERROR(__xludf.DUMMYFUNCTION("""COMPUTED_VALUE"""),45846.6666666666)</f>
        <v>45846.666666666599</v>
      </c>
      <c r="B353" s="2"/>
      <c r="C353" s="2"/>
      <c r="D353" s="1">
        <v>4710</v>
      </c>
      <c r="E353" s="1">
        <v>4750</v>
      </c>
      <c r="F353" s="1">
        <v>4700</v>
      </c>
      <c r="G353" s="1">
        <v>4720</v>
      </c>
      <c r="H353" s="1">
        <v>132853800</v>
      </c>
      <c r="I353" s="4">
        <f t="shared" si="10"/>
        <v>-4.2194092827004216E-3</v>
      </c>
      <c r="J353" s="4">
        <f t="shared" si="11"/>
        <v>-0.22938775510204082</v>
      </c>
    </row>
    <row r="354" spans="1:10" x14ac:dyDescent="0.2">
      <c r="A354" s="2">
        <f ca="1">IFERROR(__xludf.DUMMYFUNCTION("""COMPUTED_VALUE"""),45847.6666666666)</f>
        <v>45847.666666666599</v>
      </c>
      <c r="B354" s="2"/>
      <c r="C354" s="2"/>
      <c r="D354" s="1">
        <v>4720</v>
      </c>
      <c r="E354" s="1">
        <v>4760</v>
      </c>
      <c r="F354" s="1">
        <v>4670</v>
      </c>
      <c r="G354" s="1">
        <v>4710</v>
      </c>
      <c r="H354" s="1">
        <v>110198500</v>
      </c>
      <c r="I354" s="4">
        <f t="shared" si="10"/>
        <v>-2.1186440677966102E-3</v>
      </c>
      <c r="J354" s="4">
        <f t="shared" si="11"/>
        <v>-0.2310204081632653</v>
      </c>
    </row>
    <row r="355" spans="1:10" x14ac:dyDescent="0.2">
      <c r="A355" s="2">
        <f ca="1">IFERROR(__xludf.DUMMYFUNCTION("""COMPUTED_VALUE"""),45848.6666666666)</f>
        <v>45848.666666666599</v>
      </c>
      <c r="B355" s="2"/>
      <c r="C355" s="2"/>
      <c r="D355" s="1">
        <v>4750</v>
      </c>
      <c r="E355" s="1">
        <v>4830</v>
      </c>
      <c r="F355" s="1">
        <v>4730</v>
      </c>
      <c r="G355" s="1">
        <v>4820</v>
      </c>
      <c r="H355" s="1">
        <v>160889700</v>
      </c>
      <c r="I355" s="4">
        <f t="shared" si="10"/>
        <v>2.3354564755838639E-2</v>
      </c>
      <c r="J355" s="4">
        <f t="shared" si="11"/>
        <v>-0.21306122448979592</v>
      </c>
    </row>
    <row r="356" spans="1:10" x14ac:dyDescent="0.2">
      <c r="A356" s="2">
        <f ca="1">IFERROR(__xludf.DUMMYFUNCTION("""COMPUTED_VALUE"""),45849.6666666666)</f>
        <v>45849.666666666599</v>
      </c>
      <c r="B356" s="2"/>
      <c r="C356" s="2"/>
      <c r="D356" s="1">
        <v>4850</v>
      </c>
      <c r="E356" s="1">
        <v>4990</v>
      </c>
      <c r="F356" s="1">
        <v>4830</v>
      </c>
      <c r="G356" s="1">
        <v>4970</v>
      </c>
      <c r="H356" s="1">
        <v>219980300</v>
      </c>
      <c r="I356" s="4">
        <f t="shared" si="10"/>
        <v>3.1120331950207469E-2</v>
      </c>
      <c r="J356" s="4">
        <f t="shared" si="11"/>
        <v>-0.18857142857142858</v>
      </c>
    </row>
    <row r="357" spans="1:10" x14ac:dyDescent="0.2">
      <c r="A357" s="2">
        <f ca="1">IFERROR(__xludf.DUMMYFUNCTION("""COMPUTED_VALUE"""),45852.6666666666)</f>
        <v>45852.666666666599</v>
      </c>
      <c r="B357" s="2"/>
      <c r="C357" s="2"/>
      <c r="D357" s="1">
        <v>4980</v>
      </c>
      <c r="E357" s="1">
        <v>4990</v>
      </c>
      <c r="F357" s="1">
        <v>4670</v>
      </c>
      <c r="G357" s="1">
        <v>4690</v>
      </c>
      <c r="H357" s="1">
        <v>429438700</v>
      </c>
      <c r="I357" s="4">
        <f t="shared" si="10"/>
        <v>-5.6338028169014086E-2</v>
      </c>
      <c r="J357" s="4">
        <f t="shared" si="11"/>
        <v>-0.23428571428571429</v>
      </c>
    </row>
    <row r="358" spans="1:10" x14ac:dyDescent="0.2">
      <c r="A358" s="2">
        <f ca="1">IFERROR(__xludf.DUMMYFUNCTION("""COMPUTED_VALUE"""),45853.6666666666)</f>
        <v>45853.666666666599</v>
      </c>
      <c r="B358" s="2"/>
      <c r="C358" s="2"/>
      <c r="D358" s="1">
        <v>4700</v>
      </c>
      <c r="E358" s="1">
        <v>4740</v>
      </c>
      <c r="F358" s="1">
        <v>4690</v>
      </c>
      <c r="G358" s="1">
        <v>4700</v>
      </c>
      <c r="H358" s="1">
        <v>206958200</v>
      </c>
      <c r="I358" s="4">
        <f t="shared" si="10"/>
        <v>2.1321961620469083E-3</v>
      </c>
      <c r="J358" s="4">
        <f t="shared" si="11"/>
        <v>-0.23265306122448978</v>
      </c>
    </row>
    <row r="359" spans="1:10" x14ac:dyDescent="0.2">
      <c r="A359" s="2">
        <f ca="1">IFERROR(__xludf.DUMMYFUNCTION("""COMPUTED_VALUE"""),45854.6666666666)</f>
        <v>45854.666666666599</v>
      </c>
      <c r="B359" s="2"/>
      <c r="C359" s="2"/>
      <c r="D359" s="1">
        <v>4730</v>
      </c>
      <c r="E359" s="1">
        <v>4760</v>
      </c>
      <c r="F359" s="1">
        <v>4680</v>
      </c>
      <c r="G359" s="1">
        <v>4690</v>
      </c>
      <c r="H359" s="1">
        <v>323831100</v>
      </c>
      <c r="I359" s="4">
        <f t="shared" si="10"/>
        <v>-2.1276595744680851E-3</v>
      </c>
      <c r="J359" s="4">
        <f t="shared" si="11"/>
        <v>-0.23428571428571429</v>
      </c>
    </row>
    <row r="360" spans="1:10" x14ac:dyDescent="0.2">
      <c r="A360" s="2">
        <f ca="1">IFERROR(__xludf.DUMMYFUNCTION("""COMPUTED_VALUE"""),45855.6666666666)</f>
        <v>45855.666666666599</v>
      </c>
      <c r="B360" s="2"/>
      <c r="C360" s="2"/>
      <c r="D360" s="1">
        <v>4700</v>
      </c>
      <c r="E360" s="1">
        <v>4720</v>
      </c>
      <c r="F360" s="1">
        <v>4680</v>
      </c>
      <c r="G360" s="1">
        <v>4720</v>
      </c>
      <c r="H360" s="1">
        <v>120304000</v>
      </c>
      <c r="I360" s="4">
        <f t="shared" si="10"/>
        <v>6.3965884861407248E-3</v>
      </c>
      <c r="J360" s="4">
        <f t="shared" si="11"/>
        <v>-0.22938775510204082</v>
      </c>
    </row>
    <row r="361" spans="1:10" x14ac:dyDescent="0.2">
      <c r="A361" s="2">
        <f ca="1">IFERROR(__xludf.DUMMYFUNCTION("""COMPUTED_VALUE"""),45856.6666666666)</f>
        <v>45856.666666666599</v>
      </c>
      <c r="B361" s="2"/>
      <c r="C361" s="2"/>
      <c r="D361" s="1">
        <v>4760</v>
      </c>
      <c r="E361" s="1">
        <v>4810</v>
      </c>
      <c r="F361" s="1">
        <v>4720</v>
      </c>
      <c r="G361" s="1">
        <v>4740</v>
      </c>
      <c r="H361" s="1">
        <v>161262400</v>
      </c>
      <c r="I361" s="4">
        <f t="shared" si="10"/>
        <v>4.2372881355932203E-3</v>
      </c>
      <c r="J361" s="4">
        <f t="shared" si="11"/>
        <v>-0.22612244897959183</v>
      </c>
    </row>
    <row r="362" spans="1:10" x14ac:dyDescent="0.2">
      <c r="A362" s="2">
        <f ca="1">IFERROR(__xludf.DUMMYFUNCTION("""COMPUTED_VALUE"""),45859.6666666666)</f>
        <v>45859.666666666599</v>
      </c>
      <c r="B362" s="2"/>
      <c r="C362" s="2"/>
      <c r="D362" s="1">
        <v>4770</v>
      </c>
      <c r="E362" s="1">
        <v>4770</v>
      </c>
      <c r="F362" s="1">
        <v>4680</v>
      </c>
      <c r="G362" s="1">
        <v>4680</v>
      </c>
      <c r="H362" s="1">
        <v>103387400</v>
      </c>
      <c r="I362" s="4">
        <f t="shared" si="10"/>
        <v>-1.2658227848101266E-2</v>
      </c>
      <c r="J362" s="4">
        <f t="shared" si="11"/>
        <v>-0.23591836734693877</v>
      </c>
    </row>
    <row r="363" spans="1:10" x14ac:dyDescent="0.2">
      <c r="A363" s="2">
        <f ca="1">IFERROR(__xludf.DUMMYFUNCTION("""COMPUTED_VALUE"""),45860.6666666666)</f>
        <v>45860.666666666599</v>
      </c>
      <c r="B363" s="2"/>
      <c r="C363" s="2"/>
      <c r="D363" s="1">
        <v>4680</v>
      </c>
      <c r="E363" s="1">
        <v>4710</v>
      </c>
      <c r="F363" s="1">
        <v>4650</v>
      </c>
      <c r="G363" s="1">
        <v>4660</v>
      </c>
      <c r="H363" s="1">
        <v>132984400</v>
      </c>
      <c r="I363" s="4">
        <f t="shared" si="10"/>
        <v>-4.2735042735042739E-3</v>
      </c>
      <c r="J363" s="4">
        <f t="shared" si="11"/>
        <v>-0.23918367346938776</v>
      </c>
    </row>
    <row r="364" spans="1:10" x14ac:dyDescent="0.2">
      <c r="A364" s="2">
        <f ca="1">IFERROR(__xludf.DUMMYFUNCTION("""COMPUTED_VALUE"""),45861.6666666666)</f>
        <v>45861.666666666599</v>
      </c>
      <c r="B364" s="2"/>
      <c r="C364" s="2"/>
      <c r="D364" s="1">
        <v>4660</v>
      </c>
      <c r="E364" s="1">
        <v>4690</v>
      </c>
      <c r="F364" s="1">
        <v>4660</v>
      </c>
      <c r="G364" s="1">
        <v>4680</v>
      </c>
      <c r="H364" s="1">
        <v>115298400</v>
      </c>
      <c r="I364" s="4">
        <f t="shared" si="10"/>
        <v>4.2918454935622317E-3</v>
      </c>
      <c r="J364" s="4">
        <f t="shared" si="11"/>
        <v>-0.23591836734693877</v>
      </c>
    </row>
    <row r="365" spans="1:10" x14ac:dyDescent="0.2">
      <c r="A365" s="2">
        <f ca="1">IFERROR(__xludf.DUMMYFUNCTION("""COMPUTED_VALUE"""),45862.6666666666)</f>
        <v>45862.666666666599</v>
      </c>
      <c r="B365" s="2"/>
      <c r="C365" s="2"/>
      <c r="D365" s="1">
        <v>4690</v>
      </c>
      <c r="E365" s="1">
        <v>4840</v>
      </c>
      <c r="F365" s="1">
        <v>4680</v>
      </c>
      <c r="G365" s="1">
        <v>4800</v>
      </c>
      <c r="H365" s="1">
        <v>273623100</v>
      </c>
      <c r="I365" s="4">
        <f t="shared" si="10"/>
        <v>2.564102564102564E-2</v>
      </c>
      <c r="J365" s="4">
        <f t="shared" si="11"/>
        <v>-0.21632653061224491</v>
      </c>
    </row>
    <row r="366" spans="1:10" x14ac:dyDescent="0.2">
      <c r="A366" s="2">
        <f ca="1">IFERROR(__xludf.DUMMYFUNCTION("""COMPUTED_VALUE"""),45863.6666666666)</f>
        <v>45863.666666666599</v>
      </c>
      <c r="B366" s="2"/>
      <c r="C366" s="2"/>
      <c r="D366" s="1">
        <v>4800</v>
      </c>
      <c r="E366" s="1">
        <v>4800</v>
      </c>
      <c r="F366" s="1">
        <v>4690</v>
      </c>
      <c r="G366" s="1">
        <v>4690</v>
      </c>
      <c r="H366" s="1">
        <v>88471700</v>
      </c>
      <c r="I366" s="4">
        <f t="shared" si="10"/>
        <v>-2.2916666666666665E-2</v>
      </c>
      <c r="J366" s="4">
        <f t="shared" si="11"/>
        <v>-0.23428571428571429</v>
      </c>
    </row>
    <row r="367" spans="1:10" x14ac:dyDescent="0.2">
      <c r="A367" s="2">
        <f ca="1">IFERROR(__xludf.DUMMYFUNCTION("""COMPUTED_VALUE"""),45866.6666666666)</f>
        <v>45866.666666666599</v>
      </c>
      <c r="B367" s="2"/>
      <c r="C367" s="2"/>
      <c r="D367" s="1">
        <v>4730</v>
      </c>
      <c r="E367" s="1">
        <v>4750</v>
      </c>
      <c r="F367" s="1">
        <v>4690</v>
      </c>
      <c r="G367" s="1">
        <v>4700</v>
      </c>
      <c r="H367" s="1">
        <v>112048900</v>
      </c>
      <c r="I367" s="4">
        <f t="shared" si="10"/>
        <v>2.1321961620469083E-3</v>
      </c>
      <c r="J367" s="4">
        <f t="shared" si="11"/>
        <v>-0.23265306122448978</v>
      </c>
    </row>
    <row r="368" spans="1:10" x14ac:dyDescent="0.2">
      <c r="A368" s="2">
        <f ca="1">IFERROR(__xludf.DUMMYFUNCTION("""COMPUTED_VALUE"""),45867.6666666666)</f>
        <v>45867.666666666599</v>
      </c>
      <c r="B368" s="2"/>
      <c r="C368" s="2"/>
      <c r="D368" s="1">
        <v>4700</v>
      </c>
      <c r="E368" s="1">
        <v>4720</v>
      </c>
      <c r="F368" s="1">
        <v>4690</v>
      </c>
      <c r="G368" s="1">
        <v>4710</v>
      </c>
      <c r="H368" s="1">
        <v>74422700</v>
      </c>
      <c r="I368" s="4">
        <f t="shared" si="10"/>
        <v>2.1276595744680851E-3</v>
      </c>
      <c r="J368" s="4">
        <f t="shared" si="11"/>
        <v>-0.2310204081632653</v>
      </c>
    </row>
    <row r="369" spans="1:10" x14ac:dyDescent="0.2">
      <c r="A369" s="2">
        <f ca="1">IFERROR(__xludf.DUMMYFUNCTION("""COMPUTED_VALUE"""),45868.6666666666)</f>
        <v>45868.666666666599</v>
      </c>
      <c r="B369" s="2"/>
      <c r="C369" s="2"/>
      <c r="D369" s="1">
        <v>4710</v>
      </c>
      <c r="E369" s="1">
        <v>4720</v>
      </c>
      <c r="F369" s="1">
        <v>4620</v>
      </c>
      <c r="G369" s="1">
        <v>4620</v>
      </c>
      <c r="H369" s="1">
        <v>141263400</v>
      </c>
      <c r="I369" s="4">
        <f t="shared" si="10"/>
        <v>-1.9108280254777069E-2</v>
      </c>
      <c r="J369" s="4">
        <f t="shared" si="11"/>
        <v>-0.24571428571428572</v>
      </c>
    </row>
    <row r="370" spans="1:10" x14ac:dyDescent="0.2">
      <c r="A370" s="2">
        <f ca="1">IFERROR(__xludf.DUMMYFUNCTION("""COMPUTED_VALUE"""),45869.6666666666)</f>
        <v>45869.666666666599</v>
      </c>
      <c r="B370" s="2"/>
      <c r="C370" s="2"/>
      <c r="D370" s="1">
        <v>4610</v>
      </c>
      <c r="E370" s="1">
        <v>4640</v>
      </c>
      <c r="F370" s="1">
        <v>4510</v>
      </c>
      <c r="G370" s="1">
        <v>4510</v>
      </c>
      <c r="H370" s="1">
        <v>155903600</v>
      </c>
      <c r="I370" s="4">
        <f t="shared" si="10"/>
        <v>-2.3809523809523808E-2</v>
      </c>
      <c r="J370" s="4">
        <f t="shared" si="11"/>
        <v>-0.2636734693877551</v>
      </c>
    </row>
    <row r="371" spans="1:10" x14ac:dyDescent="0.2">
      <c r="A371" s="2">
        <f ca="1">IFERROR(__xludf.DUMMYFUNCTION("""COMPUTED_VALUE"""),45870.6666666666)</f>
        <v>45870.666666666599</v>
      </c>
      <c r="B371" s="2"/>
      <c r="C371" s="2"/>
      <c r="D371" s="1">
        <v>4570</v>
      </c>
      <c r="E371" s="1">
        <v>4610</v>
      </c>
      <c r="F371" s="1">
        <v>4510</v>
      </c>
      <c r="G371" s="1">
        <v>4530</v>
      </c>
      <c r="H371" s="1">
        <v>157949900</v>
      </c>
      <c r="I371" s="4">
        <f t="shared" si="10"/>
        <v>4.434589800443459E-3</v>
      </c>
      <c r="J371" s="4">
        <f t="shared" si="11"/>
        <v>-0.26040816326530614</v>
      </c>
    </row>
    <row r="372" spans="1:10" x14ac:dyDescent="0.2">
      <c r="A372" s="2">
        <f ca="1">IFERROR(__xludf.DUMMYFUNCTION("""COMPUTED_VALUE"""),45873.6666666666)</f>
        <v>45873.666666666599</v>
      </c>
      <c r="B372" s="2"/>
      <c r="C372" s="2"/>
      <c r="D372" s="1">
        <v>4530</v>
      </c>
      <c r="E372" s="1">
        <v>4630</v>
      </c>
      <c r="F372" s="1">
        <v>4510</v>
      </c>
      <c r="G372" s="1">
        <v>4620</v>
      </c>
      <c r="H372" s="1">
        <v>174404800</v>
      </c>
      <c r="I372" s="4">
        <f t="shared" si="10"/>
        <v>1.9867549668874173E-2</v>
      </c>
      <c r="J372" s="4">
        <f t="shared" si="11"/>
        <v>-0.24571428571428572</v>
      </c>
    </row>
    <row r="373" spans="1:10" x14ac:dyDescent="0.2">
      <c r="A373" s="2">
        <f ca="1">IFERROR(__xludf.DUMMYFUNCTION("""COMPUTED_VALUE"""),45874.6666666666)</f>
        <v>45874.666666666599</v>
      </c>
      <c r="B373" s="2"/>
      <c r="C373" s="2"/>
      <c r="D373" s="1">
        <v>4690</v>
      </c>
      <c r="E373" s="1">
        <v>4780</v>
      </c>
      <c r="F373" s="1">
        <v>4660</v>
      </c>
      <c r="G373" s="1">
        <v>4750</v>
      </c>
      <c r="H373" s="1">
        <v>277668300</v>
      </c>
      <c r="I373" s="4">
        <f t="shared" si="10"/>
        <v>2.813852813852814E-2</v>
      </c>
      <c r="J373" s="4">
        <f t="shared" si="11"/>
        <v>-0.22448979591836735</v>
      </c>
    </row>
    <row r="374" spans="1:10" x14ac:dyDescent="0.2">
      <c r="A374" s="2">
        <f ca="1">IFERROR(__xludf.DUMMYFUNCTION("""COMPUTED_VALUE"""),45875.6666666666)</f>
        <v>45875.666666666599</v>
      </c>
      <c r="B374" s="2"/>
      <c r="C374" s="2"/>
      <c r="D374" s="1">
        <v>4750</v>
      </c>
      <c r="E374" s="1">
        <v>4750</v>
      </c>
      <c r="F374" s="1">
        <v>4690</v>
      </c>
      <c r="G374" s="1">
        <v>4700</v>
      </c>
      <c r="H374" s="1">
        <v>79277900</v>
      </c>
      <c r="I374" s="4">
        <f t="shared" si="10"/>
        <v>-1.0526315789473684E-2</v>
      </c>
      <c r="J374" s="4">
        <f t="shared" si="11"/>
        <v>-0.23265306122448978</v>
      </c>
    </row>
    <row r="375" spans="1:10" x14ac:dyDescent="0.2">
      <c r="A375" s="2">
        <f ca="1">IFERROR(__xludf.DUMMYFUNCTION("""COMPUTED_VALUE"""),45876.6666666666)</f>
        <v>45876.666666666599</v>
      </c>
      <c r="B375" s="2"/>
      <c r="C375" s="2"/>
      <c r="D375" s="1">
        <v>4740</v>
      </c>
      <c r="E375" s="1">
        <v>4740</v>
      </c>
      <c r="F375" s="1">
        <v>4680</v>
      </c>
      <c r="G375" s="1">
        <v>4680</v>
      </c>
      <c r="H375" s="1">
        <v>61453100</v>
      </c>
      <c r="I375" s="4">
        <f t="shared" si="10"/>
        <v>-4.2553191489361703E-3</v>
      </c>
      <c r="J375" s="4">
        <f t="shared" si="11"/>
        <v>-0.23591836734693877</v>
      </c>
    </row>
    <row r="376" spans="1:10" x14ac:dyDescent="0.2">
      <c r="A376" s="2">
        <f ca="1">IFERROR(__xludf.DUMMYFUNCTION("""COMPUTED_VALUE"""),45877.6666666666)</f>
        <v>45877.666666666599</v>
      </c>
      <c r="B376" s="2"/>
      <c r="C376" s="2"/>
      <c r="D376" s="1">
        <v>4680</v>
      </c>
      <c r="E376" s="1">
        <v>4700</v>
      </c>
      <c r="F376" s="1">
        <v>4660</v>
      </c>
      <c r="G376" s="1">
        <v>4670</v>
      </c>
      <c r="H376" s="1">
        <v>71516700</v>
      </c>
      <c r="I376" s="4">
        <f t="shared" si="10"/>
        <v>-2.136752136752137E-3</v>
      </c>
      <c r="J376" s="4">
        <f t="shared" si="11"/>
        <v>-0.23755102040816325</v>
      </c>
    </row>
    <row r="377" spans="1:10" x14ac:dyDescent="0.2">
      <c r="A377" s="2">
        <f ca="1">IFERROR(__xludf.DUMMYFUNCTION("""COMPUTED_VALUE"""),45880.6666666666)</f>
        <v>45880.666666666599</v>
      </c>
      <c r="B377" s="2"/>
      <c r="C377" s="2"/>
      <c r="D377" s="1">
        <v>4710</v>
      </c>
      <c r="E377" s="1">
        <v>4780</v>
      </c>
      <c r="F377" s="1">
        <v>4700</v>
      </c>
      <c r="G377" s="1">
        <v>4720</v>
      </c>
      <c r="H377" s="1">
        <v>105204200</v>
      </c>
      <c r="I377" s="4">
        <f t="shared" si="10"/>
        <v>1.0706638115631691E-2</v>
      </c>
      <c r="J377" s="4">
        <f t="shared" si="11"/>
        <v>-0.22938775510204082</v>
      </c>
    </row>
    <row r="378" spans="1:10" x14ac:dyDescent="0.2">
      <c r="A378" s="2">
        <f ca="1">IFERROR(__xludf.DUMMYFUNCTION("""COMPUTED_VALUE"""),45881.6666666666)</f>
        <v>45881.666666666599</v>
      </c>
      <c r="B378" s="2"/>
      <c r="C378" s="2"/>
      <c r="D378" s="1">
        <v>4770</v>
      </c>
      <c r="E378" s="1">
        <v>4920</v>
      </c>
      <c r="F378" s="1">
        <v>4750</v>
      </c>
      <c r="G378" s="1">
        <v>4910</v>
      </c>
      <c r="H378" s="1">
        <v>301599000</v>
      </c>
      <c r="I378" s="4">
        <f t="shared" si="10"/>
        <v>4.025423728813559E-2</v>
      </c>
      <c r="J378" s="4">
        <f t="shared" si="11"/>
        <v>-0.1983673469387755</v>
      </c>
    </row>
    <row r="379" spans="1:10" x14ac:dyDescent="0.2">
      <c r="A379" s="2">
        <f ca="1">IFERROR(__xludf.DUMMYFUNCTION("""COMPUTED_VALUE"""),45882.6666666666)</f>
        <v>45882.666666666599</v>
      </c>
      <c r="B379" s="2"/>
      <c r="C379" s="2"/>
      <c r="D379" s="1">
        <v>4930</v>
      </c>
      <c r="E379" s="1">
        <v>4970</v>
      </c>
      <c r="F379" s="1">
        <v>4860</v>
      </c>
      <c r="G379" s="1">
        <v>4870</v>
      </c>
      <c r="H379" s="1">
        <v>180844900</v>
      </c>
      <c r="I379" s="4">
        <f t="shared" si="10"/>
        <v>-8.1466395112016286E-3</v>
      </c>
      <c r="J379" s="4">
        <f t="shared" si="11"/>
        <v>-0.20489795918367346</v>
      </c>
    </row>
    <row r="380" spans="1:10" x14ac:dyDescent="0.2">
      <c r="A380" s="2">
        <f ca="1">IFERROR(__xludf.DUMMYFUNCTION("""COMPUTED_VALUE"""),45883.6666666666)</f>
        <v>45883.666666666599</v>
      </c>
      <c r="B380" s="2"/>
      <c r="C380" s="2"/>
      <c r="D380" s="1">
        <v>4910</v>
      </c>
      <c r="E380" s="1">
        <v>4930</v>
      </c>
      <c r="F380" s="1">
        <v>4840</v>
      </c>
      <c r="G380" s="1">
        <v>4850</v>
      </c>
      <c r="H380" s="1">
        <v>109457100</v>
      </c>
      <c r="I380" s="4">
        <f t="shared" si="10"/>
        <v>-4.1067761806981521E-3</v>
      </c>
      <c r="J380" s="4">
        <f t="shared" si="11"/>
        <v>-0.20816326530612245</v>
      </c>
    </row>
    <row r="381" spans="1:10" x14ac:dyDescent="0.2">
      <c r="A381" s="2">
        <f ca="1">IFERROR(__xludf.DUMMYFUNCTION("""COMPUTED_VALUE"""),45884.6666666666)</f>
        <v>45884.666666666599</v>
      </c>
      <c r="B381" s="2"/>
      <c r="C381" s="2"/>
      <c r="D381" s="1">
        <v>4890</v>
      </c>
      <c r="E381" s="1">
        <v>4930</v>
      </c>
      <c r="F381" s="1">
        <v>4850</v>
      </c>
      <c r="G381" s="1">
        <v>4850</v>
      </c>
      <c r="H381" s="1">
        <v>126685400</v>
      </c>
      <c r="I381" s="4">
        <f t="shared" si="10"/>
        <v>0</v>
      </c>
      <c r="J381" s="4">
        <f t="shared" si="11"/>
        <v>-0.20816326530612245</v>
      </c>
    </row>
    <row r="382" spans="1:10" x14ac:dyDescent="0.2">
      <c r="A382" s="2">
        <f ca="1">IFERROR(__xludf.DUMMYFUNCTION("""COMPUTED_VALUE"""),45888.6666666666)</f>
        <v>45888.666666666599</v>
      </c>
      <c r="B382" s="2"/>
      <c r="C382" s="2"/>
      <c r="D382" s="1">
        <v>4860</v>
      </c>
      <c r="E382" s="1">
        <v>4870</v>
      </c>
      <c r="F382" s="1">
        <v>4780</v>
      </c>
      <c r="G382" s="1">
        <v>4800</v>
      </c>
      <c r="H382" s="1">
        <v>116454000</v>
      </c>
      <c r="I382" s="4">
        <f t="shared" si="10"/>
        <v>-1.0309278350515464E-2</v>
      </c>
      <c r="J382" s="4">
        <f t="shared" si="11"/>
        <v>-0.21632653061224491</v>
      </c>
    </row>
    <row r="383" spans="1:10" x14ac:dyDescent="0.2">
      <c r="A383" s="2">
        <f ca="1">IFERROR(__xludf.DUMMYFUNCTION("""COMPUTED_VALUE"""),45889.6666666666)</f>
        <v>45889.666666666599</v>
      </c>
      <c r="B383" s="2"/>
      <c r="C383" s="2"/>
      <c r="D383" s="1">
        <v>4790</v>
      </c>
      <c r="E383" s="1">
        <v>4950</v>
      </c>
      <c r="F383" s="1">
        <v>4780</v>
      </c>
      <c r="G383" s="1">
        <v>4950</v>
      </c>
      <c r="H383" s="1">
        <v>144622900</v>
      </c>
      <c r="I383" s="4">
        <f t="shared" si="10"/>
        <v>3.125E-2</v>
      </c>
      <c r="J383" s="4">
        <f t="shared" si="11"/>
        <v>-0.19183673469387755</v>
      </c>
    </row>
    <row r="384" spans="1:10" x14ac:dyDescent="0.2">
      <c r="A384" s="2">
        <f ca="1">IFERROR(__xludf.DUMMYFUNCTION("""COMPUTED_VALUE"""),45890.6666666666)</f>
        <v>45890.666666666599</v>
      </c>
      <c r="B384" s="2"/>
      <c r="C384" s="2"/>
      <c r="D384" s="1">
        <v>4950</v>
      </c>
      <c r="E384" s="1">
        <v>4950</v>
      </c>
      <c r="F384" s="1">
        <v>4860</v>
      </c>
      <c r="G384" s="1">
        <v>4900</v>
      </c>
      <c r="H384" s="1">
        <v>132019200</v>
      </c>
      <c r="I384" s="4">
        <f t="shared" si="10"/>
        <v>-1.0101010101010102E-2</v>
      </c>
      <c r="J384" s="4">
        <f t="shared" si="11"/>
        <v>-0.2</v>
      </c>
    </row>
    <row r="385" spans="1:10" x14ac:dyDescent="0.2">
      <c r="A385" s="2">
        <f ca="1">IFERROR(__xludf.DUMMYFUNCTION("""COMPUTED_VALUE"""),45891.6666666666)</f>
        <v>45891.666666666599</v>
      </c>
      <c r="B385" s="2"/>
      <c r="C385" s="2"/>
      <c r="D385" s="1">
        <v>4920</v>
      </c>
      <c r="E385" s="1">
        <v>4920</v>
      </c>
      <c r="F385" s="1">
        <v>4870</v>
      </c>
      <c r="G385" s="1">
        <v>4890</v>
      </c>
      <c r="H385" s="1">
        <v>73104500</v>
      </c>
      <c r="I385" s="4">
        <f t="shared" si="10"/>
        <v>-2.0408163265306124E-3</v>
      </c>
      <c r="J385" s="4">
        <f t="shared" si="11"/>
        <v>-0.20163265306122449</v>
      </c>
    </row>
    <row r="386" spans="1:10" x14ac:dyDescent="0.2">
      <c r="A386" s="2">
        <f ca="1">IFERROR(__xludf.DUMMYFUNCTION("""COMPUTED_VALUE"""),45894.6666666666)</f>
        <v>45894.666666666599</v>
      </c>
      <c r="B386" s="2"/>
      <c r="C386" s="2"/>
      <c r="D386" s="1">
        <v>4950</v>
      </c>
      <c r="E386" s="1">
        <v>4980</v>
      </c>
      <c r="F386" s="1">
        <v>4920</v>
      </c>
      <c r="G386" s="1">
        <v>4950</v>
      </c>
      <c r="H386" s="1">
        <v>149580800</v>
      </c>
      <c r="I386" s="4">
        <f t="shared" si="10"/>
        <v>1.2269938650306749E-2</v>
      </c>
      <c r="J386" s="4">
        <f t="shared" si="11"/>
        <v>-0.19183673469387755</v>
      </c>
    </row>
    <row r="387" spans="1:10" x14ac:dyDescent="0.2">
      <c r="A387" s="2">
        <f ca="1">IFERROR(__xludf.DUMMYFUNCTION("""COMPUTED_VALUE"""),45895.6666666666)</f>
        <v>45895.666666666599</v>
      </c>
      <c r="B387" s="2"/>
      <c r="C387" s="2"/>
      <c r="D387" s="1">
        <v>4950</v>
      </c>
      <c r="E387" s="1">
        <v>4950</v>
      </c>
      <c r="F387" s="1">
        <v>4860</v>
      </c>
      <c r="G387" s="1">
        <v>4900</v>
      </c>
      <c r="H387" s="1">
        <v>308891700</v>
      </c>
      <c r="I387" s="4">
        <f t="shared" si="10"/>
        <v>-1.0101010101010102E-2</v>
      </c>
      <c r="J387" s="4">
        <f t="shared" si="11"/>
        <v>-0.2</v>
      </c>
    </row>
    <row r="388" spans="1:10" x14ac:dyDescent="0.2">
      <c r="A388" s="2">
        <f ca="1">IFERROR(__xludf.DUMMYFUNCTION("""COMPUTED_VALUE"""),45896.6666666666)</f>
        <v>45896.666666666599</v>
      </c>
      <c r="B388" s="2"/>
      <c r="C388" s="2"/>
      <c r="D388" s="1">
        <v>4840</v>
      </c>
      <c r="E388" s="1">
        <v>4880</v>
      </c>
      <c r="F388" s="1">
        <v>4800</v>
      </c>
      <c r="G388" s="1">
        <v>4800</v>
      </c>
      <c r="H388" s="1">
        <v>113576300</v>
      </c>
      <c r="I388" s="4">
        <f t="shared" ref="I388:I451" si="12">(G388-G387)/G387</f>
        <v>-2.0408163265306121E-2</v>
      </c>
      <c r="J388" s="4">
        <f t="shared" ref="J388:J451" si="13">(G388-$G$2)/$G$2</f>
        <v>-0.21632653061224491</v>
      </c>
    </row>
    <row r="389" spans="1:10" x14ac:dyDescent="0.2">
      <c r="A389" s="2">
        <f ca="1">IFERROR(__xludf.DUMMYFUNCTION("""COMPUTED_VALUE"""),45897.6666666666)</f>
        <v>45897.666666666599</v>
      </c>
      <c r="B389" s="2"/>
      <c r="C389" s="2"/>
      <c r="D389" s="1">
        <v>4790</v>
      </c>
      <c r="E389" s="1">
        <v>4850</v>
      </c>
      <c r="F389" s="1">
        <v>4770</v>
      </c>
      <c r="G389" s="1">
        <v>4770</v>
      </c>
      <c r="H389" s="1">
        <v>111707400</v>
      </c>
      <c r="I389" s="4">
        <f t="shared" si="12"/>
        <v>-6.2500000000000003E-3</v>
      </c>
      <c r="J389" s="4">
        <f t="shared" si="13"/>
        <v>-0.22122448979591836</v>
      </c>
    </row>
    <row r="390" spans="1:10" x14ac:dyDescent="0.2">
      <c r="A390" s="2">
        <f ca="1">IFERROR(__xludf.DUMMYFUNCTION("""COMPUTED_VALUE"""),45898.6666666666)</f>
        <v>45898.666666666599</v>
      </c>
      <c r="B390" s="2"/>
      <c r="C390" s="2"/>
      <c r="D390" s="1">
        <v>4720</v>
      </c>
      <c r="E390" s="1">
        <v>4750</v>
      </c>
      <c r="F390" s="1">
        <v>4660</v>
      </c>
      <c r="G390" s="1">
        <v>4730</v>
      </c>
      <c r="H390" s="1">
        <v>176485100</v>
      </c>
      <c r="I390" s="4">
        <f t="shared" si="12"/>
        <v>-8.385744234800839E-3</v>
      </c>
      <c r="J390" s="4">
        <f t="shared" si="13"/>
        <v>-0.22775510204081634</v>
      </c>
    </row>
    <row r="391" spans="1:10" x14ac:dyDescent="0.2">
      <c r="A391" s="2">
        <f ca="1">IFERROR(__xludf.DUMMYFUNCTION("""COMPUTED_VALUE"""),45901.6666666666)</f>
        <v>45901.666666666599</v>
      </c>
      <c r="B391" s="2"/>
      <c r="C391" s="2"/>
      <c r="D391" s="1">
        <v>4550</v>
      </c>
      <c r="E391" s="1">
        <v>4670</v>
      </c>
      <c r="F391" s="1">
        <v>4460</v>
      </c>
      <c r="G391" s="1">
        <v>4600</v>
      </c>
      <c r="H391" s="1">
        <v>320335300</v>
      </c>
      <c r="I391" s="4">
        <f t="shared" si="12"/>
        <v>-2.748414376321353E-2</v>
      </c>
      <c r="J391" s="4">
        <f t="shared" si="13"/>
        <v>-0.24897959183673468</v>
      </c>
    </row>
    <row r="392" spans="1:10" x14ac:dyDescent="0.2">
      <c r="A392" s="2">
        <f ca="1">IFERROR(__xludf.DUMMYFUNCTION("""COMPUTED_VALUE"""),45902.6666666666)</f>
        <v>45902.666666666599</v>
      </c>
      <c r="B392" s="2"/>
      <c r="C392" s="2"/>
      <c r="D392" s="1">
        <v>4610</v>
      </c>
      <c r="E392" s="1">
        <v>4670</v>
      </c>
      <c r="F392" s="1">
        <v>4560</v>
      </c>
      <c r="G392" s="1">
        <v>4570</v>
      </c>
      <c r="H392" s="1">
        <v>150045600</v>
      </c>
      <c r="I392" s="4">
        <f t="shared" si="12"/>
        <v>-6.5217391304347823E-3</v>
      </c>
      <c r="J392" s="4">
        <f t="shared" si="13"/>
        <v>-0.25387755102040815</v>
      </c>
    </row>
    <row r="393" spans="1:10" x14ac:dyDescent="0.2">
      <c r="A393" s="2">
        <f ca="1">IFERROR(__xludf.DUMMYFUNCTION("""COMPUTED_VALUE"""),45903.6666666666)</f>
        <v>45903.666666666599</v>
      </c>
      <c r="B393" s="2"/>
      <c r="C393" s="2"/>
      <c r="D393" s="1">
        <v>4620</v>
      </c>
      <c r="E393" s="1">
        <v>4660</v>
      </c>
      <c r="F393" s="1">
        <v>4570</v>
      </c>
      <c r="G393" s="1">
        <v>4620</v>
      </c>
      <c r="H393" s="1">
        <v>131617900</v>
      </c>
      <c r="I393" s="4">
        <f t="shared" si="12"/>
        <v>1.0940919037199124E-2</v>
      </c>
      <c r="J393" s="4">
        <f t="shared" si="13"/>
        <v>-0.24571428571428572</v>
      </c>
    </row>
    <row r="394" spans="1:10" x14ac:dyDescent="0.2">
      <c r="A394" s="2">
        <f ca="1">IFERROR(__xludf.DUMMYFUNCTION("""COMPUTED_VALUE"""),45904.6666666666)</f>
        <v>45904.666666666599</v>
      </c>
      <c r="B394" s="2"/>
      <c r="C394" s="2"/>
      <c r="D394" s="1">
        <v>4630</v>
      </c>
      <c r="E394" s="1">
        <v>4680</v>
      </c>
      <c r="F394" s="1">
        <v>4620</v>
      </c>
      <c r="G394" s="1">
        <v>4680</v>
      </c>
      <c r="H394" s="1">
        <v>88735300</v>
      </c>
      <c r="I394" s="4">
        <f t="shared" si="12"/>
        <v>1.2987012987012988E-2</v>
      </c>
      <c r="J394" s="4">
        <f t="shared" si="13"/>
        <v>-0.23591836734693877</v>
      </c>
    </row>
    <row r="395" spans="1:10" x14ac:dyDescent="0.2">
      <c r="A395" s="2">
        <f ca="1">IFERROR(__xludf.DUMMYFUNCTION("""COMPUTED_VALUE"""),45908.6666666666)</f>
        <v>45908.666666666599</v>
      </c>
      <c r="B395" s="2"/>
      <c r="C395" s="2"/>
      <c r="D395" s="1">
        <v>4750</v>
      </c>
      <c r="E395" s="1">
        <v>4750</v>
      </c>
      <c r="F395" s="1">
        <v>4460</v>
      </c>
      <c r="G395" s="1">
        <v>4490</v>
      </c>
      <c r="H395" s="1">
        <v>200234500</v>
      </c>
      <c r="I395" s="4">
        <f t="shared" si="12"/>
        <v>-4.05982905982906E-2</v>
      </c>
      <c r="J395" s="4">
        <f t="shared" si="13"/>
        <v>-0.26693877551020406</v>
      </c>
    </row>
    <row r="396" spans="1:10" x14ac:dyDescent="0.2">
      <c r="A396" s="2">
        <f ca="1">IFERROR(__xludf.DUMMYFUNCTION("""COMPUTED_VALUE"""),45909.6666666666)</f>
        <v>45909.666666666599</v>
      </c>
      <c r="B396" s="2"/>
      <c r="C396" s="2"/>
      <c r="D396" s="1">
        <v>4450</v>
      </c>
      <c r="E396" s="1">
        <v>4480</v>
      </c>
      <c r="F396" s="1">
        <v>4310</v>
      </c>
      <c r="G396" s="1">
        <v>4310</v>
      </c>
      <c r="H396" s="1">
        <v>509366600</v>
      </c>
      <c r="I396" s="4">
        <f t="shared" si="12"/>
        <v>-4.0089086859688199E-2</v>
      </c>
      <c r="J396" s="4">
        <f t="shared" si="13"/>
        <v>-0.2963265306122449</v>
      </c>
    </row>
    <row r="397" spans="1:10" x14ac:dyDescent="0.2">
      <c r="A397" s="2">
        <f ca="1">IFERROR(__xludf.DUMMYFUNCTION("""COMPUTED_VALUE"""),45910.6666666666)</f>
        <v>45910.666666666599</v>
      </c>
      <c r="B397" s="2"/>
      <c r="C397" s="2"/>
      <c r="D397" s="1">
        <v>4400</v>
      </c>
      <c r="E397" s="1">
        <v>4400</v>
      </c>
      <c r="F397" s="1">
        <v>4400</v>
      </c>
      <c r="G397" s="1">
        <v>4400</v>
      </c>
      <c r="H397" s="1">
        <v>801400</v>
      </c>
      <c r="I397" s="4">
        <f t="shared" si="12"/>
        <v>2.0881670533642691E-2</v>
      </c>
      <c r="J397" s="4">
        <f t="shared" si="13"/>
        <v>-0.28163265306122448</v>
      </c>
    </row>
    <row r="398" spans="1:10" x14ac:dyDescent="0.2">
      <c r="A398" s="2">
        <f ca="1">IFERROR(__xludf.DUMMYFUNCTION("""COMPUTED_VALUE"""),45911.6666666666)</f>
        <v>45911.666666666599</v>
      </c>
      <c r="B398" s="2"/>
      <c r="C398" s="2"/>
      <c r="D398" s="1">
        <v>4480</v>
      </c>
      <c r="E398" s="1">
        <v>4540</v>
      </c>
      <c r="F398" s="1">
        <v>4450</v>
      </c>
      <c r="G398" s="1">
        <v>4480</v>
      </c>
      <c r="H398" s="1">
        <v>366697800</v>
      </c>
      <c r="I398" s="4">
        <f t="shared" si="12"/>
        <v>1.8181818181818181E-2</v>
      </c>
      <c r="J398" s="4">
        <f t="shared" si="13"/>
        <v>-0.26857142857142857</v>
      </c>
    </row>
    <row r="399" spans="1:10" x14ac:dyDescent="0.2">
      <c r="A399" s="2">
        <f ca="1">IFERROR(__xludf.DUMMYFUNCTION("""COMPUTED_VALUE"""),45912.6666666666)</f>
        <v>45912.666666666599</v>
      </c>
      <c r="B399" s="2"/>
      <c r="C399" s="2"/>
      <c r="D399" s="1">
        <v>4500</v>
      </c>
      <c r="E399" s="1">
        <v>4550</v>
      </c>
      <c r="F399" s="1">
        <v>4480</v>
      </c>
      <c r="G399" s="1">
        <v>4520</v>
      </c>
      <c r="H399" s="1">
        <v>216960200</v>
      </c>
      <c r="I399" s="4">
        <f t="shared" si="12"/>
        <v>8.9285714285714281E-3</v>
      </c>
      <c r="J399" s="4">
        <f t="shared" si="13"/>
        <v>-0.26204081632653059</v>
      </c>
    </row>
    <row r="400" spans="1:10" x14ac:dyDescent="0.2">
      <c r="A400" s="2">
        <f ca="1">IFERROR(__xludf.DUMMYFUNCTION("""COMPUTED_VALUE"""),45915.6666666666)</f>
        <v>45915.666666666599</v>
      </c>
      <c r="B400" s="2"/>
      <c r="C400" s="2"/>
      <c r="D400" s="1">
        <v>4550</v>
      </c>
      <c r="E400" s="1">
        <v>4640</v>
      </c>
      <c r="F400" s="1">
        <v>4520</v>
      </c>
      <c r="G400" s="1">
        <v>4530</v>
      </c>
      <c r="H400" s="1">
        <v>231346000</v>
      </c>
      <c r="I400" s="4">
        <f t="shared" si="12"/>
        <v>2.2123893805309734E-3</v>
      </c>
      <c r="J400" s="4">
        <f t="shared" si="13"/>
        <v>-0.26040816326530614</v>
      </c>
    </row>
    <row r="401" spans="1:10" x14ac:dyDescent="0.2">
      <c r="A401" s="2">
        <f ca="1">IFERROR(__xludf.DUMMYFUNCTION("""COMPUTED_VALUE"""),45916.6666666666)</f>
        <v>45916.666666666599</v>
      </c>
      <c r="B401" s="2"/>
      <c r="C401" s="2"/>
      <c r="D401" s="1">
        <v>4570</v>
      </c>
      <c r="E401" s="1">
        <v>4570</v>
      </c>
      <c r="F401" s="1">
        <v>4460</v>
      </c>
      <c r="G401" s="1">
        <v>4480</v>
      </c>
      <c r="H401" s="1">
        <v>122027400</v>
      </c>
      <c r="I401" s="4">
        <f t="shared" si="12"/>
        <v>-1.1037527593818985E-2</v>
      </c>
      <c r="J401" s="4">
        <f t="shared" si="13"/>
        <v>-0.26857142857142857</v>
      </c>
    </row>
    <row r="402" spans="1:10" x14ac:dyDescent="0.2">
      <c r="A402" s="2">
        <f ca="1">IFERROR(__xludf.DUMMYFUNCTION("""COMPUTED_VALUE"""),45917.6666666666)</f>
        <v>45917.666666666599</v>
      </c>
      <c r="B402" s="2"/>
      <c r="C402" s="2"/>
      <c r="D402" s="1">
        <v>4480</v>
      </c>
      <c r="E402" s="1">
        <v>4520</v>
      </c>
      <c r="F402" s="1">
        <v>4440</v>
      </c>
      <c r="G402" s="1">
        <v>4510</v>
      </c>
      <c r="H402" s="1">
        <v>232702500</v>
      </c>
      <c r="I402" s="4">
        <f t="shared" si="12"/>
        <v>6.6964285714285711E-3</v>
      </c>
      <c r="J402" s="4">
        <f t="shared" si="13"/>
        <v>-0.2636734693877551</v>
      </c>
    </row>
    <row r="403" spans="1:10" x14ac:dyDescent="0.2">
      <c r="A403" s="2">
        <f ca="1">IFERROR(__xludf.DUMMYFUNCTION("""COMPUTED_VALUE"""),45918.6666666666)</f>
        <v>45918.666666666599</v>
      </c>
      <c r="B403" s="2"/>
      <c r="C403" s="2"/>
      <c r="D403" s="1">
        <v>4540</v>
      </c>
      <c r="E403" s="1">
        <v>4550</v>
      </c>
      <c r="F403" s="1">
        <v>4420</v>
      </c>
      <c r="G403" s="1">
        <v>4420</v>
      </c>
      <c r="H403" s="1">
        <v>177560000</v>
      </c>
      <c r="I403" s="4">
        <f t="shared" si="12"/>
        <v>-1.9955654101995565E-2</v>
      </c>
      <c r="J403" s="4">
        <f t="shared" si="13"/>
        <v>-0.27836734693877552</v>
      </c>
    </row>
    <row r="404" spans="1:10" x14ac:dyDescent="0.2">
      <c r="A404" s="2">
        <f ca="1">IFERROR(__xludf.DUMMYFUNCTION("""COMPUTED_VALUE"""),45919.6666666666)</f>
        <v>45919.666666666599</v>
      </c>
      <c r="B404" s="2"/>
      <c r="C404" s="2"/>
      <c r="D404" s="1">
        <v>4350</v>
      </c>
      <c r="E404" s="1">
        <v>4420</v>
      </c>
      <c r="F404" s="1">
        <v>4330</v>
      </c>
      <c r="G404" s="1">
        <v>4380</v>
      </c>
      <c r="H404" s="1">
        <v>235975900</v>
      </c>
      <c r="I404" s="4">
        <f t="shared" si="12"/>
        <v>-9.0497737556561094E-3</v>
      </c>
      <c r="J404" s="4">
        <f t="shared" si="13"/>
        <v>-0.28489795918367344</v>
      </c>
    </row>
    <row r="405" spans="1:10" x14ac:dyDescent="0.2">
      <c r="A405" s="2">
        <f ca="1">IFERROR(__xludf.DUMMYFUNCTION("""COMPUTED_VALUE"""),45922.6666666666)</f>
        <v>45922.666666666599</v>
      </c>
      <c r="B405" s="2"/>
      <c r="C405" s="2"/>
      <c r="D405" s="1">
        <v>4410</v>
      </c>
      <c r="E405" s="1">
        <v>4420</v>
      </c>
      <c r="F405" s="1">
        <v>4360</v>
      </c>
      <c r="G405" s="1">
        <v>4420</v>
      </c>
      <c r="H405" s="1">
        <v>107176100</v>
      </c>
      <c r="I405" s="4">
        <f t="shared" si="12"/>
        <v>9.1324200913242004E-3</v>
      </c>
      <c r="J405" s="4">
        <f t="shared" si="13"/>
        <v>-0.27836734693877552</v>
      </c>
    </row>
    <row r="406" spans="1:10" x14ac:dyDescent="0.2">
      <c r="A406" s="2">
        <f ca="1">IFERROR(__xludf.DUMMYFUNCTION("""COMPUTED_VALUE"""),45923.6666666666)</f>
        <v>45923.666666666599</v>
      </c>
      <c r="B406" s="2"/>
      <c r="C406" s="2"/>
      <c r="D406" s="1">
        <v>4390</v>
      </c>
      <c r="E406" s="1">
        <v>4430</v>
      </c>
      <c r="F406" s="1">
        <v>4370</v>
      </c>
      <c r="G406" s="1">
        <v>4410</v>
      </c>
      <c r="H406" s="1">
        <v>90675500</v>
      </c>
      <c r="I406" s="4">
        <f t="shared" si="12"/>
        <v>-2.2624434389140274E-3</v>
      </c>
      <c r="J406" s="4">
        <f t="shared" si="13"/>
        <v>-0.28000000000000003</v>
      </c>
    </row>
    <row r="407" spans="1:10" x14ac:dyDescent="0.2">
      <c r="A407" s="2">
        <f ca="1">IFERROR(__xludf.DUMMYFUNCTION("""COMPUTED_VALUE"""),45924.6666666666)</f>
        <v>45924.666666666599</v>
      </c>
      <c r="B407" s="2"/>
      <c r="C407" s="2"/>
      <c r="D407" s="1">
        <v>4410</v>
      </c>
      <c r="E407" s="1">
        <v>4430</v>
      </c>
      <c r="F407" s="1">
        <v>4390</v>
      </c>
      <c r="G407" s="1">
        <v>4390</v>
      </c>
      <c r="H407" s="1">
        <v>85439100</v>
      </c>
      <c r="I407" s="4">
        <f t="shared" si="12"/>
        <v>-4.5351473922902496E-3</v>
      </c>
      <c r="J407" s="4">
        <f t="shared" si="13"/>
        <v>-0.28326530612244899</v>
      </c>
    </row>
    <row r="408" spans="1:10" x14ac:dyDescent="0.2">
      <c r="A408" s="2">
        <f ca="1">IFERROR(__xludf.DUMMYFUNCTION("""COMPUTED_VALUE"""),45925.6666666666)</f>
        <v>45925.666666666599</v>
      </c>
      <c r="B408" s="2"/>
      <c r="C408" s="2"/>
      <c r="D408" s="1">
        <v>4400</v>
      </c>
      <c r="E408" s="1">
        <v>4410</v>
      </c>
      <c r="F408" s="1">
        <v>4360</v>
      </c>
      <c r="G408" s="1">
        <v>4360</v>
      </c>
      <c r="H408" s="1">
        <v>73946900</v>
      </c>
      <c r="I408" s="4">
        <f t="shared" si="12"/>
        <v>-6.8337129840546698E-3</v>
      </c>
      <c r="J408" s="4">
        <f t="shared" si="13"/>
        <v>-0.28816326530612246</v>
      </c>
    </row>
    <row r="409" spans="1:10" x14ac:dyDescent="0.2">
      <c r="A409" s="2">
        <f ca="1">IFERROR(__xludf.DUMMYFUNCTION("""COMPUTED_VALUE"""),45926.6666666666)</f>
        <v>45926.666666666599</v>
      </c>
      <c r="B409" s="2"/>
      <c r="C409" s="2"/>
      <c r="D409" s="1">
        <v>4350</v>
      </c>
      <c r="E409" s="1">
        <v>4430</v>
      </c>
      <c r="F409" s="1">
        <v>4350</v>
      </c>
      <c r="G409" s="1">
        <v>4420</v>
      </c>
      <c r="H409" s="1">
        <v>86572900</v>
      </c>
      <c r="I409" s="4">
        <f t="shared" si="12"/>
        <v>1.3761467889908258E-2</v>
      </c>
      <c r="J409" s="4">
        <f t="shared" si="13"/>
        <v>-0.27836734693877552</v>
      </c>
    </row>
    <row r="410" spans="1:10" x14ac:dyDescent="0.2">
      <c r="A410" s="2">
        <f ca="1">IFERROR(__xludf.DUMMYFUNCTION("""COMPUTED_VALUE"""),45929.6666666666)</f>
        <v>45929.666666666599</v>
      </c>
      <c r="B410" s="2"/>
      <c r="C410" s="2"/>
      <c r="D410" s="1">
        <v>4420</v>
      </c>
      <c r="E410" s="1">
        <v>4430</v>
      </c>
      <c r="F410" s="1">
        <v>4400</v>
      </c>
      <c r="G410" s="1">
        <v>4400</v>
      </c>
      <c r="H410" s="1">
        <v>63753600</v>
      </c>
      <c r="I410" s="4">
        <f t="shared" si="12"/>
        <v>-4.5248868778280547E-3</v>
      </c>
      <c r="J410" s="4">
        <f t="shared" si="13"/>
        <v>-0.28163265306122448</v>
      </c>
    </row>
    <row r="411" spans="1:10" x14ac:dyDescent="0.2">
      <c r="A411" s="2">
        <f ca="1">IFERROR(__xludf.DUMMYFUNCTION("""COMPUTED_VALUE"""),45930.6666666666)</f>
        <v>45930.666666666599</v>
      </c>
      <c r="B411" s="2"/>
      <c r="C411" s="2"/>
      <c r="D411" s="1">
        <v>4420</v>
      </c>
      <c r="E411" s="1">
        <v>4450</v>
      </c>
      <c r="F411" s="1">
        <v>4380</v>
      </c>
      <c r="G411" s="1">
        <v>4400</v>
      </c>
      <c r="H411" s="1">
        <v>108639600</v>
      </c>
      <c r="I411" s="4">
        <f t="shared" si="12"/>
        <v>0</v>
      </c>
      <c r="J411" s="4">
        <f t="shared" si="13"/>
        <v>-0.28163265306122448</v>
      </c>
    </row>
    <row r="412" spans="1:10" x14ac:dyDescent="0.2">
      <c r="A412" s="2">
        <f ca="1">IFERROR(__xludf.DUMMYFUNCTION("""COMPUTED_VALUE"""),45931.6666666666)</f>
        <v>45931.666666666599</v>
      </c>
      <c r="B412" s="2"/>
      <c r="C412" s="2"/>
      <c r="D412" s="1">
        <v>4360</v>
      </c>
      <c r="E412" s="1">
        <v>4400</v>
      </c>
      <c r="F412" s="1">
        <v>4350</v>
      </c>
      <c r="G412" s="1">
        <v>4380</v>
      </c>
      <c r="H412" s="1">
        <v>92265100</v>
      </c>
      <c r="I412" s="4">
        <f t="shared" si="12"/>
        <v>-4.5454545454545452E-3</v>
      </c>
      <c r="J412" s="4">
        <f t="shared" si="13"/>
        <v>-0.28489795918367344</v>
      </c>
    </row>
    <row r="413" spans="1:10" x14ac:dyDescent="0.2">
      <c r="A413" s="2">
        <f ca="1">IFERROR(__xludf.DUMMYFUNCTION("""COMPUTED_VALUE"""),45932.6666666666)</f>
        <v>45932.666666666599</v>
      </c>
      <c r="B413" s="2"/>
      <c r="C413" s="2"/>
      <c r="D413" s="1">
        <v>4410</v>
      </c>
      <c r="E413" s="1">
        <v>4440</v>
      </c>
      <c r="F413" s="1">
        <v>4360</v>
      </c>
      <c r="G413" s="1">
        <v>4360</v>
      </c>
      <c r="H413" s="1">
        <v>93387400</v>
      </c>
      <c r="I413" s="4">
        <f t="shared" si="12"/>
        <v>-4.5662100456621002E-3</v>
      </c>
      <c r="J413" s="4">
        <f t="shared" si="13"/>
        <v>-0.28816326530612246</v>
      </c>
    </row>
    <row r="414" spans="1:10" x14ac:dyDescent="0.2">
      <c r="A414" s="2">
        <f ca="1">IFERROR(__xludf.DUMMYFUNCTION("""COMPUTED_VALUE"""),45933.6666666666)</f>
        <v>45933.666666666599</v>
      </c>
      <c r="B414" s="2"/>
      <c r="C414" s="2"/>
      <c r="D414" s="1">
        <v>4370</v>
      </c>
      <c r="E414" s="1">
        <v>4380</v>
      </c>
      <c r="F414" s="1">
        <v>4300</v>
      </c>
      <c r="G414" s="1">
        <v>4310</v>
      </c>
      <c r="H414" s="1">
        <v>102459100</v>
      </c>
      <c r="I414" s="4">
        <f t="shared" si="12"/>
        <v>-1.1467889908256881E-2</v>
      </c>
      <c r="J414" s="4">
        <f t="shared" si="13"/>
        <v>-0.2963265306122449</v>
      </c>
    </row>
    <row r="415" spans="1:10" x14ac:dyDescent="0.2">
      <c r="A415" s="2">
        <f ca="1">IFERROR(__xludf.DUMMYFUNCTION("""COMPUTED_VALUE"""),45936.6666666666)</f>
        <v>45936.666666666599</v>
      </c>
      <c r="B415" s="2"/>
      <c r="C415" s="2"/>
      <c r="D415" s="1">
        <v>4320</v>
      </c>
      <c r="E415" s="1">
        <v>4330</v>
      </c>
      <c r="F415" s="1">
        <v>4260</v>
      </c>
      <c r="G415" s="1">
        <v>4260</v>
      </c>
      <c r="H415" s="1">
        <v>96040500</v>
      </c>
      <c r="I415" s="4">
        <f t="shared" si="12"/>
        <v>-1.1600928074245939E-2</v>
      </c>
      <c r="J415" s="4">
        <f t="shared" si="13"/>
        <v>-0.30448979591836733</v>
      </c>
    </row>
    <row r="416" spans="1:10" x14ac:dyDescent="0.2">
      <c r="A416" s="2">
        <f ca="1">IFERROR(__xludf.DUMMYFUNCTION("""COMPUTED_VALUE"""),45937.6666666666)</f>
        <v>45937.666666666599</v>
      </c>
      <c r="B416" s="2"/>
      <c r="C416" s="2"/>
      <c r="D416" s="1">
        <v>4260</v>
      </c>
      <c r="E416" s="1">
        <v>4320</v>
      </c>
      <c r="F416" s="1">
        <v>4250</v>
      </c>
      <c r="G416" s="1">
        <v>4290</v>
      </c>
      <c r="H416" s="1">
        <v>100237500</v>
      </c>
      <c r="I416" s="4">
        <f t="shared" si="12"/>
        <v>7.0422535211267607E-3</v>
      </c>
      <c r="J416" s="4">
        <f t="shared" si="13"/>
        <v>-0.29959183673469386</v>
      </c>
    </row>
    <row r="417" spans="1:10" x14ac:dyDescent="0.2">
      <c r="A417" s="2">
        <f ca="1">IFERROR(__xludf.DUMMYFUNCTION("""COMPUTED_VALUE"""),45938.6666666666)</f>
        <v>45938.666666666599</v>
      </c>
      <c r="B417" s="2"/>
      <c r="C417" s="2"/>
      <c r="D417" s="1">
        <v>4280</v>
      </c>
      <c r="E417" s="1">
        <v>4290</v>
      </c>
      <c r="F417" s="1">
        <v>4210</v>
      </c>
      <c r="G417" s="1">
        <v>4250</v>
      </c>
      <c r="H417" s="1">
        <v>97466800</v>
      </c>
      <c r="I417" s="4">
        <f t="shared" si="12"/>
        <v>-9.324009324009324E-3</v>
      </c>
      <c r="J417" s="4">
        <f t="shared" si="13"/>
        <v>-0.30612244897959184</v>
      </c>
    </row>
    <row r="418" spans="1:10" x14ac:dyDescent="0.2">
      <c r="A418" s="2">
        <f ca="1">IFERROR(__xludf.DUMMYFUNCTION("""COMPUTED_VALUE"""),45939.6666666666)</f>
        <v>45939.666666666599</v>
      </c>
      <c r="B418" s="2"/>
      <c r="C418" s="2"/>
      <c r="D418" s="1">
        <v>4240</v>
      </c>
      <c r="E418" s="1">
        <v>4450</v>
      </c>
      <c r="F418" s="1">
        <v>4200</v>
      </c>
      <c r="G418" s="1">
        <v>4390</v>
      </c>
      <c r="H418" s="1">
        <v>183242600</v>
      </c>
      <c r="I418" s="4">
        <f t="shared" si="12"/>
        <v>3.2941176470588238E-2</v>
      </c>
      <c r="J418" s="4">
        <f t="shared" si="13"/>
        <v>-0.28326530612244899</v>
      </c>
    </row>
    <row r="419" spans="1:10" x14ac:dyDescent="0.2">
      <c r="A419" s="2">
        <f ca="1">IFERROR(__xludf.DUMMYFUNCTION("""COMPUTED_VALUE"""),45940.6666666666)</f>
        <v>45940.666666666599</v>
      </c>
      <c r="B419" s="2"/>
      <c r="C419" s="2"/>
      <c r="D419" s="1">
        <v>4410</v>
      </c>
      <c r="E419" s="1">
        <v>4420</v>
      </c>
      <c r="F419" s="1">
        <v>4250</v>
      </c>
      <c r="G419" s="1">
        <v>4250</v>
      </c>
      <c r="H419" s="1">
        <v>139911200</v>
      </c>
      <c r="I419" s="4">
        <f t="shared" si="12"/>
        <v>-3.1890660592255128E-2</v>
      </c>
      <c r="J419" s="4">
        <f t="shared" si="13"/>
        <v>-0.30612244897959184</v>
      </c>
    </row>
    <row r="420" spans="1:10" x14ac:dyDescent="0.2">
      <c r="A420" s="2">
        <f ca="1">IFERROR(__xludf.DUMMYFUNCTION("""COMPUTED_VALUE"""),45943.6666666666)</f>
        <v>45943.666666666599</v>
      </c>
      <c r="B420" s="2"/>
      <c r="C420" s="2"/>
      <c r="D420" s="1">
        <v>4210</v>
      </c>
      <c r="E420" s="1">
        <v>4240</v>
      </c>
      <c r="F420" s="1">
        <v>4200</v>
      </c>
      <c r="G420" s="1">
        <v>4230</v>
      </c>
      <c r="H420" s="1">
        <v>79178600</v>
      </c>
      <c r="I420" s="4">
        <f t="shared" si="12"/>
        <v>-4.7058823529411761E-3</v>
      </c>
      <c r="J420" s="4">
        <f t="shared" si="13"/>
        <v>-0.30938775510204081</v>
      </c>
    </row>
    <row r="421" spans="1:10" x14ac:dyDescent="0.2">
      <c r="A421" s="2">
        <f ca="1">IFERROR(__xludf.DUMMYFUNCTION("""COMPUTED_VALUE"""),45944.6666666666)</f>
        <v>45944.666666666599</v>
      </c>
      <c r="B421" s="2"/>
      <c r="C421" s="2"/>
      <c r="D421" s="1">
        <v>4220</v>
      </c>
      <c r="E421" s="1">
        <v>4270</v>
      </c>
      <c r="F421" s="1">
        <v>4090</v>
      </c>
      <c r="G421" s="1">
        <v>4090</v>
      </c>
      <c r="H421" s="1">
        <v>188507000</v>
      </c>
      <c r="I421" s="4">
        <f t="shared" si="12"/>
        <v>-3.309692671394799E-2</v>
      </c>
      <c r="J421" s="4">
        <f t="shared" si="13"/>
        <v>-0.33224489795918366</v>
      </c>
    </row>
    <row r="422" spans="1:10" x14ac:dyDescent="0.2">
      <c r="A422" s="2">
        <f ca="1">IFERROR(__xludf.DUMMYFUNCTION("""COMPUTED_VALUE"""),45945.6666666666)</f>
        <v>45945.666666666599</v>
      </c>
      <c r="B422" s="2"/>
      <c r="C422" s="2"/>
      <c r="D422" s="1">
        <v>4110</v>
      </c>
      <c r="E422" s="1">
        <v>4140</v>
      </c>
      <c r="F422" s="1">
        <v>4010</v>
      </c>
      <c r="G422" s="1">
        <v>4050</v>
      </c>
      <c r="H422" s="1">
        <v>270562400</v>
      </c>
      <c r="I422" s="4">
        <f t="shared" si="12"/>
        <v>-9.7799511002444987E-3</v>
      </c>
      <c r="J422" s="4">
        <f t="shared" si="13"/>
        <v>-0.33877551020408164</v>
      </c>
    </row>
    <row r="423" spans="1:10" x14ac:dyDescent="0.2">
      <c r="A423" s="2">
        <f ca="1">IFERROR(__xludf.DUMMYFUNCTION("""COMPUTED_VALUE"""),45946.6666666666)</f>
        <v>45946.666666666599</v>
      </c>
      <c r="B423" s="2"/>
      <c r="C423" s="2"/>
      <c r="D423" s="1">
        <v>4050</v>
      </c>
      <c r="E423" s="1">
        <v>4150</v>
      </c>
      <c r="F423" s="1">
        <v>4050</v>
      </c>
      <c r="G423" s="1">
        <v>4090</v>
      </c>
      <c r="H423" s="1">
        <v>125979600</v>
      </c>
      <c r="I423" s="4">
        <f t="shared" si="12"/>
        <v>9.876543209876543E-3</v>
      </c>
      <c r="J423" s="4">
        <f t="shared" si="13"/>
        <v>-0.33224489795918366</v>
      </c>
    </row>
    <row r="424" spans="1:10" x14ac:dyDescent="0.2">
      <c r="A424" s="2">
        <f ca="1">IFERROR(__xludf.DUMMYFUNCTION("""COMPUTED_VALUE"""),45947.6666666666)</f>
        <v>45947.666666666599</v>
      </c>
      <c r="B424" s="2"/>
      <c r="C424" s="2"/>
      <c r="D424" s="1">
        <v>4110</v>
      </c>
      <c r="E424" s="1">
        <v>4110</v>
      </c>
      <c r="F424" s="1">
        <v>4030</v>
      </c>
      <c r="G424" s="1">
        <v>4050</v>
      </c>
      <c r="H424" s="1">
        <v>247510000</v>
      </c>
      <c r="I424" s="4">
        <f t="shared" si="12"/>
        <v>-9.7799511002444987E-3</v>
      </c>
      <c r="J424" s="4">
        <f t="shared" si="13"/>
        <v>-0.33877551020408164</v>
      </c>
    </row>
    <row r="425" spans="1:10" x14ac:dyDescent="0.2">
      <c r="A425" s="2">
        <f ca="1">IFERROR(__xludf.DUMMYFUNCTION("""COMPUTED_VALUE"""),45950.6666666666)</f>
        <v>45950.666666666599</v>
      </c>
      <c r="B425" s="2"/>
      <c r="C425" s="2"/>
      <c r="D425" s="1">
        <v>4120</v>
      </c>
      <c r="E425" s="1">
        <v>4320</v>
      </c>
      <c r="F425" s="1">
        <v>4070</v>
      </c>
      <c r="G425" s="1">
        <v>4300</v>
      </c>
      <c r="H425" s="1">
        <v>331939200</v>
      </c>
      <c r="I425" s="4">
        <f t="shared" si="12"/>
        <v>6.1728395061728392E-2</v>
      </c>
      <c r="J425" s="4">
        <f t="shared" si="13"/>
        <v>-0.29795918367346941</v>
      </c>
    </row>
    <row r="426" spans="1:10" x14ac:dyDescent="0.2">
      <c r="A426" s="2">
        <f ca="1">IFERROR(__xludf.DUMMYFUNCTION("""COMPUTED_VALUE"""),45951.6666666666)</f>
        <v>45951.666666666599</v>
      </c>
      <c r="B426" s="2"/>
      <c r="C426" s="2"/>
      <c r="D426" s="1">
        <v>4350</v>
      </c>
      <c r="E426" s="1">
        <v>4390</v>
      </c>
      <c r="F426" s="1">
        <v>4300</v>
      </c>
      <c r="G426" s="1">
        <v>4350</v>
      </c>
      <c r="H426" s="1">
        <v>230858900</v>
      </c>
      <c r="I426" s="4">
        <f t="shared" si="12"/>
        <v>1.1627906976744186E-2</v>
      </c>
      <c r="J426" s="4">
        <f t="shared" si="13"/>
        <v>-0.28979591836734692</v>
      </c>
    </row>
    <row r="427" spans="1:10" x14ac:dyDescent="0.2">
      <c r="A427" s="2">
        <f ca="1">IFERROR(__xludf.DUMMYFUNCTION("""COMPUTED_VALUE"""),45952.6666666666)</f>
        <v>45952.666666666599</v>
      </c>
      <c r="B427" s="2"/>
      <c r="C427" s="2"/>
      <c r="D427" s="1">
        <v>4350</v>
      </c>
      <c r="E427" s="1">
        <v>4460</v>
      </c>
      <c r="F427" s="1">
        <v>4290</v>
      </c>
      <c r="G427" s="1">
        <v>4330</v>
      </c>
      <c r="H427" s="1">
        <v>216261300</v>
      </c>
      <c r="I427" s="4">
        <f t="shared" si="12"/>
        <v>-4.5977011494252873E-3</v>
      </c>
      <c r="J427" s="4">
        <f t="shared" si="13"/>
        <v>-0.29306122448979594</v>
      </c>
    </row>
    <row r="428" spans="1:10" x14ac:dyDescent="0.2">
      <c r="A428" s="2">
        <f ca="1">IFERROR(__xludf.DUMMYFUNCTION("""COMPUTED_VALUE"""),45953.6666666666)</f>
        <v>45953.666666666599</v>
      </c>
      <c r="B428" s="2"/>
      <c r="C428" s="2"/>
      <c r="D428" s="1">
        <v>4310</v>
      </c>
      <c r="E428" s="1">
        <v>4440</v>
      </c>
      <c r="F428" s="1">
        <v>4310</v>
      </c>
      <c r="G428" s="1">
        <v>4430</v>
      </c>
      <c r="H428" s="1">
        <v>202102500</v>
      </c>
      <c r="I428" s="4">
        <f t="shared" si="12"/>
        <v>2.3094688221709007E-2</v>
      </c>
      <c r="J428" s="4">
        <f t="shared" si="13"/>
        <v>-0.27673469387755101</v>
      </c>
    </row>
    <row r="429" spans="1:10" x14ac:dyDescent="0.2">
      <c r="A429" s="2">
        <f ca="1">IFERROR(__xludf.DUMMYFUNCTION("""COMPUTED_VALUE"""),45954.6666666666)</f>
        <v>45954.666666666599</v>
      </c>
      <c r="B429" s="2"/>
      <c r="C429" s="2"/>
      <c r="D429" s="1">
        <v>4380</v>
      </c>
      <c r="E429" s="1">
        <v>4590</v>
      </c>
      <c r="F429" s="1">
        <v>4380</v>
      </c>
      <c r="G429" s="1">
        <v>4550</v>
      </c>
      <c r="H429" s="1">
        <v>350420300</v>
      </c>
      <c r="I429" s="4">
        <f t="shared" si="12"/>
        <v>2.7088036117381489E-2</v>
      </c>
      <c r="J429" s="4">
        <f t="shared" si="13"/>
        <v>-0.25714285714285712</v>
      </c>
    </row>
    <row r="430" spans="1:10" x14ac:dyDescent="0.2">
      <c r="A430" s="2">
        <f ca="1">IFERROR(__xludf.DUMMYFUNCTION("""COMPUTED_VALUE"""),45957.6666666666)</f>
        <v>45957.666666666599</v>
      </c>
      <c r="B430" s="2"/>
      <c r="C430" s="2"/>
      <c r="D430" s="1">
        <v>4590</v>
      </c>
      <c r="E430" s="1">
        <v>4600</v>
      </c>
      <c r="F430" s="1">
        <v>4410</v>
      </c>
      <c r="G430" s="1">
        <v>4470</v>
      </c>
      <c r="H430" s="1">
        <v>245576100</v>
      </c>
      <c r="I430" s="4">
        <f t="shared" si="12"/>
        <v>-1.7582417582417582E-2</v>
      </c>
      <c r="J430" s="4">
        <f t="shared" si="13"/>
        <v>-0.27020408163265308</v>
      </c>
    </row>
    <row r="431" spans="1:10" x14ac:dyDescent="0.2">
      <c r="A431" s="2">
        <f ca="1">IFERROR(__xludf.DUMMYFUNCTION("""COMPUTED_VALUE"""),45958.6666666666)</f>
        <v>45958.666666666599</v>
      </c>
      <c r="B431" s="2"/>
      <c r="C431" s="2"/>
      <c r="D431" s="1">
        <v>4490</v>
      </c>
      <c r="E431" s="1">
        <v>4510</v>
      </c>
      <c r="F431" s="1">
        <v>4440</v>
      </c>
      <c r="G431" s="1">
        <v>4510</v>
      </c>
      <c r="H431" s="1">
        <v>174638500</v>
      </c>
      <c r="I431" s="4">
        <f t="shared" si="12"/>
        <v>8.948545861297539E-3</v>
      </c>
      <c r="J431" s="4">
        <f t="shared" si="13"/>
        <v>-0.2636734693877551</v>
      </c>
    </row>
    <row r="432" spans="1:10" x14ac:dyDescent="0.2">
      <c r="A432" s="2">
        <f ca="1">IFERROR(__xludf.DUMMYFUNCTION("""COMPUTED_VALUE"""),45959.6666666666)</f>
        <v>45959.666666666599</v>
      </c>
      <c r="B432" s="2"/>
      <c r="C432" s="2"/>
      <c r="D432" s="1">
        <v>4500</v>
      </c>
      <c r="E432" s="1">
        <v>4650</v>
      </c>
      <c r="F432" s="1">
        <v>4490</v>
      </c>
      <c r="G432" s="1">
        <v>4650</v>
      </c>
      <c r="H432" s="1">
        <v>176978800</v>
      </c>
      <c r="I432" s="4">
        <f t="shared" si="12"/>
        <v>3.1042128603104215E-2</v>
      </c>
      <c r="J432" s="4">
        <f t="shared" si="13"/>
        <v>-0.24081632653061225</v>
      </c>
    </row>
    <row r="433" spans="1:10" x14ac:dyDescent="0.2">
      <c r="A433" s="2">
        <f ca="1">IFERROR(__xludf.DUMMYFUNCTION("""COMPUTED_VALUE"""),45960.6666666666)</f>
        <v>45960.666666666599</v>
      </c>
      <c r="B433" s="2"/>
      <c r="C433" s="2"/>
      <c r="D433" s="1">
        <v>4670</v>
      </c>
      <c r="E433" s="1">
        <v>4830</v>
      </c>
      <c r="F433" s="1">
        <v>4650</v>
      </c>
      <c r="G433" s="1">
        <v>4800</v>
      </c>
      <c r="H433" s="1">
        <v>390256000</v>
      </c>
      <c r="I433" s="4">
        <f t="shared" si="12"/>
        <v>3.2258064516129031E-2</v>
      </c>
      <c r="J433" s="4">
        <f t="shared" si="13"/>
        <v>-0.21632653061224491</v>
      </c>
    </row>
    <row r="434" spans="1:10" x14ac:dyDescent="0.2">
      <c r="A434" s="2">
        <f ca="1">IFERROR(__xludf.DUMMYFUNCTION("""COMPUTED_VALUE"""),45961.6666666666)</f>
        <v>45961.666666666599</v>
      </c>
      <c r="B434" s="2"/>
      <c r="C434" s="2"/>
      <c r="D434" s="1">
        <v>4790</v>
      </c>
      <c r="E434" s="1">
        <v>4800</v>
      </c>
      <c r="F434" s="1">
        <v>4720</v>
      </c>
      <c r="G434" s="1">
        <v>4720</v>
      </c>
      <c r="H434" s="1">
        <v>227378000</v>
      </c>
      <c r="I434" s="4">
        <f t="shared" si="12"/>
        <v>-1.6666666666666666E-2</v>
      </c>
      <c r="J434" s="4">
        <f t="shared" si="13"/>
        <v>-0.22938775510204082</v>
      </c>
    </row>
    <row r="435" spans="1:10" x14ac:dyDescent="0.2">
      <c r="A435" s="2">
        <f ca="1">IFERROR(__xludf.DUMMYFUNCTION("""COMPUTED_VALUE"""),45964.6666666666)</f>
        <v>45964.666666666599</v>
      </c>
      <c r="B435" s="2"/>
      <c r="C435" s="2"/>
      <c r="D435" s="1">
        <v>4710</v>
      </c>
      <c r="E435" s="1">
        <v>4760</v>
      </c>
      <c r="F435" s="1">
        <v>4700</v>
      </c>
      <c r="G435" s="1">
        <v>4760</v>
      </c>
      <c r="H435" s="1">
        <v>129834200</v>
      </c>
      <c r="I435" s="4">
        <f t="shared" si="12"/>
        <v>8.4745762711864406E-3</v>
      </c>
      <c r="J435" s="4">
        <f t="shared" si="13"/>
        <v>-0.22285714285714286</v>
      </c>
    </row>
    <row r="436" spans="1:10" x14ac:dyDescent="0.2">
      <c r="A436" s="2">
        <f ca="1">IFERROR(__xludf.DUMMYFUNCTION("""COMPUTED_VALUE"""),45965.6666666666)</f>
        <v>45965.666666666599</v>
      </c>
      <c r="B436" s="2"/>
      <c r="C436" s="2"/>
      <c r="D436" s="1">
        <v>4760</v>
      </c>
      <c r="E436" s="1">
        <v>4790</v>
      </c>
      <c r="F436" s="1">
        <v>4720</v>
      </c>
      <c r="G436" s="1">
        <v>4730</v>
      </c>
      <c r="H436" s="1">
        <v>136412400</v>
      </c>
      <c r="I436" s="4">
        <f t="shared" si="12"/>
        <v>-6.3025210084033615E-3</v>
      </c>
      <c r="J436" s="4">
        <f t="shared" si="13"/>
        <v>-0.22775510204081634</v>
      </c>
    </row>
    <row r="437" spans="1:10" x14ac:dyDescent="0.2">
      <c r="A437" s="2">
        <f ca="1">IFERROR(__xludf.DUMMYFUNCTION("""COMPUTED_VALUE"""),45966.6666666666)</f>
        <v>45966.666666666599</v>
      </c>
      <c r="B437" s="2"/>
      <c r="C437" s="2"/>
      <c r="D437" s="1">
        <v>4690</v>
      </c>
      <c r="E437" s="1">
        <v>4770</v>
      </c>
      <c r="F437" s="1">
        <v>4680</v>
      </c>
      <c r="G437" s="1">
        <v>4770</v>
      </c>
      <c r="H437" s="1">
        <v>102878900</v>
      </c>
      <c r="I437" s="4">
        <f t="shared" si="12"/>
        <v>8.4566596194503175E-3</v>
      </c>
      <c r="J437" s="4">
        <f t="shared" si="13"/>
        <v>-0.22122448979591836</v>
      </c>
    </row>
    <row r="438" spans="1:10" x14ac:dyDescent="0.2">
      <c r="A438" s="2">
        <f ca="1">IFERROR(__xludf.DUMMYFUNCTION("""COMPUTED_VALUE"""),45967.6666666666)</f>
        <v>45967.666666666599</v>
      </c>
      <c r="B438" s="2"/>
      <c r="C438" s="2"/>
      <c r="D438" s="1">
        <v>4790</v>
      </c>
      <c r="E438" s="1">
        <v>4790</v>
      </c>
      <c r="F438" s="1">
        <v>4750</v>
      </c>
      <c r="G438" s="1">
        <v>4750</v>
      </c>
      <c r="H438" s="1">
        <v>57932600</v>
      </c>
      <c r="I438" s="4">
        <f t="shared" si="12"/>
        <v>-4.1928721174004195E-3</v>
      </c>
      <c r="J438" s="4">
        <f t="shared" si="13"/>
        <v>-0.22448979591836735</v>
      </c>
    </row>
    <row r="439" spans="1:10" x14ac:dyDescent="0.2">
      <c r="A439" s="2">
        <f ca="1">IFERROR(__xludf.DUMMYFUNCTION("""COMPUTED_VALUE"""),45968.6666666666)</f>
        <v>45968.666666666599</v>
      </c>
      <c r="B439" s="2"/>
      <c r="C439" s="2"/>
      <c r="D439" s="1">
        <v>4750</v>
      </c>
      <c r="E439" s="1">
        <v>4780</v>
      </c>
      <c r="F439" s="1">
        <v>4740</v>
      </c>
      <c r="G439" s="1">
        <v>4750</v>
      </c>
      <c r="H439" s="1">
        <v>58845500</v>
      </c>
      <c r="I439" s="4">
        <f t="shared" si="12"/>
        <v>0</v>
      </c>
      <c r="J439" s="4">
        <f t="shared" si="13"/>
        <v>-0.22448979591836735</v>
      </c>
    </row>
    <row r="440" spans="1:10" x14ac:dyDescent="0.2">
      <c r="A440" s="2">
        <f ca="1">IFERROR(__xludf.DUMMYFUNCTION("""COMPUTED_VALUE"""),45971.6666666666)</f>
        <v>45971.666666666599</v>
      </c>
      <c r="B440" s="2"/>
      <c r="C440" s="2"/>
      <c r="D440" s="1">
        <v>4790</v>
      </c>
      <c r="E440" s="1">
        <v>4790</v>
      </c>
      <c r="F440" s="1">
        <v>4730</v>
      </c>
      <c r="G440" s="1">
        <v>4730</v>
      </c>
      <c r="H440" s="1">
        <v>88737700</v>
      </c>
      <c r="I440" s="4">
        <f t="shared" si="12"/>
        <v>-4.2105263157894736E-3</v>
      </c>
      <c r="J440" s="4">
        <f t="shared" si="13"/>
        <v>-0.22775510204081634</v>
      </c>
    </row>
    <row r="441" spans="1:10" x14ac:dyDescent="0.2">
      <c r="A441" s="2">
        <f ca="1">IFERROR(__xludf.DUMMYFUNCTION("""COMPUTED_VALUE"""),45972.6666666666)</f>
        <v>45972.666666666599</v>
      </c>
      <c r="B441" s="2"/>
      <c r="C441" s="2"/>
      <c r="D441" s="1">
        <v>4740</v>
      </c>
      <c r="E441" s="1">
        <v>4750</v>
      </c>
      <c r="F441" s="1">
        <v>4610</v>
      </c>
      <c r="G441" s="1">
        <v>4680</v>
      </c>
      <c r="H441" s="1">
        <v>168794500</v>
      </c>
      <c r="I441" s="4">
        <f t="shared" si="12"/>
        <v>-1.0570824524312896E-2</v>
      </c>
      <c r="J441" s="4">
        <f t="shared" si="13"/>
        <v>-0.23591836734693877</v>
      </c>
    </row>
    <row r="442" spans="1:10" x14ac:dyDescent="0.2">
      <c r="A442" s="2">
        <f ca="1">IFERROR(__xludf.DUMMYFUNCTION("""COMPUTED_VALUE"""),45973.6666666666)</f>
        <v>45973.666666666599</v>
      </c>
      <c r="B442" s="2"/>
      <c r="C442" s="2"/>
      <c r="D442" s="1">
        <v>4680</v>
      </c>
      <c r="E442" s="1">
        <v>4790</v>
      </c>
      <c r="F442" s="1">
        <v>4680</v>
      </c>
      <c r="G442" s="1">
        <v>4760</v>
      </c>
      <c r="H442" s="1">
        <v>138539800</v>
      </c>
      <c r="I442" s="4">
        <f t="shared" si="12"/>
        <v>1.7094017094017096E-2</v>
      </c>
      <c r="J442" s="4">
        <f t="shared" si="13"/>
        <v>-0.22285714285714286</v>
      </c>
    </row>
    <row r="443" spans="1:10" x14ac:dyDescent="0.2">
      <c r="A443" s="2">
        <f ca="1">IFERROR(__xludf.DUMMYFUNCTION("""COMPUTED_VALUE"""),45974.6666666666)</f>
        <v>45974.666666666599</v>
      </c>
      <c r="B443" s="2"/>
      <c r="C443" s="2"/>
      <c r="D443" s="1">
        <v>4760</v>
      </c>
      <c r="E443" s="1">
        <v>4760</v>
      </c>
      <c r="F443" s="1">
        <v>4690</v>
      </c>
      <c r="G443" s="1">
        <v>4700</v>
      </c>
      <c r="H443" s="1">
        <v>108100300</v>
      </c>
      <c r="I443" s="4">
        <f t="shared" si="12"/>
        <v>-1.2605042016806723E-2</v>
      </c>
      <c r="J443" s="4">
        <f t="shared" si="13"/>
        <v>-0.23265306122448978</v>
      </c>
    </row>
    <row r="444" spans="1:10" x14ac:dyDescent="0.2">
      <c r="A444" s="2">
        <f ca="1">IFERROR(__xludf.DUMMYFUNCTION("""COMPUTED_VALUE"""),45975.6666666666)</f>
        <v>45975.666666666599</v>
      </c>
      <c r="B444" s="2"/>
      <c r="C444" s="2"/>
      <c r="D444" s="1">
        <v>4690</v>
      </c>
      <c r="E444" s="1">
        <v>4750</v>
      </c>
      <c r="F444" s="1">
        <v>4680</v>
      </c>
      <c r="G444" s="1">
        <v>4750</v>
      </c>
      <c r="H444" s="1">
        <v>73479600</v>
      </c>
      <c r="I444" s="4">
        <f t="shared" si="12"/>
        <v>1.0638297872340425E-2</v>
      </c>
      <c r="J444" s="4">
        <f t="shared" si="13"/>
        <v>-0.22448979591836735</v>
      </c>
    </row>
    <row r="445" spans="1:10" x14ac:dyDescent="0.2">
      <c r="A445" s="2">
        <f ca="1">IFERROR(__xludf.DUMMYFUNCTION("""COMPUTED_VALUE"""),45978.6666666666)</f>
        <v>45978.666666666599</v>
      </c>
      <c r="B445" s="2"/>
      <c r="C445" s="2"/>
      <c r="D445" s="1">
        <v>4780</v>
      </c>
      <c r="E445" s="1">
        <v>4850</v>
      </c>
      <c r="F445" s="1">
        <v>4770</v>
      </c>
      <c r="G445" s="1">
        <v>4820</v>
      </c>
      <c r="H445" s="1">
        <v>136477100</v>
      </c>
      <c r="I445" s="4">
        <f t="shared" si="12"/>
        <v>1.4736842105263158E-2</v>
      </c>
      <c r="J445" s="4">
        <f t="shared" si="13"/>
        <v>-0.21306122448979592</v>
      </c>
    </row>
    <row r="446" spans="1:10" x14ac:dyDescent="0.2">
      <c r="A446" s="2">
        <f ca="1">IFERROR(__xludf.DUMMYFUNCTION("""COMPUTED_VALUE"""),45979.6666666666)</f>
        <v>45979.666666666599</v>
      </c>
      <c r="B446" s="2"/>
      <c r="C446" s="2"/>
      <c r="D446" s="1">
        <v>4810</v>
      </c>
      <c r="E446" s="1">
        <v>4850</v>
      </c>
      <c r="F446" s="1">
        <v>4780</v>
      </c>
      <c r="G446" s="1">
        <v>4790</v>
      </c>
      <c r="H446" s="1">
        <v>127022100</v>
      </c>
      <c r="I446" s="4">
        <f t="shared" si="12"/>
        <v>-6.2240663900414933E-3</v>
      </c>
      <c r="J446" s="4">
        <f t="shared" si="13"/>
        <v>-0.21795918367346939</v>
      </c>
    </row>
    <row r="447" spans="1:10" x14ac:dyDescent="0.2">
      <c r="A447" s="2">
        <f ca="1">IFERROR(__xludf.DUMMYFUNCTION("""COMPUTED_VALUE"""),45980.6666666666)</f>
        <v>45980.666666666599</v>
      </c>
      <c r="B447" s="2"/>
      <c r="C447" s="2"/>
      <c r="D447" s="1">
        <v>4820</v>
      </c>
      <c r="E447" s="1">
        <v>4850</v>
      </c>
      <c r="F447" s="1">
        <v>4800</v>
      </c>
      <c r="G447" s="1">
        <v>4850</v>
      </c>
      <c r="H447" s="1">
        <v>107585700</v>
      </c>
      <c r="I447" s="4">
        <f t="shared" si="12"/>
        <v>1.2526096033402923E-2</v>
      </c>
      <c r="J447" s="4">
        <f t="shared" si="13"/>
        <v>-0.20816326530612245</v>
      </c>
    </row>
    <row r="448" spans="1:10" x14ac:dyDescent="0.2">
      <c r="A448" s="2">
        <f ca="1">IFERROR(__xludf.DUMMYFUNCTION("""COMPUTED_VALUE"""),45981.6666666666)</f>
        <v>45981.666666666599</v>
      </c>
      <c r="B448" s="2"/>
      <c r="C448" s="2"/>
      <c r="D448" s="1">
        <v>4940</v>
      </c>
      <c r="E448" s="1">
        <v>4990</v>
      </c>
      <c r="F448" s="1">
        <v>4900</v>
      </c>
      <c r="G448" s="1">
        <v>4940</v>
      </c>
      <c r="H448" s="1">
        <v>234717700</v>
      </c>
      <c r="I448" s="4">
        <f t="shared" si="12"/>
        <v>1.8556701030927835E-2</v>
      </c>
      <c r="J448" s="4">
        <f t="shared" si="13"/>
        <v>-0.19346938775510203</v>
      </c>
    </row>
    <row r="449" spans="1:10" x14ac:dyDescent="0.2">
      <c r="A449" s="2">
        <f ca="1">IFERROR(__xludf.DUMMYFUNCTION("""COMPUTED_VALUE"""),45982.6666666666)</f>
        <v>45982.666666666599</v>
      </c>
      <c r="B449" s="2"/>
      <c r="C449" s="2"/>
      <c r="D449" s="1">
        <v>4940</v>
      </c>
      <c r="E449" s="1">
        <v>4970</v>
      </c>
      <c r="F449" s="1">
        <v>4900</v>
      </c>
      <c r="G449" s="1">
        <v>4950</v>
      </c>
      <c r="H449" s="1">
        <v>142452600</v>
      </c>
      <c r="I449" s="4">
        <f t="shared" si="12"/>
        <v>2.0242914979757085E-3</v>
      </c>
      <c r="J449" s="4">
        <f t="shared" si="13"/>
        <v>-0.19183673469387755</v>
      </c>
    </row>
    <row r="450" spans="1:10" x14ac:dyDescent="0.2">
      <c r="A450" s="2">
        <f ca="1">IFERROR(__xludf.DUMMYFUNCTION("""COMPUTED_VALUE"""),45985.6666666666)</f>
        <v>45985.666666666599</v>
      </c>
      <c r="B450" s="2"/>
      <c r="C450" s="2"/>
      <c r="D450" s="1">
        <v>4910</v>
      </c>
      <c r="E450" s="1">
        <v>5100</v>
      </c>
      <c r="F450" s="1">
        <v>4870</v>
      </c>
      <c r="G450" s="1">
        <v>5100</v>
      </c>
      <c r="H450" s="1">
        <v>303252000</v>
      </c>
      <c r="I450" s="4">
        <f t="shared" si="12"/>
        <v>3.0303030303030304E-2</v>
      </c>
      <c r="J450" s="4">
        <f t="shared" si="13"/>
        <v>-0.16734693877551021</v>
      </c>
    </row>
    <row r="451" spans="1:10" x14ac:dyDescent="0.2">
      <c r="A451" s="2">
        <f ca="1">IFERROR(__xludf.DUMMYFUNCTION("""COMPUTED_VALUE"""),45986.6666666666)</f>
        <v>45986.666666666599</v>
      </c>
      <c r="B451" s="2"/>
      <c r="C451" s="2"/>
      <c r="D451" s="1">
        <v>5075</v>
      </c>
      <c r="E451" s="1">
        <v>5100</v>
      </c>
      <c r="F451" s="1">
        <v>4950</v>
      </c>
      <c r="G451" s="1">
        <v>5025</v>
      </c>
      <c r="H451" s="1">
        <v>169379300</v>
      </c>
      <c r="I451" s="4">
        <f t="shared" si="12"/>
        <v>-1.4705882352941176E-2</v>
      </c>
      <c r="J451" s="4">
        <f t="shared" si="13"/>
        <v>-0.17959183673469387</v>
      </c>
    </row>
    <row r="452" spans="1:10" x14ac:dyDescent="0.2">
      <c r="A452" s="2">
        <f ca="1">IFERROR(__xludf.DUMMYFUNCTION("""COMPUTED_VALUE"""),45987.6666666666)</f>
        <v>45987.666666666599</v>
      </c>
      <c r="B452" s="2"/>
      <c r="C452" s="2"/>
      <c r="D452" s="1">
        <v>5025</v>
      </c>
      <c r="E452" s="1">
        <v>5025</v>
      </c>
      <c r="F452" s="1">
        <v>4960</v>
      </c>
      <c r="G452" s="1">
        <v>5025</v>
      </c>
      <c r="H452" s="1">
        <v>128492000</v>
      </c>
      <c r="I452" s="4">
        <f t="shared" ref="I452:I474" si="14">(G452-G451)/G451</f>
        <v>0</v>
      </c>
      <c r="J452" s="4">
        <f t="shared" ref="J452:J474" si="15">(G452-$G$2)/$G$2</f>
        <v>-0.17959183673469387</v>
      </c>
    </row>
    <row r="453" spans="1:10" x14ac:dyDescent="0.2">
      <c r="A453" s="2">
        <f ca="1">IFERROR(__xludf.DUMMYFUNCTION("""COMPUTED_VALUE"""),45988.6666666666)</f>
        <v>45988.666666666599</v>
      </c>
      <c r="B453" s="2"/>
      <c r="C453" s="2"/>
      <c r="D453" s="1">
        <v>5025</v>
      </c>
      <c r="E453" s="1">
        <v>5025</v>
      </c>
      <c r="F453" s="1">
        <v>4850</v>
      </c>
      <c r="G453" s="1">
        <v>4860</v>
      </c>
      <c r="H453" s="1">
        <v>170213000</v>
      </c>
      <c r="I453" s="4">
        <f t="shared" si="14"/>
        <v>-3.2835820895522387E-2</v>
      </c>
      <c r="J453" s="4">
        <f t="shared" si="15"/>
        <v>-0.20653061224489797</v>
      </c>
    </row>
    <row r="454" spans="1:10" x14ac:dyDescent="0.2">
      <c r="A454" s="2">
        <f ca="1">IFERROR(__xludf.DUMMYFUNCTION("""COMPUTED_VALUE"""),45989.6666666666)</f>
        <v>45989.666666666599</v>
      </c>
      <c r="B454" s="2"/>
      <c r="C454" s="2"/>
      <c r="D454" s="1">
        <v>4800</v>
      </c>
      <c r="E454" s="1">
        <v>4880</v>
      </c>
      <c r="F454" s="1">
        <v>4800</v>
      </c>
      <c r="G454" s="1">
        <v>4830</v>
      </c>
      <c r="H454" s="1">
        <v>128777200</v>
      </c>
      <c r="I454" s="4">
        <f t="shared" si="14"/>
        <v>-6.1728395061728392E-3</v>
      </c>
      <c r="J454" s="4">
        <f t="shared" si="15"/>
        <v>-0.21142857142857144</v>
      </c>
    </row>
    <row r="455" spans="1:10" x14ac:dyDescent="0.2">
      <c r="A455" s="2">
        <f ca="1">IFERROR(__xludf.DUMMYFUNCTION("""COMPUTED_VALUE"""),45992.6666666666)</f>
        <v>45992.666666666599</v>
      </c>
      <c r="B455" s="2"/>
      <c r="C455" s="2"/>
      <c r="D455" s="1">
        <v>4850</v>
      </c>
      <c r="E455" s="1">
        <v>4910</v>
      </c>
      <c r="F455" s="1">
        <v>4820</v>
      </c>
      <c r="G455" s="1">
        <v>4860</v>
      </c>
      <c r="H455" s="1">
        <v>58603700</v>
      </c>
      <c r="I455" s="4">
        <f t="shared" si="14"/>
        <v>6.2111801242236021E-3</v>
      </c>
      <c r="J455" s="4">
        <f t="shared" si="15"/>
        <v>-0.20653061224489797</v>
      </c>
    </row>
    <row r="456" spans="1:10" x14ac:dyDescent="0.2">
      <c r="A456" s="2">
        <f ca="1">IFERROR(__xludf.DUMMYFUNCTION("""COMPUTED_VALUE"""),45993.6666666666)</f>
        <v>45993.666666666599</v>
      </c>
      <c r="B456" s="2"/>
      <c r="C456" s="2"/>
      <c r="D456" s="1">
        <v>4920</v>
      </c>
      <c r="E456" s="1">
        <v>4940</v>
      </c>
      <c r="F456" s="1">
        <v>4820</v>
      </c>
      <c r="G456" s="1">
        <v>4850</v>
      </c>
      <c r="H456" s="1">
        <v>104013500</v>
      </c>
      <c r="I456" s="4">
        <f t="shared" si="14"/>
        <v>-2.05761316872428E-3</v>
      </c>
      <c r="J456" s="4">
        <f t="shared" si="15"/>
        <v>-0.20816326530612245</v>
      </c>
    </row>
    <row r="457" spans="1:10" x14ac:dyDescent="0.2">
      <c r="A457" s="2">
        <f ca="1">IFERROR(__xludf.DUMMYFUNCTION("""COMPUTED_VALUE"""),45994.6666666666)</f>
        <v>45994.666666666599</v>
      </c>
      <c r="B457" s="2"/>
      <c r="C457" s="2"/>
      <c r="D457" s="1">
        <v>4850</v>
      </c>
      <c r="E457" s="1">
        <v>4920</v>
      </c>
      <c r="F457" s="1">
        <v>4820</v>
      </c>
      <c r="G457" s="1">
        <v>4880</v>
      </c>
      <c r="H457" s="1">
        <v>102556300</v>
      </c>
      <c r="I457" s="4">
        <f t="shared" si="14"/>
        <v>6.1855670103092781E-3</v>
      </c>
      <c r="J457" s="4">
        <f t="shared" si="15"/>
        <v>-0.20326530612244897</v>
      </c>
    </row>
    <row r="458" spans="1:10" x14ac:dyDescent="0.2">
      <c r="A458" s="2">
        <f ca="1">IFERROR(__xludf.DUMMYFUNCTION("""COMPUTED_VALUE"""),45995.6666666666)</f>
        <v>45995.666666666599</v>
      </c>
      <c r="B458" s="2"/>
      <c r="C458" s="2"/>
      <c r="D458" s="1">
        <v>4930</v>
      </c>
      <c r="E458" s="1">
        <v>4940</v>
      </c>
      <c r="F458" s="1">
        <v>4880</v>
      </c>
      <c r="G458" s="1">
        <v>4920</v>
      </c>
      <c r="H458" s="1">
        <v>59392600</v>
      </c>
      <c r="I458" s="4">
        <f t="shared" si="14"/>
        <v>8.1967213114754103E-3</v>
      </c>
      <c r="J458" s="4">
        <f t="shared" si="15"/>
        <v>-0.19673469387755102</v>
      </c>
    </row>
    <row r="459" spans="1:10" x14ac:dyDescent="0.2">
      <c r="A459" s="2">
        <f ca="1">IFERROR(__xludf.DUMMYFUNCTION("""COMPUTED_VALUE"""),45996.6666666666)</f>
        <v>45996.666666666599</v>
      </c>
      <c r="B459" s="2"/>
      <c r="C459" s="2"/>
      <c r="D459" s="1">
        <v>4940</v>
      </c>
      <c r="E459" s="1">
        <v>4940</v>
      </c>
      <c r="F459" s="1">
        <v>4870</v>
      </c>
      <c r="G459" s="1">
        <v>4900</v>
      </c>
      <c r="H459" s="1">
        <v>53969200</v>
      </c>
      <c r="I459" s="4">
        <f t="shared" si="14"/>
        <v>-4.0650406504065045E-3</v>
      </c>
      <c r="J459" s="4">
        <f t="shared" si="15"/>
        <v>-0.2</v>
      </c>
    </row>
    <row r="460" spans="1:10" x14ac:dyDescent="0.2">
      <c r="A460" s="2">
        <f ca="1">IFERROR(__xludf.DUMMYFUNCTION("""COMPUTED_VALUE"""),45999.6666666666)</f>
        <v>45999.666666666599</v>
      </c>
      <c r="B460" s="2"/>
      <c r="C460" s="2"/>
      <c r="D460" s="1">
        <v>4950</v>
      </c>
      <c r="E460" s="1">
        <v>4960</v>
      </c>
      <c r="F460" s="1">
        <v>4910</v>
      </c>
      <c r="G460" s="1">
        <v>4950</v>
      </c>
      <c r="H460" s="1">
        <v>62947600</v>
      </c>
      <c r="I460" s="4">
        <f t="shared" si="14"/>
        <v>1.020408163265306E-2</v>
      </c>
      <c r="J460" s="4">
        <f t="shared" si="15"/>
        <v>-0.19183673469387755</v>
      </c>
    </row>
    <row r="461" spans="1:10" x14ac:dyDescent="0.2">
      <c r="A461" s="2">
        <f ca="1">IFERROR(__xludf.DUMMYFUNCTION("""COMPUTED_VALUE"""),46000.6666666666)</f>
        <v>46000.666666666599</v>
      </c>
      <c r="B461" s="2"/>
      <c r="C461" s="2"/>
      <c r="D461" s="1">
        <v>4970</v>
      </c>
      <c r="E461" s="1">
        <v>4980</v>
      </c>
      <c r="F461" s="1">
        <v>4870</v>
      </c>
      <c r="G461" s="1">
        <v>4890</v>
      </c>
      <c r="H461" s="1">
        <v>134575200</v>
      </c>
      <c r="I461" s="4">
        <f t="shared" si="14"/>
        <v>-1.2121212121212121E-2</v>
      </c>
      <c r="J461" s="4">
        <f t="shared" si="15"/>
        <v>-0.20163265306122449</v>
      </c>
    </row>
    <row r="462" spans="1:10" x14ac:dyDescent="0.2">
      <c r="A462" s="2">
        <f ca="1">IFERROR(__xludf.DUMMYFUNCTION("""COMPUTED_VALUE"""),46001.6666666666)</f>
        <v>46001.666666666599</v>
      </c>
      <c r="B462" s="2"/>
      <c r="C462" s="2"/>
      <c r="D462" s="1">
        <v>4950</v>
      </c>
      <c r="E462" s="1">
        <v>4970</v>
      </c>
      <c r="F462" s="1">
        <v>4870</v>
      </c>
      <c r="G462" s="1">
        <v>4970</v>
      </c>
      <c r="H462" s="1">
        <v>96005900</v>
      </c>
      <c r="I462" s="4">
        <f t="shared" si="14"/>
        <v>1.6359918200408999E-2</v>
      </c>
      <c r="J462" s="4">
        <f t="shared" si="15"/>
        <v>-0.18857142857142858</v>
      </c>
    </row>
    <row r="463" spans="1:10" x14ac:dyDescent="0.2">
      <c r="A463" s="2">
        <f ca="1">IFERROR(__xludf.DUMMYFUNCTION("""COMPUTED_VALUE"""),46002.6666666666)</f>
        <v>46002.666666666599</v>
      </c>
      <c r="B463" s="2"/>
      <c r="C463" s="2"/>
      <c r="D463" s="1">
        <v>5000</v>
      </c>
      <c r="E463" s="1">
        <v>5050</v>
      </c>
      <c r="F463" s="1">
        <v>4830</v>
      </c>
      <c r="G463" s="1">
        <v>4950</v>
      </c>
      <c r="H463" s="1">
        <v>151956700</v>
      </c>
      <c r="I463" s="4">
        <f t="shared" si="14"/>
        <v>-4.0241448692152921E-3</v>
      </c>
      <c r="J463" s="4">
        <f t="shared" si="15"/>
        <v>-0.19183673469387755</v>
      </c>
    </row>
    <row r="464" spans="1:10" x14ac:dyDescent="0.2">
      <c r="A464" s="2">
        <f ca="1">IFERROR(__xludf.DUMMYFUNCTION("""COMPUTED_VALUE"""),46003.6666666666)</f>
        <v>46003.666666666599</v>
      </c>
      <c r="B464" s="2"/>
      <c r="C464" s="2"/>
      <c r="D464" s="1">
        <v>4980</v>
      </c>
      <c r="E464" s="1">
        <v>4980</v>
      </c>
      <c r="F464" s="1">
        <v>4820</v>
      </c>
      <c r="G464" s="1">
        <v>4820</v>
      </c>
      <c r="H464" s="1">
        <v>111830600</v>
      </c>
      <c r="I464" s="4">
        <f t="shared" si="14"/>
        <v>-2.6262626262626262E-2</v>
      </c>
      <c r="J464" s="4">
        <f t="shared" si="15"/>
        <v>-0.21306122448979592</v>
      </c>
    </row>
    <row r="465" spans="1:10" x14ac:dyDescent="0.2">
      <c r="A465" s="2">
        <f ca="1">IFERROR(__xludf.DUMMYFUNCTION("""COMPUTED_VALUE"""),46006.6666666666)</f>
        <v>46006.666666666599</v>
      </c>
      <c r="B465" s="2"/>
      <c r="C465" s="2"/>
      <c r="D465" s="1">
        <v>4820</v>
      </c>
      <c r="E465" s="1">
        <v>5025</v>
      </c>
      <c r="F465" s="1">
        <v>4790</v>
      </c>
      <c r="G465" s="1">
        <v>4990</v>
      </c>
      <c r="H465" s="1">
        <v>122451500</v>
      </c>
      <c r="I465" s="4">
        <f t="shared" si="14"/>
        <v>3.5269709543568464E-2</v>
      </c>
      <c r="J465" s="4">
        <f t="shared" si="15"/>
        <v>-0.18530612244897959</v>
      </c>
    </row>
    <row r="466" spans="1:10" x14ac:dyDescent="0.2">
      <c r="A466" s="2">
        <f ca="1">IFERROR(__xludf.DUMMYFUNCTION("""COMPUTED_VALUE"""),46007.6666666666)</f>
        <v>46007.666666666599</v>
      </c>
      <c r="B466" s="2"/>
      <c r="C466" s="2"/>
      <c r="D466" s="1">
        <v>5025</v>
      </c>
      <c r="E466" s="1">
        <v>5050</v>
      </c>
      <c r="F466" s="1">
        <v>4920</v>
      </c>
      <c r="G466" s="1">
        <v>5000</v>
      </c>
      <c r="H466" s="1">
        <v>137373200</v>
      </c>
      <c r="I466" s="4">
        <f t="shared" si="14"/>
        <v>2.004008016032064E-3</v>
      </c>
      <c r="J466" s="4">
        <f t="shared" si="15"/>
        <v>-0.18367346938775511</v>
      </c>
    </row>
    <row r="467" spans="1:10" x14ac:dyDescent="0.2">
      <c r="A467" s="2">
        <f ca="1">IFERROR(__xludf.DUMMYFUNCTION("""COMPUTED_VALUE"""),46008.6666666666)</f>
        <v>46008.666666666599</v>
      </c>
      <c r="B467" s="2"/>
      <c r="C467" s="2"/>
      <c r="D467" s="1">
        <v>4990</v>
      </c>
      <c r="E467" s="1">
        <v>5025</v>
      </c>
      <c r="F467" s="1">
        <v>4960</v>
      </c>
      <c r="G467" s="1">
        <v>5025</v>
      </c>
      <c r="H467" s="1">
        <v>94254100</v>
      </c>
      <c r="I467" s="4">
        <f t="shared" si="14"/>
        <v>5.0000000000000001E-3</v>
      </c>
      <c r="J467" s="4">
        <f t="shared" si="15"/>
        <v>-0.17959183673469387</v>
      </c>
    </row>
    <row r="468" spans="1:10" x14ac:dyDescent="0.2">
      <c r="A468" s="2">
        <f ca="1">IFERROR(__xludf.DUMMYFUNCTION("""COMPUTED_VALUE"""),46009.6666666666)</f>
        <v>46009.666666666599</v>
      </c>
      <c r="B468" s="2"/>
      <c r="C468" s="2"/>
      <c r="D468" s="1">
        <v>5025</v>
      </c>
      <c r="E468" s="1">
        <v>5175</v>
      </c>
      <c r="F468" s="1">
        <v>5025</v>
      </c>
      <c r="G468" s="1">
        <v>5150</v>
      </c>
      <c r="H468" s="1">
        <v>150669000</v>
      </c>
      <c r="I468" s="4">
        <f t="shared" si="14"/>
        <v>2.4875621890547265E-2</v>
      </c>
      <c r="J468" s="4">
        <f t="shared" si="15"/>
        <v>-0.15918367346938775</v>
      </c>
    </row>
    <row r="469" spans="1:10" x14ac:dyDescent="0.2">
      <c r="A469" s="2">
        <f ca="1">IFERROR(__xludf.DUMMYFUNCTION("""COMPUTED_VALUE"""),46010.6666666666)</f>
        <v>46010.666666666599</v>
      </c>
      <c r="B469" s="2"/>
      <c r="C469" s="2"/>
      <c r="D469" s="1">
        <v>5175</v>
      </c>
      <c r="E469" s="1">
        <v>5200</v>
      </c>
      <c r="F469" s="1">
        <v>5100</v>
      </c>
      <c r="G469" s="1">
        <v>5175</v>
      </c>
      <c r="H469" s="1">
        <v>161960800</v>
      </c>
      <c r="I469" s="4">
        <f t="shared" si="14"/>
        <v>4.8543689320388345E-3</v>
      </c>
      <c r="J469" s="4">
        <f t="shared" si="15"/>
        <v>-0.15510204081632653</v>
      </c>
    </row>
    <row r="470" spans="1:10" x14ac:dyDescent="0.2">
      <c r="A470" s="2">
        <f ca="1">IFERROR(__xludf.DUMMYFUNCTION("""COMPUTED_VALUE"""),46013.6666666666)</f>
        <v>46013.666666666599</v>
      </c>
      <c r="B470" s="2"/>
      <c r="C470" s="2"/>
      <c r="D470" s="1">
        <v>5175</v>
      </c>
      <c r="E470" s="1">
        <v>5200</v>
      </c>
      <c r="F470" s="1">
        <v>5025</v>
      </c>
      <c r="G470" s="1">
        <v>5100</v>
      </c>
      <c r="H470" s="1">
        <v>93615600</v>
      </c>
      <c r="I470" s="4">
        <f t="shared" si="14"/>
        <v>-1.4492753623188406E-2</v>
      </c>
      <c r="J470" s="4">
        <f t="shared" si="15"/>
        <v>-0.16734693877551021</v>
      </c>
    </row>
    <row r="471" spans="1:10" x14ac:dyDescent="0.2">
      <c r="A471" s="2">
        <f ca="1">IFERROR(__xludf.DUMMYFUNCTION("""COMPUTED_VALUE"""),46014.6666666666)</f>
        <v>46014.666666666599</v>
      </c>
      <c r="B471" s="2"/>
      <c r="C471" s="2"/>
      <c r="D471" s="1">
        <v>5050</v>
      </c>
      <c r="E471" s="1">
        <v>5100</v>
      </c>
      <c r="F471" s="1">
        <v>5000</v>
      </c>
      <c r="G471" s="1">
        <v>5050</v>
      </c>
      <c r="H471" s="1">
        <v>44307700</v>
      </c>
      <c r="I471" s="4">
        <f t="shared" si="14"/>
        <v>-9.8039215686274508E-3</v>
      </c>
      <c r="J471" s="4">
        <f t="shared" si="15"/>
        <v>-0.17551020408163265</v>
      </c>
    </row>
    <row r="472" spans="1:10" x14ac:dyDescent="0.2">
      <c r="A472" s="2">
        <f ca="1">IFERROR(__xludf.DUMMYFUNCTION("""COMPUTED_VALUE"""),46015.6666666666)</f>
        <v>46015.666666666599</v>
      </c>
      <c r="B472" s="2"/>
      <c r="C472" s="2"/>
      <c r="D472" s="1">
        <v>5025</v>
      </c>
      <c r="E472" s="1">
        <v>5100</v>
      </c>
      <c r="F472" s="1">
        <v>5025</v>
      </c>
      <c r="G472" s="1">
        <v>5050</v>
      </c>
      <c r="H472" s="1">
        <v>40272500</v>
      </c>
      <c r="I472" s="4">
        <f t="shared" si="14"/>
        <v>0</v>
      </c>
      <c r="J472" s="4">
        <f t="shared" si="15"/>
        <v>-0.17551020408163265</v>
      </c>
    </row>
    <row r="473" spans="1:10" x14ac:dyDescent="0.2">
      <c r="A473" s="2">
        <f ca="1">IFERROR(__xludf.DUMMYFUNCTION("""COMPUTED_VALUE"""),46020.6666666666)</f>
        <v>46020.666666666599</v>
      </c>
      <c r="B473" s="2"/>
      <c r="C473" s="2"/>
      <c r="D473" s="1">
        <v>5075</v>
      </c>
      <c r="E473" s="1">
        <v>5150</v>
      </c>
      <c r="F473" s="1">
        <v>5050</v>
      </c>
      <c r="G473" s="1">
        <v>5075</v>
      </c>
      <c r="H473" s="1">
        <v>55697500</v>
      </c>
      <c r="I473" s="4">
        <f t="shared" si="14"/>
        <v>4.9504950495049506E-3</v>
      </c>
      <c r="J473" s="4">
        <f t="shared" si="15"/>
        <v>-0.17142857142857143</v>
      </c>
    </row>
    <row r="474" spans="1:10" x14ac:dyDescent="0.2">
      <c r="A474" s="2">
        <f ca="1">IFERROR(__xludf.DUMMYFUNCTION("""COMPUTED_VALUE"""),46021.6666666666)</f>
        <v>46021.666666666599</v>
      </c>
      <c r="B474" s="2"/>
      <c r="C474" s="2"/>
      <c r="D474" s="1">
        <v>5075</v>
      </c>
      <c r="E474" s="1">
        <v>5150</v>
      </c>
      <c r="F474" s="1">
        <v>5050</v>
      </c>
      <c r="G474" s="1">
        <v>5100</v>
      </c>
      <c r="H474" s="1">
        <v>74077800</v>
      </c>
      <c r="I474" s="4">
        <f t="shared" si="14"/>
        <v>4.9261083743842365E-3</v>
      </c>
      <c r="J474" s="4">
        <f t="shared" si="15"/>
        <v>-0.16734693877551021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L474"/>
  <sheetViews>
    <sheetView topLeftCell="A456" workbookViewId="0">
      <selection activeCell="A2" sqref="A2:J474"/>
    </sheetView>
  </sheetViews>
  <sheetFormatPr defaultColWidth="12.5703125" defaultRowHeight="15.75" customHeight="1" x14ac:dyDescent="0.2"/>
  <cols>
    <col min="1" max="1" width="18.140625" bestFit="1" customWidth="1"/>
    <col min="2" max="2" width="18.140625" customWidth="1"/>
    <col min="3" max="3" width="14.140625" bestFit="1" customWidth="1"/>
  </cols>
  <sheetData>
    <row r="1" spans="1:12" x14ac:dyDescent="0.2">
      <c r="A1" s="1" t="s">
        <v>40</v>
      </c>
      <c r="B1" s="1"/>
      <c r="C1" s="17" t="s">
        <v>40</v>
      </c>
      <c r="D1" s="17" t="s">
        <v>41</v>
      </c>
      <c r="E1" s="17" t="s">
        <v>42</v>
      </c>
      <c r="F1" s="17" t="s">
        <v>43</v>
      </c>
      <c r="G1" s="17" t="s">
        <v>44</v>
      </c>
      <c r="H1" s="17" t="s">
        <v>45</v>
      </c>
      <c r="I1" s="1" t="s">
        <v>0</v>
      </c>
    </row>
    <row r="2" spans="1:12" x14ac:dyDescent="0.2">
      <c r="A2" s="2">
        <f ca="1">IFERROR(__xludf.DUMMYFUNCTION("""COMPUTED_VALUE"""),45293.6666666666)</f>
        <v>45293.666666666599</v>
      </c>
      <c r="B2" s="2" t="s">
        <v>57</v>
      </c>
      <c r="C2" s="18">
        <v>45293</v>
      </c>
      <c r="D2" s="17">
        <v>5375</v>
      </c>
      <c r="E2" s="17">
        <v>5375</v>
      </c>
      <c r="F2" s="17">
        <v>5300</v>
      </c>
      <c r="G2" s="17">
        <v>5375</v>
      </c>
      <c r="H2" s="17">
        <v>20147500</v>
      </c>
      <c r="I2" s="4">
        <v>0</v>
      </c>
      <c r="J2" s="4">
        <v>0</v>
      </c>
      <c r="L2" s="2"/>
    </row>
    <row r="3" spans="1:12" x14ac:dyDescent="0.2">
      <c r="A3" s="2">
        <f ca="1">IFERROR(__xludf.DUMMYFUNCTION("""COMPUTED_VALUE"""),45294.6666666666)</f>
        <v>45294.666666666599</v>
      </c>
      <c r="B3" s="2"/>
      <c r="C3" s="18">
        <v>45294</v>
      </c>
      <c r="D3" s="17">
        <v>5375</v>
      </c>
      <c r="E3" s="17">
        <v>5400</v>
      </c>
      <c r="F3" s="17">
        <v>5325</v>
      </c>
      <c r="G3" s="17">
        <v>5350</v>
      </c>
      <c r="H3" s="17">
        <v>27547700</v>
      </c>
      <c r="I3" s="4">
        <f>(G3-G2)/G2</f>
        <v>-4.6511627906976744E-3</v>
      </c>
      <c r="J3" s="4">
        <f>(G3-$G$2)/$G$2</f>
        <v>-4.6511627906976744E-3</v>
      </c>
    </row>
    <row r="4" spans="1:12" x14ac:dyDescent="0.2">
      <c r="A4" s="2">
        <f ca="1">IFERROR(__xludf.DUMMYFUNCTION("""COMPUTED_VALUE"""),45295.6666666666)</f>
        <v>45295.666666666599</v>
      </c>
      <c r="B4" s="2"/>
      <c r="C4" s="18">
        <v>45295</v>
      </c>
      <c r="D4" s="17">
        <v>5350</v>
      </c>
      <c r="E4" s="17">
        <v>5675</v>
      </c>
      <c r="F4" s="17">
        <v>5325</v>
      </c>
      <c r="G4" s="17">
        <v>5600</v>
      </c>
      <c r="H4" s="17">
        <v>77162400</v>
      </c>
      <c r="I4" s="4">
        <f t="shared" ref="I4:I67" si="0">(G4-G3)/G3</f>
        <v>4.6728971962616821E-2</v>
      </c>
      <c r="J4" s="4">
        <f t="shared" ref="J4:J67" si="1">(G4-$G$2)/$G$2</f>
        <v>4.1860465116279069E-2</v>
      </c>
    </row>
    <row r="5" spans="1:12" x14ac:dyDescent="0.2">
      <c r="A5" s="2">
        <f ca="1">IFERROR(__xludf.DUMMYFUNCTION("""COMPUTED_VALUE"""),45296.6666666666)</f>
        <v>45296.666666666599</v>
      </c>
      <c r="B5" s="2"/>
      <c r="C5" s="18">
        <v>45296</v>
      </c>
      <c r="D5" s="17">
        <v>5675</v>
      </c>
      <c r="E5" s="17">
        <v>5750</v>
      </c>
      <c r="F5" s="17">
        <v>5575</v>
      </c>
      <c r="G5" s="17">
        <v>5575</v>
      </c>
      <c r="H5" s="17">
        <v>69463500</v>
      </c>
      <c r="I5" s="4">
        <f t="shared" si="0"/>
        <v>-4.464285714285714E-3</v>
      </c>
      <c r="J5" s="4">
        <f t="shared" si="1"/>
        <v>3.7209302325581395E-2</v>
      </c>
    </row>
    <row r="6" spans="1:12" x14ac:dyDescent="0.2">
      <c r="A6" s="2">
        <f ca="1">IFERROR(__xludf.DUMMYFUNCTION("""COMPUTED_VALUE"""),45299.6666666666)</f>
        <v>45299.666666666599</v>
      </c>
      <c r="B6" s="2"/>
      <c r="C6" s="18">
        <v>45299</v>
      </c>
      <c r="D6" s="17">
        <v>5575</v>
      </c>
      <c r="E6" s="17">
        <v>5650</v>
      </c>
      <c r="F6" s="17">
        <v>5550</v>
      </c>
      <c r="G6" s="17">
        <v>5575</v>
      </c>
      <c r="H6" s="17">
        <v>60606600</v>
      </c>
      <c r="I6" s="4">
        <f t="shared" si="0"/>
        <v>0</v>
      </c>
      <c r="J6" s="4">
        <f t="shared" si="1"/>
        <v>3.7209302325581395E-2</v>
      </c>
    </row>
    <row r="7" spans="1:12" x14ac:dyDescent="0.2">
      <c r="A7" s="2">
        <f ca="1">IFERROR(__xludf.DUMMYFUNCTION("""COMPUTED_VALUE"""),45300.6666666666)</f>
        <v>45300.666666666599</v>
      </c>
      <c r="B7" s="2"/>
      <c r="C7" s="18">
        <v>45300</v>
      </c>
      <c r="D7" s="17">
        <v>5600</v>
      </c>
      <c r="E7" s="17">
        <v>5650</v>
      </c>
      <c r="F7" s="17">
        <v>5600</v>
      </c>
      <c r="G7" s="17">
        <v>5650</v>
      </c>
      <c r="H7" s="17">
        <v>34897000</v>
      </c>
      <c r="I7" s="4">
        <f t="shared" si="0"/>
        <v>1.3452914798206279E-2</v>
      </c>
      <c r="J7" s="4">
        <f t="shared" si="1"/>
        <v>5.1162790697674418E-2</v>
      </c>
    </row>
    <row r="8" spans="1:12" x14ac:dyDescent="0.2">
      <c r="A8" s="2">
        <f ca="1">IFERROR(__xludf.DUMMYFUNCTION("""COMPUTED_VALUE"""),45301.6666666666)</f>
        <v>45301.666666666599</v>
      </c>
      <c r="B8" s="2"/>
      <c r="C8" s="18">
        <v>45301</v>
      </c>
      <c r="D8" s="17">
        <v>5625</v>
      </c>
      <c r="E8" s="17">
        <v>5675</v>
      </c>
      <c r="F8" s="17">
        <v>5575</v>
      </c>
      <c r="G8" s="17">
        <v>5600</v>
      </c>
      <c r="H8" s="17">
        <v>37988500</v>
      </c>
      <c r="I8" s="4">
        <f t="shared" si="0"/>
        <v>-8.8495575221238937E-3</v>
      </c>
      <c r="J8" s="4">
        <f t="shared" si="1"/>
        <v>4.1860465116279069E-2</v>
      </c>
    </row>
    <row r="9" spans="1:12" x14ac:dyDescent="0.2">
      <c r="A9" s="2">
        <f ca="1">IFERROR(__xludf.DUMMYFUNCTION("""COMPUTED_VALUE"""),45302.6666666666)</f>
        <v>45302.666666666599</v>
      </c>
      <c r="B9" s="2"/>
      <c r="C9" s="18">
        <v>45302</v>
      </c>
      <c r="D9" s="17">
        <v>5650</v>
      </c>
      <c r="E9" s="17">
        <v>5700</v>
      </c>
      <c r="F9" s="17">
        <v>5575</v>
      </c>
      <c r="G9" s="17">
        <v>5600</v>
      </c>
      <c r="H9" s="17">
        <v>22855800</v>
      </c>
      <c r="I9" s="4">
        <f t="shared" si="0"/>
        <v>0</v>
      </c>
      <c r="J9" s="4">
        <f t="shared" si="1"/>
        <v>4.1860465116279069E-2</v>
      </c>
    </row>
    <row r="10" spans="1:12" x14ac:dyDescent="0.2">
      <c r="A10" s="2">
        <f ca="1">IFERROR(__xludf.DUMMYFUNCTION("""COMPUTED_VALUE"""),45303.6666666666)</f>
        <v>45303.666666666599</v>
      </c>
      <c r="B10" s="2"/>
      <c r="C10" s="18">
        <v>45303</v>
      </c>
      <c r="D10" s="17">
        <v>5600</v>
      </c>
      <c r="E10" s="17">
        <v>5650</v>
      </c>
      <c r="F10" s="17">
        <v>5575</v>
      </c>
      <c r="G10" s="17">
        <v>5600</v>
      </c>
      <c r="H10" s="17">
        <v>40942900</v>
      </c>
      <c r="I10" s="4">
        <f t="shared" si="0"/>
        <v>0</v>
      </c>
      <c r="J10" s="4">
        <f t="shared" si="1"/>
        <v>4.1860465116279069E-2</v>
      </c>
    </row>
    <row r="11" spans="1:12" x14ac:dyDescent="0.2">
      <c r="A11" s="2">
        <f ca="1">IFERROR(__xludf.DUMMYFUNCTION("""COMPUTED_VALUE"""),45306.6666666666)</f>
        <v>45306.666666666599</v>
      </c>
      <c r="B11" s="2"/>
      <c r="C11" s="20">
        <v>45306</v>
      </c>
      <c r="D11" s="17">
        <v>5650</v>
      </c>
      <c r="E11" s="17">
        <v>5675</v>
      </c>
      <c r="F11" s="17">
        <v>5600</v>
      </c>
      <c r="G11" s="17">
        <v>5625</v>
      </c>
      <c r="H11" s="17">
        <v>51408800</v>
      </c>
      <c r="I11" s="4">
        <f t="shared" si="0"/>
        <v>4.464285714285714E-3</v>
      </c>
      <c r="J11" s="4">
        <f t="shared" si="1"/>
        <v>4.6511627906976744E-2</v>
      </c>
    </row>
    <row r="12" spans="1:12" x14ac:dyDescent="0.2">
      <c r="A12" s="2">
        <f ca="1">IFERROR(__xludf.DUMMYFUNCTION("""COMPUTED_VALUE"""),45307.6666666666)</f>
        <v>45307.666666666599</v>
      </c>
      <c r="B12" s="2"/>
      <c r="C12" s="20">
        <v>45307</v>
      </c>
      <c r="D12" s="17">
        <v>5625</v>
      </c>
      <c r="E12" s="17">
        <v>5625</v>
      </c>
      <c r="F12" s="17">
        <v>5575</v>
      </c>
      <c r="G12" s="17">
        <v>5600</v>
      </c>
      <c r="H12" s="17">
        <v>37795700</v>
      </c>
      <c r="I12" s="4">
        <f t="shared" si="0"/>
        <v>-4.4444444444444444E-3</v>
      </c>
      <c r="J12" s="4">
        <f t="shared" si="1"/>
        <v>4.1860465116279069E-2</v>
      </c>
    </row>
    <row r="13" spans="1:12" x14ac:dyDescent="0.2">
      <c r="A13" s="2">
        <f ca="1">IFERROR(__xludf.DUMMYFUNCTION("""COMPUTED_VALUE"""),45308.6666666666)</f>
        <v>45308.666666666599</v>
      </c>
      <c r="B13" s="2"/>
      <c r="C13" s="20">
        <v>45308</v>
      </c>
      <c r="D13" s="17">
        <v>5600</v>
      </c>
      <c r="E13" s="17">
        <v>5625</v>
      </c>
      <c r="F13" s="17">
        <v>5475</v>
      </c>
      <c r="G13" s="17">
        <v>5550</v>
      </c>
      <c r="H13" s="17">
        <v>61481200</v>
      </c>
      <c r="I13" s="4">
        <f t="shared" si="0"/>
        <v>-8.9285714285714281E-3</v>
      </c>
      <c r="J13" s="4">
        <f t="shared" si="1"/>
        <v>3.255813953488372E-2</v>
      </c>
    </row>
    <row r="14" spans="1:12" x14ac:dyDescent="0.2">
      <c r="A14" s="2">
        <f ca="1">IFERROR(__xludf.DUMMYFUNCTION("""COMPUTED_VALUE"""),45309.6666666666)</f>
        <v>45309.666666666599</v>
      </c>
      <c r="B14" s="2"/>
      <c r="C14" s="20">
        <v>45309</v>
      </c>
      <c r="D14" s="17">
        <v>5550</v>
      </c>
      <c r="E14" s="17">
        <v>5600</v>
      </c>
      <c r="F14" s="17">
        <v>5475</v>
      </c>
      <c r="G14" s="17">
        <v>5550</v>
      </c>
      <c r="H14" s="17">
        <v>33241700</v>
      </c>
      <c r="I14" s="4">
        <f t="shared" si="0"/>
        <v>0</v>
      </c>
      <c r="J14" s="4">
        <f t="shared" si="1"/>
        <v>3.255813953488372E-2</v>
      </c>
    </row>
    <row r="15" spans="1:12" x14ac:dyDescent="0.2">
      <c r="A15" s="2">
        <f ca="1">IFERROR(__xludf.DUMMYFUNCTION("""COMPUTED_VALUE"""),45310.6666666666)</f>
        <v>45310.666666666599</v>
      </c>
      <c r="B15" s="2"/>
      <c r="C15" s="2"/>
      <c r="D15" s="1">
        <v>5575</v>
      </c>
      <c r="E15" s="1">
        <v>5575</v>
      </c>
      <c r="F15" s="1">
        <v>5475</v>
      </c>
      <c r="G15" s="1">
        <v>5500</v>
      </c>
      <c r="H15" s="1">
        <v>29776100</v>
      </c>
      <c r="I15" s="4">
        <f t="shared" si="0"/>
        <v>-9.0090090090090089E-3</v>
      </c>
      <c r="J15" s="4">
        <f t="shared" si="1"/>
        <v>2.3255813953488372E-2</v>
      </c>
    </row>
    <row r="16" spans="1:12" x14ac:dyDescent="0.2">
      <c r="A16" s="2">
        <f ca="1">IFERROR(__xludf.DUMMYFUNCTION("""COMPUTED_VALUE"""),45313.6666666666)</f>
        <v>45313.666666666599</v>
      </c>
      <c r="B16" s="2"/>
      <c r="C16" s="2"/>
      <c r="D16" s="1">
        <v>5525</v>
      </c>
      <c r="E16" s="1">
        <v>5600</v>
      </c>
      <c r="F16" s="1">
        <v>5450</v>
      </c>
      <c r="G16" s="1">
        <v>5525</v>
      </c>
      <c r="H16" s="1">
        <v>30949600</v>
      </c>
      <c r="I16" s="4">
        <f t="shared" si="0"/>
        <v>4.5454545454545452E-3</v>
      </c>
      <c r="J16" s="4">
        <f t="shared" si="1"/>
        <v>2.7906976744186046E-2</v>
      </c>
    </row>
    <row r="17" spans="1:10" x14ac:dyDescent="0.2">
      <c r="A17" s="2">
        <f ca="1">IFERROR(__xludf.DUMMYFUNCTION("""COMPUTED_VALUE"""),45314.6666666666)</f>
        <v>45314.666666666599</v>
      </c>
      <c r="B17" s="2"/>
      <c r="C17" s="2"/>
      <c r="D17" s="1">
        <v>5525</v>
      </c>
      <c r="E17" s="1">
        <v>5525</v>
      </c>
      <c r="F17" s="1">
        <v>5375</v>
      </c>
      <c r="G17" s="1">
        <v>5425</v>
      </c>
      <c r="H17" s="1">
        <v>48824300</v>
      </c>
      <c r="I17" s="4">
        <f t="shared" si="0"/>
        <v>-1.8099547511312219E-2</v>
      </c>
      <c r="J17" s="4">
        <f t="shared" si="1"/>
        <v>9.3023255813953487E-3</v>
      </c>
    </row>
    <row r="18" spans="1:10" x14ac:dyDescent="0.2">
      <c r="A18" s="2">
        <f ca="1">IFERROR(__xludf.DUMMYFUNCTION("""COMPUTED_VALUE"""),45315.6666666666)</f>
        <v>45315.666666666599</v>
      </c>
      <c r="B18" s="2"/>
      <c r="C18" s="2"/>
      <c r="D18" s="1">
        <v>5450</v>
      </c>
      <c r="E18" s="1">
        <v>5500</v>
      </c>
      <c r="F18" s="1">
        <v>5400</v>
      </c>
      <c r="G18" s="1">
        <v>5475</v>
      </c>
      <c r="H18" s="1">
        <v>42436800</v>
      </c>
      <c r="I18" s="4">
        <f t="shared" si="0"/>
        <v>9.2165898617511521E-3</v>
      </c>
      <c r="J18" s="4">
        <f t="shared" si="1"/>
        <v>1.8604651162790697E-2</v>
      </c>
    </row>
    <row r="19" spans="1:10" x14ac:dyDescent="0.2">
      <c r="A19" s="2">
        <f ca="1">IFERROR(__xludf.DUMMYFUNCTION("""COMPUTED_VALUE"""),45316.6666666666)</f>
        <v>45316.666666666599</v>
      </c>
      <c r="B19" s="2"/>
      <c r="C19" s="2"/>
      <c r="D19" s="1">
        <v>5500</v>
      </c>
      <c r="E19" s="1">
        <v>5525</v>
      </c>
      <c r="F19" s="1">
        <v>5400</v>
      </c>
      <c r="G19" s="1">
        <v>5400</v>
      </c>
      <c r="H19" s="1">
        <v>47955600</v>
      </c>
      <c r="I19" s="4">
        <f t="shared" si="0"/>
        <v>-1.3698630136986301E-2</v>
      </c>
      <c r="J19" s="4">
        <f t="shared" si="1"/>
        <v>4.6511627906976744E-3</v>
      </c>
    </row>
    <row r="20" spans="1:10" x14ac:dyDescent="0.2">
      <c r="A20" s="2">
        <f ca="1">IFERROR(__xludf.DUMMYFUNCTION("""COMPUTED_VALUE"""),45317.6666666666)</f>
        <v>45317.666666666599</v>
      </c>
      <c r="B20" s="2"/>
      <c r="C20" s="2"/>
      <c r="D20" s="1">
        <v>5400</v>
      </c>
      <c r="E20" s="1">
        <v>5425</v>
      </c>
      <c r="F20" s="1">
        <v>5350</v>
      </c>
      <c r="G20" s="1">
        <v>5425</v>
      </c>
      <c r="H20" s="1">
        <v>30545600</v>
      </c>
      <c r="I20" s="4">
        <f t="shared" si="0"/>
        <v>4.6296296296296294E-3</v>
      </c>
      <c r="J20" s="4">
        <f t="shared" si="1"/>
        <v>9.3023255813953487E-3</v>
      </c>
    </row>
    <row r="21" spans="1:10" x14ac:dyDescent="0.2">
      <c r="A21" s="2">
        <f ca="1">IFERROR(__xludf.DUMMYFUNCTION("""COMPUTED_VALUE"""),45320.6666666666)</f>
        <v>45320.666666666599</v>
      </c>
      <c r="B21" s="2"/>
      <c r="C21" s="2"/>
      <c r="D21" s="1">
        <v>5450</v>
      </c>
      <c r="E21" s="1">
        <v>5575</v>
      </c>
      <c r="F21" s="1">
        <v>5450</v>
      </c>
      <c r="G21" s="1">
        <v>5575</v>
      </c>
      <c r="H21" s="1">
        <v>63056100</v>
      </c>
      <c r="I21" s="4">
        <f t="shared" si="0"/>
        <v>2.7649769585253458E-2</v>
      </c>
      <c r="J21" s="4">
        <f t="shared" si="1"/>
        <v>3.7209302325581395E-2</v>
      </c>
    </row>
    <row r="22" spans="1:10" x14ac:dyDescent="0.2">
      <c r="A22" s="2">
        <f ca="1">IFERROR(__xludf.DUMMYFUNCTION("""COMPUTED_VALUE"""),45321.6666666666)</f>
        <v>45321.666666666599</v>
      </c>
      <c r="B22" s="2"/>
      <c r="C22" s="2"/>
      <c r="D22" s="1">
        <v>5575</v>
      </c>
      <c r="E22" s="1">
        <v>5675</v>
      </c>
      <c r="F22" s="1">
        <v>5550</v>
      </c>
      <c r="G22" s="1">
        <v>5650</v>
      </c>
      <c r="H22" s="1">
        <v>55020500</v>
      </c>
      <c r="I22" s="4">
        <f t="shared" si="0"/>
        <v>1.3452914798206279E-2</v>
      </c>
      <c r="J22" s="4">
        <f t="shared" si="1"/>
        <v>5.1162790697674418E-2</v>
      </c>
    </row>
    <row r="23" spans="1:10" x14ac:dyDescent="0.2">
      <c r="A23" s="2">
        <f ca="1">IFERROR(__xludf.DUMMYFUNCTION("""COMPUTED_VALUE"""),45322.6666666666)</f>
        <v>45322.666666666599</v>
      </c>
      <c r="B23" s="2"/>
      <c r="C23" s="2"/>
      <c r="D23" s="1">
        <v>5700</v>
      </c>
      <c r="E23" s="1">
        <v>5800</v>
      </c>
      <c r="F23" s="1">
        <v>5675</v>
      </c>
      <c r="G23" s="1">
        <v>5750</v>
      </c>
      <c r="H23" s="1">
        <v>70045600</v>
      </c>
      <c r="I23" s="4">
        <f t="shared" si="0"/>
        <v>1.7699115044247787E-2</v>
      </c>
      <c r="J23" s="4">
        <f t="shared" si="1"/>
        <v>6.9767441860465115E-2</v>
      </c>
    </row>
    <row r="24" spans="1:10" x14ac:dyDescent="0.2">
      <c r="A24" s="2">
        <f ca="1">IFERROR(__xludf.DUMMYFUNCTION("""COMPUTED_VALUE"""),45323.6666666666)</f>
        <v>45323.666666666599</v>
      </c>
      <c r="B24" s="2"/>
      <c r="C24" s="2"/>
      <c r="D24" s="1">
        <v>5750</v>
      </c>
      <c r="E24" s="1">
        <v>5750</v>
      </c>
      <c r="F24" s="1">
        <v>5650</v>
      </c>
      <c r="G24" s="1">
        <v>5725</v>
      </c>
      <c r="H24" s="1">
        <v>49179400</v>
      </c>
      <c r="I24" s="4">
        <f t="shared" si="0"/>
        <v>-4.3478260869565218E-3</v>
      </c>
      <c r="J24" s="4">
        <f t="shared" si="1"/>
        <v>6.5116279069767441E-2</v>
      </c>
    </row>
    <row r="25" spans="1:10" x14ac:dyDescent="0.2">
      <c r="A25" s="2">
        <f ca="1">IFERROR(__xludf.DUMMYFUNCTION("""COMPUTED_VALUE"""),45324.6666666666)</f>
        <v>45324.666666666599</v>
      </c>
      <c r="B25" s="2"/>
      <c r="C25" s="2"/>
      <c r="D25" s="1">
        <v>5750</v>
      </c>
      <c r="E25" s="1">
        <v>5825</v>
      </c>
      <c r="F25" s="1">
        <v>5750</v>
      </c>
      <c r="G25" s="1">
        <v>5775</v>
      </c>
      <c r="H25" s="1">
        <v>44074200</v>
      </c>
      <c r="I25" s="4">
        <f t="shared" si="0"/>
        <v>8.7336244541484712E-3</v>
      </c>
      <c r="J25" s="4">
        <f t="shared" si="1"/>
        <v>7.441860465116279E-2</v>
      </c>
    </row>
    <row r="26" spans="1:10" x14ac:dyDescent="0.2">
      <c r="A26" s="2">
        <f ca="1">IFERROR(__xludf.DUMMYFUNCTION("""COMPUTED_VALUE"""),45327.6666666666)</f>
        <v>45327.666666666599</v>
      </c>
      <c r="B26" s="2"/>
      <c r="C26" s="2"/>
      <c r="D26" s="1">
        <v>5775</v>
      </c>
      <c r="E26" s="1">
        <v>5825</v>
      </c>
      <c r="F26" s="1">
        <v>5725</v>
      </c>
      <c r="G26" s="1">
        <v>5750</v>
      </c>
      <c r="H26" s="1">
        <v>47096400</v>
      </c>
      <c r="I26" s="4">
        <f t="shared" si="0"/>
        <v>-4.329004329004329E-3</v>
      </c>
      <c r="J26" s="4">
        <f t="shared" si="1"/>
        <v>6.9767441860465115E-2</v>
      </c>
    </row>
    <row r="27" spans="1:10" x14ac:dyDescent="0.2">
      <c r="A27" s="2">
        <f ca="1">IFERROR(__xludf.DUMMYFUNCTION("""COMPUTED_VALUE"""),45328.6666666666)</f>
        <v>45328.666666666599</v>
      </c>
      <c r="B27" s="2"/>
      <c r="C27" s="2"/>
      <c r="D27" s="1">
        <v>5775</v>
      </c>
      <c r="E27" s="1">
        <v>5825</v>
      </c>
      <c r="F27" s="1">
        <v>5750</v>
      </c>
      <c r="G27" s="1">
        <v>5775</v>
      </c>
      <c r="H27" s="1">
        <v>41834000</v>
      </c>
      <c r="I27" s="4">
        <f t="shared" si="0"/>
        <v>4.3478260869565218E-3</v>
      </c>
      <c r="J27" s="4">
        <f t="shared" si="1"/>
        <v>7.441860465116279E-2</v>
      </c>
    </row>
    <row r="28" spans="1:10" x14ac:dyDescent="0.2">
      <c r="A28" s="2">
        <f ca="1">IFERROR(__xludf.DUMMYFUNCTION("""COMPUTED_VALUE"""),45329.6666666666)</f>
        <v>45329.666666666599</v>
      </c>
      <c r="B28" s="2"/>
      <c r="C28" s="2"/>
      <c r="D28" s="1">
        <v>5775</v>
      </c>
      <c r="E28" s="1">
        <v>5825</v>
      </c>
      <c r="F28" s="1">
        <v>5750</v>
      </c>
      <c r="G28" s="1">
        <v>5750</v>
      </c>
      <c r="H28" s="1">
        <v>39906900</v>
      </c>
      <c r="I28" s="4">
        <f t="shared" si="0"/>
        <v>-4.329004329004329E-3</v>
      </c>
      <c r="J28" s="4">
        <f t="shared" si="1"/>
        <v>6.9767441860465115E-2</v>
      </c>
    </row>
    <row r="29" spans="1:10" x14ac:dyDescent="0.2">
      <c r="A29" s="2">
        <f ca="1">IFERROR(__xludf.DUMMYFUNCTION("""COMPUTED_VALUE"""),45334.6666666666)</f>
        <v>45334.666666666599</v>
      </c>
      <c r="B29" s="2"/>
      <c r="C29" s="2"/>
      <c r="D29" s="1">
        <v>5775</v>
      </c>
      <c r="E29" s="1">
        <v>6000</v>
      </c>
      <c r="F29" s="1">
        <v>5750</v>
      </c>
      <c r="G29" s="1">
        <v>5950</v>
      </c>
      <c r="H29" s="1">
        <v>64615800</v>
      </c>
      <c r="I29" s="4">
        <f t="shared" si="0"/>
        <v>3.4782608695652174E-2</v>
      </c>
      <c r="J29" s="4">
        <f t="shared" si="1"/>
        <v>0.10697674418604651</v>
      </c>
    </row>
    <row r="30" spans="1:10" x14ac:dyDescent="0.2">
      <c r="A30" s="2">
        <f ca="1">IFERROR(__xludf.DUMMYFUNCTION("""COMPUTED_VALUE"""),45335.6666666666)</f>
        <v>45335.666666666599</v>
      </c>
      <c r="B30" s="2"/>
      <c r="C30" s="2"/>
      <c r="D30" s="1">
        <v>5975</v>
      </c>
      <c r="E30" s="1">
        <v>5975</v>
      </c>
      <c r="F30" s="1">
        <v>5850</v>
      </c>
      <c r="G30" s="1">
        <v>5875</v>
      </c>
      <c r="H30" s="1">
        <v>74976200</v>
      </c>
      <c r="I30" s="4">
        <f t="shared" si="0"/>
        <v>-1.2605042016806723E-2</v>
      </c>
      <c r="J30" s="4">
        <f t="shared" si="1"/>
        <v>9.3023255813953487E-2</v>
      </c>
    </row>
    <row r="31" spans="1:10" x14ac:dyDescent="0.2">
      <c r="A31" s="2">
        <f ca="1">IFERROR(__xludf.DUMMYFUNCTION("""COMPUTED_VALUE"""),45337.6666666666)</f>
        <v>45337.666666666599</v>
      </c>
      <c r="B31" s="2"/>
      <c r="C31" s="2"/>
      <c r="D31" s="1">
        <v>6150</v>
      </c>
      <c r="E31" s="1">
        <v>6225</v>
      </c>
      <c r="F31" s="1">
        <v>6000</v>
      </c>
      <c r="G31" s="1">
        <v>6000</v>
      </c>
      <c r="H31" s="1">
        <v>128792500</v>
      </c>
      <c r="I31" s="4">
        <f t="shared" si="0"/>
        <v>2.1276595744680851E-2</v>
      </c>
      <c r="J31" s="4">
        <f t="shared" si="1"/>
        <v>0.11627906976744186</v>
      </c>
    </row>
    <row r="32" spans="1:10" x14ac:dyDescent="0.2">
      <c r="A32" s="2">
        <f ca="1">IFERROR(__xludf.DUMMYFUNCTION("""COMPUTED_VALUE"""),45338.6666666666)</f>
        <v>45338.666666666599</v>
      </c>
      <c r="B32" s="2"/>
      <c r="C32" s="2"/>
      <c r="D32" s="1">
        <v>6025</v>
      </c>
      <c r="E32" s="1">
        <v>6125</v>
      </c>
      <c r="F32" s="1">
        <v>6000</v>
      </c>
      <c r="G32" s="1">
        <v>6000</v>
      </c>
      <c r="H32" s="1">
        <v>62601000</v>
      </c>
      <c r="I32" s="4">
        <f t="shared" si="0"/>
        <v>0</v>
      </c>
      <c r="J32" s="4">
        <f t="shared" si="1"/>
        <v>0.11627906976744186</v>
      </c>
    </row>
    <row r="33" spans="1:10" x14ac:dyDescent="0.2">
      <c r="A33" s="2">
        <f ca="1">IFERROR(__xludf.DUMMYFUNCTION("""COMPUTED_VALUE"""),45341.6666666666)</f>
        <v>45341.666666666599</v>
      </c>
      <c r="B33" s="2"/>
      <c r="C33" s="2"/>
      <c r="D33" s="1">
        <v>6025</v>
      </c>
      <c r="E33" s="1">
        <v>6050</v>
      </c>
      <c r="F33" s="1">
        <v>5875</v>
      </c>
      <c r="G33" s="1">
        <v>5875</v>
      </c>
      <c r="H33" s="1">
        <v>67950100</v>
      </c>
      <c r="I33" s="4">
        <f t="shared" si="0"/>
        <v>-2.0833333333333332E-2</v>
      </c>
      <c r="J33" s="4">
        <f t="shared" si="1"/>
        <v>9.3023255813953487E-2</v>
      </c>
    </row>
    <row r="34" spans="1:10" x14ac:dyDescent="0.2">
      <c r="A34" s="2">
        <f ca="1">IFERROR(__xludf.DUMMYFUNCTION("""COMPUTED_VALUE"""),45342.6666666666)</f>
        <v>45342.666666666599</v>
      </c>
      <c r="B34" s="2"/>
      <c r="C34" s="2"/>
      <c r="D34" s="1">
        <v>5900</v>
      </c>
      <c r="E34" s="1">
        <v>6025</v>
      </c>
      <c r="F34" s="1">
        <v>5900</v>
      </c>
      <c r="G34" s="1">
        <v>6025</v>
      </c>
      <c r="H34" s="1">
        <v>37554100</v>
      </c>
      <c r="I34" s="4">
        <f t="shared" si="0"/>
        <v>2.553191489361702E-2</v>
      </c>
      <c r="J34" s="4">
        <f t="shared" si="1"/>
        <v>0.12093023255813953</v>
      </c>
    </row>
    <row r="35" spans="1:10" x14ac:dyDescent="0.2">
      <c r="A35" s="2">
        <f ca="1">IFERROR(__xludf.DUMMYFUNCTION("""COMPUTED_VALUE"""),45343.6666666666)</f>
        <v>45343.666666666599</v>
      </c>
      <c r="B35" s="2"/>
      <c r="C35" s="2"/>
      <c r="D35" s="1">
        <v>6025</v>
      </c>
      <c r="E35" s="1">
        <v>6050</v>
      </c>
      <c r="F35" s="1">
        <v>5925</v>
      </c>
      <c r="G35" s="1">
        <v>6000</v>
      </c>
      <c r="H35" s="1">
        <v>54476400</v>
      </c>
      <c r="I35" s="4">
        <f t="shared" si="0"/>
        <v>-4.1493775933609959E-3</v>
      </c>
      <c r="J35" s="4">
        <f t="shared" si="1"/>
        <v>0.11627906976744186</v>
      </c>
    </row>
    <row r="36" spans="1:10" x14ac:dyDescent="0.2">
      <c r="A36" s="2">
        <f ca="1">IFERROR(__xludf.DUMMYFUNCTION("""COMPUTED_VALUE"""),45344.6666666666)</f>
        <v>45344.666666666599</v>
      </c>
      <c r="B36" s="2"/>
      <c r="C36" s="2"/>
      <c r="D36" s="1">
        <v>6000</v>
      </c>
      <c r="E36" s="1">
        <v>6025</v>
      </c>
      <c r="F36" s="1">
        <v>5900</v>
      </c>
      <c r="G36" s="1">
        <v>5950</v>
      </c>
      <c r="H36" s="1">
        <v>37676100</v>
      </c>
      <c r="I36" s="4">
        <f t="shared" si="0"/>
        <v>-8.3333333333333332E-3</v>
      </c>
      <c r="J36" s="4">
        <f t="shared" si="1"/>
        <v>0.10697674418604651</v>
      </c>
    </row>
    <row r="37" spans="1:10" x14ac:dyDescent="0.2">
      <c r="A37" s="2">
        <f ca="1">IFERROR(__xludf.DUMMYFUNCTION("""COMPUTED_VALUE"""),45345.6666666666)</f>
        <v>45345.666666666599</v>
      </c>
      <c r="B37" s="2"/>
      <c r="C37" s="2"/>
      <c r="D37" s="1">
        <v>6000</v>
      </c>
      <c r="E37" s="1">
        <v>6000</v>
      </c>
      <c r="F37" s="1">
        <v>5825</v>
      </c>
      <c r="G37" s="1">
        <v>5900</v>
      </c>
      <c r="H37" s="1">
        <v>50216600</v>
      </c>
      <c r="I37" s="4">
        <f t="shared" si="0"/>
        <v>-8.4033613445378148E-3</v>
      </c>
      <c r="J37" s="4">
        <f t="shared" si="1"/>
        <v>9.7674418604651161E-2</v>
      </c>
    </row>
    <row r="38" spans="1:10" x14ac:dyDescent="0.2">
      <c r="A38" s="2">
        <f ca="1">IFERROR(__xludf.DUMMYFUNCTION("""COMPUTED_VALUE"""),45348.6666666666)</f>
        <v>45348.666666666599</v>
      </c>
      <c r="B38" s="2"/>
      <c r="C38" s="2"/>
      <c r="D38" s="1">
        <v>5900</v>
      </c>
      <c r="E38" s="1">
        <v>5925</v>
      </c>
      <c r="F38" s="1">
        <v>5800</v>
      </c>
      <c r="G38" s="1">
        <v>5900</v>
      </c>
      <c r="H38" s="1">
        <v>27500000</v>
      </c>
      <c r="I38" s="4">
        <f t="shared" si="0"/>
        <v>0</v>
      </c>
      <c r="J38" s="4">
        <f t="shared" si="1"/>
        <v>9.7674418604651161E-2</v>
      </c>
    </row>
    <row r="39" spans="1:10" x14ac:dyDescent="0.2">
      <c r="A39" s="2">
        <f ca="1">IFERROR(__xludf.DUMMYFUNCTION("""COMPUTED_VALUE"""),45349.6666666666)</f>
        <v>45349.666666666599</v>
      </c>
      <c r="B39" s="2"/>
      <c r="C39" s="2"/>
      <c r="D39" s="1">
        <v>5900</v>
      </c>
      <c r="E39" s="1">
        <v>6000</v>
      </c>
      <c r="F39" s="1">
        <v>5850</v>
      </c>
      <c r="G39" s="1">
        <v>6000</v>
      </c>
      <c r="H39" s="1">
        <v>38645200</v>
      </c>
      <c r="I39" s="4">
        <f t="shared" si="0"/>
        <v>1.6949152542372881E-2</v>
      </c>
      <c r="J39" s="4">
        <f t="shared" si="1"/>
        <v>0.11627906976744186</v>
      </c>
    </row>
    <row r="40" spans="1:10" x14ac:dyDescent="0.2">
      <c r="A40" s="2">
        <f ca="1">IFERROR(__xludf.DUMMYFUNCTION("""COMPUTED_VALUE"""),45350.6666666666)</f>
        <v>45350.666666666599</v>
      </c>
      <c r="B40" s="2"/>
      <c r="C40" s="2"/>
      <c r="D40" s="1">
        <v>5950</v>
      </c>
      <c r="E40" s="1">
        <v>6000</v>
      </c>
      <c r="F40" s="1">
        <v>5900</v>
      </c>
      <c r="G40" s="1">
        <v>5975</v>
      </c>
      <c r="H40" s="1">
        <v>27278600</v>
      </c>
      <c r="I40" s="4">
        <f t="shared" si="0"/>
        <v>-4.1666666666666666E-3</v>
      </c>
      <c r="J40" s="4">
        <f t="shared" si="1"/>
        <v>0.11162790697674418</v>
      </c>
    </row>
    <row r="41" spans="1:10" x14ac:dyDescent="0.2">
      <c r="A41" s="2">
        <f ca="1">IFERROR(__xludf.DUMMYFUNCTION("""COMPUTED_VALUE"""),45351.6666666666)</f>
        <v>45351.666666666599</v>
      </c>
      <c r="B41" s="2"/>
      <c r="C41" s="2"/>
      <c r="D41" s="1">
        <v>5975</v>
      </c>
      <c r="E41" s="1">
        <v>6000</v>
      </c>
      <c r="F41" s="1">
        <v>5900</v>
      </c>
      <c r="G41" s="1">
        <v>6000</v>
      </c>
      <c r="H41" s="1">
        <v>48736000</v>
      </c>
      <c r="I41" s="4">
        <f t="shared" si="0"/>
        <v>4.1841004184100415E-3</v>
      </c>
      <c r="J41" s="4">
        <f t="shared" si="1"/>
        <v>0.11627906976744186</v>
      </c>
    </row>
    <row r="42" spans="1:10" x14ac:dyDescent="0.2">
      <c r="A42" s="2">
        <f ca="1">IFERROR(__xludf.DUMMYFUNCTION("""COMPUTED_VALUE"""),45352.6666666666)</f>
        <v>45352.666666666599</v>
      </c>
      <c r="B42" s="2"/>
      <c r="C42" s="2"/>
      <c r="D42" s="1">
        <v>5925</v>
      </c>
      <c r="E42" s="1">
        <v>5975</v>
      </c>
      <c r="F42" s="1">
        <v>5825</v>
      </c>
      <c r="G42" s="1">
        <v>5900</v>
      </c>
      <c r="H42" s="1">
        <v>71774400</v>
      </c>
      <c r="I42" s="4">
        <f t="shared" si="0"/>
        <v>-1.6666666666666666E-2</v>
      </c>
      <c r="J42" s="4">
        <f t="shared" si="1"/>
        <v>9.7674418604651161E-2</v>
      </c>
    </row>
    <row r="43" spans="1:10" x14ac:dyDescent="0.2">
      <c r="A43" s="2">
        <f ca="1">IFERROR(__xludf.DUMMYFUNCTION("""COMPUTED_VALUE"""),45355.6666666666)</f>
        <v>45355.666666666599</v>
      </c>
      <c r="B43" s="2"/>
      <c r="C43" s="2"/>
      <c r="D43" s="1">
        <v>5900</v>
      </c>
      <c r="E43" s="1">
        <v>5925</v>
      </c>
      <c r="F43" s="1">
        <v>5800</v>
      </c>
      <c r="G43" s="1">
        <v>5875</v>
      </c>
      <c r="H43" s="1">
        <v>35600700</v>
      </c>
      <c r="I43" s="4">
        <f t="shared" si="0"/>
        <v>-4.2372881355932203E-3</v>
      </c>
      <c r="J43" s="4">
        <f t="shared" si="1"/>
        <v>9.3023255813953487E-2</v>
      </c>
    </row>
    <row r="44" spans="1:10" x14ac:dyDescent="0.2">
      <c r="A44" s="2">
        <f ca="1">IFERROR(__xludf.DUMMYFUNCTION("""COMPUTED_VALUE"""),45356.6666666666)</f>
        <v>45356.666666666599</v>
      </c>
      <c r="B44" s="2"/>
      <c r="C44" s="2"/>
      <c r="D44" s="1">
        <v>5875</v>
      </c>
      <c r="E44" s="1">
        <v>5950</v>
      </c>
      <c r="F44" s="1">
        <v>5850</v>
      </c>
      <c r="G44" s="1">
        <v>5900</v>
      </c>
      <c r="H44" s="1">
        <v>49795500</v>
      </c>
      <c r="I44" s="4">
        <f t="shared" si="0"/>
        <v>4.2553191489361703E-3</v>
      </c>
      <c r="J44" s="4">
        <f t="shared" si="1"/>
        <v>9.7674418604651161E-2</v>
      </c>
    </row>
    <row r="45" spans="1:10" x14ac:dyDescent="0.2">
      <c r="A45" s="2">
        <f ca="1">IFERROR(__xludf.DUMMYFUNCTION("""COMPUTED_VALUE"""),45357.6666666666)</f>
        <v>45357.666666666599</v>
      </c>
      <c r="B45" s="2"/>
      <c r="C45" s="2"/>
      <c r="D45" s="1">
        <v>5900</v>
      </c>
      <c r="E45" s="1">
        <v>5950</v>
      </c>
      <c r="F45" s="1">
        <v>5875</v>
      </c>
      <c r="G45" s="1">
        <v>5950</v>
      </c>
      <c r="H45" s="1">
        <v>28923100</v>
      </c>
      <c r="I45" s="4">
        <f t="shared" si="0"/>
        <v>8.4745762711864406E-3</v>
      </c>
      <c r="J45" s="4">
        <f t="shared" si="1"/>
        <v>0.10697674418604651</v>
      </c>
    </row>
    <row r="46" spans="1:10" x14ac:dyDescent="0.2">
      <c r="A46" s="2">
        <f ca="1">IFERROR(__xludf.DUMMYFUNCTION("""COMPUTED_VALUE"""),45358.6666666666)</f>
        <v>45358.666666666599</v>
      </c>
      <c r="B46" s="2"/>
      <c r="C46" s="2"/>
      <c r="D46" s="1">
        <v>5975</v>
      </c>
      <c r="E46" s="1">
        <v>6025</v>
      </c>
      <c r="F46" s="1">
        <v>5950</v>
      </c>
      <c r="G46" s="1">
        <v>5975</v>
      </c>
      <c r="H46" s="1">
        <v>47464200</v>
      </c>
      <c r="I46" s="4">
        <f t="shared" si="0"/>
        <v>4.2016806722689074E-3</v>
      </c>
      <c r="J46" s="4">
        <f t="shared" si="1"/>
        <v>0.11162790697674418</v>
      </c>
    </row>
    <row r="47" spans="1:10" x14ac:dyDescent="0.2">
      <c r="A47" s="2">
        <f ca="1">IFERROR(__xludf.DUMMYFUNCTION("""COMPUTED_VALUE"""),45359.6666666666)</f>
        <v>45359.666666666599</v>
      </c>
      <c r="B47" s="2"/>
      <c r="C47" s="2"/>
      <c r="D47" s="1">
        <v>6000</v>
      </c>
      <c r="E47" s="1">
        <v>6125</v>
      </c>
      <c r="F47" s="1">
        <v>5975</v>
      </c>
      <c r="G47" s="1">
        <v>6100</v>
      </c>
      <c r="H47" s="1">
        <v>73185000</v>
      </c>
      <c r="I47" s="4">
        <f t="shared" si="0"/>
        <v>2.0920502092050208E-2</v>
      </c>
      <c r="J47" s="4">
        <f t="shared" si="1"/>
        <v>0.13488372093023257</v>
      </c>
    </row>
    <row r="48" spans="1:10" x14ac:dyDescent="0.2">
      <c r="A48" s="2">
        <f ca="1">IFERROR(__xludf.DUMMYFUNCTION("""COMPUTED_VALUE"""),45364.6666666666)</f>
        <v>45364.666666666599</v>
      </c>
      <c r="B48" s="2"/>
      <c r="C48" s="2"/>
      <c r="D48" s="1">
        <v>6100</v>
      </c>
      <c r="E48" s="1">
        <v>6250</v>
      </c>
      <c r="F48" s="1">
        <v>6100</v>
      </c>
      <c r="G48" s="1">
        <v>6225</v>
      </c>
      <c r="H48" s="1">
        <v>87861700</v>
      </c>
      <c r="I48" s="4">
        <f t="shared" si="0"/>
        <v>2.0491803278688523E-2</v>
      </c>
      <c r="J48" s="4">
        <f t="shared" si="1"/>
        <v>0.15813953488372093</v>
      </c>
    </row>
    <row r="49" spans="1:10" x14ac:dyDescent="0.2">
      <c r="A49" s="2">
        <f ca="1">IFERROR(__xludf.DUMMYFUNCTION("""COMPUTED_VALUE"""),45365.6666666666)</f>
        <v>45365.666666666599</v>
      </c>
      <c r="B49" s="2"/>
      <c r="C49" s="2"/>
      <c r="D49" s="1">
        <v>6225</v>
      </c>
      <c r="E49" s="1">
        <v>6250</v>
      </c>
      <c r="F49" s="1">
        <v>6075</v>
      </c>
      <c r="G49" s="1">
        <v>6150</v>
      </c>
      <c r="H49" s="1">
        <v>88145400</v>
      </c>
      <c r="I49" s="4">
        <f t="shared" si="0"/>
        <v>-1.2048192771084338E-2</v>
      </c>
      <c r="J49" s="4">
        <f t="shared" si="1"/>
        <v>0.14418604651162792</v>
      </c>
    </row>
    <row r="50" spans="1:10" x14ac:dyDescent="0.2">
      <c r="A50" s="2">
        <f ca="1">IFERROR(__xludf.DUMMYFUNCTION("""COMPUTED_VALUE"""),45366.6666666666)</f>
        <v>45366.666666666599</v>
      </c>
      <c r="B50" s="2"/>
      <c r="C50" s="2"/>
      <c r="D50" s="1">
        <v>5950</v>
      </c>
      <c r="E50" s="1">
        <v>5950</v>
      </c>
      <c r="F50" s="1">
        <v>5725</v>
      </c>
      <c r="G50" s="1">
        <v>5800</v>
      </c>
      <c r="H50" s="1">
        <v>144447600</v>
      </c>
      <c r="I50" s="4">
        <f t="shared" si="0"/>
        <v>-5.6910569105691054E-2</v>
      </c>
      <c r="J50" s="4">
        <f t="shared" si="1"/>
        <v>7.9069767441860464E-2</v>
      </c>
    </row>
    <row r="51" spans="1:10" x14ac:dyDescent="0.2">
      <c r="A51" s="2">
        <f ca="1">IFERROR(__xludf.DUMMYFUNCTION("""COMPUTED_VALUE"""),45369.6666666666)</f>
        <v>45369.666666666599</v>
      </c>
      <c r="B51" s="2"/>
      <c r="C51" s="2"/>
      <c r="D51" s="1">
        <v>5825</v>
      </c>
      <c r="E51" s="1">
        <v>5900</v>
      </c>
      <c r="F51" s="1">
        <v>5800</v>
      </c>
      <c r="G51" s="1">
        <v>5800</v>
      </c>
      <c r="H51" s="1">
        <v>48979300</v>
      </c>
      <c r="I51" s="4">
        <f t="shared" si="0"/>
        <v>0</v>
      </c>
      <c r="J51" s="4">
        <f t="shared" si="1"/>
        <v>7.9069767441860464E-2</v>
      </c>
    </row>
    <row r="52" spans="1:10" x14ac:dyDescent="0.2">
      <c r="A52" s="2">
        <f ca="1">IFERROR(__xludf.DUMMYFUNCTION("""COMPUTED_VALUE"""),45370.6666666666)</f>
        <v>45370.666666666599</v>
      </c>
      <c r="B52" s="2"/>
      <c r="C52" s="2"/>
      <c r="D52" s="1">
        <v>5800</v>
      </c>
      <c r="E52" s="1">
        <v>5875</v>
      </c>
      <c r="F52" s="1">
        <v>5800</v>
      </c>
      <c r="G52" s="1">
        <v>5850</v>
      </c>
      <c r="H52" s="1">
        <v>34162200</v>
      </c>
      <c r="I52" s="4">
        <f t="shared" si="0"/>
        <v>8.6206896551724137E-3</v>
      </c>
      <c r="J52" s="4">
        <f t="shared" si="1"/>
        <v>8.8372093023255813E-2</v>
      </c>
    </row>
    <row r="53" spans="1:10" x14ac:dyDescent="0.2">
      <c r="A53" s="2">
        <f ca="1">IFERROR(__xludf.DUMMYFUNCTION("""COMPUTED_VALUE"""),45371.6666666666)</f>
        <v>45371.666666666599</v>
      </c>
      <c r="B53" s="2"/>
      <c r="C53" s="2"/>
      <c r="D53" s="1">
        <v>5850</v>
      </c>
      <c r="E53" s="1">
        <v>5900</v>
      </c>
      <c r="F53" s="1">
        <v>5850</v>
      </c>
      <c r="G53" s="1">
        <v>5875</v>
      </c>
      <c r="H53" s="1">
        <v>32725900</v>
      </c>
      <c r="I53" s="4">
        <f t="shared" si="0"/>
        <v>4.2735042735042739E-3</v>
      </c>
      <c r="J53" s="4">
        <f t="shared" si="1"/>
        <v>9.3023255813953487E-2</v>
      </c>
    </row>
    <row r="54" spans="1:10" x14ac:dyDescent="0.2">
      <c r="A54" s="2">
        <f ca="1">IFERROR(__xludf.DUMMYFUNCTION("""COMPUTED_VALUE"""),45372.6666666666)</f>
        <v>45372.666666666599</v>
      </c>
      <c r="B54" s="2"/>
      <c r="C54" s="2"/>
      <c r="D54" s="1">
        <v>5900</v>
      </c>
      <c r="E54" s="1">
        <v>5925</v>
      </c>
      <c r="F54" s="1">
        <v>5800</v>
      </c>
      <c r="G54" s="1">
        <v>5800</v>
      </c>
      <c r="H54" s="1">
        <v>50976000</v>
      </c>
      <c r="I54" s="4">
        <f t="shared" si="0"/>
        <v>-1.276595744680851E-2</v>
      </c>
      <c r="J54" s="4">
        <f t="shared" si="1"/>
        <v>7.9069767441860464E-2</v>
      </c>
    </row>
    <row r="55" spans="1:10" x14ac:dyDescent="0.2">
      <c r="A55" s="2">
        <f ca="1">IFERROR(__xludf.DUMMYFUNCTION("""COMPUTED_VALUE"""),45373.6666666666)</f>
        <v>45373.666666666599</v>
      </c>
      <c r="B55" s="2"/>
      <c r="C55" s="2"/>
      <c r="D55" s="1">
        <v>5850</v>
      </c>
      <c r="E55" s="1">
        <v>5875</v>
      </c>
      <c r="F55" s="1">
        <v>5800</v>
      </c>
      <c r="G55" s="1">
        <v>5850</v>
      </c>
      <c r="H55" s="1">
        <v>29927600</v>
      </c>
      <c r="I55" s="4">
        <f t="shared" si="0"/>
        <v>8.6206896551724137E-3</v>
      </c>
      <c r="J55" s="4">
        <f t="shared" si="1"/>
        <v>8.8372093023255813E-2</v>
      </c>
    </row>
    <row r="56" spans="1:10" x14ac:dyDescent="0.2">
      <c r="A56" s="2">
        <f ca="1">IFERROR(__xludf.DUMMYFUNCTION("""COMPUTED_VALUE"""),45376.6666666666)</f>
        <v>45376.666666666599</v>
      </c>
      <c r="B56" s="2"/>
      <c r="C56" s="2"/>
      <c r="D56" s="1">
        <v>5925</v>
      </c>
      <c r="E56" s="1">
        <v>5925</v>
      </c>
      <c r="F56" s="1">
        <v>5825</v>
      </c>
      <c r="G56" s="1">
        <v>5925</v>
      </c>
      <c r="H56" s="1">
        <v>43514000</v>
      </c>
      <c r="I56" s="4">
        <f t="shared" si="0"/>
        <v>1.282051282051282E-2</v>
      </c>
      <c r="J56" s="4">
        <f t="shared" si="1"/>
        <v>0.10232558139534884</v>
      </c>
    </row>
    <row r="57" spans="1:10" x14ac:dyDescent="0.2">
      <c r="A57" s="2">
        <f ca="1">IFERROR(__xludf.DUMMYFUNCTION("""COMPUTED_VALUE"""),45377.6666666666)</f>
        <v>45377.666666666599</v>
      </c>
      <c r="B57" s="2"/>
      <c r="C57" s="2"/>
      <c r="D57" s="1">
        <v>5950</v>
      </c>
      <c r="E57" s="1">
        <v>5950</v>
      </c>
      <c r="F57" s="1">
        <v>5850</v>
      </c>
      <c r="G57" s="1">
        <v>5950</v>
      </c>
      <c r="H57" s="1">
        <v>29383900</v>
      </c>
      <c r="I57" s="4">
        <f t="shared" si="0"/>
        <v>4.2194092827004216E-3</v>
      </c>
      <c r="J57" s="4">
        <f t="shared" si="1"/>
        <v>0.10697674418604651</v>
      </c>
    </row>
    <row r="58" spans="1:10" x14ac:dyDescent="0.2">
      <c r="A58" s="2">
        <f ca="1">IFERROR(__xludf.DUMMYFUNCTION("""COMPUTED_VALUE"""),45378.6666666666)</f>
        <v>45378.666666666599</v>
      </c>
      <c r="B58" s="2"/>
      <c r="C58" s="2"/>
      <c r="D58" s="1">
        <v>5950</v>
      </c>
      <c r="E58" s="1">
        <v>5975</v>
      </c>
      <c r="F58" s="1">
        <v>5900</v>
      </c>
      <c r="G58" s="1">
        <v>5925</v>
      </c>
      <c r="H58" s="1">
        <v>19643200</v>
      </c>
      <c r="I58" s="4">
        <f t="shared" si="0"/>
        <v>-4.2016806722689074E-3</v>
      </c>
      <c r="J58" s="4">
        <f t="shared" si="1"/>
        <v>0.10232558139534884</v>
      </c>
    </row>
    <row r="59" spans="1:10" x14ac:dyDescent="0.2">
      <c r="A59" s="2">
        <f ca="1">IFERROR(__xludf.DUMMYFUNCTION("""COMPUTED_VALUE"""),45379.6666666666)</f>
        <v>45379.666666666599</v>
      </c>
      <c r="B59" s="2"/>
      <c r="C59" s="2"/>
      <c r="D59" s="1">
        <v>5950</v>
      </c>
      <c r="E59" s="1">
        <v>5950</v>
      </c>
      <c r="F59" s="1">
        <v>5850</v>
      </c>
      <c r="G59" s="1">
        <v>5900</v>
      </c>
      <c r="H59" s="1">
        <v>40077400</v>
      </c>
      <c r="I59" s="4">
        <f t="shared" si="0"/>
        <v>-4.2194092827004216E-3</v>
      </c>
      <c r="J59" s="4">
        <f t="shared" si="1"/>
        <v>9.7674418604651161E-2</v>
      </c>
    </row>
    <row r="60" spans="1:10" x14ac:dyDescent="0.2">
      <c r="A60" s="2">
        <f ca="1">IFERROR(__xludf.DUMMYFUNCTION("""COMPUTED_VALUE"""),45383.6666666666)</f>
        <v>45383.666666666599</v>
      </c>
      <c r="B60" s="2"/>
      <c r="C60" s="2"/>
      <c r="D60" s="1">
        <v>5900</v>
      </c>
      <c r="E60" s="1">
        <v>5900</v>
      </c>
      <c r="F60" s="1">
        <v>5550</v>
      </c>
      <c r="G60" s="1">
        <v>5650</v>
      </c>
      <c r="H60" s="1">
        <v>100174400</v>
      </c>
      <c r="I60" s="4">
        <f t="shared" si="0"/>
        <v>-4.2372881355932202E-2</v>
      </c>
      <c r="J60" s="4">
        <f t="shared" si="1"/>
        <v>5.1162790697674418E-2</v>
      </c>
    </row>
    <row r="61" spans="1:10" x14ac:dyDescent="0.2">
      <c r="A61" s="2">
        <f ca="1">IFERROR(__xludf.DUMMYFUNCTION("""COMPUTED_VALUE"""),45384.6666666666)</f>
        <v>45384.666666666599</v>
      </c>
      <c r="B61" s="2"/>
      <c r="C61" s="2"/>
      <c r="D61" s="1">
        <v>5625</v>
      </c>
      <c r="E61" s="1">
        <v>5625</v>
      </c>
      <c r="F61" s="1">
        <v>5425</v>
      </c>
      <c r="G61" s="1">
        <v>5475</v>
      </c>
      <c r="H61" s="1">
        <v>121164600</v>
      </c>
      <c r="I61" s="4">
        <f t="shared" si="0"/>
        <v>-3.0973451327433628E-2</v>
      </c>
      <c r="J61" s="4">
        <f t="shared" si="1"/>
        <v>1.8604651162790697E-2</v>
      </c>
    </row>
    <row r="62" spans="1:10" x14ac:dyDescent="0.2">
      <c r="A62" s="2">
        <f ca="1">IFERROR(__xludf.DUMMYFUNCTION("""COMPUTED_VALUE"""),45385.6666666666)</f>
        <v>45385.666666666599</v>
      </c>
      <c r="B62" s="2"/>
      <c r="C62" s="2"/>
      <c r="D62" s="1">
        <v>5450</v>
      </c>
      <c r="E62" s="1">
        <v>5525</v>
      </c>
      <c r="F62" s="1">
        <v>5225</v>
      </c>
      <c r="G62" s="1">
        <v>5325</v>
      </c>
      <c r="H62" s="1">
        <v>126994500</v>
      </c>
      <c r="I62" s="4">
        <f t="shared" si="0"/>
        <v>-2.7397260273972601E-2</v>
      </c>
      <c r="J62" s="4">
        <f t="shared" si="1"/>
        <v>-9.3023255813953487E-3</v>
      </c>
    </row>
    <row r="63" spans="1:10" x14ac:dyDescent="0.2">
      <c r="A63" s="2">
        <f ca="1">IFERROR(__xludf.DUMMYFUNCTION("""COMPUTED_VALUE"""),45386.6666666666)</f>
        <v>45386.666666666599</v>
      </c>
      <c r="B63" s="2"/>
      <c r="C63" s="2"/>
      <c r="D63" s="1">
        <v>5250</v>
      </c>
      <c r="E63" s="1">
        <v>5375</v>
      </c>
      <c r="F63" s="1">
        <v>5250</v>
      </c>
      <c r="G63" s="1">
        <v>5350</v>
      </c>
      <c r="H63" s="1">
        <v>163113100</v>
      </c>
      <c r="I63" s="4">
        <f t="shared" si="0"/>
        <v>4.6948356807511738E-3</v>
      </c>
      <c r="J63" s="4">
        <f t="shared" si="1"/>
        <v>-4.6511627906976744E-3</v>
      </c>
    </row>
    <row r="64" spans="1:10" x14ac:dyDescent="0.2">
      <c r="A64" s="2">
        <f ca="1">IFERROR(__xludf.DUMMYFUNCTION("""COMPUTED_VALUE"""),45387.6666666666)</f>
        <v>45387.666666666599</v>
      </c>
      <c r="B64" s="2"/>
      <c r="C64" s="2"/>
      <c r="D64" s="1">
        <v>5325</v>
      </c>
      <c r="E64" s="1">
        <v>5375</v>
      </c>
      <c r="F64" s="1">
        <v>5300</v>
      </c>
      <c r="G64" s="1">
        <v>5300</v>
      </c>
      <c r="H64" s="1">
        <v>36818200</v>
      </c>
      <c r="I64" s="4">
        <f t="shared" si="0"/>
        <v>-9.3457943925233638E-3</v>
      </c>
      <c r="J64" s="4">
        <f t="shared" si="1"/>
        <v>-1.3953488372093023E-2</v>
      </c>
    </row>
    <row r="65" spans="1:10" x14ac:dyDescent="0.2">
      <c r="A65" s="2">
        <f ca="1">IFERROR(__xludf.DUMMYFUNCTION("""COMPUTED_VALUE"""),45398.6666666666)</f>
        <v>45398.666666666599</v>
      </c>
      <c r="B65" s="2"/>
      <c r="C65" s="2"/>
      <c r="D65" s="1">
        <v>5075</v>
      </c>
      <c r="E65" s="1">
        <v>5300</v>
      </c>
      <c r="F65" s="1">
        <v>5050</v>
      </c>
      <c r="G65" s="1">
        <v>5200</v>
      </c>
      <c r="H65" s="1">
        <v>164123600</v>
      </c>
      <c r="I65" s="4">
        <f t="shared" si="0"/>
        <v>-1.8867924528301886E-2</v>
      </c>
      <c r="J65" s="4">
        <f t="shared" si="1"/>
        <v>-3.255813953488372E-2</v>
      </c>
    </row>
    <row r="66" spans="1:10" x14ac:dyDescent="0.2">
      <c r="A66" s="2">
        <f ca="1">IFERROR(__xludf.DUMMYFUNCTION("""COMPUTED_VALUE"""),45399.6666666666)</f>
        <v>45399.666666666599</v>
      </c>
      <c r="B66" s="2"/>
      <c r="C66" s="2"/>
      <c r="D66" s="1">
        <v>5250</v>
      </c>
      <c r="E66" s="1">
        <v>5350</v>
      </c>
      <c r="F66" s="1">
        <v>5250</v>
      </c>
      <c r="G66" s="1">
        <v>5250</v>
      </c>
      <c r="H66" s="1">
        <v>68948000</v>
      </c>
      <c r="I66" s="4">
        <f t="shared" si="0"/>
        <v>9.6153846153846159E-3</v>
      </c>
      <c r="J66" s="4">
        <f t="shared" si="1"/>
        <v>-2.3255813953488372E-2</v>
      </c>
    </row>
    <row r="67" spans="1:10" x14ac:dyDescent="0.2">
      <c r="A67" s="2">
        <f ca="1">IFERROR(__xludf.DUMMYFUNCTION("""COMPUTED_VALUE"""),45400.6666666666)</f>
        <v>45400.666666666599</v>
      </c>
      <c r="B67" s="2"/>
      <c r="C67" s="2"/>
      <c r="D67" s="1">
        <v>5250</v>
      </c>
      <c r="E67" s="1">
        <v>5350</v>
      </c>
      <c r="F67" s="1">
        <v>5250</v>
      </c>
      <c r="G67" s="1">
        <v>5300</v>
      </c>
      <c r="H67" s="1">
        <v>57785900</v>
      </c>
      <c r="I67" s="4">
        <f t="shared" si="0"/>
        <v>9.5238095238095247E-3</v>
      </c>
      <c r="J67" s="4">
        <f t="shared" si="1"/>
        <v>-1.3953488372093023E-2</v>
      </c>
    </row>
    <row r="68" spans="1:10" x14ac:dyDescent="0.2">
      <c r="A68" s="2">
        <f ca="1">IFERROR(__xludf.DUMMYFUNCTION("""COMPUTED_VALUE"""),45401.6666666666)</f>
        <v>45401.666666666599</v>
      </c>
      <c r="B68" s="2"/>
      <c r="C68" s="2"/>
      <c r="D68" s="1">
        <v>5250</v>
      </c>
      <c r="E68" s="1">
        <v>5275</v>
      </c>
      <c r="F68" s="1">
        <v>5175</v>
      </c>
      <c r="G68" s="1">
        <v>5225</v>
      </c>
      <c r="H68" s="1">
        <v>52519300</v>
      </c>
      <c r="I68" s="4">
        <f t="shared" ref="I68:I131" si="2">(G68-G67)/G67</f>
        <v>-1.4150943396226415E-2</v>
      </c>
      <c r="J68" s="4">
        <f t="shared" ref="J68:J131" si="3">(G68-$G$2)/$G$2</f>
        <v>-2.7906976744186046E-2</v>
      </c>
    </row>
    <row r="69" spans="1:10" x14ac:dyDescent="0.2">
      <c r="A69" s="2">
        <f ca="1">IFERROR(__xludf.DUMMYFUNCTION("""COMPUTED_VALUE"""),45404.6666666666)</f>
        <v>45404.666666666599</v>
      </c>
      <c r="B69" s="2"/>
      <c r="C69" s="2"/>
      <c r="D69" s="1">
        <v>5250</v>
      </c>
      <c r="E69" s="1">
        <v>5350</v>
      </c>
      <c r="F69" s="1">
        <v>5150</v>
      </c>
      <c r="G69" s="1">
        <v>5350</v>
      </c>
      <c r="H69" s="1">
        <v>62509300</v>
      </c>
      <c r="I69" s="4">
        <f t="shared" si="2"/>
        <v>2.3923444976076555E-2</v>
      </c>
      <c r="J69" s="4">
        <f t="shared" si="3"/>
        <v>-4.6511627906976744E-3</v>
      </c>
    </row>
    <row r="70" spans="1:10" x14ac:dyDescent="0.2">
      <c r="A70" s="2">
        <f ca="1">IFERROR(__xludf.DUMMYFUNCTION("""COMPUTED_VALUE"""),45405.6666666666)</f>
        <v>45405.666666666599</v>
      </c>
      <c r="B70" s="2"/>
      <c r="C70" s="2"/>
      <c r="D70" s="1">
        <v>5375</v>
      </c>
      <c r="E70" s="1">
        <v>5425</v>
      </c>
      <c r="F70" s="1">
        <v>5250</v>
      </c>
      <c r="G70" s="1">
        <v>5250</v>
      </c>
      <c r="H70" s="1">
        <v>45322700</v>
      </c>
      <c r="I70" s="4">
        <f t="shared" si="2"/>
        <v>-1.8691588785046728E-2</v>
      </c>
      <c r="J70" s="4">
        <f t="shared" si="3"/>
        <v>-2.3255813953488372E-2</v>
      </c>
    </row>
    <row r="71" spans="1:10" x14ac:dyDescent="0.2">
      <c r="A71" s="2">
        <f ca="1">IFERROR(__xludf.DUMMYFUNCTION("""COMPUTED_VALUE"""),45406.6666666666)</f>
        <v>45406.666666666599</v>
      </c>
      <c r="B71" s="2"/>
      <c r="C71" s="2"/>
      <c r="D71" s="1">
        <v>5300</v>
      </c>
      <c r="E71" s="1">
        <v>5350</v>
      </c>
      <c r="F71" s="1">
        <v>5200</v>
      </c>
      <c r="G71" s="1">
        <v>5300</v>
      </c>
      <c r="H71" s="1">
        <v>44771200</v>
      </c>
      <c r="I71" s="4">
        <f t="shared" si="2"/>
        <v>9.5238095238095247E-3</v>
      </c>
      <c r="J71" s="4">
        <f t="shared" si="3"/>
        <v>-1.3953488372093023E-2</v>
      </c>
    </row>
    <row r="72" spans="1:10" x14ac:dyDescent="0.2">
      <c r="A72" s="2">
        <f ca="1">IFERROR(__xludf.DUMMYFUNCTION("""COMPUTED_VALUE"""),45407.6666666666)</f>
        <v>45407.666666666599</v>
      </c>
      <c r="B72" s="2"/>
      <c r="C72" s="2"/>
      <c r="D72" s="1">
        <v>5300</v>
      </c>
      <c r="E72" s="1">
        <v>5325</v>
      </c>
      <c r="F72" s="1">
        <v>5225</v>
      </c>
      <c r="G72" s="1">
        <v>5300</v>
      </c>
      <c r="H72" s="1">
        <v>35922300</v>
      </c>
      <c r="I72" s="4">
        <f t="shared" si="2"/>
        <v>0</v>
      </c>
      <c r="J72" s="4">
        <f t="shared" si="3"/>
        <v>-1.3953488372093023E-2</v>
      </c>
    </row>
    <row r="73" spans="1:10" x14ac:dyDescent="0.2">
      <c r="A73" s="2">
        <f ca="1">IFERROR(__xludf.DUMMYFUNCTION("""COMPUTED_VALUE"""),45408.6666666666)</f>
        <v>45408.666666666599</v>
      </c>
      <c r="B73" s="2"/>
      <c r="C73" s="2"/>
      <c r="D73" s="1">
        <v>5200</v>
      </c>
      <c r="E73" s="1">
        <v>5275</v>
      </c>
      <c r="F73" s="1">
        <v>5100</v>
      </c>
      <c r="G73" s="1">
        <v>5150</v>
      </c>
      <c r="H73" s="1">
        <v>80482400</v>
      </c>
      <c r="I73" s="4">
        <f t="shared" si="2"/>
        <v>-2.8301886792452831E-2</v>
      </c>
      <c r="J73" s="4">
        <f t="shared" si="3"/>
        <v>-4.1860465116279069E-2</v>
      </c>
    </row>
    <row r="74" spans="1:10" x14ac:dyDescent="0.2">
      <c r="A74" s="2">
        <f ca="1">IFERROR(__xludf.DUMMYFUNCTION("""COMPUTED_VALUE"""),45411.6666666666)</f>
        <v>45411.666666666599</v>
      </c>
      <c r="B74" s="2"/>
      <c r="C74" s="2"/>
      <c r="D74" s="1">
        <v>5125</v>
      </c>
      <c r="E74" s="1">
        <v>5225</v>
      </c>
      <c r="F74" s="1">
        <v>5050</v>
      </c>
      <c r="G74" s="1">
        <v>5225</v>
      </c>
      <c r="H74" s="1">
        <v>41068600</v>
      </c>
      <c r="I74" s="4">
        <f t="shared" si="2"/>
        <v>1.4563106796116505E-2</v>
      </c>
      <c r="J74" s="4">
        <f t="shared" si="3"/>
        <v>-2.7906976744186046E-2</v>
      </c>
    </row>
    <row r="75" spans="1:10" x14ac:dyDescent="0.2">
      <c r="A75" s="2">
        <f ca="1">IFERROR(__xludf.DUMMYFUNCTION("""COMPUTED_VALUE"""),45412.6666666666)</f>
        <v>45412.666666666599</v>
      </c>
      <c r="B75" s="2"/>
      <c r="C75" s="2"/>
      <c r="D75" s="1">
        <v>5325</v>
      </c>
      <c r="E75" s="1">
        <v>5350</v>
      </c>
      <c r="F75" s="1">
        <v>5225</v>
      </c>
      <c r="G75" s="1">
        <v>5250</v>
      </c>
      <c r="H75" s="1">
        <v>73658500</v>
      </c>
      <c r="I75" s="4">
        <f t="shared" si="2"/>
        <v>4.7846889952153108E-3</v>
      </c>
      <c r="J75" s="4">
        <f t="shared" si="3"/>
        <v>-2.3255813953488372E-2</v>
      </c>
    </row>
    <row r="76" spans="1:10" x14ac:dyDescent="0.2">
      <c r="A76" s="2">
        <f ca="1">IFERROR(__xludf.DUMMYFUNCTION("""COMPUTED_VALUE"""),45414.6666666666)</f>
        <v>45414.666666666599</v>
      </c>
      <c r="B76" s="2"/>
      <c r="C76" s="2"/>
      <c r="D76" s="1">
        <v>5200</v>
      </c>
      <c r="E76" s="1">
        <v>5250</v>
      </c>
      <c r="F76" s="1">
        <v>4810</v>
      </c>
      <c r="G76" s="1">
        <v>4830</v>
      </c>
      <c r="H76" s="1">
        <v>183458300</v>
      </c>
      <c r="I76" s="4">
        <f t="shared" si="2"/>
        <v>-0.08</v>
      </c>
      <c r="J76" s="4">
        <f t="shared" si="3"/>
        <v>-0.1013953488372093</v>
      </c>
    </row>
    <row r="77" spans="1:10" x14ac:dyDescent="0.2">
      <c r="A77" s="2">
        <f ca="1">IFERROR(__xludf.DUMMYFUNCTION("""COMPUTED_VALUE"""),45415.6666666666)</f>
        <v>45415.666666666599</v>
      </c>
      <c r="B77" s="2"/>
      <c r="C77" s="2"/>
      <c r="D77" s="1">
        <v>4850</v>
      </c>
      <c r="E77" s="1">
        <v>4880</v>
      </c>
      <c r="F77" s="1">
        <v>4750</v>
      </c>
      <c r="G77" s="1">
        <v>4830</v>
      </c>
      <c r="H77" s="1">
        <v>89058400</v>
      </c>
      <c r="I77" s="4">
        <f t="shared" si="2"/>
        <v>0</v>
      </c>
      <c r="J77" s="4">
        <f t="shared" si="3"/>
        <v>-0.1013953488372093</v>
      </c>
    </row>
    <row r="78" spans="1:10" x14ac:dyDescent="0.2">
      <c r="A78" s="2">
        <f ca="1">IFERROR(__xludf.DUMMYFUNCTION("""COMPUTED_VALUE"""),45418.6666666666)</f>
        <v>45418.666666666599</v>
      </c>
      <c r="B78" s="2"/>
      <c r="C78" s="2"/>
      <c r="D78" s="1">
        <v>4880</v>
      </c>
      <c r="E78" s="1">
        <v>4890</v>
      </c>
      <c r="F78" s="1">
        <v>4800</v>
      </c>
      <c r="G78" s="1">
        <v>4810</v>
      </c>
      <c r="H78" s="1">
        <v>81862000</v>
      </c>
      <c r="I78" s="4">
        <f t="shared" si="2"/>
        <v>-4.140786749482402E-3</v>
      </c>
      <c r="J78" s="4">
        <f t="shared" si="3"/>
        <v>-0.10511627906976745</v>
      </c>
    </row>
    <row r="79" spans="1:10" x14ac:dyDescent="0.2">
      <c r="A79" s="2">
        <f ca="1">IFERROR(__xludf.DUMMYFUNCTION("""COMPUTED_VALUE"""),45419.6666666666)</f>
        <v>45419.666666666599</v>
      </c>
      <c r="B79" s="2"/>
      <c r="C79" s="2"/>
      <c r="D79" s="1">
        <v>4790</v>
      </c>
      <c r="E79" s="1">
        <v>4810</v>
      </c>
      <c r="F79" s="1">
        <v>4680</v>
      </c>
      <c r="G79" s="1">
        <v>4700</v>
      </c>
      <c r="H79" s="1">
        <v>82580800</v>
      </c>
      <c r="I79" s="4">
        <f t="shared" si="2"/>
        <v>-2.286902286902287E-2</v>
      </c>
      <c r="J79" s="4">
        <f t="shared" si="3"/>
        <v>-0.12558139534883722</v>
      </c>
    </row>
    <row r="80" spans="1:10" x14ac:dyDescent="0.2">
      <c r="A80" s="2">
        <f ca="1">IFERROR(__xludf.DUMMYFUNCTION("""COMPUTED_VALUE"""),45420.6666666666)</f>
        <v>45420.666666666599</v>
      </c>
      <c r="B80" s="2"/>
      <c r="C80" s="2"/>
      <c r="D80" s="1">
        <v>4680</v>
      </c>
      <c r="E80" s="1">
        <v>4770</v>
      </c>
      <c r="F80" s="1">
        <v>4620</v>
      </c>
      <c r="G80" s="1">
        <v>4670</v>
      </c>
      <c r="H80" s="1">
        <v>58548300</v>
      </c>
      <c r="I80" s="4">
        <f t="shared" si="2"/>
        <v>-6.382978723404255E-3</v>
      </c>
      <c r="J80" s="4">
        <f t="shared" si="3"/>
        <v>-0.13116279069767442</v>
      </c>
    </row>
    <row r="81" spans="1:10" x14ac:dyDescent="0.2">
      <c r="A81" s="2">
        <f ca="1">IFERROR(__xludf.DUMMYFUNCTION("""COMPUTED_VALUE"""),45425.6666666666)</f>
        <v>45425.666666666599</v>
      </c>
      <c r="B81" s="2"/>
      <c r="C81" s="2"/>
      <c r="D81" s="1">
        <v>4600</v>
      </c>
      <c r="E81" s="1">
        <v>4780</v>
      </c>
      <c r="F81" s="1">
        <v>4600</v>
      </c>
      <c r="G81" s="1">
        <v>4780</v>
      </c>
      <c r="H81" s="1">
        <v>54329600</v>
      </c>
      <c r="I81" s="4">
        <f t="shared" si="2"/>
        <v>2.3554603854389723E-2</v>
      </c>
      <c r="J81" s="4">
        <f t="shared" si="3"/>
        <v>-0.11069767441860465</v>
      </c>
    </row>
    <row r="82" spans="1:10" x14ac:dyDescent="0.2">
      <c r="A82" s="2">
        <f ca="1">IFERROR(__xludf.DUMMYFUNCTION("""COMPUTED_VALUE"""),45426.6666666666)</f>
        <v>45426.666666666599</v>
      </c>
      <c r="B82" s="2"/>
      <c r="C82" s="2"/>
      <c r="D82" s="1">
        <v>4790</v>
      </c>
      <c r="E82" s="1">
        <v>4940</v>
      </c>
      <c r="F82" s="1">
        <v>4780</v>
      </c>
      <c r="G82" s="1">
        <v>4930</v>
      </c>
      <c r="H82" s="1">
        <v>70014900</v>
      </c>
      <c r="I82" s="4">
        <f t="shared" si="2"/>
        <v>3.1380753138075312E-2</v>
      </c>
      <c r="J82" s="4">
        <f t="shared" si="3"/>
        <v>-8.2790697674418601E-2</v>
      </c>
    </row>
    <row r="83" spans="1:10" x14ac:dyDescent="0.2">
      <c r="A83" s="2">
        <f ca="1">IFERROR(__xludf.DUMMYFUNCTION("""COMPUTED_VALUE"""),45427.6666666666)</f>
        <v>45427.666666666599</v>
      </c>
      <c r="B83" s="2"/>
      <c r="C83" s="2"/>
      <c r="D83" s="1">
        <v>4880</v>
      </c>
      <c r="E83" s="1">
        <v>5100</v>
      </c>
      <c r="F83" s="1">
        <v>4850</v>
      </c>
      <c r="G83" s="1">
        <v>5025</v>
      </c>
      <c r="H83" s="1">
        <v>85730700</v>
      </c>
      <c r="I83" s="4">
        <f t="shared" si="2"/>
        <v>1.9269776876267748E-2</v>
      </c>
      <c r="J83" s="4">
        <f t="shared" si="3"/>
        <v>-6.5116279069767441E-2</v>
      </c>
    </row>
    <row r="84" spans="1:10" x14ac:dyDescent="0.2">
      <c r="A84" s="2">
        <f ca="1">IFERROR(__xludf.DUMMYFUNCTION("""COMPUTED_VALUE"""),45428.6666666666)</f>
        <v>45428.666666666599</v>
      </c>
      <c r="B84" s="2"/>
      <c r="C84" s="2"/>
      <c r="D84" s="1">
        <v>5125</v>
      </c>
      <c r="E84" s="1">
        <v>5275</v>
      </c>
      <c r="F84" s="1">
        <v>5100</v>
      </c>
      <c r="G84" s="1">
        <v>5200</v>
      </c>
      <c r="H84" s="1">
        <v>118382400</v>
      </c>
      <c r="I84" s="4">
        <f t="shared" si="2"/>
        <v>3.482587064676617E-2</v>
      </c>
      <c r="J84" s="4">
        <f t="shared" si="3"/>
        <v>-3.255813953488372E-2</v>
      </c>
    </row>
    <row r="85" spans="1:10" x14ac:dyDescent="0.2">
      <c r="A85" s="2">
        <f ca="1">IFERROR(__xludf.DUMMYFUNCTION("""COMPUTED_VALUE"""),45429.6666666666)</f>
        <v>45429.666666666599</v>
      </c>
      <c r="B85" s="2"/>
      <c r="C85" s="2"/>
      <c r="D85" s="1">
        <v>5200</v>
      </c>
      <c r="E85" s="1">
        <v>5275</v>
      </c>
      <c r="F85" s="1">
        <v>5125</v>
      </c>
      <c r="G85" s="1">
        <v>5175</v>
      </c>
      <c r="H85" s="1">
        <v>67679700</v>
      </c>
      <c r="I85" s="4">
        <f t="shared" si="2"/>
        <v>-4.807692307692308E-3</v>
      </c>
      <c r="J85" s="4">
        <f t="shared" si="3"/>
        <v>-3.7209302325581395E-2</v>
      </c>
    </row>
    <row r="86" spans="1:10" x14ac:dyDescent="0.2">
      <c r="A86" s="2">
        <f ca="1">IFERROR(__xludf.DUMMYFUNCTION("""COMPUTED_VALUE"""),45432.6666666666)</f>
        <v>45432.666666666599</v>
      </c>
      <c r="B86" s="2"/>
      <c r="C86" s="2"/>
      <c r="D86" s="1">
        <v>5200</v>
      </c>
      <c r="E86" s="1">
        <v>5250</v>
      </c>
      <c r="F86" s="1">
        <v>4950</v>
      </c>
      <c r="G86" s="1">
        <v>4980</v>
      </c>
      <c r="H86" s="1">
        <v>76605300</v>
      </c>
      <c r="I86" s="4">
        <f t="shared" si="2"/>
        <v>-3.7681159420289857E-2</v>
      </c>
      <c r="J86" s="4">
        <f t="shared" si="3"/>
        <v>-7.3488372093023252E-2</v>
      </c>
    </row>
    <row r="87" spans="1:10" x14ac:dyDescent="0.2">
      <c r="A87" s="2">
        <f ca="1">IFERROR(__xludf.DUMMYFUNCTION("""COMPUTED_VALUE"""),45433.6666666666)</f>
        <v>45433.666666666599</v>
      </c>
      <c r="B87" s="2"/>
      <c r="C87" s="2"/>
      <c r="D87" s="1">
        <v>4980</v>
      </c>
      <c r="E87" s="1">
        <v>4980</v>
      </c>
      <c r="F87" s="1">
        <v>4760</v>
      </c>
      <c r="G87" s="1">
        <v>4770</v>
      </c>
      <c r="H87" s="1">
        <v>87501700</v>
      </c>
      <c r="I87" s="4">
        <f t="shared" si="2"/>
        <v>-4.2168674698795178E-2</v>
      </c>
      <c r="J87" s="4">
        <f t="shared" si="3"/>
        <v>-0.11255813953488372</v>
      </c>
    </row>
    <row r="88" spans="1:10" x14ac:dyDescent="0.2">
      <c r="A88" s="2">
        <f ca="1">IFERROR(__xludf.DUMMYFUNCTION("""COMPUTED_VALUE"""),45434.6666666666)</f>
        <v>45434.666666666599</v>
      </c>
      <c r="B88" s="2"/>
      <c r="C88" s="2"/>
      <c r="D88" s="1">
        <v>4720</v>
      </c>
      <c r="E88" s="1">
        <v>4800</v>
      </c>
      <c r="F88" s="1">
        <v>4720</v>
      </c>
      <c r="G88" s="1">
        <v>4760</v>
      </c>
      <c r="H88" s="1">
        <v>60859500</v>
      </c>
      <c r="I88" s="4">
        <f t="shared" si="2"/>
        <v>-2.0964360587002098E-3</v>
      </c>
      <c r="J88" s="4">
        <f t="shared" si="3"/>
        <v>-0.1144186046511628</v>
      </c>
    </row>
    <row r="89" spans="1:10" x14ac:dyDescent="0.2">
      <c r="A89" s="2">
        <f ca="1">IFERROR(__xludf.DUMMYFUNCTION("""COMPUTED_VALUE"""),45439.6666666666)</f>
        <v>45439.666666666599</v>
      </c>
      <c r="B89" s="2"/>
      <c r="C89" s="2"/>
      <c r="D89" s="1">
        <v>4770</v>
      </c>
      <c r="E89" s="1">
        <v>4790</v>
      </c>
      <c r="F89" s="1">
        <v>4630</v>
      </c>
      <c r="G89" s="1">
        <v>4670</v>
      </c>
      <c r="H89" s="1">
        <v>60499200</v>
      </c>
      <c r="I89" s="4">
        <f t="shared" si="2"/>
        <v>-1.8907563025210083E-2</v>
      </c>
      <c r="J89" s="4">
        <f t="shared" si="3"/>
        <v>-0.13116279069767442</v>
      </c>
    </row>
    <row r="90" spans="1:10" x14ac:dyDescent="0.2">
      <c r="A90" s="2">
        <f ca="1">IFERROR(__xludf.DUMMYFUNCTION("""COMPUTED_VALUE"""),45440.6666666666)</f>
        <v>45440.666666666599</v>
      </c>
      <c r="B90" s="2"/>
      <c r="C90" s="2"/>
      <c r="D90" s="1">
        <v>4700</v>
      </c>
      <c r="E90" s="1">
        <v>4790</v>
      </c>
      <c r="F90" s="1">
        <v>4690</v>
      </c>
      <c r="G90" s="1">
        <v>4710</v>
      </c>
      <c r="H90" s="1">
        <v>25799600</v>
      </c>
      <c r="I90" s="4">
        <f t="shared" si="2"/>
        <v>8.5653104925053538E-3</v>
      </c>
      <c r="J90" s="4">
        <f t="shared" si="3"/>
        <v>-0.12372093023255815</v>
      </c>
    </row>
    <row r="91" spans="1:10" x14ac:dyDescent="0.2">
      <c r="A91" s="2">
        <f ca="1">IFERROR(__xludf.DUMMYFUNCTION("""COMPUTED_VALUE"""),45441.6666666666)</f>
        <v>45441.666666666599</v>
      </c>
      <c r="B91" s="2"/>
      <c r="C91" s="2"/>
      <c r="D91" s="1">
        <v>4680</v>
      </c>
      <c r="E91" s="1">
        <v>4690</v>
      </c>
      <c r="F91" s="1">
        <v>4500</v>
      </c>
      <c r="G91" s="1">
        <v>4530</v>
      </c>
      <c r="H91" s="1">
        <v>111830200</v>
      </c>
      <c r="I91" s="4">
        <f t="shared" si="2"/>
        <v>-3.8216560509554139E-2</v>
      </c>
      <c r="J91" s="4">
        <f t="shared" si="3"/>
        <v>-0.15720930232558139</v>
      </c>
    </row>
    <row r="92" spans="1:10" x14ac:dyDescent="0.2">
      <c r="A92" s="2">
        <f ca="1">IFERROR(__xludf.DUMMYFUNCTION("""COMPUTED_VALUE"""),45442.6666666666)</f>
        <v>45442.666666666599</v>
      </c>
      <c r="B92" s="2"/>
      <c r="C92" s="2"/>
      <c r="D92" s="1">
        <v>4500</v>
      </c>
      <c r="E92" s="1">
        <v>4560</v>
      </c>
      <c r="F92" s="1">
        <v>4370</v>
      </c>
      <c r="G92" s="1">
        <v>4490</v>
      </c>
      <c r="H92" s="1">
        <v>81608700</v>
      </c>
      <c r="I92" s="4">
        <f t="shared" si="2"/>
        <v>-8.8300220750551876E-3</v>
      </c>
      <c r="J92" s="4">
        <f t="shared" si="3"/>
        <v>-0.16465116279069766</v>
      </c>
    </row>
    <row r="93" spans="1:10" x14ac:dyDescent="0.2">
      <c r="A93" s="2">
        <f ca="1">IFERROR(__xludf.DUMMYFUNCTION("""COMPUTED_VALUE"""),45443.6666666666)</f>
        <v>45443.666666666599</v>
      </c>
      <c r="B93" s="2"/>
      <c r="C93" s="2"/>
      <c r="D93" s="1">
        <v>4540</v>
      </c>
      <c r="E93" s="1">
        <v>4570</v>
      </c>
      <c r="F93" s="1">
        <v>4400</v>
      </c>
      <c r="G93" s="1">
        <v>4400</v>
      </c>
      <c r="H93" s="1">
        <v>145978300</v>
      </c>
      <c r="I93" s="4">
        <f t="shared" si="2"/>
        <v>-2.0044543429844099E-2</v>
      </c>
      <c r="J93" s="4">
        <f t="shared" si="3"/>
        <v>-0.18139534883720931</v>
      </c>
    </row>
    <row r="94" spans="1:10" x14ac:dyDescent="0.2">
      <c r="A94" s="2">
        <f ca="1">IFERROR(__xludf.DUMMYFUNCTION("""COMPUTED_VALUE"""),45446.6666666666)</f>
        <v>45446.666666666599</v>
      </c>
      <c r="B94" s="2"/>
      <c r="C94" s="2"/>
      <c r="D94" s="1">
        <v>4460</v>
      </c>
      <c r="E94" s="1">
        <v>4640</v>
      </c>
      <c r="F94" s="1">
        <v>4450</v>
      </c>
      <c r="G94" s="1">
        <v>4620</v>
      </c>
      <c r="H94" s="1">
        <v>53865700</v>
      </c>
      <c r="I94" s="4">
        <f t="shared" si="2"/>
        <v>0.05</v>
      </c>
      <c r="J94" s="4">
        <f t="shared" si="3"/>
        <v>-0.14046511627906977</v>
      </c>
    </row>
    <row r="95" spans="1:10" x14ac:dyDescent="0.2">
      <c r="A95" s="2">
        <f ca="1">IFERROR(__xludf.DUMMYFUNCTION("""COMPUTED_VALUE"""),45447.6666666666)</f>
        <v>45447.666666666599</v>
      </c>
      <c r="B95" s="2"/>
      <c r="C95" s="2"/>
      <c r="D95" s="1">
        <v>4650</v>
      </c>
      <c r="E95" s="1">
        <v>4700</v>
      </c>
      <c r="F95" s="1">
        <v>4600</v>
      </c>
      <c r="G95" s="1">
        <v>4640</v>
      </c>
      <c r="H95" s="1">
        <v>52885400</v>
      </c>
      <c r="I95" s="4">
        <f t="shared" si="2"/>
        <v>4.329004329004329E-3</v>
      </c>
      <c r="J95" s="4">
        <f t="shared" si="3"/>
        <v>-0.13674418604651162</v>
      </c>
    </row>
    <row r="96" spans="1:10" x14ac:dyDescent="0.2">
      <c r="A96" s="2">
        <f ca="1">IFERROR(__xludf.DUMMYFUNCTION("""COMPUTED_VALUE"""),45448.6666666666)</f>
        <v>45448.666666666599</v>
      </c>
      <c r="B96" s="2"/>
      <c r="C96" s="2"/>
      <c r="D96" s="1">
        <v>4630</v>
      </c>
      <c r="E96" s="1">
        <v>4660</v>
      </c>
      <c r="F96" s="1">
        <v>4580</v>
      </c>
      <c r="G96" s="1">
        <v>4610</v>
      </c>
      <c r="H96" s="1">
        <v>46536400</v>
      </c>
      <c r="I96" s="4">
        <f t="shared" si="2"/>
        <v>-6.4655172413793103E-3</v>
      </c>
      <c r="J96" s="4">
        <f t="shared" si="3"/>
        <v>-0.14232558139534884</v>
      </c>
    </row>
    <row r="97" spans="1:10" x14ac:dyDescent="0.2">
      <c r="A97" s="2">
        <f ca="1">IFERROR(__xludf.DUMMYFUNCTION("""COMPUTED_VALUE"""),45449.6666666666)</f>
        <v>45449.666666666599</v>
      </c>
      <c r="B97" s="2"/>
      <c r="C97" s="2"/>
      <c r="D97" s="1">
        <v>4670</v>
      </c>
      <c r="E97" s="1">
        <v>4770</v>
      </c>
      <c r="F97" s="1">
        <v>4630</v>
      </c>
      <c r="G97" s="1">
        <v>4770</v>
      </c>
      <c r="H97" s="1">
        <v>69154900</v>
      </c>
      <c r="I97" s="4">
        <f t="shared" si="2"/>
        <v>3.4707158351409979E-2</v>
      </c>
      <c r="J97" s="4">
        <f t="shared" si="3"/>
        <v>-0.11255813953488372</v>
      </c>
    </row>
    <row r="98" spans="1:10" x14ac:dyDescent="0.2">
      <c r="A98" s="2">
        <f ca="1">IFERROR(__xludf.DUMMYFUNCTION("""COMPUTED_VALUE"""),45450.6666666666)</f>
        <v>45450.666666666599</v>
      </c>
      <c r="B98" s="2"/>
      <c r="C98" s="2"/>
      <c r="D98" s="1">
        <v>4770</v>
      </c>
      <c r="E98" s="1">
        <v>4780</v>
      </c>
      <c r="F98" s="1">
        <v>4660</v>
      </c>
      <c r="G98" s="1">
        <v>4700</v>
      </c>
      <c r="H98" s="1">
        <v>45575300</v>
      </c>
      <c r="I98" s="4">
        <f t="shared" si="2"/>
        <v>-1.4675052410901468E-2</v>
      </c>
      <c r="J98" s="4">
        <f t="shared" si="3"/>
        <v>-0.12558139534883722</v>
      </c>
    </row>
    <row r="99" spans="1:10" x14ac:dyDescent="0.2">
      <c r="A99" s="2">
        <f ca="1">IFERROR(__xludf.DUMMYFUNCTION("""COMPUTED_VALUE"""),45453.6666666666)</f>
        <v>45453.666666666599</v>
      </c>
      <c r="B99" s="2"/>
      <c r="C99" s="2"/>
      <c r="D99" s="1">
        <v>4650</v>
      </c>
      <c r="E99" s="1">
        <v>4660</v>
      </c>
      <c r="F99" s="1">
        <v>4550</v>
      </c>
      <c r="G99" s="1">
        <v>4610</v>
      </c>
      <c r="H99" s="1">
        <v>65704900</v>
      </c>
      <c r="I99" s="4">
        <f t="shared" si="2"/>
        <v>-1.9148936170212766E-2</v>
      </c>
      <c r="J99" s="4">
        <f t="shared" si="3"/>
        <v>-0.14232558139534884</v>
      </c>
    </row>
    <row r="100" spans="1:10" x14ac:dyDescent="0.2">
      <c r="A100" s="2">
        <f ca="1">IFERROR(__xludf.DUMMYFUNCTION("""COMPUTED_VALUE"""),45454.6666666666)</f>
        <v>45454.666666666599</v>
      </c>
      <c r="B100" s="2"/>
      <c r="C100" s="2"/>
      <c r="D100" s="1">
        <v>4560</v>
      </c>
      <c r="E100" s="1">
        <v>4630</v>
      </c>
      <c r="F100" s="1">
        <v>4480</v>
      </c>
      <c r="G100" s="1">
        <v>4480</v>
      </c>
      <c r="H100" s="1">
        <v>95286400</v>
      </c>
      <c r="I100" s="4">
        <f t="shared" si="2"/>
        <v>-2.8199566160520606E-2</v>
      </c>
      <c r="J100" s="4">
        <f t="shared" si="3"/>
        <v>-0.16651162790697674</v>
      </c>
    </row>
    <row r="101" spans="1:10" x14ac:dyDescent="0.2">
      <c r="A101" s="2">
        <f ca="1">IFERROR(__xludf.DUMMYFUNCTION("""COMPUTED_VALUE"""),45455.6666666666)</f>
        <v>45455.666666666599</v>
      </c>
      <c r="B101" s="2"/>
      <c r="C101" s="2"/>
      <c r="D101" s="1">
        <v>4430</v>
      </c>
      <c r="E101" s="1">
        <v>4460</v>
      </c>
      <c r="F101" s="1">
        <v>4410</v>
      </c>
      <c r="G101" s="1">
        <v>4430</v>
      </c>
      <c r="H101" s="1">
        <v>112781100</v>
      </c>
      <c r="I101" s="4">
        <f t="shared" si="2"/>
        <v>-1.1160714285714286E-2</v>
      </c>
      <c r="J101" s="4">
        <f t="shared" si="3"/>
        <v>-0.17581395348837209</v>
      </c>
    </row>
    <row r="102" spans="1:10" x14ac:dyDescent="0.2">
      <c r="A102" s="2">
        <f ca="1">IFERROR(__xludf.DUMMYFUNCTION("""COMPUTED_VALUE"""),45456.6666666666)</f>
        <v>45456.666666666599</v>
      </c>
      <c r="B102" s="2"/>
      <c r="C102" s="2"/>
      <c r="D102" s="1">
        <v>4500</v>
      </c>
      <c r="E102" s="1">
        <v>4520</v>
      </c>
      <c r="F102" s="1">
        <v>4460</v>
      </c>
      <c r="G102" s="1">
        <v>4480</v>
      </c>
      <c r="H102" s="1">
        <v>47763900</v>
      </c>
      <c r="I102" s="4">
        <f t="shared" si="2"/>
        <v>1.1286681715575621E-2</v>
      </c>
      <c r="J102" s="4">
        <f t="shared" si="3"/>
        <v>-0.16651162790697674</v>
      </c>
    </row>
    <row r="103" spans="1:10" x14ac:dyDescent="0.2">
      <c r="A103" s="2">
        <f ca="1">IFERROR(__xludf.DUMMYFUNCTION("""COMPUTED_VALUE"""),45457.6666666666)</f>
        <v>45457.666666666599</v>
      </c>
      <c r="B103" s="2"/>
      <c r="C103" s="2"/>
      <c r="D103" s="1">
        <v>4480</v>
      </c>
      <c r="E103" s="1">
        <v>4480</v>
      </c>
      <c r="F103" s="1">
        <v>4310</v>
      </c>
      <c r="G103" s="1">
        <v>4310</v>
      </c>
      <c r="H103" s="1">
        <v>65046900</v>
      </c>
      <c r="I103" s="4">
        <f t="shared" si="2"/>
        <v>-3.7946428571428568E-2</v>
      </c>
      <c r="J103" s="4">
        <f t="shared" si="3"/>
        <v>-0.19813953488372094</v>
      </c>
    </row>
    <row r="104" spans="1:10" x14ac:dyDescent="0.2">
      <c r="A104" s="2">
        <f ca="1">IFERROR(__xludf.DUMMYFUNCTION("""COMPUTED_VALUE"""),45462.6666666666)</f>
        <v>45462.666666666599</v>
      </c>
      <c r="B104" s="2"/>
      <c r="C104" s="2"/>
      <c r="D104" s="1">
        <v>4310</v>
      </c>
      <c r="E104" s="1">
        <v>4390</v>
      </c>
      <c r="F104" s="1">
        <v>4260</v>
      </c>
      <c r="G104" s="1">
        <v>4300</v>
      </c>
      <c r="H104" s="1">
        <v>60373800</v>
      </c>
      <c r="I104" s="4">
        <f t="shared" si="2"/>
        <v>-2.3201856148491878E-3</v>
      </c>
      <c r="J104" s="4">
        <f t="shared" si="3"/>
        <v>-0.2</v>
      </c>
    </row>
    <row r="105" spans="1:10" x14ac:dyDescent="0.2">
      <c r="A105" s="2">
        <f ca="1">IFERROR(__xludf.DUMMYFUNCTION("""COMPUTED_VALUE"""),45463.6666666666)</f>
        <v>45463.666666666599</v>
      </c>
      <c r="B105" s="2"/>
      <c r="C105" s="2"/>
      <c r="D105" s="1">
        <v>4320</v>
      </c>
      <c r="E105" s="1">
        <v>4410</v>
      </c>
      <c r="F105" s="1">
        <v>4300</v>
      </c>
      <c r="G105" s="1">
        <v>4400</v>
      </c>
      <c r="H105" s="1">
        <v>50579900</v>
      </c>
      <c r="I105" s="4">
        <f t="shared" si="2"/>
        <v>2.3255813953488372E-2</v>
      </c>
      <c r="J105" s="4">
        <f t="shared" si="3"/>
        <v>-0.18139534883720931</v>
      </c>
    </row>
    <row r="106" spans="1:10" x14ac:dyDescent="0.2">
      <c r="A106" s="2">
        <f ca="1">IFERROR(__xludf.DUMMYFUNCTION("""COMPUTED_VALUE"""),45464.6666666666)</f>
        <v>45464.666666666599</v>
      </c>
      <c r="B106" s="2"/>
      <c r="C106" s="2"/>
      <c r="D106" s="1">
        <v>4400</v>
      </c>
      <c r="E106" s="1">
        <v>4610</v>
      </c>
      <c r="F106" s="1">
        <v>4400</v>
      </c>
      <c r="G106" s="1">
        <v>4540</v>
      </c>
      <c r="H106" s="1">
        <v>108982500</v>
      </c>
      <c r="I106" s="4">
        <f t="shared" si="2"/>
        <v>3.1818181818181815E-2</v>
      </c>
      <c r="J106" s="4">
        <f t="shared" si="3"/>
        <v>-0.15534883720930232</v>
      </c>
    </row>
    <row r="107" spans="1:10" x14ac:dyDescent="0.2">
      <c r="A107" s="2">
        <f ca="1">IFERROR(__xludf.DUMMYFUNCTION("""COMPUTED_VALUE"""),45467.6666666666)</f>
        <v>45467.666666666599</v>
      </c>
      <c r="B107" s="2"/>
      <c r="C107" s="2"/>
      <c r="D107" s="1">
        <v>4540</v>
      </c>
      <c r="E107" s="1">
        <v>4600</v>
      </c>
      <c r="F107" s="1">
        <v>4460</v>
      </c>
      <c r="G107" s="1">
        <v>4540</v>
      </c>
      <c r="H107" s="1">
        <v>49112400</v>
      </c>
      <c r="I107" s="4">
        <f t="shared" si="2"/>
        <v>0</v>
      </c>
      <c r="J107" s="4">
        <f t="shared" si="3"/>
        <v>-0.15534883720930232</v>
      </c>
    </row>
    <row r="108" spans="1:10" x14ac:dyDescent="0.2">
      <c r="A108" s="2">
        <f ca="1">IFERROR(__xludf.DUMMYFUNCTION("""COMPUTED_VALUE"""),45468.6666666666)</f>
        <v>45468.666666666599</v>
      </c>
      <c r="B108" s="2"/>
      <c r="C108" s="2"/>
      <c r="D108" s="1">
        <v>4520</v>
      </c>
      <c r="E108" s="1">
        <v>4530</v>
      </c>
      <c r="F108" s="1">
        <v>4420</v>
      </c>
      <c r="G108" s="1">
        <v>4480</v>
      </c>
      <c r="H108" s="1">
        <v>44861500</v>
      </c>
      <c r="I108" s="4">
        <f t="shared" si="2"/>
        <v>-1.3215859030837005E-2</v>
      </c>
      <c r="J108" s="4">
        <f t="shared" si="3"/>
        <v>-0.16651162790697674</v>
      </c>
    </row>
    <row r="109" spans="1:10" x14ac:dyDescent="0.2">
      <c r="A109" s="2">
        <f ca="1">IFERROR(__xludf.DUMMYFUNCTION("""COMPUTED_VALUE"""),45469.6666666666)</f>
        <v>45469.666666666599</v>
      </c>
      <c r="B109" s="2"/>
      <c r="C109" s="2"/>
      <c r="D109" s="1">
        <v>4480</v>
      </c>
      <c r="E109" s="1">
        <v>4530</v>
      </c>
      <c r="F109" s="1">
        <v>4420</v>
      </c>
      <c r="G109" s="1">
        <v>4420</v>
      </c>
      <c r="H109" s="1">
        <v>34063700</v>
      </c>
      <c r="I109" s="4">
        <f t="shared" si="2"/>
        <v>-1.3392857142857142E-2</v>
      </c>
      <c r="J109" s="4">
        <f t="shared" si="3"/>
        <v>-0.17767441860465116</v>
      </c>
    </row>
    <row r="110" spans="1:10" x14ac:dyDescent="0.2">
      <c r="A110" s="2">
        <f ca="1">IFERROR(__xludf.DUMMYFUNCTION("""COMPUTED_VALUE"""),45470.6666666666)</f>
        <v>45470.666666666599</v>
      </c>
      <c r="B110" s="2"/>
      <c r="C110" s="2"/>
      <c r="D110" s="1">
        <v>4450</v>
      </c>
      <c r="E110" s="1">
        <v>4610</v>
      </c>
      <c r="F110" s="1">
        <v>4430</v>
      </c>
      <c r="G110" s="1">
        <v>4580</v>
      </c>
      <c r="H110" s="1">
        <v>85462100</v>
      </c>
      <c r="I110" s="4">
        <f t="shared" si="2"/>
        <v>3.6199095022624438E-2</v>
      </c>
      <c r="J110" s="4">
        <f t="shared" si="3"/>
        <v>-0.14790697674418604</v>
      </c>
    </row>
    <row r="111" spans="1:10" x14ac:dyDescent="0.2">
      <c r="A111" s="2">
        <f ca="1">IFERROR(__xludf.DUMMYFUNCTION("""COMPUTED_VALUE"""),45471.6666666666)</f>
        <v>45471.666666666599</v>
      </c>
      <c r="B111" s="2"/>
      <c r="C111" s="2"/>
      <c r="D111" s="1">
        <v>4590</v>
      </c>
      <c r="E111" s="1">
        <v>4740</v>
      </c>
      <c r="F111" s="1">
        <v>4590</v>
      </c>
      <c r="G111" s="1">
        <v>4660</v>
      </c>
      <c r="H111" s="1">
        <v>95384300</v>
      </c>
      <c r="I111" s="4">
        <f t="shared" si="2"/>
        <v>1.7467248908296942E-2</v>
      </c>
      <c r="J111" s="4">
        <f t="shared" si="3"/>
        <v>-0.13302325581395349</v>
      </c>
    </row>
    <row r="112" spans="1:10" x14ac:dyDescent="0.2">
      <c r="A112" s="2">
        <f ca="1">IFERROR(__xludf.DUMMYFUNCTION("""COMPUTED_VALUE"""),45474.6666666666)</f>
        <v>45474.666666666599</v>
      </c>
      <c r="B112" s="2"/>
      <c r="C112" s="2"/>
      <c r="D112" s="1">
        <v>4690</v>
      </c>
      <c r="E112" s="1">
        <v>4720</v>
      </c>
      <c r="F112" s="1">
        <v>4650</v>
      </c>
      <c r="G112" s="1">
        <v>4710</v>
      </c>
      <c r="H112" s="1">
        <v>43250900</v>
      </c>
      <c r="I112" s="4">
        <f t="shared" si="2"/>
        <v>1.0729613733905579E-2</v>
      </c>
      <c r="J112" s="4">
        <f t="shared" si="3"/>
        <v>-0.12372093023255815</v>
      </c>
    </row>
    <row r="113" spans="1:10" x14ac:dyDescent="0.2">
      <c r="A113" s="2">
        <f ca="1">IFERROR(__xludf.DUMMYFUNCTION("""COMPUTED_VALUE"""),45475.6666666666)</f>
        <v>45475.666666666599</v>
      </c>
      <c r="B113" s="2"/>
      <c r="C113" s="2"/>
      <c r="D113" s="1">
        <v>4710</v>
      </c>
      <c r="E113" s="1">
        <v>4730</v>
      </c>
      <c r="F113" s="1">
        <v>4670</v>
      </c>
      <c r="G113" s="1">
        <v>4710</v>
      </c>
      <c r="H113" s="1">
        <v>35142800</v>
      </c>
      <c r="I113" s="4">
        <f t="shared" si="2"/>
        <v>0</v>
      </c>
      <c r="J113" s="4">
        <f t="shared" si="3"/>
        <v>-0.12372093023255815</v>
      </c>
    </row>
    <row r="114" spans="1:10" x14ac:dyDescent="0.2">
      <c r="A114" s="2">
        <f ca="1">IFERROR(__xludf.DUMMYFUNCTION("""COMPUTED_VALUE"""),45476.6666666666)</f>
        <v>45476.666666666599</v>
      </c>
      <c r="B114" s="2"/>
      <c r="C114" s="2"/>
      <c r="D114" s="1">
        <v>4730</v>
      </c>
      <c r="E114" s="1">
        <v>4740</v>
      </c>
      <c r="F114" s="1">
        <v>4630</v>
      </c>
      <c r="G114" s="1">
        <v>4650</v>
      </c>
      <c r="H114" s="1">
        <v>41531700</v>
      </c>
      <c r="I114" s="4">
        <f t="shared" si="2"/>
        <v>-1.2738853503184714E-2</v>
      </c>
      <c r="J114" s="4">
        <f t="shared" si="3"/>
        <v>-0.13488372093023257</v>
      </c>
    </row>
    <row r="115" spans="1:10" x14ac:dyDescent="0.2">
      <c r="A115" s="2">
        <f ca="1">IFERROR(__xludf.DUMMYFUNCTION("""COMPUTED_VALUE"""),45477.6666666666)</f>
        <v>45477.666666666599</v>
      </c>
      <c r="B115" s="2"/>
      <c r="C115" s="2"/>
      <c r="D115" s="1">
        <v>4690</v>
      </c>
      <c r="E115" s="1">
        <v>4770</v>
      </c>
      <c r="F115" s="1">
        <v>4660</v>
      </c>
      <c r="G115" s="1">
        <v>4710</v>
      </c>
      <c r="H115" s="1">
        <v>61435900</v>
      </c>
      <c r="I115" s="4">
        <f t="shared" si="2"/>
        <v>1.2903225806451613E-2</v>
      </c>
      <c r="J115" s="4">
        <f t="shared" si="3"/>
        <v>-0.12372093023255815</v>
      </c>
    </row>
    <row r="116" spans="1:10" x14ac:dyDescent="0.2">
      <c r="A116" s="2">
        <f ca="1">IFERROR(__xludf.DUMMYFUNCTION("""COMPUTED_VALUE"""),45478.6666666666)</f>
        <v>45478.666666666599</v>
      </c>
      <c r="B116" s="2"/>
      <c r="C116" s="2"/>
      <c r="D116" s="1">
        <v>4730</v>
      </c>
      <c r="E116" s="1">
        <v>4780</v>
      </c>
      <c r="F116" s="1">
        <v>4690</v>
      </c>
      <c r="G116" s="1">
        <v>4700</v>
      </c>
      <c r="H116" s="1">
        <v>67585600</v>
      </c>
      <c r="I116" s="4">
        <f t="shared" si="2"/>
        <v>-2.1231422505307855E-3</v>
      </c>
      <c r="J116" s="4">
        <f t="shared" si="3"/>
        <v>-0.12558139534883722</v>
      </c>
    </row>
    <row r="117" spans="1:10" x14ac:dyDescent="0.2">
      <c r="A117" s="2">
        <f ca="1">IFERROR(__xludf.DUMMYFUNCTION("""COMPUTED_VALUE"""),45481.6666666666)</f>
        <v>45481.666666666599</v>
      </c>
      <c r="B117" s="2"/>
      <c r="C117" s="2"/>
      <c r="D117" s="1">
        <v>4730</v>
      </c>
      <c r="E117" s="1">
        <v>4740</v>
      </c>
      <c r="F117" s="1">
        <v>4670</v>
      </c>
      <c r="G117" s="1">
        <v>4670</v>
      </c>
      <c r="H117" s="1">
        <v>36004700</v>
      </c>
      <c r="I117" s="4">
        <f t="shared" si="2"/>
        <v>-6.382978723404255E-3</v>
      </c>
      <c r="J117" s="4">
        <f t="shared" si="3"/>
        <v>-0.13116279069767442</v>
      </c>
    </row>
    <row r="118" spans="1:10" x14ac:dyDescent="0.2">
      <c r="A118" s="2">
        <f ca="1">IFERROR(__xludf.DUMMYFUNCTION("""COMPUTED_VALUE"""),45482.6666666666)</f>
        <v>45482.666666666599</v>
      </c>
      <c r="B118" s="2"/>
      <c r="C118" s="2"/>
      <c r="D118" s="1">
        <v>4670</v>
      </c>
      <c r="E118" s="1">
        <v>4870</v>
      </c>
      <c r="F118" s="1">
        <v>4670</v>
      </c>
      <c r="G118" s="1">
        <v>4860</v>
      </c>
      <c r="H118" s="1">
        <v>87456600</v>
      </c>
      <c r="I118" s="4">
        <f t="shared" si="2"/>
        <v>4.068522483940043E-2</v>
      </c>
      <c r="J118" s="4">
        <f t="shared" si="3"/>
        <v>-9.5813953488372086E-2</v>
      </c>
    </row>
    <row r="119" spans="1:10" x14ac:dyDescent="0.2">
      <c r="A119" s="2">
        <f ca="1">IFERROR(__xludf.DUMMYFUNCTION("""COMPUTED_VALUE"""),45483.6666666666)</f>
        <v>45483.666666666599</v>
      </c>
      <c r="B119" s="2"/>
      <c r="C119" s="2"/>
      <c r="D119" s="1">
        <v>4850</v>
      </c>
      <c r="E119" s="1">
        <v>4900</v>
      </c>
      <c r="F119" s="1">
        <v>4820</v>
      </c>
      <c r="G119" s="1">
        <v>4820</v>
      </c>
      <c r="H119" s="1">
        <v>48700200</v>
      </c>
      <c r="I119" s="4">
        <f t="shared" si="2"/>
        <v>-8.23045267489712E-3</v>
      </c>
      <c r="J119" s="4">
        <f t="shared" si="3"/>
        <v>-0.10325581395348837</v>
      </c>
    </row>
    <row r="120" spans="1:10" x14ac:dyDescent="0.2">
      <c r="A120" s="2">
        <f ca="1">IFERROR(__xludf.DUMMYFUNCTION("""COMPUTED_VALUE"""),45484.6666666666)</f>
        <v>45484.666666666599</v>
      </c>
      <c r="B120" s="2"/>
      <c r="C120" s="2"/>
      <c r="D120" s="1">
        <v>4850</v>
      </c>
      <c r="E120" s="1">
        <v>4880</v>
      </c>
      <c r="F120" s="1">
        <v>4830</v>
      </c>
      <c r="G120" s="1">
        <v>4870</v>
      </c>
      <c r="H120" s="1">
        <v>37573700</v>
      </c>
      <c r="I120" s="4">
        <f t="shared" si="2"/>
        <v>1.0373443983402489E-2</v>
      </c>
      <c r="J120" s="4">
        <f t="shared" si="3"/>
        <v>-9.3953488372093025E-2</v>
      </c>
    </row>
    <row r="121" spans="1:10" x14ac:dyDescent="0.2">
      <c r="A121" s="2">
        <f ca="1">IFERROR(__xludf.DUMMYFUNCTION("""COMPUTED_VALUE"""),45485.6666666666)</f>
        <v>45485.666666666599</v>
      </c>
      <c r="B121" s="2"/>
      <c r="C121" s="2"/>
      <c r="D121" s="1">
        <v>4920</v>
      </c>
      <c r="E121" s="1">
        <v>5125</v>
      </c>
      <c r="F121" s="1">
        <v>4920</v>
      </c>
      <c r="G121" s="1">
        <v>5025</v>
      </c>
      <c r="H121" s="1">
        <v>151520700</v>
      </c>
      <c r="I121" s="4">
        <f t="shared" si="2"/>
        <v>3.1827515400410678E-2</v>
      </c>
      <c r="J121" s="4">
        <f t="shared" si="3"/>
        <v>-6.5116279069767441E-2</v>
      </c>
    </row>
    <row r="122" spans="1:10" x14ac:dyDescent="0.2">
      <c r="A122" s="2">
        <f ca="1">IFERROR(__xludf.DUMMYFUNCTION("""COMPUTED_VALUE"""),45488.6666666666)</f>
        <v>45488.666666666599</v>
      </c>
      <c r="B122" s="2"/>
      <c r="C122" s="2"/>
      <c r="D122" s="1">
        <v>5050</v>
      </c>
      <c r="E122" s="1">
        <v>5075</v>
      </c>
      <c r="F122" s="1">
        <v>4980</v>
      </c>
      <c r="G122" s="1">
        <v>5025</v>
      </c>
      <c r="H122" s="1">
        <v>94794900</v>
      </c>
      <c r="I122" s="4">
        <f t="shared" si="2"/>
        <v>0</v>
      </c>
      <c r="J122" s="4">
        <f t="shared" si="3"/>
        <v>-6.5116279069767441E-2</v>
      </c>
    </row>
    <row r="123" spans="1:10" x14ac:dyDescent="0.2">
      <c r="A123" s="2">
        <f ca="1">IFERROR(__xludf.DUMMYFUNCTION("""COMPUTED_VALUE"""),45489.6666666666)</f>
        <v>45489.666666666599</v>
      </c>
      <c r="B123" s="2"/>
      <c r="C123" s="2"/>
      <c r="D123" s="1">
        <v>5050</v>
      </c>
      <c r="E123" s="1">
        <v>5050</v>
      </c>
      <c r="F123" s="1">
        <v>4980</v>
      </c>
      <c r="G123" s="1">
        <v>4980</v>
      </c>
      <c r="H123" s="1">
        <v>66371200</v>
      </c>
      <c r="I123" s="4">
        <f t="shared" si="2"/>
        <v>-8.9552238805970154E-3</v>
      </c>
      <c r="J123" s="4">
        <f t="shared" si="3"/>
        <v>-7.3488372093023252E-2</v>
      </c>
    </row>
    <row r="124" spans="1:10" x14ac:dyDescent="0.2">
      <c r="A124" s="2">
        <f ca="1">IFERROR(__xludf.DUMMYFUNCTION("""COMPUTED_VALUE"""),45490.6666666666)</f>
        <v>45490.666666666599</v>
      </c>
      <c r="B124" s="2"/>
      <c r="C124" s="2"/>
      <c r="D124" s="1">
        <v>5050</v>
      </c>
      <c r="E124" s="1">
        <v>5075</v>
      </c>
      <c r="F124" s="1">
        <v>5000</v>
      </c>
      <c r="G124" s="1">
        <v>5000</v>
      </c>
      <c r="H124" s="1">
        <v>59615300</v>
      </c>
      <c r="I124" s="4">
        <f t="shared" si="2"/>
        <v>4.0160642570281121E-3</v>
      </c>
      <c r="J124" s="4">
        <f t="shared" si="3"/>
        <v>-6.9767441860465115E-2</v>
      </c>
    </row>
    <row r="125" spans="1:10" x14ac:dyDescent="0.2">
      <c r="A125" s="2">
        <f ca="1">IFERROR(__xludf.DUMMYFUNCTION("""COMPUTED_VALUE"""),45491.6666666666)</f>
        <v>45491.666666666599</v>
      </c>
      <c r="B125" s="2"/>
      <c r="C125" s="2"/>
      <c r="D125" s="1">
        <v>4990</v>
      </c>
      <c r="E125" s="1">
        <v>5125</v>
      </c>
      <c r="F125" s="1">
        <v>4990</v>
      </c>
      <c r="G125" s="1">
        <v>5075</v>
      </c>
      <c r="H125" s="1">
        <v>86127800</v>
      </c>
      <c r="I125" s="4">
        <f t="shared" si="2"/>
        <v>1.4999999999999999E-2</v>
      </c>
      <c r="J125" s="4">
        <f t="shared" si="3"/>
        <v>-5.5813953488372092E-2</v>
      </c>
    </row>
    <row r="126" spans="1:10" x14ac:dyDescent="0.2">
      <c r="A126" s="2">
        <f ca="1">IFERROR(__xludf.DUMMYFUNCTION("""COMPUTED_VALUE"""),45492.6666666666)</f>
        <v>45492.666666666599</v>
      </c>
      <c r="B126" s="2"/>
      <c r="C126" s="2"/>
      <c r="D126" s="1">
        <v>5075</v>
      </c>
      <c r="E126" s="1">
        <v>5100</v>
      </c>
      <c r="F126" s="1">
        <v>5025</v>
      </c>
      <c r="G126" s="1">
        <v>5100</v>
      </c>
      <c r="H126" s="1">
        <v>66907300</v>
      </c>
      <c r="I126" s="4">
        <f t="shared" si="2"/>
        <v>4.9261083743842365E-3</v>
      </c>
      <c r="J126" s="4">
        <f t="shared" si="3"/>
        <v>-5.1162790697674418E-2</v>
      </c>
    </row>
    <row r="127" spans="1:10" x14ac:dyDescent="0.2">
      <c r="A127" s="2">
        <f ca="1">IFERROR(__xludf.DUMMYFUNCTION("""COMPUTED_VALUE"""),45495.6666666666)</f>
        <v>45495.666666666599</v>
      </c>
      <c r="B127" s="2"/>
      <c r="C127" s="2"/>
      <c r="D127" s="1">
        <v>5125</v>
      </c>
      <c r="E127" s="1">
        <v>5150</v>
      </c>
      <c r="F127" s="1">
        <v>5050</v>
      </c>
      <c r="G127" s="1">
        <v>5100</v>
      </c>
      <c r="H127" s="1">
        <v>32378000</v>
      </c>
      <c r="I127" s="4">
        <f t="shared" si="2"/>
        <v>0</v>
      </c>
      <c r="J127" s="4">
        <f t="shared" si="3"/>
        <v>-5.1162790697674418E-2</v>
      </c>
    </row>
    <row r="128" spans="1:10" x14ac:dyDescent="0.2">
      <c r="A128" s="2">
        <f ca="1">IFERROR(__xludf.DUMMYFUNCTION("""COMPUTED_VALUE"""),45496.6666666666)</f>
        <v>45496.666666666599</v>
      </c>
      <c r="B128" s="2"/>
      <c r="C128" s="2"/>
      <c r="D128" s="1">
        <v>5100</v>
      </c>
      <c r="E128" s="1">
        <v>5125</v>
      </c>
      <c r="F128" s="1">
        <v>5050</v>
      </c>
      <c r="G128" s="1">
        <v>5050</v>
      </c>
      <c r="H128" s="1">
        <v>30554100</v>
      </c>
      <c r="I128" s="4">
        <f t="shared" si="2"/>
        <v>-9.8039215686274508E-3</v>
      </c>
      <c r="J128" s="4">
        <f t="shared" si="3"/>
        <v>-6.0465116279069767E-2</v>
      </c>
    </row>
    <row r="129" spans="1:10" x14ac:dyDescent="0.2">
      <c r="A129" s="2">
        <f ca="1">IFERROR(__xludf.DUMMYFUNCTION("""COMPUTED_VALUE"""),45497.6666666666)</f>
        <v>45497.666666666599</v>
      </c>
      <c r="B129" s="2"/>
      <c r="C129" s="2"/>
      <c r="D129" s="1">
        <v>5050</v>
      </c>
      <c r="E129" s="1">
        <v>5100</v>
      </c>
      <c r="F129" s="1">
        <v>5000</v>
      </c>
      <c r="G129" s="1">
        <v>5100</v>
      </c>
      <c r="H129" s="1">
        <v>23442100</v>
      </c>
      <c r="I129" s="4">
        <f t="shared" si="2"/>
        <v>9.9009900990099011E-3</v>
      </c>
      <c r="J129" s="4">
        <f t="shared" si="3"/>
        <v>-5.1162790697674418E-2</v>
      </c>
    </row>
    <row r="130" spans="1:10" x14ac:dyDescent="0.2">
      <c r="A130" s="2">
        <f ca="1">IFERROR(__xludf.DUMMYFUNCTION("""COMPUTED_VALUE"""),45498.6666666666)</f>
        <v>45498.666666666599</v>
      </c>
      <c r="B130" s="2"/>
      <c r="C130" s="2"/>
      <c r="D130" s="1">
        <v>5050</v>
      </c>
      <c r="E130" s="1">
        <v>5075</v>
      </c>
      <c r="F130" s="1">
        <v>4980</v>
      </c>
      <c r="G130" s="1">
        <v>5025</v>
      </c>
      <c r="H130" s="1">
        <v>52463300</v>
      </c>
      <c r="I130" s="4">
        <f t="shared" si="2"/>
        <v>-1.4705882352941176E-2</v>
      </c>
      <c r="J130" s="4">
        <f t="shared" si="3"/>
        <v>-6.5116279069767441E-2</v>
      </c>
    </row>
    <row r="131" spans="1:10" x14ac:dyDescent="0.2">
      <c r="A131" s="2">
        <f ca="1">IFERROR(__xludf.DUMMYFUNCTION("""COMPUTED_VALUE"""),45499.6666666666)</f>
        <v>45499.666666666599</v>
      </c>
      <c r="B131" s="2"/>
      <c r="C131" s="2"/>
      <c r="D131" s="1">
        <v>5000</v>
      </c>
      <c r="E131" s="1">
        <v>5075</v>
      </c>
      <c r="F131" s="1">
        <v>4990</v>
      </c>
      <c r="G131" s="1">
        <v>5000</v>
      </c>
      <c r="H131" s="1">
        <v>41982600</v>
      </c>
      <c r="I131" s="4">
        <f t="shared" si="2"/>
        <v>-4.9751243781094526E-3</v>
      </c>
      <c r="J131" s="4">
        <f t="shared" si="3"/>
        <v>-6.9767441860465115E-2</v>
      </c>
    </row>
    <row r="132" spans="1:10" x14ac:dyDescent="0.2">
      <c r="A132" s="2">
        <f ca="1">IFERROR(__xludf.DUMMYFUNCTION("""COMPUTED_VALUE"""),45502.6666666666)</f>
        <v>45502.666666666599</v>
      </c>
      <c r="B132" s="2"/>
      <c r="C132" s="2"/>
      <c r="D132" s="1">
        <v>5025</v>
      </c>
      <c r="E132" s="1">
        <v>5050</v>
      </c>
      <c r="F132" s="1">
        <v>5000</v>
      </c>
      <c r="G132" s="1">
        <v>5025</v>
      </c>
      <c r="H132" s="1">
        <v>19854800</v>
      </c>
      <c r="I132" s="4">
        <f t="shared" ref="I132:I195" si="4">(G132-G131)/G131</f>
        <v>5.0000000000000001E-3</v>
      </c>
      <c r="J132" s="4">
        <f t="shared" ref="J132:J195" si="5">(G132-$G$2)/$G$2</f>
        <v>-6.5116279069767441E-2</v>
      </c>
    </row>
    <row r="133" spans="1:10" x14ac:dyDescent="0.2">
      <c r="A133" s="2">
        <f ca="1">IFERROR(__xludf.DUMMYFUNCTION("""COMPUTED_VALUE"""),45503.6666666666)</f>
        <v>45503.666666666599</v>
      </c>
      <c r="B133" s="2"/>
      <c r="C133" s="2"/>
      <c r="D133" s="1">
        <v>5000</v>
      </c>
      <c r="E133" s="1">
        <v>5000</v>
      </c>
      <c r="F133" s="1">
        <v>4950</v>
      </c>
      <c r="G133" s="1">
        <v>4950</v>
      </c>
      <c r="H133" s="1">
        <v>36234500</v>
      </c>
      <c r="I133" s="4">
        <f t="shared" si="4"/>
        <v>-1.4925373134328358E-2</v>
      </c>
      <c r="J133" s="4">
        <f t="shared" si="5"/>
        <v>-7.9069767441860464E-2</v>
      </c>
    </row>
    <row r="134" spans="1:10" x14ac:dyDescent="0.2">
      <c r="A134" s="2">
        <f ca="1">IFERROR(__xludf.DUMMYFUNCTION("""COMPUTED_VALUE"""),45504.6666666666)</f>
        <v>45504.666666666599</v>
      </c>
      <c r="B134" s="2"/>
      <c r="C134" s="2"/>
      <c r="D134" s="1">
        <v>4970</v>
      </c>
      <c r="E134" s="1">
        <v>5025</v>
      </c>
      <c r="F134" s="1">
        <v>4920</v>
      </c>
      <c r="G134" s="1">
        <v>4970</v>
      </c>
      <c r="H134" s="1">
        <v>34106000</v>
      </c>
      <c r="I134" s="4">
        <f t="shared" si="4"/>
        <v>4.0404040404040404E-3</v>
      </c>
      <c r="J134" s="4">
        <f t="shared" si="5"/>
        <v>-7.5348837209302327E-2</v>
      </c>
    </row>
    <row r="135" spans="1:10" x14ac:dyDescent="0.2">
      <c r="A135" s="2">
        <f ca="1">IFERROR(__xludf.DUMMYFUNCTION("""COMPUTED_VALUE"""),45505.6666666666)</f>
        <v>45505.666666666599</v>
      </c>
      <c r="B135" s="2"/>
      <c r="C135" s="2"/>
      <c r="D135" s="1">
        <v>4940</v>
      </c>
      <c r="E135" s="1">
        <v>5075</v>
      </c>
      <c r="F135" s="1">
        <v>4940</v>
      </c>
      <c r="G135" s="1">
        <v>5075</v>
      </c>
      <c r="H135" s="1">
        <v>54207300</v>
      </c>
      <c r="I135" s="4">
        <f t="shared" si="4"/>
        <v>2.1126760563380281E-2</v>
      </c>
      <c r="J135" s="4">
        <f t="shared" si="5"/>
        <v>-5.5813953488372092E-2</v>
      </c>
    </row>
    <row r="136" spans="1:10" x14ac:dyDescent="0.2">
      <c r="A136" s="2">
        <f ca="1">IFERROR(__xludf.DUMMYFUNCTION("""COMPUTED_VALUE"""),45506.6666666666)</f>
        <v>45506.666666666599</v>
      </c>
      <c r="B136" s="2"/>
      <c r="C136" s="2"/>
      <c r="D136" s="1">
        <v>5050</v>
      </c>
      <c r="E136" s="1">
        <v>5150</v>
      </c>
      <c r="F136" s="1">
        <v>5025</v>
      </c>
      <c r="G136" s="1">
        <v>5100</v>
      </c>
      <c r="H136" s="1">
        <v>75959300</v>
      </c>
      <c r="I136" s="4">
        <f t="shared" si="4"/>
        <v>4.9261083743842365E-3</v>
      </c>
      <c r="J136" s="4">
        <f t="shared" si="5"/>
        <v>-5.1162790697674418E-2</v>
      </c>
    </row>
    <row r="137" spans="1:10" x14ac:dyDescent="0.2">
      <c r="A137" s="2">
        <f ca="1">IFERROR(__xludf.DUMMYFUNCTION("""COMPUTED_VALUE"""),45509.6666666666)</f>
        <v>45509.666666666599</v>
      </c>
      <c r="B137" s="2"/>
      <c r="C137" s="2"/>
      <c r="D137" s="1">
        <v>5025</v>
      </c>
      <c r="E137" s="1">
        <v>5050</v>
      </c>
      <c r="F137" s="1">
        <v>4880</v>
      </c>
      <c r="G137" s="1">
        <v>4960</v>
      </c>
      <c r="H137" s="1">
        <v>65485300</v>
      </c>
      <c r="I137" s="4">
        <f t="shared" si="4"/>
        <v>-2.7450980392156862E-2</v>
      </c>
      <c r="J137" s="4">
        <f t="shared" si="5"/>
        <v>-7.7209302325581389E-2</v>
      </c>
    </row>
    <row r="138" spans="1:10" x14ac:dyDescent="0.2">
      <c r="A138" s="2">
        <f ca="1">IFERROR(__xludf.DUMMYFUNCTION("""COMPUTED_VALUE"""),45510.6666666666)</f>
        <v>45510.666666666599</v>
      </c>
      <c r="B138" s="2"/>
      <c r="C138" s="2"/>
      <c r="D138" s="1">
        <v>5000</v>
      </c>
      <c r="E138" s="1">
        <v>5075</v>
      </c>
      <c r="F138" s="1">
        <v>4940</v>
      </c>
      <c r="G138" s="1">
        <v>5025</v>
      </c>
      <c r="H138" s="1">
        <v>51827100</v>
      </c>
      <c r="I138" s="4">
        <f t="shared" si="4"/>
        <v>1.310483870967742E-2</v>
      </c>
      <c r="J138" s="4">
        <f t="shared" si="5"/>
        <v>-6.5116279069767441E-2</v>
      </c>
    </row>
    <row r="139" spans="1:10" x14ac:dyDescent="0.2">
      <c r="A139" s="2">
        <f ca="1">IFERROR(__xludf.DUMMYFUNCTION("""COMPUTED_VALUE"""),45511.6666666666)</f>
        <v>45511.666666666599</v>
      </c>
      <c r="B139" s="2"/>
      <c r="C139" s="2"/>
      <c r="D139" s="1">
        <v>5025</v>
      </c>
      <c r="E139" s="1">
        <v>5050</v>
      </c>
      <c r="F139" s="1">
        <v>4980</v>
      </c>
      <c r="G139" s="1">
        <v>5000</v>
      </c>
      <c r="H139" s="1">
        <v>32556500</v>
      </c>
      <c r="I139" s="4">
        <f t="shared" si="4"/>
        <v>-4.9751243781094526E-3</v>
      </c>
      <c r="J139" s="4">
        <f t="shared" si="5"/>
        <v>-6.9767441860465115E-2</v>
      </c>
    </row>
    <row r="140" spans="1:10" x14ac:dyDescent="0.2">
      <c r="A140" s="2">
        <f ca="1">IFERROR(__xludf.DUMMYFUNCTION("""COMPUTED_VALUE"""),45512.6666666666)</f>
        <v>45512.666666666599</v>
      </c>
      <c r="B140" s="2"/>
      <c r="C140" s="2"/>
      <c r="D140" s="1">
        <v>5000</v>
      </c>
      <c r="E140" s="1">
        <v>5100</v>
      </c>
      <c r="F140" s="1">
        <v>4970</v>
      </c>
      <c r="G140" s="1">
        <v>5025</v>
      </c>
      <c r="H140" s="1">
        <v>51493100</v>
      </c>
      <c r="I140" s="4">
        <f t="shared" si="4"/>
        <v>5.0000000000000001E-3</v>
      </c>
      <c r="J140" s="4">
        <f t="shared" si="5"/>
        <v>-6.5116279069767441E-2</v>
      </c>
    </row>
    <row r="141" spans="1:10" x14ac:dyDescent="0.2">
      <c r="A141" s="2">
        <f ca="1">IFERROR(__xludf.DUMMYFUNCTION("""COMPUTED_VALUE"""),45513.6666666666)</f>
        <v>45513.666666666599</v>
      </c>
      <c r="B141" s="2"/>
      <c r="C141" s="2"/>
      <c r="D141" s="1">
        <v>5050</v>
      </c>
      <c r="E141" s="1">
        <v>5200</v>
      </c>
      <c r="F141" s="1">
        <v>5050</v>
      </c>
      <c r="G141" s="1">
        <v>5125</v>
      </c>
      <c r="H141" s="1">
        <v>33031700</v>
      </c>
      <c r="I141" s="4">
        <f t="shared" si="4"/>
        <v>1.9900497512437811E-2</v>
      </c>
      <c r="J141" s="4">
        <f t="shared" si="5"/>
        <v>-4.6511627906976744E-2</v>
      </c>
    </row>
    <row r="142" spans="1:10" x14ac:dyDescent="0.2">
      <c r="A142" s="2">
        <f ca="1">IFERROR(__xludf.DUMMYFUNCTION("""COMPUTED_VALUE"""),45516.6666666666)</f>
        <v>45516.666666666599</v>
      </c>
      <c r="B142" s="2"/>
      <c r="C142" s="2"/>
      <c r="D142" s="1">
        <v>5150</v>
      </c>
      <c r="E142" s="1">
        <v>5150</v>
      </c>
      <c r="F142" s="1">
        <v>5075</v>
      </c>
      <c r="G142" s="1">
        <v>5125</v>
      </c>
      <c r="H142" s="1">
        <v>14296000</v>
      </c>
      <c r="I142" s="4">
        <f t="shared" si="4"/>
        <v>0</v>
      </c>
      <c r="J142" s="4">
        <f t="shared" si="5"/>
        <v>-4.6511627906976744E-2</v>
      </c>
    </row>
    <row r="143" spans="1:10" x14ac:dyDescent="0.2">
      <c r="A143" s="2">
        <f ca="1">IFERROR(__xludf.DUMMYFUNCTION("""COMPUTED_VALUE"""),45517.6666666666)</f>
        <v>45517.666666666599</v>
      </c>
      <c r="B143" s="2"/>
      <c r="C143" s="2"/>
      <c r="D143" s="1">
        <v>5175</v>
      </c>
      <c r="E143" s="1">
        <v>5200</v>
      </c>
      <c r="F143" s="1">
        <v>5125</v>
      </c>
      <c r="G143" s="1">
        <v>5175</v>
      </c>
      <c r="H143" s="1">
        <v>26196400</v>
      </c>
      <c r="I143" s="4">
        <f t="shared" si="4"/>
        <v>9.7560975609756097E-3</v>
      </c>
      <c r="J143" s="4">
        <f t="shared" si="5"/>
        <v>-3.7209302325581395E-2</v>
      </c>
    </row>
    <row r="144" spans="1:10" x14ac:dyDescent="0.2">
      <c r="A144" s="2">
        <f ca="1">IFERROR(__xludf.DUMMYFUNCTION("""COMPUTED_VALUE"""),45518.6666666666)</f>
        <v>45518.666666666599</v>
      </c>
      <c r="B144" s="2"/>
      <c r="C144" s="2"/>
      <c r="D144" s="1">
        <v>5250</v>
      </c>
      <c r="E144" s="1">
        <v>5375</v>
      </c>
      <c r="F144" s="1">
        <v>5225</v>
      </c>
      <c r="G144" s="1">
        <v>5275</v>
      </c>
      <c r="H144" s="1">
        <v>93112500</v>
      </c>
      <c r="I144" s="4">
        <f t="shared" si="4"/>
        <v>1.932367149758454E-2</v>
      </c>
      <c r="J144" s="4">
        <f t="shared" si="5"/>
        <v>-1.8604651162790697E-2</v>
      </c>
    </row>
    <row r="145" spans="1:10" x14ac:dyDescent="0.2">
      <c r="A145" s="2">
        <f ca="1">IFERROR(__xludf.DUMMYFUNCTION("""COMPUTED_VALUE"""),45519.6666666666)</f>
        <v>45519.666666666599</v>
      </c>
      <c r="B145" s="2"/>
      <c r="C145" s="2"/>
      <c r="D145" s="1">
        <v>5300</v>
      </c>
      <c r="E145" s="1">
        <v>5325</v>
      </c>
      <c r="F145" s="1">
        <v>5225</v>
      </c>
      <c r="G145" s="1">
        <v>5250</v>
      </c>
      <c r="H145" s="1">
        <v>33034700</v>
      </c>
      <c r="I145" s="4">
        <f t="shared" si="4"/>
        <v>-4.7393364928909956E-3</v>
      </c>
      <c r="J145" s="4">
        <f t="shared" si="5"/>
        <v>-2.3255813953488372E-2</v>
      </c>
    </row>
    <row r="146" spans="1:10" x14ac:dyDescent="0.2">
      <c r="A146" s="2">
        <f ca="1">IFERROR(__xludf.DUMMYFUNCTION("""COMPUTED_VALUE"""),45520.6666666666)</f>
        <v>45520.666666666599</v>
      </c>
      <c r="B146" s="2"/>
      <c r="C146" s="2"/>
      <c r="D146" s="1">
        <v>5300</v>
      </c>
      <c r="E146" s="1">
        <v>5350</v>
      </c>
      <c r="F146" s="1">
        <v>5275</v>
      </c>
      <c r="G146" s="1">
        <v>5300</v>
      </c>
      <c r="H146" s="1">
        <v>33604900</v>
      </c>
      <c r="I146" s="4">
        <f t="shared" si="4"/>
        <v>9.5238095238095247E-3</v>
      </c>
      <c r="J146" s="4">
        <f t="shared" si="5"/>
        <v>-1.3953488372093023E-2</v>
      </c>
    </row>
    <row r="147" spans="1:10" x14ac:dyDescent="0.2">
      <c r="A147" s="2">
        <f ca="1">IFERROR(__xludf.DUMMYFUNCTION("""COMPUTED_VALUE"""),45523.6666666666)</f>
        <v>45523.666666666599</v>
      </c>
      <c r="B147" s="2"/>
      <c r="C147" s="2"/>
      <c r="D147" s="1">
        <v>5300</v>
      </c>
      <c r="E147" s="1">
        <v>5450</v>
      </c>
      <c r="F147" s="1">
        <v>5275</v>
      </c>
      <c r="G147" s="1">
        <v>5350</v>
      </c>
      <c r="H147" s="1">
        <v>55661900</v>
      </c>
      <c r="I147" s="4">
        <f t="shared" si="4"/>
        <v>9.433962264150943E-3</v>
      </c>
      <c r="J147" s="4">
        <f t="shared" si="5"/>
        <v>-4.6511627906976744E-3</v>
      </c>
    </row>
    <row r="148" spans="1:10" x14ac:dyDescent="0.2">
      <c r="A148" s="2">
        <f ca="1">IFERROR(__xludf.DUMMYFUNCTION("""COMPUTED_VALUE"""),45524.6666666666)</f>
        <v>45524.666666666599</v>
      </c>
      <c r="B148" s="2"/>
      <c r="C148" s="2"/>
      <c r="D148" s="1">
        <v>5375</v>
      </c>
      <c r="E148" s="1">
        <v>5500</v>
      </c>
      <c r="F148" s="1">
        <v>5375</v>
      </c>
      <c r="G148" s="1">
        <v>5475</v>
      </c>
      <c r="H148" s="1">
        <v>69978300</v>
      </c>
      <c r="I148" s="4">
        <f t="shared" si="4"/>
        <v>2.336448598130841E-2</v>
      </c>
      <c r="J148" s="4">
        <f t="shared" si="5"/>
        <v>1.8604651162790697E-2</v>
      </c>
    </row>
    <row r="149" spans="1:10" x14ac:dyDescent="0.2">
      <c r="A149" s="2">
        <f ca="1">IFERROR(__xludf.DUMMYFUNCTION("""COMPUTED_VALUE"""),45525.6666666666)</f>
        <v>45525.666666666599</v>
      </c>
      <c r="B149" s="2"/>
      <c r="C149" s="2"/>
      <c r="D149" s="1">
        <v>5475</v>
      </c>
      <c r="E149" s="1">
        <v>5550</v>
      </c>
      <c r="F149" s="1">
        <v>5425</v>
      </c>
      <c r="G149" s="1">
        <v>5450</v>
      </c>
      <c r="H149" s="1">
        <v>92703900</v>
      </c>
      <c r="I149" s="4">
        <f t="shared" si="4"/>
        <v>-4.5662100456621002E-3</v>
      </c>
      <c r="J149" s="4">
        <f t="shared" si="5"/>
        <v>1.3953488372093023E-2</v>
      </c>
    </row>
    <row r="150" spans="1:10" x14ac:dyDescent="0.2">
      <c r="A150" s="2">
        <f ca="1">IFERROR(__xludf.DUMMYFUNCTION("""COMPUTED_VALUE"""),45526.6666666666)</f>
        <v>45526.666666666599</v>
      </c>
      <c r="B150" s="2"/>
      <c r="C150" s="2"/>
      <c r="D150" s="1">
        <v>5425</v>
      </c>
      <c r="E150" s="1">
        <v>5425</v>
      </c>
      <c r="F150" s="1">
        <v>5225</v>
      </c>
      <c r="G150" s="1">
        <v>5275</v>
      </c>
      <c r="H150" s="1">
        <v>72626600</v>
      </c>
      <c r="I150" s="4">
        <f t="shared" si="4"/>
        <v>-3.2110091743119268E-2</v>
      </c>
      <c r="J150" s="4">
        <f t="shared" si="5"/>
        <v>-1.8604651162790697E-2</v>
      </c>
    </row>
    <row r="151" spans="1:10" x14ac:dyDescent="0.2">
      <c r="A151" s="2">
        <f ca="1">IFERROR(__xludf.DUMMYFUNCTION("""COMPUTED_VALUE"""),45527.6666666666)</f>
        <v>45527.666666666599</v>
      </c>
      <c r="B151" s="2"/>
      <c r="C151" s="2"/>
      <c r="D151" s="1">
        <v>5300</v>
      </c>
      <c r="E151" s="1">
        <v>5500</v>
      </c>
      <c r="F151" s="1">
        <v>5300</v>
      </c>
      <c r="G151" s="1">
        <v>5450</v>
      </c>
      <c r="H151" s="1">
        <v>69905300</v>
      </c>
      <c r="I151" s="4">
        <f t="shared" si="4"/>
        <v>3.3175355450236969E-2</v>
      </c>
      <c r="J151" s="4">
        <f t="shared" si="5"/>
        <v>1.3953488372093023E-2</v>
      </c>
    </row>
    <row r="152" spans="1:10" x14ac:dyDescent="0.2">
      <c r="A152" s="2">
        <f ca="1">IFERROR(__xludf.DUMMYFUNCTION("""COMPUTED_VALUE"""),45530.6666666666)</f>
        <v>45530.666666666599</v>
      </c>
      <c r="B152" s="2"/>
      <c r="C152" s="2"/>
      <c r="D152" s="1">
        <v>5450</v>
      </c>
      <c r="E152" s="1">
        <v>5550</v>
      </c>
      <c r="F152" s="1">
        <v>5450</v>
      </c>
      <c r="G152" s="1">
        <v>5525</v>
      </c>
      <c r="H152" s="1">
        <v>68435700</v>
      </c>
      <c r="I152" s="4">
        <f t="shared" si="4"/>
        <v>1.3761467889908258E-2</v>
      </c>
      <c r="J152" s="4">
        <f t="shared" si="5"/>
        <v>2.7906976744186046E-2</v>
      </c>
    </row>
    <row r="153" spans="1:10" x14ac:dyDescent="0.2">
      <c r="A153" s="2">
        <f ca="1">IFERROR(__xludf.DUMMYFUNCTION("""COMPUTED_VALUE"""),45531.6666666666)</f>
        <v>45531.666666666599</v>
      </c>
      <c r="B153" s="2"/>
      <c r="C153" s="2"/>
      <c r="D153" s="1">
        <v>5525</v>
      </c>
      <c r="E153" s="1">
        <v>5550</v>
      </c>
      <c r="F153" s="1">
        <v>5350</v>
      </c>
      <c r="G153" s="1">
        <v>5400</v>
      </c>
      <c r="H153" s="1">
        <v>57135700</v>
      </c>
      <c r="I153" s="4">
        <f t="shared" si="4"/>
        <v>-2.2624434389140271E-2</v>
      </c>
      <c r="J153" s="4">
        <f t="shared" si="5"/>
        <v>4.6511627906976744E-3</v>
      </c>
    </row>
    <row r="154" spans="1:10" x14ac:dyDescent="0.2">
      <c r="A154" s="2">
        <f ca="1">IFERROR(__xludf.DUMMYFUNCTION("""COMPUTED_VALUE"""),45532.6666666666)</f>
        <v>45532.666666666599</v>
      </c>
      <c r="B154" s="2"/>
      <c r="C154" s="2"/>
      <c r="D154" s="1">
        <v>5400</v>
      </c>
      <c r="E154" s="1">
        <v>5425</v>
      </c>
      <c r="F154" s="1">
        <v>5275</v>
      </c>
      <c r="G154" s="1">
        <v>5375</v>
      </c>
      <c r="H154" s="1">
        <v>48476500</v>
      </c>
      <c r="I154" s="4">
        <f t="shared" si="4"/>
        <v>-4.6296296296296294E-3</v>
      </c>
      <c r="J154" s="4">
        <f t="shared" si="5"/>
        <v>0</v>
      </c>
    </row>
    <row r="155" spans="1:10" x14ac:dyDescent="0.2">
      <c r="A155" s="2">
        <f ca="1">IFERROR(__xludf.DUMMYFUNCTION("""COMPUTED_VALUE"""),45533.6666666666)</f>
        <v>45533.666666666599</v>
      </c>
      <c r="B155" s="2"/>
      <c r="C155" s="2"/>
      <c r="D155" s="1">
        <v>5425</v>
      </c>
      <c r="E155" s="1">
        <v>5425</v>
      </c>
      <c r="F155" s="1">
        <v>5300</v>
      </c>
      <c r="G155" s="1">
        <v>5300</v>
      </c>
      <c r="H155" s="1">
        <v>40749200</v>
      </c>
      <c r="I155" s="4">
        <f t="shared" si="4"/>
        <v>-1.3953488372093023E-2</v>
      </c>
      <c r="J155" s="4">
        <f t="shared" si="5"/>
        <v>-1.3953488372093023E-2</v>
      </c>
    </row>
    <row r="156" spans="1:10" x14ac:dyDescent="0.2">
      <c r="A156" s="2">
        <f ca="1">IFERROR(__xludf.DUMMYFUNCTION("""COMPUTED_VALUE"""),45534.6666666666)</f>
        <v>45534.666666666599</v>
      </c>
      <c r="B156" s="2"/>
      <c r="C156" s="2"/>
      <c r="D156" s="1">
        <v>5300</v>
      </c>
      <c r="E156" s="1">
        <v>5400</v>
      </c>
      <c r="F156" s="1">
        <v>5300</v>
      </c>
      <c r="G156" s="1">
        <v>5350</v>
      </c>
      <c r="H156" s="1">
        <v>86718500</v>
      </c>
      <c r="I156" s="4">
        <f t="shared" si="4"/>
        <v>9.433962264150943E-3</v>
      </c>
      <c r="J156" s="4">
        <f t="shared" si="5"/>
        <v>-4.6511627906976744E-3</v>
      </c>
    </row>
    <row r="157" spans="1:10" x14ac:dyDescent="0.2">
      <c r="A157" s="2">
        <f ca="1">IFERROR(__xludf.DUMMYFUNCTION("""COMPUTED_VALUE"""),45537.6666666666)</f>
        <v>45537.666666666599</v>
      </c>
      <c r="B157" s="2"/>
      <c r="C157" s="2"/>
      <c r="D157" s="1">
        <v>5350</v>
      </c>
      <c r="E157" s="1">
        <v>5400</v>
      </c>
      <c r="F157" s="1">
        <v>5325</v>
      </c>
      <c r="G157" s="1">
        <v>5350</v>
      </c>
      <c r="H157" s="1">
        <v>22988100</v>
      </c>
      <c r="I157" s="4">
        <f t="shared" si="4"/>
        <v>0</v>
      </c>
      <c r="J157" s="4">
        <f t="shared" si="5"/>
        <v>-4.6511627906976744E-3</v>
      </c>
    </row>
    <row r="158" spans="1:10" x14ac:dyDescent="0.2">
      <c r="A158" s="2">
        <f ca="1">IFERROR(__xludf.DUMMYFUNCTION("""COMPUTED_VALUE"""),45538.6666666666)</f>
        <v>45538.666666666599</v>
      </c>
      <c r="B158" s="2"/>
      <c r="C158" s="2"/>
      <c r="D158" s="1">
        <v>5375</v>
      </c>
      <c r="E158" s="1">
        <v>5400</v>
      </c>
      <c r="F158" s="1">
        <v>5325</v>
      </c>
      <c r="G158" s="1">
        <v>5375</v>
      </c>
      <c r="H158" s="1">
        <v>20288700</v>
      </c>
      <c r="I158" s="4">
        <f t="shared" si="4"/>
        <v>4.6728971962616819E-3</v>
      </c>
      <c r="J158" s="4">
        <f t="shared" si="5"/>
        <v>0</v>
      </c>
    </row>
    <row r="159" spans="1:10" x14ac:dyDescent="0.2">
      <c r="A159" s="2">
        <f ca="1">IFERROR(__xludf.DUMMYFUNCTION("""COMPUTED_VALUE"""),45539.6666666666)</f>
        <v>45539.666666666599</v>
      </c>
      <c r="B159" s="2"/>
      <c r="C159" s="2"/>
      <c r="D159" s="1">
        <v>5325</v>
      </c>
      <c r="E159" s="1">
        <v>5375</v>
      </c>
      <c r="F159" s="1">
        <v>5300</v>
      </c>
      <c r="G159" s="1">
        <v>5350</v>
      </c>
      <c r="H159" s="1">
        <v>47278700</v>
      </c>
      <c r="I159" s="4">
        <f t="shared" si="4"/>
        <v>-4.6511627906976744E-3</v>
      </c>
      <c r="J159" s="4">
        <f t="shared" si="5"/>
        <v>-4.6511627906976744E-3</v>
      </c>
    </row>
    <row r="160" spans="1:10" x14ac:dyDescent="0.2">
      <c r="A160" s="2">
        <f ca="1">IFERROR(__xludf.DUMMYFUNCTION("""COMPUTED_VALUE"""),45540.6666666666)</f>
        <v>45540.666666666599</v>
      </c>
      <c r="B160" s="2"/>
      <c r="C160" s="2"/>
      <c r="D160" s="1">
        <v>5375</v>
      </c>
      <c r="E160" s="1">
        <v>5450</v>
      </c>
      <c r="F160" s="1">
        <v>5350</v>
      </c>
      <c r="G160" s="1">
        <v>5450</v>
      </c>
      <c r="H160" s="1">
        <v>62221800</v>
      </c>
      <c r="I160" s="4">
        <f t="shared" si="4"/>
        <v>1.8691588785046728E-2</v>
      </c>
      <c r="J160" s="4">
        <f t="shared" si="5"/>
        <v>1.3953488372093023E-2</v>
      </c>
    </row>
    <row r="161" spans="1:10" x14ac:dyDescent="0.2">
      <c r="A161" s="2">
        <f ca="1">IFERROR(__xludf.DUMMYFUNCTION("""COMPUTED_VALUE"""),45541.6666666666)</f>
        <v>45541.666666666599</v>
      </c>
      <c r="B161" s="2"/>
      <c r="C161" s="2"/>
      <c r="D161" s="1">
        <v>5500</v>
      </c>
      <c r="E161" s="1">
        <v>5675</v>
      </c>
      <c r="F161" s="1">
        <v>5475</v>
      </c>
      <c r="G161" s="1">
        <v>5650</v>
      </c>
      <c r="H161" s="1">
        <v>139365300</v>
      </c>
      <c r="I161" s="4">
        <f t="shared" si="4"/>
        <v>3.669724770642202E-2</v>
      </c>
      <c r="J161" s="4">
        <f t="shared" si="5"/>
        <v>5.1162790697674418E-2</v>
      </c>
    </row>
    <row r="162" spans="1:10" x14ac:dyDescent="0.2">
      <c r="A162" s="2">
        <f ca="1">IFERROR(__xludf.DUMMYFUNCTION("""COMPUTED_VALUE"""),45544.6666666666)</f>
        <v>45544.666666666599</v>
      </c>
      <c r="B162" s="2"/>
      <c r="C162" s="2"/>
      <c r="D162" s="1">
        <v>5650</v>
      </c>
      <c r="E162" s="1">
        <v>5750</v>
      </c>
      <c r="F162" s="1">
        <v>5625</v>
      </c>
      <c r="G162" s="1">
        <v>5725</v>
      </c>
      <c r="H162" s="1">
        <v>78827500</v>
      </c>
      <c r="I162" s="4">
        <f t="shared" si="4"/>
        <v>1.3274336283185841E-2</v>
      </c>
      <c r="J162" s="4">
        <f t="shared" si="5"/>
        <v>6.5116279069767441E-2</v>
      </c>
    </row>
    <row r="163" spans="1:10" x14ac:dyDescent="0.2">
      <c r="A163" s="2">
        <f ca="1">IFERROR(__xludf.DUMMYFUNCTION("""COMPUTED_VALUE"""),45545.6666666666)</f>
        <v>45545.666666666599</v>
      </c>
      <c r="B163" s="2"/>
      <c r="C163" s="2"/>
      <c r="D163" s="1">
        <v>5750</v>
      </c>
      <c r="E163" s="1">
        <v>5775</v>
      </c>
      <c r="F163" s="1">
        <v>5700</v>
      </c>
      <c r="G163" s="1">
        <v>5700</v>
      </c>
      <c r="H163" s="1">
        <v>55033900</v>
      </c>
      <c r="I163" s="4">
        <f t="shared" si="4"/>
        <v>-4.3668122270742356E-3</v>
      </c>
      <c r="J163" s="4">
        <f t="shared" si="5"/>
        <v>6.0465116279069767E-2</v>
      </c>
    </row>
    <row r="164" spans="1:10" x14ac:dyDescent="0.2">
      <c r="A164" s="2">
        <f ca="1">IFERROR(__xludf.DUMMYFUNCTION("""COMPUTED_VALUE"""),45546.6666666666)</f>
        <v>45546.666666666599</v>
      </c>
      <c r="B164" s="2"/>
      <c r="C164" s="2"/>
      <c r="D164" s="1">
        <v>5700</v>
      </c>
      <c r="E164" s="1">
        <v>5750</v>
      </c>
      <c r="F164" s="1">
        <v>5650</v>
      </c>
      <c r="G164" s="1">
        <v>5650</v>
      </c>
      <c r="H164" s="1">
        <v>33792600</v>
      </c>
      <c r="I164" s="4">
        <f t="shared" si="4"/>
        <v>-8.771929824561403E-3</v>
      </c>
      <c r="J164" s="4">
        <f t="shared" si="5"/>
        <v>5.1162790697674418E-2</v>
      </c>
    </row>
    <row r="165" spans="1:10" x14ac:dyDescent="0.2">
      <c r="A165" s="2">
        <f ca="1">IFERROR(__xludf.DUMMYFUNCTION("""COMPUTED_VALUE"""),45547.6666666666)</f>
        <v>45547.666666666599</v>
      </c>
      <c r="B165" s="2"/>
      <c r="C165" s="2"/>
      <c r="D165" s="1">
        <v>5625</v>
      </c>
      <c r="E165" s="1">
        <v>5650</v>
      </c>
      <c r="F165" s="1">
        <v>5575</v>
      </c>
      <c r="G165" s="1">
        <v>5600</v>
      </c>
      <c r="H165" s="1">
        <v>43318600</v>
      </c>
      <c r="I165" s="4">
        <f t="shared" si="4"/>
        <v>-8.8495575221238937E-3</v>
      </c>
      <c r="J165" s="4">
        <f t="shared" si="5"/>
        <v>4.1860465116279069E-2</v>
      </c>
    </row>
    <row r="166" spans="1:10" x14ac:dyDescent="0.2">
      <c r="A166" s="2">
        <f ca="1">IFERROR(__xludf.DUMMYFUNCTION("""COMPUTED_VALUE"""),45548.6666666666)</f>
        <v>45548.666666666599</v>
      </c>
      <c r="B166" s="2"/>
      <c r="C166" s="2"/>
      <c r="D166" s="1">
        <v>5600</v>
      </c>
      <c r="E166" s="1">
        <v>5650</v>
      </c>
      <c r="F166" s="1">
        <v>5575</v>
      </c>
      <c r="G166" s="1">
        <v>5625</v>
      </c>
      <c r="H166" s="1">
        <v>34311700</v>
      </c>
      <c r="I166" s="4">
        <f t="shared" si="4"/>
        <v>4.464285714285714E-3</v>
      </c>
      <c r="J166" s="4">
        <f t="shared" si="5"/>
        <v>4.6511627906976744E-2</v>
      </c>
    </row>
    <row r="167" spans="1:10" x14ac:dyDescent="0.2">
      <c r="A167" s="2">
        <f ca="1">IFERROR(__xludf.DUMMYFUNCTION("""COMPUTED_VALUE"""),45552.6666666666)</f>
        <v>45552.666666666599</v>
      </c>
      <c r="B167" s="2"/>
      <c r="C167" s="2"/>
      <c r="D167" s="1">
        <v>5600</v>
      </c>
      <c r="E167" s="1">
        <v>5700</v>
      </c>
      <c r="F167" s="1">
        <v>5600</v>
      </c>
      <c r="G167" s="1">
        <v>5650</v>
      </c>
      <c r="H167" s="1">
        <v>40776200</v>
      </c>
      <c r="I167" s="4">
        <f t="shared" si="4"/>
        <v>4.4444444444444444E-3</v>
      </c>
      <c r="J167" s="4">
        <f t="shared" si="5"/>
        <v>5.1162790697674418E-2</v>
      </c>
    </row>
    <row r="168" spans="1:10" x14ac:dyDescent="0.2">
      <c r="A168" s="2">
        <f ca="1">IFERROR(__xludf.DUMMYFUNCTION("""COMPUTED_VALUE"""),45553.6666666666)</f>
        <v>45553.666666666599</v>
      </c>
      <c r="B168" s="2"/>
      <c r="C168" s="2"/>
      <c r="D168" s="1">
        <v>5700</v>
      </c>
      <c r="E168" s="1">
        <v>5700</v>
      </c>
      <c r="F168" s="1">
        <v>5600</v>
      </c>
      <c r="G168" s="1">
        <v>5700</v>
      </c>
      <c r="H168" s="1">
        <v>64489200</v>
      </c>
      <c r="I168" s="4">
        <f t="shared" si="4"/>
        <v>8.8495575221238937E-3</v>
      </c>
      <c r="J168" s="4">
        <f t="shared" si="5"/>
        <v>6.0465116279069767E-2</v>
      </c>
    </row>
    <row r="169" spans="1:10" x14ac:dyDescent="0.2">
      <c r="A169" s="2">
        <f ca="1">IFERROR(__xludf.DUMMYFUNCTION("""COMPUTED_VALUE"""),45554.6666666666)</f>
        <v>45554.666666666599</v>
      </c>
      <c r="B169" s="2"/>
      <c r="C169" s="2"/>
      <c r="D169" s="1">
        <v>5800</v>
      </c>
      <c r="E169" s="1">
        <v>5850</v>
      </c>
      <c r="F169" s="1">
        <v>5750</v>
      </c>
      <c r="G169" s="1">
        <v>5825</v>
      </c>
      <c r="H169" s="1">
        <v>93847800</v>
      </c>
      <c r="I169" s="4">
        <f t="shared" si="4"/>
        <v>2.1929824561403508E-2</v>
      </c>
      <c r="J169" s="4">
        <f t="shared" si="5"/>
        <v>8.3720930232558138E-2</v>
      </c>
    </row>
    <row r="170" spans="1:10" x14ac:dyDescent="0.2">
      <c r="A170" s="2">
        <f ca="1">IFERROR(__xludf.DUMMYFUNCTION("""COMPUTED_VALUE"""),45555.6666666666)</f>
        <v>45555.666666666599</v>
      </c>
      <c r="B170" s="2"/>
      <c r="C170" s="2"/>
      <c r="D170" s="1">
        <v>5825</v>
      </c>
      <c r="E170" s="1">
        <v>5825</v>
      </c>
      <c r="F170" s="1">
        <v>5750</v>
      </c>
      <c r="G170" s="1">
        <v>5750</v>
      </c>
      <c r="H170" s="1">
        <v>47673600</v>
      </c>
      <c r="I170" s="4">
        <f t="shared" si="4"/>
        <v>-1.2875536480686695E-2</v>
      </c>
      <c r="J170" s="4">
        <f t="shared" si="5"/>
        <v>6.9767441860465115E-2</v>
      </c>
    </row>
    <row r="171" spans="1:10" x14ac:dyDescent="0.2">
      <c r="A171" s="2">
        <f ca="1">IFERROR(__xludf.DUMMYFUNCTION("""COMPUTED_VALUE"""),45558.6666666666)</f>
        <v>45558.666666666599</v>
      </c>
      <c r="B171" s="2"/>
      <c r="C171" s="2"/>
      <c r="D171" s="1">
        <v>5750</v>
      </c>
      <c r="E171" s="1">
        <v>5850</v>
      </c>
      <c r="F171" s="1">
        <v>5725</v>
      </c>
      <c r="G171" s="1">
        <v>5800</v>
      </c>
      <c r="H171" s="1">
        <v>48008700</v>
      </c>
      <c r="I171" s="4">
        <f t="shared" si="4"/>
        <v>8.6956521739130436E-3</v>
      </c>
      <c r="J171" s="4">
        <f t="shared" si="5"/>
        <v>7.9069767441860464E-2</v>
      </c>
    </row>
    <row r="172" spans="1:10" x14ac:dyDescent="0.2">
      <c r="A172" s="2">
        <f ca="1">IFERROR(__xludf.DUMMYFUNCTION("""COMPUTED_VALUE"""),45559.6666666666)</f>
        <v>45559.666666666599</v>
      </c>
      <c r="B172" s="2"/>
      <c r="C172" s="2"/>
      <c r="D172" s="1">
        <v>5800</v>
      </c>
      <c r="E172" s="1">
        <v>5825</v>
      </c>
      <c r="F172" s="1">
        <v>5750</v>
      </c>
      <c r="G172" s="1">
        <v>5800</v>
      </c>
      <c r="H172" s="1">
        <v>39900400</v>
      </c>
      <c r="I172" s="4">
        <f t="shared" si="4"/>
        <v>0</v>
      </c>
      <c r="J172" s="4">
        <f t="shared" si="5"/>
        <v>7.9069767441860464E-2</v>
      </c>
    </row>
    <row r="173" spans="1:10" x14ac:dyDescent="0.2">
      <c r="A173" s="2">
        <f ca="1">IFERROR(__xludf.DUMMYFUNCTION("""COMPUTED_VALUE"""),45560.6666666666)</f>
        <v>45560.666666666599</v>
      </c>
      <c r="B173" s="2"/>
      <c r="C173" s="2"/>
      <c r="D173" s="1">
        <v>5750</v>
      </c>
      <c r="E173" s="1">
        <v>5750</v>
      </c>
      <c r="F173" s="1">
        <v>5450</v>
      </c>
      <c r="G173" s="1">
        <v>5600</v>
      </c>
      <c r="H173" s="1">
        <v>120885200</v>
      </c>
      <c r="I173" s="4">
        <f t="shared" si="4"/>
        <v>-3.4482758620689655E-2</v>
      </c>
      <c r="J173" s="4">
        <f t="shared" si="5"/>
        <v>4.1860465116279069E-2</v>
      </c>
    </row>
    <row r="174" spans="1:10" x14ac:dyDescent="0.2">
      <c r="A174" s="2">
        <f ca="1">IFERROR(__xludf.DUMMYFUNCTION("""COMPUTED_VALUE"""),45561.6666666666)</f>
        <v>45561.666666666599</v>
      </c>
      <c r="B174" s="2"/>
      <c r="C174" s="2"/>
      <c r="D174" s="1">
        <v>5600</v>
      </c>
      <c r="E174" s="1">
        <v>5625</v>
      </c>
      <c r="F174" s="1">
        <v>5450</v>
      </c>
      <c r="G174" s="1">
        <v>5600</v>
      </c>
      <c r="H174" s="1">
        <v>59306200</v>
      </c>
      <c r="I174" s="4">
        <f t="shared" si="4"/>
        <v>0</v>
      </c>
      <c r="J174" s="4">
        <f t="shared" si="5"/>
        <v>4.1860465116279069E-2</v>
      </c>
    </row>
    <row r="175" spans="1:10" x14ac:dyDescent="0.2">
      <c r="A175" s="2">
        <f ca="1">IFERROR(__xludf.DUMMYFUNCTION("""COMPUTED_VALUE"""),45562.6666666666)</f>
        <v>45562.666666666599</v>
      </c>
      <c r="B175" s="2"/>
      <c r="C175" s="2"/>
      <c r="D175" s="1">
        <v>5600</v>
      </c>
      <c r="E175" s="1">
        <v>5600</v>
      </c>
      <c r="F175" s="1">
        <v>5400</v>
      </c>
      <c r="G175" s="1">
        <v>5450</v>
      </c>
      <c r="H175" s="1">
        <v>79718100</v>
      </c>
      <c r="I175" s="4">
        <f t="shared" si="4"/>
        <v>-2.6785714285714284E-2</v>
      </c>
      <c r="J175" s="4">
        <f t="shared" si="5"/>
        <v>1.3953488372093023E-2</v>
      </c>
    </row>
    <row r="176" spans="1:10" x14ac:dyDescent="0.2">
      <c r="A176" s="2">
        <f ca="1">IFERROR(__xludf.DUMMYFUNCTION("""COMPUTED_VALUE"""),45565.6666666666)</f>
        <v>45565.666666666599</v>
      </c>
      <c r="B176" s="2"/>
      <c r="C176" s="2"/>
      <c r="D176" s="1">
        <v>5400</v>
      </c>
      <c r="E176" s="1">
        <v>5450</v>
      </c>
      <c r="F176" s="1">
        <v>5325</v>
      </c>
      <c r="G176" s="1">
        <v>5350</v>
      </c>
      <c r="H176" s="1">
        <v>69417600</v>
      </c>
      <c r="I176" s="4">
        <f t="shared" si="4"/>
        <v>-1.834862385321101E-2</v>
      </c>
      <c r="J176" s="4">
        <f t="shared" si="5"/>
        <v>-4.6511627906976744E-3</v>
      </c>
    </row>
    <row r="177" spans="1:10" x14ac:dyDescent="0.2">
      <c r="A177" s="2">
        <f ca="1">IFERROR(__xludf.DUMMYFUNCTION("""COMPUTED_VALUE"""),45566.6666666666)</f>
        <v>45566.666666666599</v>
      </c>
      <c r="B177" s="2"/>
      <c r="C177" s="2"/>
      <c r="D177" s="1">
        <v>5375</v>
      </c>
      <c r="E177" s="1">
        <v>5450</v>
      </c>
      <c r="F177" s="1">
        <v>5350</v>
      </c>
      <c r="G177" s="1">
        <v>5375</v>
      </c>
      <c r="H177" s="1">
        <v>40085600</v>
      </c>
      <c r="I177" s="4">
        <f t="shared" si="4"/>
        <v>4.6728971962616819E-3</v>
      </c>
      <c r="J177" s="4">
        <f t="shared" si="5"/>
        <v>0</v>
      </c>
    </row>
    <row r="178" spans="1:10" x14ac:dyDescent="0.2">
      <c r="A178" s="2">
        <f ca="1">IFERROR(__xludf.DUMMYFUNCTION("""COMPUTED_VALUE"""),45567.6666666666)</f>
        <v>45567.666666666599</v>
      </c>
      <c r="B178" s="2"/>
      <c r="C178" s="2"/>
      <c r="D178" s="1">
        <v>5325</v>
      </c>
      <c r="E178" s="1">
        <v>5400</v>
      </c>
      <c r="F178" s="1">
        <v>5300</v>
      </c>
      <c r="G178" s="1">
        <v>5350</v>
      </c>
      <c r="H178" s="1">
        <v>27716400</v>
      </c>
      <c r="I178" s="4">
        <f t="shared" si="4"/>
        <v>-4.6511627906976744E-3</v>
      </c>
      <c r="J178" s="4">
        <f t="shared" si="5"/>
        <v>-4.6511627906976744E-3</v>
      </c>
    </row>
    <row r="179" spans="1:10" x14ac:dyDescent="0.2">
      <c r="A179" s="2">
        <f ca="1">IFERROR(__xludf.DUMMYFUNCTION("""COMPUTED_VALUE"""),45568.6666666666)</f>
        <v>45568.666666666599</v>
      </c>
      <c r="B179" s="2"/>
      <c r="C179" s="2"/>
      <c r="D179" s="1">
        <v>5375</v>
      </c>
      <c r="E179" s="1">
        <v>5400</v>
      </c>
      <c r="F179" s="1">
        <v>5300</v>
      </c>
      <c r="G179" s="1">
        <v>5375</v>
      </c>
      <c r="H179" s="1">
        <v>42597000</v>
      </c>
      <c r="I179" s="4">
        <f t="shared" si="4"/>
        <v>4.6728971962616819E-3</v>
      </c>
      <c r="J179" s="4">
        <f t="shared" si="5"/>
        <v>0</v>
      </c>
    </row>
    <row r="180" spans="1:10" x14ac:dyDescent="0.2">
      <c r="A180" s="2">
        <f ca="1">IFERROR(__xludf.DUMMYFUNCTION("""COMPUTED_VALUE"""),45569.6666666666)</f>
        <v>45569.666666666599</v>
      </c>
      <c r="B180" s="2"/>
      <c r="C180" s="2"/>
      <c r="D180" s="1">
        <v>5400</v>
      </c>
      <c r="E180" s="1">
        <v>5425</v>
      </c>
      <c r="F180" s="1">
        <v>5250</v>
      </c>
      <c r="G180" s="1">
        <v>5325</v>
      </c>
      <c r="H180" s="1">
        <v>35822100</v>
      </c>
      <c r="I180" s="4">
        <f t="shared" si="4"/>
        <v>-9.3023255813953487E-3</v>
      </c>
      <c r="J180" s="4">
        <f t="shared" si="5"/>
        <v>-9.3023255813953487E-3</v>
      </c>
    </row>
    <row r="181" spans="1:10" x14ac:dyDescent="0.2">
      <c r="A181" s="2">
        <f ca="1">IFERROR(__xludf.DUMMYFUNCTION("""COMPUTED_VALUE"""),45572.6666666666)</f>
        <v>45572.666666666599</v>
      </c>
      <c r="B181" s="2"/>
      <c r="C181" s="2"/>
      <c r="D181" s="1">
        <v>5325</v>
      </c>
      <c r="E181" s="1">
        <v>5350</v>
      </c>
      <c r="F181" s="1">
        <v>5200</v>
      </c>
      <c r="G181" s="1">
        <v>5200</v>
      </c>
      <c r="H181" s="1">
        <v>52624000</v>
      </c>
      <c r="I181" s="4">
        <f t="shared" si="4"/>
        <v>-2.3474178403755867E-2</v>
      </c>
      <c r="J181" s="4">
        <f t="shared" si="5"/>
        <v>-3.255813953488372E-2</v>
      </c>
    </row>
    <row r="182" spans="1:10" x14ac:dyDescent="0.2">
      <c r="A182" s="2">
        <f ca="1">IFERROR(__xludf.DUMMYFUNCTION("""COMPUTED_VALUE"""),45573.6666666666)</f>
        <v>45573.666666666599</v>
      </c>
      <c r="B182" s="2"/>
      <c r="C182" s="2"/>
      <c r="D182" s="1">
        <v>5150</v>
      </c>
      <c r="E182" s="1">
        <v>5400</v>
      </c>
      <c r="F182" s="1">
        <v>5100</v>
      </c>
      <c r="G182" s="1">
        <v>5350</v>
      </c>
      <c r="H182" s="1">
        <v>90686900</v>
      </c>
      <c r="I182" s="4">
        <f t="shared" si="4"/>
        <v>2.8846153846153848E-2</v>
      </c>
      <c r="J182" s="4">
        <f t="shared" si="5"/>
        <v>-4.6511627906976744E-3</v>
      </c>
    </row>
    <row r="183" spans="1:10" x14ac:dyDescent="0.2">
      <c r="A183" s="2">
        <f ca="1">IFERROR(__xludf.DUMMYFUNCTION("""COMPUTED_VALUE"""),45574.6666666666)</f>
        <v>45574.666666666599</v>
      </c>
      <c r="B183" s="2"/>
      <c r="C183" s="2"/>
      <c r="D183" s="1">
        <v>5350</v>
      </c>
      <c r="E183" s="1">
        <v>5425</v>
      </c>
      <c r="F183" s="1">
        <v>5275</v>
      </c>
      <c r="G183" s="1">
        <v>5325</v>
      </c>
      <c r="H183" s="1">
        <v>70831500</v>
      </c>
      <c r="I183" s="4">
        <f t="shared" si="4"/>
        <v>-4.6728971962616819E-3</v>
      </c>
      <c r="J183" s="4">
        <f t="shared" si="5"/>
        <v>-9.3023255813953487E-3</v>
      </c>
    </row>
    <row r="184" spans="1:10" x14ac:dyDescent="0.2">
      <c r="A184" s="2">
        <f ca="1">IFERROR(__xludf.DUMMYFUNCTION("""COMPUTED_VALUE"""),45575.6666666666)</f>
        <v>45575.666666666599</v>
      </c>
      <c r="B184" s="2"/>
      <c r="C184" s="2"/>
      <c r="D184" s="1">
        <v>5350</v>
      </c>
      <c r="E184" s="1">
        <v>5400</v>
      </c>
      <c r="F184" s="1">
        <v>5325</v>
      </c>
      <c r="G184" s="1">
        <v>5325</v>
      </c>
      <c r="H184" s="1">
        <v>25892500</v>
      </c>
      <c r="I184" s="4">
        <f t="shared" si="4"/>
        <v>0</v>
      </c>
      <c r="J184" s="4">
        <f t="shared" si="5"/>
        <v>-9.3023255813953487E-3</v>
      </c>
    </row>
    <row r="185" spans="1:10" x14ac:dyDescent="0.2">
      <c r="A185" s="2">
        <f ca="1">IFERROR(__xludf.DUMMYFUNCTION("""COMPUTED_VALUE"""),45576.6666666666)</f>
        <v>45576.666666666599</v>
      </c>
      <c r="B185" s="2"/>
      <c r="C185" s="2"/>
      <c r="D185" s="1">
        <v>5425</v>
      </c>
      <c r="E185" s="1">
        <v>5425</v>
      </c>
      <c r="F185" s="1">
        <v>5325</v>
      </c>
      <c r="G185" s="1">
        <v>5375</v>
      </c>
      <c r="H185" s="1">
        <v>14488900</v>
      </c>
      <c r="I185" s="4">
        <f t="shared" si="4"/>
        <v>9.3896713615023476E-3</v>
      </c>
      <c r="J185" s="4">
        <f t="shared" si="5"/>
        <v>0</v>
      </c>
    </row>
    <row r="186" spans="1:10" x14ac:dyDescent="0.2">
      <c r="A186" s="2">
        <f ca="1">IFERROR(__xludf.DUMMYFUNCTION("""COMPUTED_VALUE"""),45579.6666666666)</f>
        <v>45579.666666666599</v>
      </c>
      <c r="B186" s="2"/>
      <c r="C186" s="2"/>
      <c r="D186" s="1">
        <v>5375</v>
      </c>
      <c r="E186" s="1">
        <v>5450</v>
      </c>
      <c r="F186" s="1">
        <v>5375</v>
      </c>
      <c r="G186" s="1">
        <v>5425</v>
      </c>
      <c r="H186" s="1">
        <v>36808100</v>
      </c>
      <c r="I186" s="4">
        <f t="shared" si="4"/>
        <v>9.3023255813953487E-3</v>
      </c>
      <c r="J186" s="4">
        <f t="shared" si="5"/>
        <v>9.3023255813953487E-3</v>
      </c>
    </row>
    <row r="187" spans="1:10" x14ac:dyDescent="0.2">
      <c r="A187" s="2">
        <f ca="1">IFERROR(__xludf.DUMMYFUNCTION("""COMPUTED_VALUE"""),45580.6666666666)</f>
        <v>45580.666666666599</v>
      </c>
      <c r="B187" s="2"/>
      <c r="C187" s="2"/>
      <c r="D187" s="1">
        <v>5450</v>
      </c>
      <c r="E187" s="1">
        <v>5525</v>
      </c>
      <c r="F187" s="1">
        <v>5425</v>
      </c>
      <c r="G187" s="1">
        <v>5500</v>
      </c>
      <c r="H187" s="1">
        <v>44248600</v>
      </c>
      <c r="I187" s="4">
        <f t="shared" si="4"/>
        <v>1.3824884792626729E-2</v>
      </c>
      <c r="J187" s="4">
        <f t="shared" si="5"/>
        <v>2.3255813953488372E-2</v>
      </c>
    </row>
    <row r="188" spans="1:10" x14ac:dyDescent="0.2">
      <c r="A188" s="2">
        <f ca="1">IFERROR(__xludf.DUMMYFUNCTION("""COMPUTED_VALUE"""),45581.6666666666)</f>
        <v>45581.666666666599</v>
      </c>
      <c r="B188" s="2"/>
      <c r="C188" s="2"/>
      <c r="D188" s="1">
        <v>5500</v>
      </c>
      <c r="E188" s="1">
        <v>5500</v>
      </c>
      <c r="F188" s="1">
        <v>5450</v>
      </c>
      <c r="G188" s="1">
        <v>5475</v>
      </c>
      <c r="H188" s="1">
        <v>26629100</v>
      </c>
      <c r="I188" s="4">
        <f t="shared" si="4"/>
        <v>-4.5454545454545452E-3</v>
      </c>
      <c r="J188" s="4">
        <f t="shared" si="5"/>
        <v>1.8604651162790697E-2</v>
      </c>
    </row>
    <row r="189" spans="1:10" x14ac:dyDescent="0.2">
      <c r="A189" s="2">
        <f ca="1">IFERROR(__xludf.DUMMYFUNCTION("""COMPUTED_VALUE"""),45582.6666666666)</f>
        <v>45582.666666666599</v>
      </c>
      <c r="B189" s="2"/>
      <c r="C189" s="2"/>
      <c r="D189" s="1">
        <v>5500</v>
      </c>
      <c r="E189" s="1">
        <v>5575</v>
      </c>
      <c r="F189" s="1">
        <v>5475</v>
      </c>
      <c r="G189" s="1">
        <v>5500</v>
      </c>
      <c r="H189" s="1">
        <v>48570900</v>
      </c>
      <c r="I189" s="4">
        <f t="shared" si="4"/>
        <v>4.5662100456621002E-3</v>
      </c>
      <c r="J189" s="4">
        <f t="shared" si="5"/>
        <v>2.3255813953488372E-2</v>
      </c>
    </row>
    <row r="190" spans="1:10" x14ac:dyDescent="0.2">
      <c r="A190" s="2">
        <f ca="1">IFERROR(__xludf.DUMMYFUNCTION("""COMPUTED_VALUE"""),45583.6666666666)</f>
        <v>45583.666666666599</v>
      </c>
      <c r="B190" s="2"/>
      <c r="C190" s="2"/>
      <c r="D190" s="1">
        <v>5550</v>
      </c>
      <c r="E190" s="1">
        <v>5650</v>
      </c>
      <c r="F190" s="1">
        <v>5550</v>
      </c>
      <c r="G190" s="1">
        <v>5650</v>
      </c>
      <c r="H190" s="1">
        <v>58870300</v>
      </c>
      <c r="I190" s="4">
        <f t="shared" si="4"/>
        <v>2.7272727272727271E-2</v>
      </c>
      <c r="J190" s="4">
        <f t="shared" si="5"/>
        <v>5.1162790697674418E-2</v>
      </c>
    </row>
    <row r="191" spans="1:10" x14ac:dyDescent="0.2">
      <c r="A191" s="2">
        <f ca="1">IFERROR(__xludf.DUMMYFUNCTION("""COMPUTED_VALUE"""),45586.6666666666)</f>
        <v>45586.666666666599</v>
      </c>
      <c r="B191" s="2"/>
      <c r="C191" s="2"/>
      <c r="D191" s="1">
        <v>5700</v>
      </c>
      <c r="E191" s="1">
        <v>5750</v>
      </c>
      <c r="F191" s="1">
        <v>5600</v>
      </c>
      <c r="G191" s="1">
        <v>5625</v>
      </c>
      <c r="H191" s="1">
        <v>50980600</v>
      </c>
      <c r="I191" s="4">
        <f t="shared" si="4"/>
        <v>-4.4247787610619468E-3</v>
      </c>
      <c r="J191" s="4">
        <f t="shared" si="5"/>
        <v>4.6511627906976744E-2</v>
      </c>
    </row>
    <row r="192" spans="1:10" x14ac:dyDescent="0.2">
      <c r="A192" s="2">
        <f ca="1">IFERROR(__xludf.DUMMYFUNCTION("""COMPUTED_VALUE"""),45587.6666666666)</f>
        <v>45587.666666666599</v>
      </c>
      <c r="B192" s="2"/>
      <c r="C192" s="2"/>
      <c r="D192" s="1">
        <v>5650</v>
      </c>
      <c r="E192" s="1">
        <v>5675</v>
      </c>
      <c r="F192" s="1">
        <v>5575</v>
      </c>
      <c r="G192" s="1">
        <v>5650</v>
      </c>
      <c r="H192" s="1">
        <v>59956900</v>
      </c>
      <c r="I192" s="4">
        <f t="shared" si="4"/>
        <v>4.4444444444444444E-3</v>
      </c>
      <c r="J192" s="4">
        <f t="shared" si="5"/>
        <v>5.1162790697674418E-2</v>
      </c>
    </row>
    <row r="193" spans="1:10" x14ac:dyDescent="0.2">
      <c r="A193" s="2">
        <f ca="1">IFERROR(__xludf.DUMMYFUNCTION("""COMPUTED_VALUE"""),45588.6666666666)</f>
        <v>45588.666666666599</v>
      </c>
      <c r="B193" s="2"/>
      <c r="C193" s="2"/>
      <c r="D193" s="1">
        <v>5675</v>
      </c>
      <c r="E193" s="1">
        <v>5675</v>
      </c>
      <c r="F193" s="1">
        <v>5600</v>
      </c>
      <c r="G193" s="1">
        <v>5675</v>
      </c>
      <c r="H193" s="1">
        <v>63163700</v>
      </c>
      <c r="I193" s="4">
        <f t="shared" si="4"/>
        <v>4.4247787610619468E-3</v>
      </c>
      <c r="J193" s="4">
        <f t="shared" si="5"/>
        <v>5.5813953488372092E-2</v>
      </c>
    </row>
    <row r="194" spans="1:10" x14ac:dyDescent="0.2">
      <c r="A194" s="2">
        <f ca="1">IFERROR(__xludf.DUMMYFUNCTION("""COMPUTED_VALUE"""),45589.6666666666)</f>
        <v>45589.666666666599</v>
      </c>
      <c r="B194" s="2"/>
      <c r="C194" s="2"/>
      <c r="D194" s="1">
        <v>5650</v>
      </c>
      <c r="E194" s="1">
        <v>5700</v>
      </c>
      <c r="F194" s="1">
        <v>5625</v>
      </c>
      <c r="G194" s="1">
        <v>5625</v>
      </c>
      <c r="H194" s="1">
        <v>26445200</v>
      </c>
      <c r="I194" s="4">
        <f t="shared" si="4"/>
        <v>-8.8105726872246704E-3</v>
      </c>
      <c r="J194" s="4">
        <f t="shared" si="5"/>
        <v>4.6511627906976744E-2</v>
      </c>
    </row>
    <row r="195" spans="1:10" x14ac:dyDescent="0.2">
      <c r="A195" s="2">
        <f ca="1">IFERROR(__xludf.DUMMYFUNCTION("""COMPUTED_VALUE"""),45590.6666666666)</f>
        <v>45590.666666666599</v>
      </c>
      <c r="B195" s="2"/>
      <c r="C195" s="2"/>
      <c r="D195" s="1">
        <v>5625</v>
      </c>
      <c r="E195" s="1">
        <v>5650</v>
      </c>
      <c r="F195" s="1">
        <v>5550</v>
      </c>
      <c r="G195" s="1">
        <v>5650</v>
      </c>
      <c r="H195" s="1">
        <v>20200300</v>
      </c>
      <c r="I195" s="4">
        <f t="shared" si="4"/>
        <v>4.4444444444444444E-3</v>
      </c>
      <c r="J195" s="4">
        <f t="shared" si="5"/>
        <v>5.1162790697674418E-2</v>
      </c>
    </row>
    <row r="196" spans="1:10" x14ac:dyDescent="0.2">
      <c r="A196" s="2">
        <f ca="1">IFERROR(__xludf.DUMMYFUNCTION("""COMPUTED_VALUE"""),45593.6666666666)</f>
        <v>45593.666666666599</v>
      </c>
      <c r="B196" s="2"/>
      <c r="C196" s="2"/>
      <c r="D196" s="1">
        <v>5650</v>
      </c>
      <c r="E196" s="1">
        <v>5675</v>
      </c>
      <c r="F196" s="1">
        <v>5425</v>
      </c>
      <c r="G196" s="1">
        <v>5500</v>
      </c>
      <c r="H196" s="1">
        <v>48523000</v>
      </c>
      <c r="I196" s="4">
        <f t="shared" ref="I196:I259" si="6">(G196-G195)/G195</f>
        <v>-2.6548672566371681E-2</v>
      </c>
      <c r="J196" s="4">
        <f t="shared" ref="J196:J259" si="7">(G196-$G$2)/$G$2</f>
        <v>2.3255813953488372E-2</v>
      </c>
    </row>
    <row r="197" spans="1:10" x14ac:dyDescent="0.2">
      <c r="A197" s="2">
        <f ca="1">IFERROR(__xludf.DUMMYFUNCTION("""COMPUTED_VALUE"""),45594.6666666666)</f>
        <v>45594.666666666599</v>
      </c>
      <c r="B197" s="2"/>
      <c r="C197" s="2"/>
      <c r="D197" s="1">
        <v>5400</v>
      </c>
      <c r="E197" s="1">
        <v>5500</v>
      </c>
      <c r="F197" s="1">
        <v>5275</v>
      </c>
      <c r="G197" s="1">
        <v>5300</v>
      </c>
      <c r="H197" s="1">
        <v>77068500</v>
      </c>
      <c r="I197" s="4">
        <f t="shared" si="6"/>
        <v>-3.6363636363636362E-2</v>
      </c>
      <c r="J197" s="4">
        <f t="shared" si="7"/>
        <v>-1.3953488372093023E-2</v>
      </c>
    </row>
    <row r="198" spans="1:10" x14ac:dyDescent="0.2">
      <c r="A198" s="2">
        <f ca="1">IFERROR(__xludf.DUMMYFUNCTION("""COMPUTED_VALUE"""),45595.6666666666)</f>
        <v>45595.666666666599</v>
      </c>
      <c r="B198" s="2"/>
      <c r="C198" s="2"/>
      <c r="D198" s="1">
        <v>5300</v>
      </c>
      <c r="E198" s="1">
        <v>5325</v>
      </c>
      <c r="F198" s="1">
        <v>5200</v>
      </c>
      <c r="G198" s="1">
        <v>5225</v>
      </c>
      <c r="H198" s="1">
        <v>58411700</v>
      </c>
      <c r="I198" s="4">
        <f t="shared" si="6"/>
        <v>-1.4150943396226415E-2</v>
      </c>
      <c r="J198" s="4">
        <f t="shared" si="7"/>
        <v>-2.7906976744186046E-2</v>
      </c>
    </row>
    <row r="199" spans="1:10" x14ac:dyDescent="0.2">
      <c r="A199" s="2">
        <f ca="1">IFERROR(__xludf.DUMMYFUNCTION("""COMPUTED_VALUE"""),45596.6666666666)</f>
        <v>45596.666666666599</v>
      </c>
      <c r="B199" s="2"/>
      <c r="C199" s="2"/>
      <c r="D199" s="1">
        <v>5200</v>
      </c>
      <c r="E199" s="1">
        <v>5300</v>
      </c>
      <c r="F199" s="1">
        <v>5175</v>
      </c>
      <c r="G199" s="1">
        <v>5250</v>
      </c>
      <c r="H199" s="1">
        <v>50040800</v>
      </c>
      <c r="I199" s="4">
        <f t="shared" si="6"/>
        <v>4.7846889952153108E-3</v>
      </c>
      <c r="J199" s="4">
        <f t="shared" si="7"/>
        <v>-2.3255813953488372E-2</v>
      </c>
    </row>
    <row r="200" spans="1:10" x14ac:dyDescent="0.2">
      <c r="A200" s="2">
        <f ca="1">IFERROR(__xludf.DUMMYFUNCTION("""COMPUTED_VALUE"""),45597.6666666666)</f>
        <v>45597.666666666599</v>
      </c>
      <c r="B200" s="2"/>
      <c r="C200" s="2"/>
      <c r="D200" s="1">
        <v>5250</v>
      </c>
      <c r="E200" s="1">
        <v>5250</v>
      </c>
      <c r="F200" s="1">
        <v>5175</v>
      </c>
      <c r="G200" s="1">
        <v>5200</v>
      </c>
      <c r="H200" s="1">
        <v>21870200</v>
      </c>
      <c r="I200" s="4">
        <f t="shared" si="6"/>
        <v>-9.5238095238095247E-3</v>
      </c>
      <c r="J200" s="4">
        <f t="shared" si="7"/>
        <v>-3.255813953488372E-2</v>
      </c>
    </row>
    <row r="201" spans="1:10" x14ac:dyDescent="0.2">
      <c r="A201" s="2">
        <f ca="1">IFERROR(__xludf.DUMMYFUNCTION("""COMPUTED_VALUE"""),45600.6666666666)</f>
        <v>45600.666666666599</v>
      </c>
      <c r="B201" s="2"/>
      <c r="C201" s="2"/>
      <c r="D201" s="1">
        <v>5225</v>
      </c>
      <c r="E201" s="1">
        <v>5325</v>
      </c>
      <c r="F201" s="1">
        <v>5150</v>
      </c>
      <c r="G201" s="1">
        <v>5300</v>
      </c>
      <c r="H201" s="1">
        <v>31669500</v>
      </c>
      <c r="I201" s="4">
        <f t="shared" si="6"/>
        <v>1.9230769230769232E-2</v>
      </c>
      <c r="J201" s="4">
        <f t="shared" si="7"/>
        <v>-1.3953488372093023E-2</v>
      </c>
    </row>
    <row r="202" spans="1:10" x14ac:dyDescent="0.2">
      <c r="A202" s="2">
        <f ca="1">IFERROR(__xludf.DUMMYFUNCTION("""COMPUTED_VALUE"""),45601.6666666666)</f>
        <v>45601.666666666599</v>
      </c>
      <c r="B202" s="2"/>
      <c r="C202" s="2"/>
      <c r="D202" s="1">
        <v>5275</v>
      </c>
      <c r="E202" s="1">
        <v>5450</v>
      </c>
      <c r="F202" s="1">
        <v>5250</v>
      </c>
      <c r="G202" s="1">
        <v>5400</v>
      </c>
      <c r="H202" s="1">
        <v>32446400</v>
      </c>
      <c r="I202" s="4">
        <f t="shared" si="6"/>
        <v>1.8867924528301886E-2</v>
      </c>
      <c r="J202" s="4">
        <f t="shared" si="7"/>
        <v>4.6511627906976744E-3</v>
      </c>
    </row>
    <row r="203" spans="1:10" x14ac:dyDescent="0.2">
      <c r="A203" s="2">
        <f ca="1">IFERROR(__xludf.DUMMYFUNCTION("""COMPUTED_VALUE"""),45602.6666666666)</f>
        <v>45602.666666666599</v>
      </c>
      <c r="B203" s="2"/>
      <c r="C203" s="2"/>
      <c r="D203" s="1">
        <v>5425</v>
      </c>
      <c r="E203" s="1">
        <v>5425</v>
      </c>
      <c r="F203" s="1">
        <v>5100</v>
      </c>
      <c r="G203" s="1">
        <v>5125</v>
      </c>
      <c r="H203" s="1">
        <v>67214100</v>
      </c>
      <c r="I203" s="4">
        <f t="shared" si="6"/>
        <v>-5.0925925925925923E-2</v>
      </c>
      <c r="J203" s="4">
        <f t="shared" si="7"/>
        <v>-4.6511627906976744E-2</v>
      </c>
    </row>
    <row r="204" spans="1:10" x14ac:dyDescent="0.2">
      <c r="A204" s="2">
        <f ca="1">IFERROR(__xludf.DUMMYFUNCTION("""COMPUTED_VALUE"""),45603.6666666666)</f>
        <v>45603.666666666599</v>
      </c>
      <c r="B204" s="2"/>
      <c r="C204" s="2"/>
      <c r="D204" s="1">
        <v>5150</v>
      </c>
      <c r="E204" s="1">
        <v>5175</v>
      </c>
      <c r="F204" s="1">
        <v>5025</v>
      </c>
      <c r="G204" s="1">
        <v>5025</v>
      </c>
      <c r="H204" s="1">
        <v>63745800</v>
      </c>
      <c r="I204" s="4">
        <f t="shared" si="6"/>
        <v>-1.9512195121951219E-2</v>
      </c>
      <c r="J204" s="4">
        <f t="shared" si="7"/>
        <v>-6.5116279069767441E-2</v>
      </c>
    </row>
    <row r="205" spans="1:10" x14ac:dyDescent="0.2">
      <c r="A205" s="2">
        <f ca="1">IFERROR(__xludf.DUMMYFUNCTION("""COMPUTED_VALUE"""),45604.6666666666)</f>
        <v>45604.666666666599</v>
      </c>
      <c r="B205" s="2"/>
      <c r="C205" s="2"/>
      <c r="D205" s="1">
        <v>5075</v>
      </c>
      <c r="E205" s="1">
        <v>5125</v>
      </c>
      <c r="F205" s="1">
        <v>4970</v>
      </c>
      <c r="G205" s="1">
        <v>4980</v>
      </c>
      <c r="H205" s="1">
        <v>51146300</v>
      </c>
      <c r="I205" s="4">
        <f t="shared" si="6"/>
        <v>-8.9552238805970154E-3</v>
      </c>
      <c r="J205" s="4">
        <f t="shared" si="7"/>
        <v>-7.3488372093023252E-2</v>
      </c>
    </row>
    <row r="206" spans="1:10" x14ac:dyDescent="0.2">
      <c r="A206" s="2">
        <f ca="1">IFERROR(__xludf.DUMMYFUNCTION("""COMPUTED_VALUE"""),45607.6666666666)</f>
        <v>45607.666666666599</v>
      </c>
      <c r="B206" s="2"/>
      <c r="C206" s="2"/>
      <c r="D206" s="1">
        <v>4950</v>
      </c>
      <c r="E206" s="1">
        <v>5025</v>
      </c>
      <c r="F206" s="1">
        <v>4800</v>
      </c>
      <c r="G206" s="1">
        <v>4990</v>
      </c>
      <c r="H206" s="1">
        <v>44028300</v>
      </c>
      <c r="I206" s="4">
        <f t="shared" si="6"/>
        <v>2.008032128514056E-3</v>
      </c>
      <c r="J206" s="4">
        <f t="shared" si="7"/>
        <v>-7.1627906976744191E-2</v>
      </c>
    </row>
    <row r="207" spans="1:10" x14ac:dyDescent="0.2">
      <c r="A207" s="2">
        <f ca="1">IFERROR(__xludf.DUMMYFUNCTION("""COMPUTED_VALUE"""),45608.6666666666)</f>
        <v>45608.666666666599</v>
      </c>
      <c r="B207" s="2"/>
      <c r="C207" s="2"/>
      <c r="D207" s="1">
        <v>4960</v>
      </c>
      <c r="E207" s="1">
        <v>5000</v>
      </c>
      <c r="F207" s="1">
        <v>4870</v>
      </c>
      <c r="G207" s="1">
        <v>4930</v>
      </c>
      <c r="H207" s="1">
        <v>70220900</v>
      </c>
      <c r="I207" s="4">
        <f t="shared" si="6"/>
        <v>-1.2024048096192385E-2</v>
      </c>
      <c r="J207" s="4">
        <f t="shared" si="7"/>
        <v>-8.2790697674418601E-2</v>
      </c>
    </row>
    <row r="208" spans="1:10" x14ac:dyDescent="0.2">
      <c r="A208" s="2">
        <f ca="1">IFERROR(__xludf.DUMMYFUNCTION("""COMPUTED_VALUE"""),45609.6666666666)</f>
        <v>45609.666666666599</v>
      </c>
      <c r="B208" s="2"/>
      <c r="C208" s="2"/>
      <c r="D208" s="1">
        <v>4930</v>
      </c>
      <c r="E208" s="1">
        <v>5025</v>
      </c>
      <c r="F208" s="1">
        <v>4910</v>
      </c>
      <c r="G208" s="1">
        <v>4960</v>
      </c>
      <c r="H208" s="1">
        <v>64548800</v>
      </c>
      <c r="I208" s="4">
        <f t="shared" si="6"/>
        <v>6.0851926977687626E-3</v>
      </c>
      <c r="J208" s="4">
        <f t="shared" si="7"/>
        <v>-7.7209302325581389E-2</v>
      </c>
    </row>
    <row r="209" spans="1:10" x14ac:dyDescent="0.2">
      <c r="A209" s="2">
        <f ca="1">IFERROR(__xludf.DUMMYFUNCTION("""COMPUTED_VALUE"""),45610.6666666666)</f>
        <v>45610.666666666599</v>
      </c>
      <c r="B209" s="2"/>
      <c r="C209" s="2"/>
      <c r="D209" s="1">
        <v>4960</v>
      </c>
      <c r="E209" s="1">
        <v>4970</v>
      </c>
      <c r="F209" s="1">
        <v>4910</v>
      </c>
      <c r="G209" s="1">
        <v>4950</v>
      </c>
      <c r="H209" s="1">
        <v>33431400</v>
      </c>
      <c r="I209" s="4">
        <f t="shared" si="6"/>
        <v>-2.0161290322580645E-3</v>
      </c>
      <c r="J209" s="4">
        <f t="shared" si="7"/>
        <v>-7.9069767441860464E-2</v>
      </c>
    </row>
    <row r="210" spans="1:10" x14ac:dyDescent="0.2">
      <c r="A210" s="2">
        <f ca="1">IFERROR(__xludf.DUMMYFUNCTION("""COMPUTED_VALUE"""),45611.6666666666)</f>
        <v>45611.666666666599</v>
      </c>
      <c r="B210" s="2"/>
      <c r="C210" s="2"/>
      <c r="D210" s="1">
        <v>4920</v>
      </c>
      <c r="E210" s="1">
        <v>4940</v>
      </c>
      <c r="F210" s="1">
        <v>4870</v>
      </c>
      <c r="G210" s="1">
        <v>4910</v>
      </c>
      <c r="H210" s="1">
        <v>32785700</v>
      </c>
      <c r="I210" s="4">
        <f t="shared" si="6"/>
        <v>-8.0808080808080808E-3</v>
      </c>
      <c r="J210" s="4">
        <f t="shared" si="7"/>
        <v>-8.6511627906976737E-2</v>
      </c>
    </row>
    <row r="211" spans="1:10" x14ac:dyDescent="0.2">
      <c r="A211" s="2">
        <f ca="1">IFERROR(__xludf.DUMMYFUNCTION("""COMPUTED_VALUE"""),45614.6666666666)</f>
        <v>45614.666666666599</v>
      </c>
      <c r="B211" s="2"/>
      <c r="C211" s="2"/>
      <c r="D211" s="1">
        <v>4930</v>
      </c>
      <c r="E211" s="1">
        <v>4930</v>
      </c>
      <c r="F211" s="1">
        <v>4830</v>
      </c>
      <c r="G211" s="1">
        <v>4870</v>
      </c>
      <c r="H211" s="1">
        <v>22240200</v>
      </c>
      <c r="I211" s="4">
        <f t="shared" si="6"/>
        <v>-8.1466395112016286E-3</v>
      </c>
      <c r="J211" s="4">
        <f t="shared" si="7"/>
        <v>-9.3953488372093025E-2</v>
      </c>
    </row>
    <row r="212" spans="1:10" x14ac:dyDescent="0.2">
      <c r="A212" s="2">
        <f ca="1">IFERROR(__xludf.DUMMYFUNCTION("""COMPUTED_VALUE"""),45615.6666666666)</f>
        <v>45615.666666666599</v>
      </c>
      <c r="B212" s="2"/>
      <c r="C212" s="2"/>
      <c r="D212" s="1">
        <v>4860</v>
      </c>
      <c r="E212" s="1">
        <v>4890</v>
      </c>
      <c r="F212" s="1">
        <v>4800</v>
      </c>
      <c r="G212" s="1">
        <v>4850</v>
      </c>
      <c r="H212" s="1">
        <v>28214800</v>
      </c>
      <c r="I212" s="4">
        <f t="shared" si="6"/>
        <v>-4.1067761806981521E-3</v>
      </c>
      <c r="J212" s="4">
        <f t="shared" si="7"/>
        <v>-9.7674418604651161E-2</v>
      </c>
    </row>
    <row r="213" spans="1:10" x14ac:dyDescent="0.2">
      <c r="A213" s="2">
        <f ca="1">IFERROR(__xludf.DUMMYFUNCTION("""COMPUTED_VALUE"""),45616.6666666666)</f>
        <v>45616.666666666599</v>
      </c>
      <c r="B213" s="2"/>
      <c r="C213" s="2"/>
      <c r="D213" s="1">
        <v>4870</v>
      </c>
      <c r="E213" s="1">
        <v>4900</v>
      </c>
      <c r="F213" s="1">
        <v>4800</v>
      </c>
      <c r="G213" s="1">
        <v>4850</v>
      </c>
      <c r="H213" s="1">
        <v>24693600</v>
      </c>
      <c r="I213" s="4">
        <f t="shared" si="6"/>
        <v>0</v>
      </c>
      <c r="J213" s="4">
        <f t="shared" si="7"/>
        <v>-9.7674418604651161E-2</v>
      </c>
    </row>
    <row r="214" spans="1:10" x14ac:dyDescent="0.2">
      <c r="A214" s="2">
        <f ca="1">IFERROR(__xludf.DUMMYFUNCTION("""COMPUTED_VALUE"""),45617.6666666666)</f>
        <v>45617.666666666599</v>
      </c>
      <c r="B214" s="2"/>
      <c r="C214" s="2"/>
      <c r="D214" s="1">
        <v>4820</v>
      </c>
      <c r="E214" s="1">
        <v>4850</v>
      </c>
      <c r="F214" s="1">
        <v>4710</v>
      </c>
      <c r="G214" s="1">
        <v>4720</v>
      </c>
      <c r="H214" s="1">
        <v>45727200</v>
      </c>
      <c r="I214" s="4">
        <f t="shared" si="6"/>
        <v>-2.6804123711340205E-2</v>
      </c>
      <c r="J214" s="4">
        <f t="shared" si="7"/>
        <v>-0.12186046511627907</v>
      </c>
    </row>
    <row r="215" spans="1:10" x14ac:dyDescent="0.2">
      <c r="A215" s="2">
        <f ca="1">IFERROR(__xludf.DUMMYFUNCTION("""COMPUTED_VALUE"""),45618.6666666666)</f>
        <v>45618.666666666599</v>
      </c>
      <c r="B215" s="2"/>
      <c r="C215" s="2"/>
      <c r="D215" s="1">
        <v>4750</v>
      </c>
      <c r="E215" s="1">
        <v>4860</v>
      </c>
      <c r="F215" s="1">
        <v>4740</v>
      </c>
      <c r="G215" s="1">
        <v>4840</v>
      </c>
      <c r="H215" s="1">
        <v>50258400</v>
      </c>
      <c r="I215" s="4">
        <f t="shared" si="6"/>
        <v>2.5423728813559324E-2</v>
      </c>
      <c r="J215" s="4">
        <f t="shared" si="7"/>
        <v>-9.9534883720930237E-2</v>
      </c>
    </row>
    <row r="216" spans="1:10" x14ac:dyDescent="0.2">
      <c r="A216" s="2">
        <f ca="1">IFERROR(__xludf.DUMMYFUNCTION("""COMPUTED_VALUE"""),45621.6666666666)</f>
        <v>45621.666666666599</v>
      </c>
      <c r="B216" s="2"/>
      <c r="C216" s="2"/>
      <c r="D216" s="1">
        <v>4850</v>
      </c>
      <c r="E216" s="1">
        <v>5075</v>
      </c>
      <c r="F216" s="1">
        <v>4840</v>
      </c>
      <c r="G216" s="1">
        <v>4990</v>
      </c>
      <c r="H216" s="1">
        <v>98405900</v>
      </c>
      <c r="I216" s="4">
        <f t="shared" si="6"/>
        <v>3.0991735537190084E-2</v>
      </c>
      <c r="J216" s="4">
        <f t="shared" si="7"/>
        <v>-7.1627906976744191E-2</v>
      </c>
    </row>
    <row r="217" spans="1:10" x14ac:dyDescent="0.2">
      <c r="A217" s="2">
        <f ca="1">IFERROR(__xludf.DUMMYFUNCTION("""COMPUTED_VALUE"""),45622.6666666666)</f>
        <v>45622.666666666599</v>
      </c>
      <c r="B217" s="2"/>
      <c r="C217" s="2"/>
      <c r="D217" s="1">
        <v>5025</v>
      </c>
      <c r="E217" s="1">
        <v>5050</v>
      </c>
      <c r="F217" s="1">
        <v>4950</v>
      </c>
      <c r="G217" s="1">
        <v>4950</v>
      </c>
      <c r="H217" s="1">
        <v>37322800</v>
      </c>
      <c r="I217" s="4">
        <f t="shared" si="6"/>
        <v>-8.0160320641282558E-3</v>
      </c>
      <c r="J217" s="4">
        <f t="shared" si="7"/>
        <v>-7.9069767441860464E-2</v>
      </c>
    </row>
    <row r="218" spans="1:10" x14ac:dyDescent="0.2">
      <c r="A218" s="2">
        <f ca="1">IFERROR(__xludf.DUMMYFUNCTION("""COMPUTED_VALUE"""),45624.6666666666)</f>
        <v>45624.666666666599</v>
      </c>
      <c r="B218" s="2"/>
      <c r="C218" s="2"/>
      <c r="D218" s="1">
        <v>5025</v>
      </c>
      <c r="E218" s="1">
        <v>5075</v>
      </c>
      <c r="F218" s="1">
        <v>4950</v>
      </c>
      <c r="G218" s="1">
        <v>5025</v>
      </c>
      <c r="H218" s="1">
        <v>28337000</v>
      </c>
      <c r="I218" s="4">
        <f t="shared" si="6"/>
        <v>1.5151515151515152E-2</v>
      </c>
      <c r="J218" s="4">
        <f t="shared" si="7"/>
        <v>-6.5116279069767441E-2</v>
      </c>
    </row>
    <row r="219" spans="1:10" x14ac:dyDescent="0.2">
      <c r="A219" s="2">
        <f ca="1">IFERROR(__xludf.DUMMYFUNCTION("""COMPUTED_VALUE"""),45625.6666666666)</f>
        <v>45625.666666666599</v>
      </c>
      <c r="B219" s="2"/>
      <c r="C219" s="2"/>
      <c r="D219" s="1">
        <v>5025</v>
      </c>
      <c r="E219" s="1">
        <v>5050</v>
      </c>
      <c r="F219" s="1">
        <v>4940</v>
      </c>
      <c r="G219" s="1">
        <v>4980</v>
      </c>
      <c r="H219" s="1">
        <v>48885400</v>
      </c>
      <c r="I219" s="4">
        <f t="shared" si="6"/>
        <v>-8.9552238805970154E-3</v>
      </c>
      <c r="J219" s="4">
        <f t="shared" si="7"/>
        <v>-7.3488372093023252E-2</v>
      </c>
    </row>
    <row r="220" spans="1:10" x14ac:dyDescent="0.2">
      <c r="A220" s="2">
        <f ca="1">IFERROR(__xludf.DUMMYFUNCTION("""COMPUTED_VALUE"""),45628.6666666666)</f>
        <v>45628.666666666599</v>
      </c>
      <c r="B220" s="2"/>
      <c r="C220" s="2"/>
      <c r="D220" s="1">
        <v>4980</v>
      </c>
      <c r="E220" s="1">
        <v>5000</v>
      </c>
      <c r="F220" s="1">
        <v>4710</v>
      </c>
      <c r="G220" s="1">
        <v>4710</v>
      </c>
      <c r="H220" s="1">
        <v>49318100</v>
      </c>
      <c r="I220" s="4">
        <f t="shared" si="6"/>
        <v>-5.4216867469879519E-2</v>
      </c>
      <c r="J220" s="4">
        <f t="shared" si="7"/>
        <v>-0.12372093023255815</v>
      </c>
    </row>
    <row r="221" spans="1:10" x14ac:dyDescent="0.2">
      <c r="A221" s="2">
        <f ca="1">IFERROR(__xludf.DUMMYFUNCTION("""COMPUTED_VALUE"""),45629.6666666666)</f>
        <v>45629.666666666599</v>
      </c>
      <c r="B221" s="2"/>
      <c r="C221" s="2"/>
      <c r="D221" s="1">
        <v>4740</v>
      </c>
      <c r="E221" s="1">
        <v>4840</v>
      </c>
      <c r="F221" s="1">
        <v>4730</v>
      </c>
      <c r="G221" s="1">
        <v>4780</v>
      </c>
      <c r="H221" s="1">
        <v>60101100</v>
      </c>
      <c r="I221" s="4">
        <f t="shared" si="6"/>
        <v>1.4861995753715499E-2</v>
      </c>
      <c r="J221" s="4">
        <f t="shared" si="7"/>
        <v>-0.11069767441860465</v>
      </c>
    </row>
    <row r="222" spans="1:10" x14ac:dyDescent="0.2">
      <c r="A222" s="2">
        <f ca="1">IFERROR(__xludf.DUMMYFUNCTION("""COMPUTED_VALUE"""),45630.6666666666)</f>
        <v>45630.666666666599</v>
      </c>
      <c r="B222" s="2"/>
      <c r="C222" s="2"/>
      <c r="D222" s="1">
        <v>4800</v>
      </c>
      <c r="E222" s="1">
        <v>4980</v>
      </c>
      <c r="F222" s="1">
        <v>4790</v>
      </c>
      <c r="G222" s="1">
        <v>4950</v>
      </c>
      <c r="H222" s="1">
        <v>46942200</v>
      </c>
      <c r="I222" s="4">
        <f t="shared" si="6"/>
        <v>3.5564853556485358E-2</v>
      </c>
      <c r="J222" s="4">
        <f t="shared" si="7"/>
        <v>-7.9069767441860464E-2</v>
      </c>
    </row>
    <row r="223" spans="1:10" x14ac:dyDescent="0.2">
      <c r="A223" s="2">
        <f ca="1">IFERROR(__xludf.DUMMYFUNCTION("""COMPUTED_VALUE"""),45631.6666666666)</f>
        <v>45631.666666666599</v>
      </c>
      <c r="B223" s="2"/>
      <c r="C223" s="2"/>
      <c r="D223" s="1">
        <v>4950</v>
      </c>
      <c r="E223" s="1">
        <v>4950</v>
      </c>
      <c r="F223" s="1">
        <v>4810</v>
      </c>
      <c r="G223" s="1">
        <v>4820</v>
      </c>
      <c r="H223" s="1">
        <v>33537600</v>
      </c>
      <c r="I223" s="4">
        <f t="shared" si="6"/>
        <v>-2.6262626262626262E-2</v>
      </c>
      <c r="J223" s="4">
        <f t="shared" si="7"/>
        <v>-0.10325581395348837</v>
      </c>
    </row>
    <row r="224" spans="1:10" x14ac:dyDescent="0.2">
      <c r="A224" s="2">
        <f ca="1">IFERROR(__xludf.DUMMYFUNCTION("""COMPUTED_VALUE"""),45632.6666666666)</f>
        <v>45632.666666666599</v>
      </c>
      <c r="B224" s="2"/>
      <c r="C224" s="2"/>
      <c r="D224" s="1">
        <v>4820</v>
      </c>
      <c r="E224" s="1">
        <v>4880</v>
      </c>
      <c r="F224" s="1">
        <v>4780</v>
      </c>
      <c r="G224" s="1">
        <v>4860</v>
      </c>
      <c r="H224" s="1">
        <v>25735100</v>
      </c>
      <c r="I224" s="4">
        <f t="shared" si="6"/>
        <v>8.2987551867219917E-3</v>
      </c>
      <c r="J224" s="4">
        <f t="shared" si="7"/>
        <v>-9.5813953488372086E-2</v>
      </c>
    </row>
    <row r="225" spans="1:10" x14ac:dyDescent="0.2">
      <c r="A225" s="2">
        <f ca="1">IFERROR(__xludf.DUMMYFUNCTION("""COMPUTED_VALUE"""),45635.6666666666)</f>
        <v>45635.666666666599</v>
      </c>
      <c r="B225" s="2"/>
      <c r="C225" s="2"/>
      <c r="D225" s="1">
        <v>4890</v>
      </c>
      <c r="E225" s="1">
        <v>5050</v>
      </c>
      <c r="F225" s="1">
        <v>4880</v>
      </c>
      <c r="G225" s="1">
        <v>5000</v>
      </c>
      <c r="H225" s="1">
        <v>43938100</v>
      </c>
      <c r="I225" s="4">
        <f t="shared" si="6"/>
        <v>2.8806584362139918E-2</v>
      </c>
      <c r="J225" s="4">
        <f t="shared" si="7"/>
        <v>-6.9767441860465115E-2</v>
      </c>
    </row>
    <row r="226" spans="1:10" x14ac:dyDescent="0.2">
      <c r="A226" s="2">
        <f ca="1">IFERROR(__xludf.DUMMYFUNCTION("""COMPUTED_VALUE"""),45636.6666666666)</f>
        <v>45636.666666666599</v>
      </c>
      <c r="B226" s="2"/>
      <c r="C226" s="2"/>
      <c r="D226" s="1">
        <v>4990</v>
      </c>
      <c r="E226" s="1">
        <v>5100</v>
      </c>
      <c r="F226" s="1">
        <v>4930</v>
      </c>
      <c r="G226" s="1">
        <v>5100</v>
      </c>
      <c r="H226" s="1">
        <v>39158900</v>
      </c>
      <c r="I226" s="4">
        <f t="shared" si="6"/>
        <v>0.02</v>
      </c>
      <c r="J226" s="4">
        <f t="shared" si="7"/>
        <v>-5.1162790697674418E-2</v>
      </c>
    </row>
    <row r="227" spans="1:10" x14ac:dyDescent="0.2">
      <c r="A227" s="2">
        <f ca="1">IFERROR(__xludf.DUMMYFUNCTION("""COMPUTED_VALUE"""),45637.6666666666)</f>
        <v>45637.666666666599</v>
      </c>
      <c r="B227" s="2"/>
      <c r="C227" s="2"/>
      <c r="D227" s="1">
        <v>5050</v>
      </c>
      <c r="E227" s="1">
        <v>5175</v>
      </c>
      <c r="F227" s="1">
        <v>5050</v>
      </c>
      <c r="G227" s="1">
        <v>5075</v>
      </c>
      <c r="H227" s="1">
        <v>39770900</v>
      </c>
      <c r="I227" s="4">
        <f t="shared" si="6"/>
        <v>-4.9019607843137254E-3</v>
      </c>
      <c r="J227" s="4">
        <f t="shared" si="7"/>
        <v>-5.5813953488372092E-2</v>
      </c>
    </row>
    <row r="228" spans="1:10" x14ac:dyDescent="0.2">
      <c r="A228" s="2">
        <f ca="1">IFERROR(__xludf.DUMMYFUNCTION("""COMPUTED_VALUE"""),45638.6666666666)</f>
        <v>45638.666666666599</v>
      </c>
      <c r="B228" s="2"/>
      <c r="C228" s="2"/>
      <c r="D228" s="1">
        <v>5025</v>
      </c>
      <c r="E228" s="1">
        <v>5025</v>
      </c>
      <c r="F228" s="1">
        <v>4880</v>
      </c>
      <c r="G228" s="1">
        <v>4880</v>
      </c>
      <c r="H228" s="1">
        <v>45911900</v>
      </c>
      <c r="I228" s="4">
        <f t="shared" si="6"/>
        <v>-3.8423645320197042E-2</v>
      </c>
      <c r="J228" s="4">
        <f t="shared" si="7"/>
        <v>-9.2093023255813949E-2</v>
      </c>
    </row>
    <row r="229" spans="1:10" x14ac:dyDescent="0.2">
      <c r="A229" s="2">
        <f ca="1">IFERROR(__xludf.DUMMYFUNCTION("""COMPUTED_VALUE"""),45639.6666666666)</f>
        <v>45639.666666666599</v>
      </c>
      <c r="B229" s="2"/>
      <c r="C229" s="2"/>
      <c r="D229" s="1">
        <v>4800</v>
      </c>
      <c r="E229" s="1">
        <v>4830</v>
      </c>
      <c r="F229" s="1">
        <v>4720</v>
      </c>
      <c r="G229" s="1">
        <v>4730</v>
      </c>
      <c r="H229" s="1">
        <v>72851000</v>
      </c>
      <c r="I229" s="4">
        <f t="shared" si="6"/>
        <v>-3.0737704918032786E-2</v>
      </c>
      <c r="J229" s="4">
        <f t="shared" si="7"/>
        <v>-0.12</v>
      </c>
    </row>
    <row r="230" spans="1:10" x14ac:dyDescent="0.2">
      <c r="A230" s="2">
        <f ca="1">IFERROR(__xludf.DUMMYFUNCTION("""COMPUTED_VALUE"""),45642.6666666666)</f>
        <v>45642.666666666599</v>
      </c>
      <c r="B230" s="2"/>
      <c r="C230" s="2"/>
      <c r="D230" s="1">
        <v>4610</v>
      </c>
      <c r="E230" s="1">
        <v>4720</v>
      </c>
      <c r="F230" s="1">
        <v>4600</v>
      </c>
      <c r="G230" s="1">
        <v>4640</v>
      </c>
      <c r="H230" s="1">
        <v>83736700</v>
      </c>
      <c r="I230" s="4">
        <f t="shared" si="6"/>
        <v>-1.9027484143763214E-2</v>
      </c>
      <c r="J230" s="4">
        <f t="shared" si="7"/>
        <v>-0.13674418604651162</v>
      </c>
    </row>
    <row r="231" spans="1:10" x14ac:dyDescent="0.2">
      <c r="A231" s="2">
        <f ca="1">IFERROR(__xludf.DUMMYFUNCTION("""COMPUTED_VALUE"""),45643.6666666666)</f>
        <v>45643.666666666599</v>
      </c>
      <c r="B231" s="2"/>
      <c r="C231" s="2"/>
      <c r="D231" s="1">
        <v>4620</v>
      </c>
      <c r="E231" s="1">
        <v>4640</v>
      </c>
      <c r="F231" s="1">
        <v>4430</v>
      </c>
      <c r="G231" s="1">
        <v>4470</v>
      </c>
      <c r="H231" s="1">
        <v>119873700</v>
      </c>
      <c r="I231" s="4">
        <f t="shared" si="6"/>
        <v>-3.6637931034482756E-2</v>
      </c>
      <c r="J231" s="4">
        <f t="shared" si="7"/>
        <v>-0.16837209302325581</v>
      </c>
    </row>
    <row r="232" spans="1:10" x14ac:dyDescent="0.2">
      <c r="A232" s="2">
        <f ca="1">IFERROR(__xludf.DUMMYFUNCTION("""COMPUTED_VALUE"""),45644.6666666666)</f>
        <v>45644.666666666599</v>
      </c>
      <c r="B232" s="2"/>
      <c r="C232" s="2"/>
      <c r="D232" s="1">
        <v>4470</v>
      </c>
      <c r="E232" s="1">
        <v>4530</v>
      </c>
      <c r="F232" s="1">
        <v>4410</v>
      </c>
      <c r="G232" s="1">
        <v>4430</v>
      </c>
      <c r="H232" s="1">
        <v>56470100</v>
      </c>
      <c r="I232" s="4">
        <f t="shared" si="6"/>
        <v>-8.948545861297539E-3</v>
      </c>
      <c r="J232" s="4">
        <f t="shared" si="7"/>
        <v>-0.17581395348837209</v>
      </c>
    </row>
    <row r="233" spans="1:10" x14ac:dyDescent="0.2">
      <c r="A233" s="2">
        <f ca="1">IFERROR(__xludf.DUMMYFUNCTION("""COMPUTED_VALUE"""),45645.6666666666)</f>
        <v>45645.666666666599</v>
      </c>
      <c r="B233" s="2"/>
      <c r="C233" s="2"/>
      <c r="D233" s="1">
        <v>4360</v>
      </c>
      <c r="E233" s="1">
        <v>4370</v>
      </c>
      <c r="F233" s="1">
        <v>4300</v>
      </c>
      <c r="G233" s="1">
        <v>4310</v>
      </c>
      <c r="H233" s="1">
        <v>71247000</v>
      </c>
      <c r="I233" s="4">
        <f t="shared" si="6"/>
        <v>-2.7088036117381489E-2</v>
      </c>
      <c r="J233" s="4">
        <f t="shared" si="7"/>
        <v>-0.19813953488372094</v>
      </c>
    </row>
    <row r="234" spans="1:10" x14ac:dyDescent="0.2">
      <c r="A234" s="2">
        <f ca="1">IFERROR(__xludf.DUMMYFUNCTION("""COMPUTED_VALUE"""),45646.6666666666)</f>
        <v>45646.666666666599</v>
      </c>
      <c r="B234" s="2"/>
      <c r="C234" s="2"/>
      <c r="D234" s="1">
        <v>4330</v>
      </c>
      <c r="E234" s="1">
        <v>4360</v>
      </c>
      <c r="F234" s="1">
        <v>4260</v>
      </c>
      <c r="G234" s="1">
        <v>4260</v>
      </c>
      <c r="H234" s="1">
        <v>83872500</v>
      </c>
      <c r="I234" s="4">
        <f t="shared" si="6"/>
        <v>-1.1600928074245939E-2</v>
      </c>
      <c r="J234" s="4">
        <f t="shared" si="7"/>
        <v>-0.20744186046511628</v>
      </c>
    </row>
    <row r="235" spans="1:10" x14ac:dyDescent="0.2">
      <c r="A235" s="2">
        <f ca="1">IFERROR(__xludf.DUMMYFUNCTION("""COMPUTED_VALUE"""),45649.6666666666)</f>
        <v>45649.666666666599</v>
      </c>
      <c r="B235" s="2"/>
      <c r="C235" s="2"/>
      <c r="D235" s="1">
        <v>4320</v>
      </c>
      <c r="E235" s="1">
        <v>4390</v>
      </c>
      <c r="F235" s="1">
        <v>4320</v>
      </c>
      <c r="G235" s="1">
        <v>4380</v>
      </c>
      <c r="H235" s="1">
        <v>43668100</v>
      </c>
      <c r="I235" s="4">
        <f t="shared" si="6"/>
        <v>2.8169014084507043E-2</v>
      </c>
      <c r="J235" s="4">
        <f t="shared" si="7"/>
        <v>-0.18511627906976744</v>
      </c>
    </row>
    <row r="236" spans="1:10" x14ac:dyDescent="0.2">
      <c r="A236" s="2">
        <f ca="1">IFERROR(__xludf.DUMMYFUNCTION("""COMPUTED_VALUE"""),45650.6666666666)</f>
        <v>45650.666666666599</v>
      </c>
      <c r="B236" s="2"/>
      <c r="C236" s="2"/>
      <c r="D236" s="1">
        <v>4380</v>
      </c>
      <c r="E236" s="1">
        <v>4400</v>
      </c>
      <c r="F236" s="1">
        <v>4340</v>
      </c>
      <c r="G236" s="1">
        <v>4380</v>
      </c>
      <c r="H236" s="1">
        <v>21458900</v>
      </c>
      <c r="I236" s="4">
        <f t="shared" si="6"/>
        <v>0</v>
      </c>
      <c r="J236" s="4">
        <f t="shared" si="7"/>
        <v>-0.18511627906976744</v>
      </c>
    </row>
    <row r="237" spans="1:10" x14ac:dyDescent="0.2">
      <c r="A237" s="2">
        <f ca="1">IFERROR(__xludf.DUMMYFUNCTION("""COMPUTED_VALUE"""),45653.6666666666)</f>
        <v>45653.666666666599</v>
      </c>
      <c r="B237" s="2"/>
      <c r="C237" s="2"/>
      <c r="D237" s="1">
        <v>4380</v>
      </c>
      <c r="E237" s="1">
        <v>4430</v>
      </c>
      <c r="F237" s="1">
        <v>4360</v>
      </c>
      <c r="G237" s="1">
        <v>4360</v>
      </c>
      <c r="H237" s="1">
        <v>22838700</v>
      </c>
      <c r="I237" s="4">
        <f t="shared" si="6"/>
        <v>-4.5662100456621002E-3</v>
      </c>
      <c r="J237" s="4">
        <f t="shared" si="7"/>
        <v>-0.18883720930232559</v>
      </c>
    </row>
    <row r="238" spans="1:10" x14ac:dyDescent="0.2">
      <c r="A238" s="2">
        <f ca="1">IFERROR(__xludf.DUMMYFUNCTION("""COMPUTED_VALUE"""),45656.6666666666)</f>
        <v>45656.666666666599</v>
      </c>
      <c r="B238" s="2"/>
      <c r="C238" s="2"/>
      <c r="D238" s="1">
        <v>4340</v>
      </c>
      <c r="E238" s="1">
        <v>4380</v>
      </c>
      <c r="F238" s="1">
        <v>4270</v>
      </c>
      <c r="G238" s="1">
        <v>4350</v>
      </c>
      <c r="H238" s="1">
        <v>43899600</v>
      </c>
      <c r="I238" s="4">
        <f t="shared" si="6"/>
        <v>-2.2935779816513763E-3</v>
      </c>
      <c r="J238" s="4">
        <f t="shared" si="7"/>
        <v>-0.19069767441860466</v>
      </c>
    </row>
    <row r="239" spans="1:10" x14ac:dyDescent="0.2">
      <c r="A239" s="2">
        <f ca="1">IFERROR(__xludf.DUMMYFUNCTION("""COMPUTED_VALUE"""),45659.6666666666)</f>
        <v>45659.666666666599</v>
      </c>
      <c r="B239" s="2"/>
      <c r="C239" s="2"/>
      <c r="D239" s="1">
        <v>4360</v>
      </c>
      <c r="E239" s="1">
        <v>4590</v>
      </c>
      <c r="F239" s="1">
        <v>4360</v>
      </c>
      <c r="G239" s="1">
        <v>4590</v>
      </c>
      <c r="H239" s="1">
        <v>56985400</v>
      </c>
      <c r="I239" s="4">
        <f t="shared" si="6"/>
        <v>5.5172413793103448E-2</v>
      </c>
      <c r="J239" s="4">
        <f t="shared" si="7"/>
        <v>-0.14604651162790697</v>
      </c>
    </row>
    <row r="240" spans="1:10" x14ac:dyDescent="0.2">
      <c r="A240" s="2">
        <f ca="1">IFERROR(__xludf.DUMMYFUNCTION("""COMPUTED_VALUE"""),45660.6666666666)</f>
        <v>45660.666666666599</v>
      </c>
      <c r="B240" s="2"/>
      <c r="C240" s="2"/>
      <c r="D240" s="1">
        <v>4600</v>
      </c>
      <c r="E240" s="1">
        <v>4630</v>
      </c>
      <c r="F240" s="1">
        <v>4540</v>
      </c>
      <c r="G240" s="1">
        <v>4540</v>
      </c>
      <c r="H240" s="1">
        <v>76388000</v>
      </c>
      <c r="I240" s="4">
        <f t="shared" si="6"/>
        <v>-1.0893246187363835E-2</v>
      </c>
      <c r="J240" s="4">
        <f t="shared" si="7"/>
        <v>-0.15534883720930232</v>
      </c>
    </row>
    <row r="241" spans="1:10" x14ac:dyDescent="0.2">
      <c r="A241" s="2">
        <f ca="1">IFERROR(__xludf.DUMMYFUNCTION("""COMPUTED_VALUE"""),45663.6666666666)</f>
        <v>45663.666666666599</v>
      </c>
      <c r="B241" s="2"/>
      <c r="C241" s="2"/>
      <c r="D241" s="1">
        <v>4550</v>
      </c>
      <c r="E241" s="1">
        <v>4560</v>
      </c>
      <c r="F241" s="1">
        <v>4410</v>
      </c>
      <c r="G241" s="1">
        <v>4430</v>
      </c>
      <c r="H241" s="1">
        <v>26008100</v>
      </c>
      <c r="I241" s="4">
        <f t="shared" si="6"/>
        <v>-2.4229074889867842E-2</v>
      </c>
      <c r="J241" s="4">
        <f t="shared" si="7"/>
        <v>-0.17581395348837209</v>
      </c>
    </row>
    <row r="242" spans="1:10" x14ac:dyDescent="0.2">
      <c r="A242" s="2">
        <f ca="1">IFERROR(__xludf.DUMMYFUNCTION("""COMPUTED_VALUE"""),45664.6666666666)</f>
        <v>45664.666666666599</v>
      </c>
      <c r="B242" s="2"/>
      <c r="C242" s="2"/>
      <c r="D242" s="1">
        <v>4370</v>
      </c>
      <c r="E242" s="1">
        <v>4410</v>
      </c>
      <c r="F242" s="1">
        <v>4340</v>
      </c>
      <c r="G242" s="1">
        <v>4360</v>
      </c>
      <c r="H242" s="1">
        <v>36973900</v>
      </c>
      <c r="I242" s="4">
        <f t="shared" si="6"/>
        <v>-1.580135440180587E-2</v>
      </c>
      <c r="J242" s="4">
        <f t="shared" si="7"/>
        <v>-0.18883720930232559</v>
      </c>
    </row>
    <row r="243" spans="1:10" x14ac:dyDescent="0.2">
      <c r="A243" s="2">
        <f ca="1">IFERROR(__xludf.DUMMYFUNCTION("""COMPUTED_VALUE"""),45665.6666666666)</f>
        <v>45665.666666666599</v>
      </c>
      <c r="B243" s="2"/>
      <c r="C243" s="2"/>
      <c r="D243" s="1">
        <v>4350</v>
      </c>
      <c r="E243" s="1">
        <v>4430</v>
      </c>
      <c r="F243" s="1">
        <v>4350</v>
      </c>
      <c r="G243" s="1">
        <v>4370</v>
      </c>
      <c r="H243" s="1">
        <v>39476000</v>
      </c>
      <c r="I243" s="4">
        <f t="shared" si="6"/>
        <v>2.2935779816513763E-3</v>
      </c>
      <c r="J243" s="4">
        <f t="shared" si="7"/>
        <v>-0.18697674418604651</v>
      </c>
    </row>
    <row r="244" spans="1:10" x14ac:dyDescent="0.2">
      <c r="A244" s="2">
        <f ca="1">IFERROR(__xludf.DUMMYFUNCTION("""COMPUTED_VALUE"""),45666.6666666666)</f>
        <v>45666.666666666599</v>
      </c>
      <c r="B244" s="2"/>
      <c r="C244" s="2"/>
      <c r="D244" s="1">
        <v>4360</v>
      </c>
      <c r="E244" s="1">
        <v>4410</v>
      </c>
      <c r="F244" s="1">
        <v>4350</v>
      </c>
      <c r="G244" s="1">
        <v>4380</v>
      </c>
      <c r="H244" s="1">
        <v>25545500</v>
      </c>
      <c r="I244" s="4">
        <f t="shared" si="6"/>
        <v>2.2883295194508009E-3</v>
      </c>
      <c r="J244" s="4">
        <f t="shared" si="7"/>
        <v>-0.18511627906976744</v>
      </c>
    </row>
    <row r="245" spans="1:10" x14ac:dyDescent="0.2">
      <c r="A245" s="2">
        <f ca="1">IFERROR(__xludf.DUMMYFUNCTION("""COMPUTED_VALUE"""),45667.6666666666)</f>
        <v>45667.666666666599</v>
      </c>
      <c r="B245" s="2"/>
      <c r="C245" s="2"/>
      <c r="D245" s="1">
        <v>4380</v>
      </c>
      <c r="E245" s="1">
        <v>4420</v>
      </c>
      <c r="F245" s="1">
        <v>4350</v>
      </c>
      <c r="G245" s="1">
        <v>4350</v>
      </c>
      <c r="H245" s="1">
        <v>28235300</v>
      </c>
      <c r="I245" s="4">
        <f t="shared" si="6"/>
        <v>-6.8493150684931503E-3</v>
      </c>
      <c r="J245" s="4">
        <f t="shared" si="7"/>
        <v>-0.19069767441860466</v>
      </c>
    </row>
    <row r="246" spans="1:10" x14ac:dyDescent="0.2">
      <c r="A246" s="2">
        <f ca="1">IFERROR(__xludf.DUMMYFUNCTION("""COMPUTED_VALUE"""),45670.6666666666)</f>
        <v>45670.666666666599</v>
      </c>
      <c r="B246" s="2"/>
      <c r="C246" s="2"/>
      <c r="D246" s="1">
        <v>4320</v>
      </c>
      <c r="E246" s="1">
        <v>4330</v>
      </c>
      <c r="F246" s="1">
        <v>4200</v>
      </c>
      <c r="G246" s="1">
        <v>4210</v>
      </c>
      <c r="H246" s="1">
        <v>54029800</v>
      </c>
      <c r="I246" s="4">
        <f t="shared" si="6"/>
        <v>-3.2183908045977011E-2</v>
      </c>
      <c r="J246" s="4">
        <f t="shared" si="7"/>
        <v>-0.21674418604651163</v>
      </c>
    </row>
    <row r="247" spans="1:10" x14ac:dyDescent="0.2">
      <c r="A247" s="2">
        <f ca="1">IFERROR(__xludf.DUMMYFUNCTION("""COMPUTED_VALUE"""),45671.6666666666)</f>
        <v>45671.666666666599</v>
      </c>
      <c r="B247" s="2"/>
      <c r="C247" s="2"/>
      <c r="D247" s="1">
        <v>4170</v>
      </c>
      <c r="E247" s="1">
        <v>4240</v>
      </c>
      <c r="F247" s="1">
        <v>4110</v>
      </c>
      <c r="G247" s="1">
        <v>4130</v>
      </c>
      <c r="H247" s="1">
        <v>71568000</v>
      </c>
      <c r="I247" s="4">
        <f t="shared" si="6"/>
        <v>-1.9002375296912115E-2</v>
      </c>
      <c r="J247" s="4">
        <f t="shared" si="7"/>
        <v>-0.23162790697674418</v>
      </c>
    </row>
    <row r="248" spans="1:10" x14ac:dyDescent="0.2">
      <c r="A248" s="2">
        <f ca="1">IFERROR(__xludf.DUMMYFUNCTION("""COMPUTED_VALUE"""),45672.6666666666)</f>
        <v>45672.666666666599</v>
      </c>
      <c r="B248" s="2"/>
      <c r="C248" s="2"/>
      <c r="D248" s="1">
        <v>4150</v>
      </c>
      <c r="E248" s="1">
        <v>4430</v>
      </c>
      <c r="F248" s="1">
        <v>4150</v>
      </c>
      <c r="G248" s="1">
        <v>4410</v>
      </c>
      <c r="H248" s="1">
        <v>82038200</v>
      </c>
      <c r="I248" s="4">
        <f t="shared" si="6"/>
        <v>6.7796610169491525E-2</v>
      </c>
      <c r="J248" s="4">
        <f t="shared" si="7"/>
        <v>-0.17953488372093024</v>
      </c>
    </row>
    <row r="249" spans="1:10" x14ac:dyDescent="0.2">
      <c r="A249" s="2">
        <f ca="1">IFERROR(__xludf.DUMMYFUNCTION("""COMPUTED_VALUE"""),45673.6666666666)</f>
        <v>45673.666666666599</v>
      </c>
      <c r="B249" s="2"/>
      <c r="C249" s="2"/>
      <c r="D249" s="1">
        <v>4600</v>
      </c>
      <c r="E249" s="1">
        <v>4600</v>
      </c>
      <c r="F249" s="1">
        <v>4480</v>
      </c>
      <c r="G249" s="1">
        <v>4500</v>
      </c>
      <c r="H249" s="1">
        <v>113849300</v>
      </c>
      <c r="I249" s="4">
        <f t="shared" si="6"/>
        <v>2.0408163265306121E-2</v>
      </c>
      <c r="J249" s="4">
        <f t="shared" si="7"/>
        <v>-0.16279069767441862</v>
      </c>
    </row>
    <row r="250" spans="1:10" x14ac:dyDescent="0.2">
      <c r="A250" s="2">
        <f ca="1">IFERROR(__xludf.DUMMYFUNCTION("""COMPUTED_VALUE"""),45674.6666666666)</f>
        <v>45674.666666666599</v>
      </c>
      <c r="B250" s="2"/>
      <c r="C250" s="2"/>
      <c r="D250" s="1">
        <v>4450</v>
      </c>
      <c r="E250" s="1">
        <v>4570</v>
      </c>
      <c r="F250" s="1">
        <v>4380</v>
      </c>
      <c r="G250" s="1">
        <v>4470</v>
      </c>
      <c r="H250" s="1">
        <v>40130000</v>
      </c>
      <c r="I250" s="4">
        <f t="shared" si="6"/>
        <v>-6.6666666666666671E-3</v>
      </c>
      <c r="J250" s="4">
        <f t="shared" si="7"/>
        <v>-0.16837209302325581</v>
      </c>
    </row>
    <row r="251" spans="1:10" x14ac:dyDescent="0.2">
      <c r="A251" s="2">
        <f ca="1">IFERROR(__xludf.DUMMYFUNCTION("""COMPUTED_VALUE"""),45677.6666666666)</f>
        <v>45677.666666666599</v>
      </c>
      <c r="B251" s="2"/>
      <c r="C251" s="2"/>
      <c r="D251" s="1">
        <v>4520</v>
      </c>
      <c r="E251" s="1">
        <v>4660</v>
      </c>
      <c r="F251" s="1">
        <v>4490</v>
      </c>
      <c r="G251" s="1">
        <v>4620</v>
      </c>
      <c r="H251" s="1">
        <v>67692300</v>
      </c>
      <c r="I251" s="4">
        <f t="shared" si="6"/>
        <v>3.3557046979865772E-2</v>
      </c>
      <c r="J251" s="4">
        <f t="shared" si="7"/>
        <v>-0.14046511627906977</v>
      </c>
    </row>
    <row r="252" spans="1:10" x14ac:dyDescent="0.2">
      <c r="A252" s="2">
        <f ca="1">IFERROR(__xludf.DUMMYFUNCTION("""COMPUTED_VALUE"""),45678.6666666666)</f>
        <v>45678.666666666599</v>
      </c>
      <c r="B252" s="2"/>
      <c r="C252" s="2"/>
      <c r="D252" s="1">
        <v>4690</v>
      </c>
      <c r="E252" s="1">
        <v>4820</v>
      </c>
      <c r="F252" s="1">
        <v>4650</v>
      </c>
      <c r="G252" s="1">
        <v>4740</v>
      </c>
      <c r="H252" s="1">
        <v>96008700</v>
      </c>
      <c r="I252" s="4">
        <f t="shared" si="6"/>
        <v>2.5974025974025976E-2</v>
      </c>
      <c r="J252" s="4">
        <f t="shared" si="7"/>
        <v>-0.11813953488372093</v>
      </c>
    </row>
    <row r="253" spans="1:10" x14ac:dyDescent="0.2">
      <c r="A253" s="2">
        <f ca="1">IFERROR(__xludf.DUMMYFUNCTION("""COMPUTED_VALUE"""),45679.6666666666)</f>
        <v>45679.666666666599</v>
      </c>
      <c r="B253" s="2"/>
      <c r="C253" s="2"/>
      <c r="D253" s="1">
        <v>4790</v>
      </c>
      <c r="E253" s="1">
        <v>4810</v>
      </c>
      <c r="F253" s="1">
        <v>4760</v>
      </c>
      <c r="G253" s="1">
        <v>4790</v>
      </c>
      <c r="H253" s="1">
        <v>55899500</v>
      </c>
      <c r="I253" s="4">
        <f t="shared" si="6"/>
        <v>1.0548523206751054E-2</v>
      </c>
      <c r="J253" s="4">
        <f t="shared" si="7"/>
        <v>-0.10883720930232559</v>
      </c>
    </row>
    <row r="254" spans="1:10" x14ac:dyDescent="0.2">
      <c r="A254" s="2">
        <f ca="1">IFERROR(__xludf.DUMMYFUNCTION("""COMPUTED_VALUE"""),45680.6666666666)</f>
        <v>45680.666666666599</v>
      </c>
      <c r="B254" s="2"/>
      <c r="C254" s="2"/>
      <c r="D254" s="1">
        <v>4790</v>
      </c>
      <c r="E254" s="1">
        <v>4820</v>
      </c>
      <c r="F254" s="1">
        <v>4650</v>
      </c>
      <c r="G254" s="1">
        <v>4650</v>
      </c>
      <c r="H254" s="1">
        <v>86704800</v>
      </c>
      <c r="I254" s="4">
        <f t="shared" si="6"/>
        <v>-2.9227557411273485E-2</v>
      </c>
      <c r="J254" s="4">
        <f t="shared" si="7"/>
        <v>-0.13488372093023257</v>
      </c>
    </row>
    <row r="255" spans="1:10" x14ac:dyDescent="0.2">
      <c r="A255" s="2">
        <f ca="1">IFERROR(__xludf.DUMMYFUNCTION("""COMPUTED_VALUE"""),45681.6666666666)</f>
        <v>45681.666666666599</v>
      </c>
      <c r="B255" s="2"/>
      <c r="C255" s="2"/>
      <c r="D255" s="1">
        <v>4660</v>
      </c>
      <c r="E255" s="1">
        <v>4700</v>
      </c>
      <c r="F255" s="1">
        <v>4610</v>
      </c>
      <c r="G255" s="1">
        <v>4610</v>
      </c>
      <c r="H255" s="1">
        <v>42140900</v>
      </c>
      <c r="I255" s="4">
        <f t="shared" si="6"/>
        <v>-8.6021505376344086E-3</v>
      </c>
      <c r="J255" s="4">
        <f t="shared" si="7"/>
        <v>-0.14232558139534884</v>
      </c>
    </row>
    <row r="256" spans="1:10" x14ac:dyDescent="0.2">
      <c r="A256" s="2">
        <f ca="1">IFERROR(__xludf.DUMMYFUNCTION("""COMPUTED_VALUE"""),45687.6666666666)</f>
        <v>45687.666666666599</v>
      </c>
      <c r="B256" s="2"/>
      <c r="C256" s="2"/>
      <c r="D256" s="1">
        <v>4610</v>
      </c>
      <c r="E256" s="1">
        <v>4670</v>
      </c>
      <c r="F256" s="1">
        <v>4580</v>
      </c>
      <c r="G256" s="1">
        <v>4640</v>
      </c>
      <c r="H256" s="1">
        <v>23980100</v>
      </c>
      <c r="I256" s="4">
        <f t="shared" si="6"/>
        <v>6.5075921908893707E-3</v>
      </c>
      <c r="J256" s="4">
        <f t="shared" si="7"/>
        <v>-0.13674418604651162</v>
      </c>
    </row>
    <row r="257" spans="1:10" x14ac:dyDescent="0.2">
      <c r="A257" s="2">
        <f ca="1">IFERROR(__xludf.DUMMYFUNCTION("""COMPUTED_VALUE"""),45688.6666666666)</f>
        <v>45688.666666666599</v>
      </c>
      <c r="B257" s="2"/>
      <c r="C257" s="2"/>
      <c r="D257" s="1">
        <v>4660</v>
      </c>
      <c r="E257" s="1">
        <v>4880</v>
      </c>
      <c r="F257" s="1">
        <v>4660</v>
      </c>
      <c r="G257" s="1">
        <v>4770</v>
      </c>
      <c r="H257" s="1">
        <v>78958600</v>
      </c>
      <c r="I257" s="4">
        <f t="shared" si="6"/>
        <v>2.8017241379310345E-2</v>
      </c>
      <c r="J257" s="4">
        <f t="shared" si="7"/>
        <v>-0.11255813953488372</v>
      </c>
    </row>
    <row r="258" spans="1:10" x14ac:dyDescent="0.2">
      <c r="A258" s="2">
        <f ca="1">IFERROR(__xludf.DUMMYFUNCTION("""COMPUTED_VALUE"""),45691.6666666666)</f>
        <v>45691.666666666599</v>
      </c>
      <c r="B258" s="2"/>
      <c r="C258" s="2"/>
      <c r="D258" s="1">
        <v>4770</v>
      </c>
      <c r="E258" s="1">
        <v>4800</v>
      </c>
      <c r="F258" s="1">
        <v>4640</v>
      </c>
      <c r="G258" s="1">
        <v>4780</v>
      </c>
      <c r="H258" s="1">
        <v>63072700</v>
      </c>
      <c r="I258" s="4">
        <f t="shared" si="6"/>
        <v>2.0964360587002098E-3</v>
      </c>
      <c r="J258" s="4">
        <f t="shared" si="7"/>
        <v>-0.11069767441860465</v>
      </c>
    </row>
    <row r="259" spans="1:10" x14ac:dyDescent="0.2">
      <c r="A259" s="2">
        <f ca="1">IFERROR(__xludf.DUMMYFUNCTION("""COMPUTED_VALUE"""),45692.6666666666)</f>
        <v>45692.666666666599</v>
      </c>
      <c r="B259" s="2"/>
      <c r="C259" s="2"/>
      <c r="D259" s="1">
        <v>4770</v>
      </c>
      <c r="E259" s="1">
        <v>4780</v>
      </c>
      <c r="F259" s="1">
        <v>4700</v>
      </c>
      <c r="G259" s="1">
        <v>4700</v>
      </c>
      <c r="H259" s="1">
        <v>44266700</v>
      </c>
      <c r="I259" s="4">
        <f t="shared" si="6"/>
        <v>-1.6736401673640166E-2</v>
      </c>
      <c r="J259" s="4">
        <f t="shared" si="7"/>
        <v>-0.12558139534883722</v>
      </c>
    </row>
    <row r="260" spans="1:10" x14ac:dyDescent="0.2">
      <c r="A260" s="2">
        <f ca="1">IFERROR(__xludf.DUMMYFUNCTION("""COMPUTED_VALUE"""),45693.6666666666)</f>
        <v>45693.666666666599</v>
      </c>
      <c r="B260" s="2"/>
      <c r="C260" s="2"/>
      <c r="D260" s="1">
        <v>4650</v>
      </c>
      <c r="E260" s="1">
        <v>4680</v>
      </c>
      <c r="F260" s="1">
        <v>4480</v>
      </c>
      <c r="G260" s="1">
        <v>4500</v>
      </c>
      <c r="H260" s="1">
        <v>52077600</v>
      </c>
      <c r="I260" s="4">
        <f t="shared" ref="I260:I323" si="8">(G260-G259)/G259</f>
        <v>-4.2553191489361701E-2</v>
      </c>
      <c r="J260" s="4">
        <f t="shared" ref="J260:J323" si="9">(G260-$G$2)/$G$2</f>
        <v>-0.16279069767441862</v>
      </c>
    </row>
    <row r="261" spans="1:10" x14ac:dyDescent="0.2">
      <c r="A261" s="2">
        <f ca="1">IFERROR(__xludf.DUMMYFUNCTION("""COMPUTED_VALUE"""),45694.6666666666)</f>
        <v>45694.666666666599</v>
      </c>
      <c r="B261" s="2"/>
      <c r="C261" s="2"/>
      <c r="D261" s="1">
        <v>4500</v>
      </c>
      <c r="E261" s="1">
        <v>4510</v>
      </c>
      <c r="F261" s="1">
        <v>4260</v>
      </c>
      <c r="G261" s="1">
        <v>4290</v>
      </c>
      <c r="H261" s="1">
        <v>72520900</v>
      </c>
      <c r="I261" s="4">
        <f t="shared" si="8"/>
        <v>-4.6666666666666669E-2</v>
      </c>
      <c r="J261" s="4">
        <f t="shared" si="9"/>
        <v>-0.20186046511627906</v>
      </c>
    </row>
    <row r="262" spans="1:10" x14ac:dyDescent="0.2">
      <c r="A262" s="2">
        <f ca="1">IFERROR(__xludf.DUMMYFUNCTION("""COMPUTED_VALUE"""),45695.6666666666)</f>
        <v>45695.666666666599</v>
      </c>
      <c r="B262" s="2"/>
      <c r="C262" s="2"/>
      <c r="D262" s="1">
        <v>4250</v>
      </c>
      <c r="E262" s="1">
        <v>4350</v>
      </c>
      <c r="F262" s="1">
        <v>4160</v>
      </c>
      <c r="G262" s="1">
        <v>4270</v>
      </c>
      <c r="H262" s="1">
        <v>69268900</v>
      </c>
      <c r="I262" s="4">
        <f t="shared" si="8"/>
        <v>-4.662004662004662E-3</v>
      </c>
      <c r="J262" s="4">
        <f t="shared" si="9"/>
        <v>-0.20558139534883721</v>
      </c>
    </row>
    <row r="263" spans="1:10" x14ac:dyDescent="0.2">
      <c r="A263" s="2">
        <f ca="1">IFERROR(__xludf.DUMMYFUNCTION("""COMPUTED_VALUE"""),45698.6666666666)</f>
        <v>45698.666666666599</v>
      </c>
      <c r="B263" s="2"/>
      <c r="C263" s="2"/>
      <c r="D263" s="1">
        <v>4270</v>
      </c>
      <c r="E263" s="1">
        <v>4310</v>
      </c>
      <c r="F263" s="1">
        <v>4150</v>
      </c>
      <c r="G263" s="1">
        <v>4150</v>
      </c>
      <c r="H263" s="1">
        <v>46856100</v>
      </c>
      <c r="I263" s="4">
        <f t="shared" si="8"/>
        <v>-2.8103044496487119E-2</v>
      </c>
      <c r="J263" s="4">
        <f t="shared" si="9"/>
        <v>-0.22790697674418606</v>
      </c>
    </row>
    <row r="264" spans="1:10" x14ac:dyDescent="0.2">
      <c r="A264" s="2">
        <f ca="1">IFERROR(__xludf.DUMMYFUNCTION("""COMPUTED_VALUE"""),45699.6666666666)</f>
        <v>45699.666666666599</v>
      </c>
      <c r="B264" s="2"/>
      <c r="C264" s="2"/>
      <c r="D264" s="1">
        <v>4150</v>
      </c>
      <c r="E264" s="1">
        <v>4170</v>
      </c>
      <c r="F264" s="1">
        <v>4050</v>
      </c>
      <c r="G264" s="1">
        <v>4070</v>
      </c>
      <c r="H264" s="1">
        <v>52994400</v>
      </c>
      <c r="I264" s="4">
        <f t="shared" si="8"/>
        <v>-1.9277108433734941E-2</v>
      </c>
      <c r="J264" s="4">
        <f t="shared" si="9"/>
        <v>-0.2427906976744186</v>
      </c>
    </row>
    <row r="265" spans="1:10" x14ac:dyDescent="0.2">
      <c r="A265" s="2">
        <f ca="1">IFERROR(__xludf.DUMMYFUNCTION("""COMPUTED_VALUE"""),45700.6666666666)</f>
        <v>45700.666666666599</v>
      </c>
      <c r="B265" s="2"/>
      <c r="C265" s="2"/>
      <c r="D265" s="1">
        <v>4130</v>
      </c>
      <c r="E265" s="1">
        <v>4300</v>
      </c>
      <c r="F265" s="1">
        <v>4100</v>
      </c>
      <c r="G265" s="1">
        <v>4300</v>
      </c>
      <c r="H265" s="1">
        <v>57782300</v>
      </c>
      <c r="I265" s="4">
        <f t="shared" si="8"/>
        <v>5.6511056511056514E-2</v>
      </c>
      <c r="J265" s="4">
        <f t="shared" si="9"/>
        <v>-0.2</v>
      </c>
    </row>
    <row r="266" spans="1:10" x14ac:dyDescent="0.2">
      <c r="A266" s="2">
        <f ca="1">IFERROR(__xludf.DUMMYFUNCTION("""COMPUTED_VALUE"""),45701.6666666666)</f>
        <v>45701.666666666599</v>
      </c>
      <c r="B266" s="2"/>
      <c r="C266" s="2"/>
      <c r="D266" s="1">
        <v>4280</v>
      </c>
      <c r="E266" s="1">
        <v>4300</v>
      </c>
      <c r="F266" s="1">
        <v>4210</v>
      </c>
      <c r="G266" s="1">
        <v>4250</v>
      </c>
      <c r="H266" s="1">
        <v>38173200</v>
      </c>
      <c r="I266" s="4">
        <f t="shared" si="8"/>
        <v>-1.1627906976744186E-2</v>
      </c>
      <c r="J266" s="4">
        <f t="shared" si="9"/>
        <v>-0.20930232558139536</v>
      </c>
    </row>
    <row r="267" spans="1:10" x14ac:dyDescent="0.2">
      <c r="A267" s="2">
        <f ca="1">IFERROR(__xludf.DUMMYFUNCTION("""COMPUTED_VALUE"""),45702.6666666666)</f>
        <v>45702.666666666599</v>
      </c>
      <c r="B267" s="2"/>
      <c r="C267" s="2"/>
      <c r="D267" s="1">
        <v>4310</v>
      </c>
      <c r="E267" s="1">
        <v>4390</v>
      </c>
      <c r="F267" s="1">
        <v>4300</v>
      </c>
      <c r="G267" s="1">
        <v>4370</v>
      </c>
      <c r="H267" s="1">
        <v>61932800</v>
      </c>
      <c r="I267" s="4">
        <f t="shared" si="8"/>
        <v>2.823529411764706E-2</v>
      </c>
      <c r="J267" s="4">
        <f t="shared" si="9"/>
        <v>-0.18697674418604651</v>
      </c>
    </row>
    <row r="268" spans="1:10" x14ac:dyDescent="0.2">
      <c r="A268" s="2">
        <f ca="1">IFERROR(__xludf.DUMMYFUNCTION("""COMPUTED_VALUE"""),45705.6666666666)</f>
        <v>45705.666666666599</v>
      </c>
      <c r="B268" s="2"/>
      <c r="C268" s="2"/>
      <c r="D268" s="1">
        <v>4370</v>
      </c>
      <c r="E268" s="1">
        <v>4590</v>
      </c>
      <c r="F268" s="1">
        <v>4350</v>
      </c>
      <c r="G268" s="1">
        <v>4570</v>
      </c>
      <c r="H268" s="1">
        <v>52492800</v>
      </c>
      <c r="I268" s="4">
        <f t="shared" si="8"/>
        <v>4.5766590389016017E-2</v>
      </c>
      <c r="J268" s="4">
        <f t="shared" si="9"/>
        <v>-0.14976744186046512</v>
      </c>
    </row>
    <row r="269" spans="1:10" x14ac:dyDescent="0.2">
      <c r="A269" s="2">
        <f ca="1">IFERROR(__xludf.DUMMYFUNCTION("""COMPUTED_VALUE"""),45706.6666666666)</f>
        <v>45706.666666666599</v>
      </c>
      <c r="B269" s="2"/>
      <c r="C269" s="2"/>
      <c r="D269" s="1">
        <v>4600</v>
      </c>
      <c r="E269" s="1">
        <v>4750</v>
      </c>
      <c r="F269" s="1">
        <v>4600</v>
      </c>
      <c r="G269" s="1">
        <v>4750</v>
      </c>
      <c r="H269" s="1">
        <v>73992700</v>
      </c>
      <c r="I269" s="4">
        <f t="shared" si="8"/>
        <v>3.9387308533916851E-2</v>
      </c>
      <c r="J269" s="4">
        <f t="shared" si="9"/>
        <v>-0.11627906976744186</v>
      </c>
    </row>
    <row r="270" spans="1:10" x14ac:dyDescent="0.2">
      <c r="A270" s="2">
        <f ca="1">IFERROR(__xludf.DUMMYFUNCTION("""COMPUTED_VALUE"""),45707.6666666666)</f>
        <v>45707.666666666599</v>
      </c>
      <c r="B270" s="2"/>
      <c r="C270" s="2"/>
      <c r="D270" s="1">
        <v>4750</v>
      </c>
      <c r="E270" s="1">
        <v>4750</v>
      </c>
      <c r="F270" s="1">
        <v>4480</v>
      </c>
      <c r="G270" s="1">
        <v>4520</v>
      </c>
      <c r="H270" s="1">
        <v>72303300</v>
      </c>
      <c r="I270" s="4">
        <f t="shared" si="8"/>
        <v>-4.8421052631578948E-2</v>
      </c>
      <c r="J270" s="4">
        <f t="shared" si="9"/>
        <v>-0.15906976744186047</v>
      </c>
    </row>
    <row r="271" spans="1:10" x14ac:dyDescent="0.2">
      <c r="A271" s="2">
        <f ca="1">IFERROR(__xludf.DUMMYFUNCTION("""COMPUTED_VALUE"""),45708.6666666666)</f>
        <v>45708.666666666599</v>
      </c>
      <c r="B271" s="2"/>
      <c r="C271" s="2"/>
      <c r="D271" s="1">
        <v>4520</v>
      </c>
      <c r="E271" s="1">
        <v>4550</v>
      </c>
      <c r="F271" s="1">
        <v>4400</v>
      </c>
      <c r="G271" s="1">
        <v>4460</v>
      </c>
      <c r="H271" s="1">
        <v>49467500</v>
      </c>
      <c r="I271" s="4">
        <f t="shared" si="8"/>
        <v>-1.3274336283185841E-2</v>
      </c>
      <c r="J271" s="4">
        <f t="shared" si="9"/>
        <v>-0.17023255813953489</v>
      </c>
    </row>
    <row r="272" spans="1:10" x14ac:dyDescent="0.2">
      <c r="A272" s="2">
        <f ca="1">IFERROR(__xludf.DUMMYFUNCTION("""COMPUTED_VALUE"""),45709.6666666666)</f>
        <v>45709.666666666599</v>
      </c>
      <c r="B272" s="2"/>
      <c r="C272" s="2"/>
      <c r="D272" s="1">
        <v>4410</v>
      </c>
      <c r="E272" s="1">
        <v>4440</v>
      </c>
      <c r="F272" s="1">
        <v>4300</v>
      </c>
      <c r="G272" s="1">
        <v>4300</v>
      </c>
      <c r="H272" s="1">
        <v>70115400</v>
      </c>
      <c r="I272" s="4">
        <f t="shared" si="8"/>
        <v>-3.5874439461883408E-2</v>
      </c>
      <c r="J272" s="4">
        <f t="shared" si="9"/>
        <v>-0.2</v>
      </c>
    </row>
    <row r="273" spans="1:10" x14ac:dyDescent="0.2">
      <c r="A273" s="2">
        <f ca="1">IFERROR(__xludf.DUMMYFUNCTION("""COMPUTED_VALUE"""),45712.6666666666)</f>
        <v>45712.666666666599</v>
      </c>
      <c r="B273" s="2"/>
      <c r="C273" s="2"/>
      <c r="D273" s="1">
        <v>4300</v>
      </c>
      <c r="E273" s="1">
        <v>4320</v>
      </c>
      <c r="F273" s="1">
        <v>4200</v>
      </c>
      <c r="G273" s="1">
        <v>4200</v>
      </c>
      <c r="H273" s="1">
        <v>61467000</v>
      </c>
      <c r="I273" s="4">
        <f t="shared" si="8"/>
        <v>-2.3255813953488372E-2</v>
      </c>
      <c r="J273" s="4">
        <f t="shared" si="9"/>
        <v>-0.21860465116279071</v>
      </c>
    </row>
    <row r="274" spans="1:10" x14ac:dyDescent="0.2">
      <c r="A274" s="2">
        <f ca="1">IFERROR(__xludf.DUMMYFUNCTION("""COMPUTED_VALUE"""),45713.6666666666)</f>
        <v>45713.666666666599</v>
      </c>
      <c r="B274" s="2"/>
      <c r="C274" s="2"/>
      <c r="D274" s="1">
        <v>4230</v>
      </c>
      <c r="E274" s="1">
        <v>4280</v>
      </c>
      <c r="F274" s="1">
        <v>4110</v>
      </c>
      <c r="G274" s="1">
        <v>4230</v>
      </c>
      <c r="H274" s="1">
        <v>45778400</v>
      </c>
      <c r="I274" s="4">
        <f t="shared" si="8"/>
        <v>7.1428571428571426E-3</v>
      </c>
      <c r="J274" s="4">
        <f t="shared" si="9"/>
        <v>-0.21302325581395348</v>
      </c>
    </row>
    <row r="275" spans="1:10" x14ac:dyDescent="0.2">
      <c r="A275" s="2">
        <f ca="1">IFERROR(__xludf.DUMMYFUNCTION("""COMPUTED_VALUE"""),45714.6666666666)</f>
        <v>45714.666666666599</v>
      </c>
      <c r="B275" s="2"/>
      <c r="C275" s="2"/>
      <c r="D275" s="1">
        <v>4250</v>
      </c>
      <c r="E275" s="1">
        <v>4350</v>
      </c>
      <c r="F275" s="1">
        <v>4210</v>
      </c>
      <c r="G275" s="1">
        <v>4350</v>
      </c>
      <c r="H275" s="1">
        <v>42114300</v>
      </c>
      <c r="I275" s="4">
        <f t="shared" si="8"/>
        <v>2.8368794326241134E-2</v>
      </c>
      <c r="J275" s="4">
        <f t="shared" si="9"/>
        <v>-0.19069767441860466</v>
      </c>
    </row>
    <row r="276" spans="1:10" x14ac:dyDescent="0.2">
      <c r="A276" s="2">
        <f ca="1">IFERROR(__xludf.DUMMYFUNCTION("""COMPUTED_VALUE"""),45715.6666666666)</f>
        <v>45715.666666666599</v>
      </c>
      <c r="B276" s="2"/>
      <c r="C276" s="2"/>
      <c r="D276" s="1">
        <v>4350</v>
      </c>
      <c r="E276" s="1">
        <v>4370</v>
      </c>
      <c r="F276" s="1">
        <v>4200</v>
      </c>
      <c r="G276" s="1">
        <v>4340</v>
      </c>
      <c r="H276" s="1">
        <v>58362900</v>
      </c>
      <c r="I276" s="4">
        <f t="shared" si="8"/>
        <v>-2.2988505747126436E-3</v>
      </c>
      <c r="J276" s="4">
        <f t="shared" si="9"/>
        <v>-0.19255813953488371</v>
      </c>
    </row>
    <row r="277" spans="1:10" x14ac:dyDescent="0.2">
      <c r="A277" s="2">
        <f ca="1">IFERROR(__xludf.DUMMYFUNCTION("""COMPUTED_VALUE"""),45716.6666666666)</f>
        <v>45716.666666666599</v>
      </c>
      <c r="B277" s="2"/>
      <c r="C277" s="2"/>
      <c r="D277" s="1">
        <v>4270</v>
      </c>
      <c r="E277" s="1">
        <v>4270</v>
      </c>
      <c r="F277" s="1">
        <v>4010</v>
      </c>
      <c r="G277" s="1">
        <v>4030</v>
      </c>
      <c r="H277" s="1">
        <v>156574800</v>
      </c>
      <c r="I277" s="4">
        <f t="shared" si="8"/>
        <v>-7.1428571428571425E-2</v>
      </c>
      <c r="J277" s="4">
        <f t="shared" si="9"/>
        <v>-0.25023255813953488</v>
      </c>
    </row>
    <row r="278" spans="1:10" x14ac:dyDescent="0.2">
      <c r="A278" s="2">
        <f ca="1">IFERROR(__xludf.DUMMYFUNCTION("""COMPUTED_VALUE"""),45719.6666666666)</f>
        <v>45719.666666666599</v>
      </c>
      <c r="B278" s="2"/>
      <c r="C278" s="2"/>
      <c r="D278" s="1">
        <v>4180</v>
      </c>
      <c r="E278" s="1">
        <v>4310</v>
      </c>
      <c r="F278" s="1">
        <v>4120</v>
      </c>
      <c r="G278" s="1">
        <v>4260</v>
      </c>
      <c r="H278" s="1">
        <v>156616300</v>
      </c>
      <c r="I278" s="4">
        <f t="shared" si="8"/>
        <v>5.7071960297766747E-2</v>
      </c>
      <c r="J278" s="4">
        <f t="shared" si="9"/>
        <v>-0.20744186046511628</v>
      </c>
    </row>
    <row r="279" spans="1:10" x14ac:dyDescent="0.2">
      <c r="A279" s="2">
        <f ca="1">IFERROR(__xludf.DUMMYFUNCTION("""COMPUTED_VALUE"""),45720.6666666666)</f>
        <v>45720.666666666599</v>
      </c>
      <c r="B279" s="2"/>
      <c r="C279" s="2"/>
      <c r="D279" s="1">
        <v>4240</v>
      </c>
      <c r="E279" s="1">
        <v>4290</v>
      </c>
      <c r="F279" s="1">
        <v>4170</v>
      </c>
      <c r="G279" s="1">
        <v>4220</v>
      </c>
      <c r="H279" s="1">
        <v>71340000</v>
      </c>
      <c r="I279" s="4">
        <f t="shared" si="8"/>
        <v>-9.3896713615023476E-3</v>
      </c>
      <c r="J279" s="4">
        <f t="shared" si="9"/>
        <v>-0.21488372093023256</v>
      </c>
    </row>
    <row r="280" spans="1:10" x14ac:dyDescent="0.2">
      <c r="A280" s="2">
        <f ca="1">IFERROR(__xludf.DUMMYFUNCTION("""COMPUTED_VALUE"""),45721.6666666666)</f>
        <v>45721.666666666599</v>
      </c>
      <c r="B280" s="2"/>
      <c r="C280" s="2"/>
      <c r="D280" s="1">
        <v>4250</v>
      </c>
      <c r="E280" s="1">
        <v>4540</v>
      </c>
      <c r="F280" s="1">
        <v>4250</v>
      </c>
      <c r="G280" s="1">
        <v>4460</v>
      </c>
      <c r="H280" s="1">
        <v>101995600</v>
      </c>
      <c r="I280" s="4">
        <f t="shared" si="8"/>
        <v>5.6872037914691941E-2</v>
      </c>
      <c r="J280" s="4">
        <f t="shared" si="9"/>
        <v>-0.17023255813953489</v>
      </c>
    </row>
    <row r="281" spans="1:10" x14ac:dyDescent="0.2">
      <c r="A281" s="2">
        <f ca="1">IFERROR(__xludf.DUMMYFUNCTION("""COMPUTED_VALUE"""),45722.6666666666)</f>
        <v>45722.666666666599</v>
      </c>
      <c r="B281" s="2"/>
      <c r="C281" s="2"/>
      <c r="D281" s="1">
        <v>4550</v>
      </c>
      <c r="E281" s="1">
        <v>4700</v>
      </c>
      <c r="F281" s="1">
        <v>4540</v>
      </c>
      <c r="G281" s="1">
        <v>4590</v>
      </c>
      <c r="H281" s="1">
        <v>104226000</v>
      </c>
      <c r="I281" s="4">
        <f t="shared" si="8"/>
        <v>2.914798206278027E-2</v>
      </c>
      <c r="J281" s="4">
        <f t="shared" si="9"/>
        <v>-0.14604651162790697</v>
      </c>
    </row>
    <row r="282" spans="1:10" x14ac:dyDescent="0.2">
      <c r="A282" s="2">
        <f ca="1">IFERROR(__xludf.DUMMYFUNCTION("""COMPUTED_VALUE"""),45723.6666666666)</f>
        <v>45723.666666666599</v>
      </c>
      <c r="B282" s="2"/>
      <c r="C282" s="2"/>
      <c r="D282" s="1">
        <v>4590</v>
      </c>
      <c r="E282" s="1">
        <v>4590</v>
      </c>
      <c r="F282" s="1">
        <v>4460</v>
      </c>
      <c r="G282" s="1">
        <v>4540</v>
      </c>
      <c r="H282" s="1">
        <v>61630700</v>
      </c>
      <c r="I282" s="4">
        <f t="shared" si="8"/>
        <v>-1.0893246187363835E-2</v>
      </c>
      <c r="J282" s="4">
        <f t="shared" si="9"/>
        <v>-0.15534883720930232</v>
      </c>
    </row>
    <row r="283" spans="1:10" x14ac:dyDescent="0.2">
      <c r="A283" s="2">
        <f ca="1">IFERROR(__xludf.DUMMYFUNCTION("""COMPUTED_VALUE"""),45726.6666666666)</f>
        <v>45726.666666666599</v>
      </c>
      <c r="B283" s="2"/>
      <c r="C283" s="2"/>
      <c r="D283" s="1">
        <v>4540</v>
      </c>
      <c r="E283" s="1">
        <v>4540</v>
      </c>
      <c r="F283" s="1">
        <v>4410</v>
      </c>
      <c r="G283" s="1">
        <v>4450</v>
      </c>
      <c r="H283" s="1">
        <v>43038000</v>
      </c>
      <c r="I283" s="4">
        <f t="shared" si="8"/>
        <v>-1.9823788546255508E-2</v>
      </c>
      <c r="J283" s="4">
        <f t="shared" si="9"/>
        <v>-0.17209302325581396</v>
      </c>
    </row>
    <row r="284" spans="1:10" x14ac:dyDescent="0.2">
      <c r="A284" s="2">
        <f ca="1">IFERROR(__xludf.DUMMYFUNCTION("""COMPUTED_VALUE"""),45727.6666666666)</f>
        <v>45727.666666666599</v>
      </c>
      <c r="B284" s="2"/>
      <c r="C284" s="2"/>
      <c r="D284" s="1">
        <v>4380</v>
      </c>
      <c r="E284" s="1">
        <v>4460</v>
      </c>
      <c r="F284" s="1">
        <v>4360</v>
      </c>
      <c r="G284" s="1">
        <v>4450</v>
      </c>
      <c r="H284" s="1">
        <v>44323600</v>
      </c>
      <c r="I284" s="4">
        <f t="shared" si="8"/>
        <v>0</v>
      </c>
      <c r="J284" s="4">
        <f t="shared" si="9"/>
        <v>-0.17209302325581396</v>
      </c>
    </row>
    <row r="285" spans="1:10" x14ac:dyDescent="0.2">
      <c r="A285" s="2">
        <f ca="1">IFERROR(__xludf.DUMMYFUNCTION("""COMPUTED_VALUE"""),45728.6666666666)</f>
        <v>45728.666666666599</v>
      </c>
      <c r="B285" s="2"/>
      <c r="C285" s="2"/>
      <c r="D285" s="1">
        <v>4490</v>
      </c>
      <c r="E285" s="1">
        <v>4550</v>
      </c>
      <c r="F285" s="1">
        <v>4480</v>
      </c>
      <c r="G285" s="1">
        <v>4530</v>
      </c>
      <c r="H285" s="1">
        <v>44656600</v>
      </c>
      <c r="I285" s="4">
        <f t="shared" si="8"/>
        <v>1.7977528089887642E-2</v>
      </c>
      <c r="J285" s="4">
        <f t="shared" si="9"/>
        <v>-0.15720930232558139</v>
      </c>
    </row>
    <row r="286" spans="1:10" x14ac:dyDescent="0.2">
      <c r="A286" s="2">
        <f ca="1">IFERROR(__xludf.DUMMYFUNCTION("""COMPUTED_VALUE"""),45729.6666666666)</f>
        <v>45729.666666666599</v>
      </c>
      <c r="B286" s="2"/>
      <c r="C286" s="2"/>
      <c r="D286" s="1">
        <v>4600</v>
      </c>
      <c r="E286" s="1">
        <v>4600</v>
      </c>
      <c r="F286" s="1">
        <v>4440</v>
      </c>
      <c r="G286" s="1">
        <v>4530</v>
      </c>
      <c r="H286" s="1">
        <v>48947400</v>
      </c>
      <c r="I286" s="4">
        <f t="shared" si="8"/>
        <v>0</v>
      </c>
      <c r="J286" s="4">
        <f t="shared" si="9"/>
        <v>-0.15720930232558139</v>
      </c>
    </row>
    <row r="287" spans="1:10" x14ac:dyDescent="0.2">
      <c r="A287" s="2">
        <f ca="1">IFERROR(__xludf.DUMMYFUNCTION("""COMPUTED_VALUE"""),45730.6666666666)</f>
        <v>45730.666666666599</v>
      </c>
      <c r="B287" s="2"/>
      <c r="C287" s="2"/>
      <c r="D287" s="1">
        <v>4470</v>
      </c>
      <c r="E287" s="1">
        <v>4520</v>
      </c>
      <c r="F287" s="1">
        <v>4400</v>
      </c>
      <c r="G287" s="1">
        <v>4430</v>
      </c>
      <c r="H287" s="1">
        <v>50335900</v>
      </c>
      <c r="I287" s="4">
        <f t="shared" si="8"/>
        <v>-2.2075055187637971E-2</v>
      </c>
      <c r="J287" s="4">
        <f t="shared" si="9"/>
        <v>-0.17581395348837209</v>
      </c>
    </row>
    <row r="288" spans="1:10" x14ac:dyDescent="0.2">
      <c r="A288" s="2">
        <f ca="1">IFERROR(__xludf.DUMMYFUNCTION("""COMPUTED_VALUE"""),45733.6666666666)</f>
        <v>45733.666666666599</v>
      </c>
      <c r="B288" s="2"/>
      <c r="C288" s="2"/>
      <c r="D288" s="1">
        <v>4430</v>
      </c>
      <c r="E288" s="1">
        <v>4460</v>
      </c>
      <c r="F288" s="1">
        <v>4260</v>
      </c>
      <c r="G288" s="1">
        <v>4330</v>
      </c>
      <c r="H288" s="1">
        <v>60911900</v>
      </c>
      <c r="I288" s="4">
        <f t="shared" si="8"/>
        <v>-2.2573363431151242E-2</v>
      </c>
      <c r="J288" s="4">
        <f t="shared" si="9"/>
        <v>-0.19441860465116279</v>
      </c>
    </row>
    <row r="289" spans="1:10" x14ac:dyDescent="0.2">
      <c r="A289" s="2">
        <f ca="1">IFERROR(__xludf.DUMMYFUNCTION("""COMPUTED_VALUE"""),45734.6666666666)</f>
        <v>45734.666666666599</v>
      </c>
      <c r="B289" s="2"/>
      <c r="C289" s="2"/>
      <c r="D289" s="1">
        <v>4300</v>
      </c>
      <c r="E289" s="1">
        <v>4310</v>
      </c>
      <c r="F289" s="1">
        <v>4030</v>
      </c>
      <c r="G289" s="1">
        <v>4190</v>
      </c>
      <c r="H289" s="1">
        <v>80141500</v>
      </c>
      <c r="I289" s="4">
        <f t="shared" si="8"/>
        <v>-3.2332563510392612E-2</v>
      </c>
      <c r="J289" s="4">
        <f t="shared" si="9"/>
        <v>-0.22046511627906976</v>
      </c>
    </row>
    <row r="290" spans="1:10" x14ac:dyDescent="0.2">
      <c r="A290" s="2">
        <f ca="1">IFERROR(__xludf.DUMMYFUNCTION("""COMPUTED_VALUE"""),45735.6666666666)</f>
        <v>45735.666666666599</v>
      </c>
      <c r="B290" s="2"/>
      <c r="C290" s="2"/>
      <c r="D290" s="1">
        <v>4190</v>
      </c>
      <c r="E290" s="1">
        <v>4250</v>
      </c>
      <c r="F290" s="1">
        <v>4120</v>
      </c>
      <c r="G290" s="1">
        <v>4170</v>
      </c>
      <c r="H290" s="1">
        <v>110420100</v>
      </c>
      <c r="I290" s="4">
        <f t="shared" si="8"/>
        <v>-4.7732696897374704E-3</v>
      </c>
      <c r="J290" s="4">
        <f t="shared" si="9"/>
        <v>-0.22418604651162791</v>
      </c>
    </row>
    <row r="291" spans="1:10" x14ac:dyDescent="0.2">
      <c r="A291" s="2">
        <f ca="1">IFERROR(__xludf.DUMMYFUNCTION("""COMPUTED_VALUE"""),45736.6666666666)</f>
        <v>45736.666666666599</v>
      </c>
      <c r="B291" s="2"/>
      <c r="C291" s="2"/>
      <c r="D291" s="1">
        <v>4240</v>
      </c>
      <c r="E291" s="1">
        <v>4270</v>
      </c>
      <c r="F291" s="1">
        <v>4050</v>
      </c>
      <c r="G291" s="1">
        <v>4080</v>
      </c>
      <c r="H291" s="1">
        <v>109598400</v>
      </c>
      <c r="I291" s="4">
        <f t="shared" si="8"/>
        <v>-2.1582733812949641E-2</v>
      </c>
      <c r="J291" s="4">
        <f t="shared" si="9"/>
        <v>-0.24093023255813953</v>
      </c>
    </row>
    <row r="292" spans="1:10" x14ac:dyDescent="0.2">
      <c r="A292" s="2">
        <f ca="1">IFERROR(__xludf.DUMMYFUNCTION("""COMPUTED_VALUE"""),45737.6666666666)</f>
        <v>45737.666666666599</v>
      </c>
      <c r="B292" s="2"/>
      <c r="C292" s="2"/>
      <c r="D292" s="1">
        <v>4080</v>
      </c>
      <c r="E292" s="1">
        <v>4090</v>
      </c>
      <c r="F292" s="1">
        <v>3770</v>
      </c>
      <c r="G292" s="1">
        <v>3770</v>
      </c>
      <c r="H292" s="1">
        <v>246727700</v>
      </c>
      <c r="I292" s="4">
        <f t="shared" si="8"/>
        <v>-7.5980392156862739E-2</v>
      </c>
      <c r="J292" s="4">
        <f t="shared" si="9"/>
        <v>-0.29860465116279072</v>
      </c>
    </row>
    <row r="293" spans="1:10" x14ac:dyDescent="0.2">
      <c r="A293" s="2">
        <f ca="1">IFERROR(__xludf.DUMMYFUNCTION("""COMPUTED_VALUE"""),45740.6666666666)</f>
        <v>45740.666666666599</v>
      </c>
      <c r="B293" s="2"/>
      <c r="C293" s="2"/>
      <c r="D293" s="1">
        <v>3770</v>
      </c>
      <c r="E293" s="1">
        <v>3830</v>
      </c>
      <c r="F293" s="1">
        <v>3630</v>
      </c>
      <c r="G293" s="1">
        <v>3720</v>
      </c>
      <c r="H293" s="1">
        <v>135658700</v>
      </c>
      <c r="I293" s="4">
        <f t="shared" si="8"/>
        <v>-1.3262599469496022E-2</v>
      </c>
      <c r="J293" s="4">
        <f t="shared" si="9"/>
        <v>-0.30790697674418605</v>
      </c>
    </row>
    <row r="294" spans="1:10" x14ac:dyDescent="0.2">
      <c r="A294" s="2">
        <f ca="1">IFERROR(__xludf.DUMMYFUNCTION("""COMPUTED_VALUE"""),45741.6666666666)</f>
        <v>45741.666666666599</v>
      </c>
      <c r="B294" s="2"/>
      <c r="C294" s="2"/>
      <c r="D294" s="1">
        <v>3770</v>
      </c>
      <c r="E294" s="1">
        <v>3930</v>
      </c>
      <c r="F294" s="1">
        <v>3740</v>
      </c>
      <c r="G294" s="1">
        <v>3900</v>
      </c>
      <c r="H294" s="1">
        <v>157671900</v>
      </c>
      <c r="I294" s="4">
        <f t="shared" si="8"/>
        <v>4.8387096774193547E-2</v>
      </c>
      <c r="J294" s="4">
        <f t="shared" si="9"/>
        <v>-0.2744186046511628</v>
      </c>
    </row>
    <row r="295" spans="1:10" x14ac:dyDescent="0.2">
      <c r="A295" s="2">
        <f ca="1">IFERROR(__xludf.DUMMYFUNCTION("""COMPUTED_VALUE"""),45742.6666666666)</f>
        <v>45742.666666666599</v>
      </c>
      <c r="B295" s="2"/>
      <c r="C295" s="2"/>
      <c r="D295" s="1">
        <v>4010</v>
      </c>
      <c r="E295" s="1">
        <v>4280</v>
      </c>
      <c r="F295" s="1">
        <v>4000</v>
      </c>
      <c r="G295" s="1">
        <v>4250</v>
      </c>
      <c r="H295" s="1">
        <v>229422000</v>
      </c>
      <c r="I295" s="4">
        <f t="shared" si="8"/>
        <v>8.9743589743589744E-2</v>
      </c>
      <c r="J295" s="4">
        <f t="shared" si="9"/>
        <v>-0.20930232558139536</v>
      </c>
    </row>
    <row r="296" spans="1:10" x14ac:dyDescent="0.2">
      <c r="A296" s="2">
        <f ca="1">IFERROR(__xludf.DUMMYFUNCTION("""COMPUTED_VALUE"""),45743.6666666666)</f>
        <v>45743.666666666599</v>
      </c>
      <c r="B296" s="2"/>
      <c r="C296" s="2"/>
      <c r="D296" s="1">
        <v>4250</v>
      </c>
      <c r="E296" s="1">
        <v>4280</v>
      </c>
      <c r="F296" s="1">
        <v>4110</v>
      </c>
      <c r="G296" s="1">
        <v>4240</v>
      </c>
      <c r="H296" s="1">
        <v>101189600</v>
      </c>
      <c r="I296" s="4">
        <f t="shared" si="8"/>
        <v>-2.352941176470588E-3</v>
      </c>
      <c r="J296" s="4">
        <f t="shared" si="9"/>
        <v>-0.21116279069767441</v>
      </c>
    </row>
    <row r="297" spans="1:10" x14ac:dyDescent="0.2">
      <c r="A297" s="2">
        <f ca="1">IFERROR(__xludf.DUMMYFUNCTION("""COMPUTED_VALUE"""),45755.6666666666)</f>
        <v>45755.666666666599</v>
      </c>
      <c r="B297" s="2"/>
      <c r="C297" s="2"/>
      <c r="D297" s="1">
        <v>3680</v>
      </c>
      <c r="E297" s="1">
        <v>4080</v>
      </c>
      <c r="F297" s="1">
        <v>3610</v>
      </c>
      <c r="G297" s="1">
        <v>4030</v>
      </c>
      <c r="H297" s="1">
        <v>185281600</v>
      </c>
      <c r="I297" s="4">
        <f t="shared" si="8"/>
        <v>-4.9528301886792456E-2</v>
      </c>
      <c r="J297" s="4">
        <f t="shared" si="9"/>
        <v>-0.25023255813953488</v>
      </c>
    </row>
    <row r="298" spans="1:10" x14ac:dyDescent="0.2">
      <c r="A298" s="2">
        <f ca="1">IFERROR(__xludf.DUMMYFUNCTION("""COMPUTED_VALUE"""),45756.6666666666)</f>
        <v>45756.666666666599</v>
      </c>
      <c r="B298" s="2"/>
      <c r="C298" s="2"/>
      <c r="D298" s="1">
        <v>4030</v>
      </c>
      <c r="E298" s="1">
        <v>4140</v>
      </c>
      <c r="F298" s="1">
        <v>3970</v>
      </c>
      <c r="G298" s="1">
        <v>4040</v>
      </c>
      <c r="H298" s="1">
        <v>81414200</v>
      </c>
      <c r="I298" s="4">
        <f t="shared" si="8"/>
        <v>2.4813895781637717E-3</v>
      </c>
      <c r="J298" s="4">
        <f t="shared" si="9"/>
        <v>-0.2483720930232558</v>
      </c>
    </row>
    <row r="299" spans="1:10" x14ac:dyDescent="0.2">
      <c r="A299" s="2">
        <f ca="1">IFERROR(__xludf.DUMMYFUNCTION("""COMPUTED_VALUE"""),45757.6666666666)</f>
        <v>45757.666666666599</v>
      </c>
      <c r="B299" s="2"/>
      <c r="C299" s="2"/>
      <c r="D299" s="1">
        <v>4380</v>
      </c>
      <c r="E299" s="1">
        <v>4400</v>
      </c>
      <c r="F299" s="1">
        <v>4220</v>
      </c>
      <c r="G299" s="1">
        <v>4260</v>
      </c>
      <c r="H299" s="1">
        <v>131182600</v>
      </c>
      <c r="I299" s="4">
        <f t="shared" si="8"/>
        <v>5.4455445544554455E-2</v>
      </c>
      <c r="J299" s="4">
        <f t="shared" si="9"/>
        <v>-0.20744186046511628</v>
      </c>
    </row>
    <row r="300" spans="1:10" x14ac:dyDescent="0.2">
      <c r="A300" s="2">
        <f ca="1">IFERROR(__xludf.DUMMYFUNCTION("""COMPUTED_VALUE"""),45758.6666666666)</f>
        <v>45758.666666666599</v>
      </c>
      <c r="B300" s="2"/>
      <c r="C300" s="2"/>
      <c r="D300" s="1">
        <v>4240</v>
      </c>
      <c r="E300" s="1">
        <v>4400</v>
      </c>
      <c r="F300" s="1">
        <v>4200</v>
      </c>
      <c r="G300" s="1">
        <v>4390</v>
      </c>
      <c r="H300" s="1">
        <v>90221600</v>
      </c>
      <c r="I300" s="4">
        <f t="shared" si="8"/>
        <v>3.0516431924882629E-2</v>
      </c>
      <c r="J300" s="4">
        <f t="shared" si="9"/>
        <v>-0.18325581395348836</v>
      </c>
    </row>
    <row r="301" spans="1:10" x14ac:dyDescent="0.2">
      <c r="A301" s="2">
        <f ca="1">IFERROR(__xludf.DUMMYFUNCTION("""COMPUTED_VALUE"""),45761.6666666666)</f>
        <v>45761.666666666599</v>
      </c>
      <c r="B301" s="2"/>
      <c r="C301" s="2"/>
      <c r="D301" s="1">
        <v>4450</v>
      </c>
      <c r="E301" s="1">
        <v>4550</v>
      </c>
      <c r="F301" s="1">
        <v>4440</v>
      </c>
      <c r="G301" s="1">
        <v>4550</v>
      </c>
      <c r="H301" s="1">
        <v>162128800</v>
      </c>
      <c r="I301" s="4">
        <f t="shared" si="8"/>
        <v>3.644646924829157E-2</v>
      </c>
      <c r="J301" s="4">
        <f t="shared" si="9"/>
        <v>-0.15348837209302327</v>
      </c>
    </row>
    <row r="302" spans="1:10" x14ac:dyDescent="0.2">
      <c r="A302" s="2">
        <f ca="1">IFERROR(__xludf.DUMMYFUNCTION("""COMPUTED_VALUE"""),45762.6666666666)</f>
        <v>45762.666666666599</v>
      </c>
      <c r="B302" s="2"/>
      <c r="C302" s="2"/>
      <c r="D302" s="1">
        <v>4280</v>
      </c>
      <c r="E302" s="1">
        <v>4350</v>
      </c>
      <c r="F302" s="1">
        <v>4270</v>
      </c>
      <c r="G302" s="1">
        <v>4280</v>
      </c>
      <c r="H302" s="1">
        <v>156480600</v>
      </c>
      <c r="I302" s="4">
        <f t="shared" si="8"/>
        <v>-5.9340659340659338E-2</v>
      </c>
      <c r="J302" s="4">
        <f t="shared" si="9"/>
        <v>-0.20372093023255813</v>
      </c>
    </row>
    <row r="303" spans="1:10" x14ac:dyDescent="0.2">
      <c r="A303" s="2">
        <f ca="1">IFERROR(__xludf.DUMMYFUNCTION("""COMPUTED_VALUE"""),45763.6666666666)</f>
        <v>45763.666666666599</v>
      </c>
      <c r="B303" s="2"/>
      <c r="C303" s="2"/>
      <c r="D303" s="1">
        <v>4280</v>
      </c>
      <c r="E303" s="1">
        <v>4290</v>
      </c>
      <c r="F303" s="1">
        <v>4090</v>
      </c>
      <c r="G303" s="1">
        <v>4100</v>
      </c>
      <c r="H303" s="1">
        <v>109735100</v>
      </c>
      <c r="I303" s="4">
        <f t="shared" si="8"/>
        <v>-4.2056074766355138E-2</v>
      </c>
      <c r="J303" s="4">
        <f t="shared" si="9"/>
        <v>-0.23720930232558141</v>
      </c>
    </row>
    <row r="304" spans="1:10" x14ac:dyDescent="0.2">
      <c r="A304" s="2">
        <f ca="1">IFERROR(__xludf.DUMMYFUNCTION("""COMPUTED_VALUE"""),45764.6666666666)</f>
        <v>45764.666666666599</v>
      </c>
      <c r="B304" s="2"/>
      <c r="C304" s="2"/>
      <c r="D304" s="1">
        <v>4110</v>
      </c>
      <c r="E304" s="1">
        <v>4150</v>
      </c>
      <c r="F304" s="1">
        <v>4040</v>
      </c>
      <c r="G304" s="1">
        <v>4040</v>
      </c>
      <c r="H304" s="1">
        <v>68392500</v>
      </c>
      <c r="I304" s="4">
        <f t="shared" si="8"/>
        <v>-1.4634146341463415E-2</v>
      </c>
      <c r="J304" s="4">
        <f t="shared" si="9"/>
        <v>-0.2483720930232558</v>
      </c>
    </row>
    <row r="305" spans="1:10" x14ac:dyDescent="0.2">
      <c r="A305" s="2">
        <f ca="1">IFERROR(__xludf.DUMMYFUNCTION("""COMPUTED_VALUE"""),45768.6666666666)</f>
        <v>45768.666666666599</v>
      </c>
      <c r="B305" s="2"/>
      <c r="C305" s="2"/>
      <c r="D305" s="1">
        <v>4040</v>
      </c>
      <c r="E305" s="1">
        <v>4050</v>
      </c>
      <c r="F305" s="1">
        <v>3950</v>
      </c>
      <c r="G305" s="1">
        <v>3990</v>
      </c>
      <c r="H305" s="1">
        <v>67071400</v>
      </c>
      <c r="I305" s="4">
        <f t="shared" si="8"/>
        <v>-1.2376237623762377E-2</v>
      </c>
      <c r="J305" s="4">
        <f t="shared" si="9"/>
        <v>-0.25767441860465118</v>
      </c>
    </row>
    <row r="306" spans="1:10" x14ac:dyDescent="0.2">
      <c r="A306" s="2">
        <f ca="1">IFERROR(__xludf.DUMMYFUNCTION("""COMPUTED_VALUE"""),45769.6666666666)</f>
        <v>45769.666666666599</v>
      </c>
      <c r="B306" s="2"/>
      <c r="C306" s="2"/>
      <c r="D306" s="1">
        <v>3990</v>
      </c>
      <c r="E306" s="1">
        <v>4050</v>
      </c>
      <c r="F306" s="1">
        <v>3960</v>
      </c>
      <c r="G306" s="1">
        <v>4010</v>
      </c>
      <c r="H306" s="1">
        <v>84001100</v>
      </c>
      <c r="I306" s="4">
        <f t="shared" si="8"/>
        <v>5.0125313283208017E-3</v>
      </c>
      <c r="J306" s="4">
        <f t="shared" si="9"/>
        <v>-0.25395348837209303</v>
      </c>
    </row>
    <row r="307" spans="1:10" x14ac:dyDescent="0.2">
      <c r="A307" s="2">
        <f ca="1">IFERROR(__xludf.DUMMYFUNCTION("""COMPUTED_VALUE"""),45770.6666666666)</f>
        <v>45770.666666666599</v>
      </c>
      <c r="B307" s="2"/>
      <c r="C307" s="2"/>
      <c r="D307" s="1">
        <v>4080</v>
      </c>
      <c r="E307" s="1">
        <v>4170</v>
      </c>
      <c r="F307" s="1">
        <v>4030</v>
      </c>
      <c r="G307" s="1">
        <v>4150</v>
      </c>
      <c r="H307" s="1">
        <v>128948700</v>
      </c>
      <c r="I307" s="4">
        <f t="shared" si="8"/>
        <v>3.4912718204488775E-2</v>
      </c>
      <c r="J307" s="4">
        <f t="shared" si="9"/>
        <v>-0.22790697674418606</v>
      </c>
    </row>
    <row r="308" spans="1:10" x14ac:dyDescent="0.2">
      <c r="A308" s="2">
        <f ca="1">IFERROR(__xludf.DUMMYFUNCTION("""COMPUTED_VALUE"""),45771.6666666666)</f>
        <v>45771.666666666599</v>
      </c>
      <c r="B308" s="2"/>
      <c r="C308" s="2"/>
      <c r="D308" s="1">
        <v>4200</v>
      </c>
      <c r="E308" s="1">
        <v>4250</v>
      </c>
      <c r="F308" s="1">
        <v>4120</v>
      </c>
      <c r="G308" s="1">
        <v>4170</v>
      </c>
      <c r="H308" s="1">
        <v>145433700</v>
      </c>
      <c r="I308" s="4">
        <f t="shared" si="8"/>
        <v>4.8192771084337354E-3</v>
      </c>
      <c r="J308" s="4">
        <f t="shared" si="9"/>
        <v>-0.22418604651162791</v>
      </c>
    </row>
    <row r="309" spans="1:10" x14ac:dyDescent="0.2">
      <c r="A309" s="2">
        <f ca="1">IFERROR(__xludf.DUMMYFUNCTION("""COMPUTED_VALUE"""),45772.6666666666)</f>
        <v>45772.666666666599</v>
      </c>
      <c r="B309" s="2"/>
      <c r="C309" s="2"/>
      <c r="D309" s="1">
        <v>4200</v>
      </c>
      <c r="E309" s="1">
        <v>4210</v>
      </c>
      <c r="F309" s="1">
        <v>4140</v>
      </c>
      <c r="G309" s="1">
        <v>4200</v>
      </c>
      <c r="H309" s="1">
        <v>102065100</v>
      </c>
      <c r="I309" s="4">
        <f t="shared" si="8"/>
        <v>7.1942446043165471E-3</v>
      </c>
      <c r="J309" s="4">
        <f t="shared" si="9"/>
        <v>-0.21860465116279071</v>
      </c>
    </row>
    <row r="310" spans="1:10" x14ac:dyDescent="0.2">
      <c r="A310" s="2">
        <f ca="1">IFERROR(__xludf.DUMMYFUNCTION("""COMPUTED_VALUE"""),45775.6666666666)</f>
        <v>45775.666666666599</v>
      </c>
      <c r="B310" s="2"/>
      <c r="C310" s="2"/>
      <c r="D310" s="1">
        <v>4210</v>
      </c>
      <c r="E310" s="1">
        <v>4250</v>
      </c>
      <c r="F310" s="1">
        <v>4170</v>
      </c>
      <c r="G310" s="1">
        <v>4190</v>
      </c>
      <c r="H310" s="1">
        <v>68481300</v>
      </c>
      <c r="I310" s="4">
        <f t="shared" si="8"/>
        <v>-2.3809523809523812E-3</v>
      </c>
      <c r="J310" s="4">
        <f t="shared" si="9"/>
        <v>-0.22046511627906976</v>
      </c>
    </row>
    <row r="311" spans="1:10" x14ac:dyDescent="0.2">
      <c r="A311" s="2">
        <f ca="1">IFERROR(__xludf.DUMMYFUNCTION("""COMPUTED_VALUE"""),45776.6666666666)</f>
        <v>45776.666666666599</v>
      </c>
      <c r="B311" s="2"/>
      <c r="C311" s="2"/>
      <c r="D311" s="1">
        <v>4210</v>
      </c>
      <c r="E311" s="1">
        <v>4220</v>
      </c>
      <c r="F311" s="1">
        <v>4120</v>
      </c>
      <c r="G311" s="1">
        <v>4140</v>
      </c>
      <c r="H311" s="1">
        <v>61824000</v>
      </c>
      <c r="I311" s="4">
        <f t="shared" si="8"/>
        <v>-1.1933174224343675E-2</v>
      </c>
      <c r="J311" s="4">
        <f t="shared" si="9"/>
        <v>-0.2297674418604651</v>
      </c>
    </row>
    <row r="312" spans="1:10" x14ac:dyDescent="0.2">
      <c r="A312" s="2">
        <f ca="1">IFERROR(__xludf.DUMMYFUNCTION("""COMPUTED_VALUE"""),45777.6666666666)</f>
        <v>45777.666666666599</v>
      </c>
      <c r="B312" s="2"/>
      <c r="C312" s="2"/>
      <c r="D312" s="1">
        <v>4160</v>
      </c>
      <c r="E312" s="1">
        <v>4180</v>
      </c>
      <c r="F312" s="1">
        <v>4080</v>
      </c>
      <c r="G312" s="1">
        <v>4180</v>
      </c>
      <c r="H312" s="1">
        <v>85510000</v>
      </c>
      <c r="I312" s="4">
        <f t="shared" si="8"/>
        <v>9.6618357487922701E-3</v>
      </c>
      <c r="J312" s="4">
        <f t="shared" si="9"/>
        <v>-0.22232558139534883</v>
      </c>
    </row>
    <row r="313" spans="1:10" x14ac:dyDescent="0.2">
      <c r="A313" s="2">
        <f ca="1">IFERROR(__xludf.DUMMYFUNCTION("""COMPUTED_VALUE"""),45779.6666666666)</f>
        <v>45779.666666666599</v>
      </c>
      <c r="B313" s="2"/>
      <c r="C313" s="2"/>
      <c r="D313" s="1">
        <v>4220</v>
      </c>
      <c r="E313" s="1">
        <v>4230</v>
      </c>
      <c r="F313" s="1">
        <v>4160</v>
      </c>
      <c r="G313" s="1">
        <v>4200</v>
      </c>
      <c r="H313" s="1">
        <v>81966800</v>
      </c>
      <c r="I313" s="4">
        <f t="shared" si="8"/>
        <v>4.7846889952153108E-3</v>
      </c>
      <c r="J313" s="4">
        <f t="shared" si="9"/>
        <v>-0.21860465116279071</v>
      </c>
    </row>
    <row r="314" spans="1:10" x14ac:dyDescent="0.2">
      <c r="A314" s="2">
        <f ca="1">IFERROR(__xludf.DUMMYFUNCTION("""COMPUTED_VALUE"""),45782.6666666666)</f>
        <v>45782.666666666599</v>
      </c>
      <c r="B314" s="2"/>
      <c r="C314" s="2"/>
      <c r="D314" s="1">
        <v>4210</v>
      </c>
      <c r="E314" s="1">
        <v>4280</v>
      </c>
      <c r="F314" s="1">
        <v>4180</v>
      </c>
      <c r="G314" s="1">
        <v>4210</v>
      </c>
      <c r="H314" s="1">
        <v>60392100</v>
      </c>
      <c r="I314" s="4">
        <f t="shared" si="8"/>
        <v>2.3809523809523812E-3</v>
      </c>
      <c r="J314" s="4">
        <f t="shared" si="9"/>
        <v>-0.21674418604651163</v>
      </c>
    </row>
    <row r="315" spans="1:10" x14ac:dyDescent="0.2">
      <c r="A315" s="2">
        <f ca="1">IFERROR(__xludf.DUMMYFUNCTION("""COMPUTED_VALUE"""),45783.6666666666)</f>
        <v>45783.666666666599</v>
      </c>
      <c r="B315" s="2"/>
      <c r="C315" s="2"/>
      <c r="D315" s="1">
        <v>4220</v>
      </c>
      <c r="E315" s="1">
        <v>4230</v>
      </c>
      <c r="F315" s="1">
        <v>4170</v>
      </c>
      <c r="G315" s="1">
        <v>4180</v>
      </c>
      <c r="H315" s="1">
        <v>66444400</v>
      </c>
      <c r="I315" s="4">
        <f t="shared" si="8"/>
        <v>-7.1258907363420431E-3</v>
      </c>
      <c r="J315" s="4">
        <f t="shared" si="9"/>
        <v>-0.22232558139534883</v>
      </c>
    </row>
    <row r="316" spans="1:10" x14ac:dyDescent="0.2">
      <c r="A316" s="2">
        <f ca="1">IFERROR(__xludf.DUMMYFUNCTION("""COMPUTED_VALUE"""),45784.6666666666)</f>
        <v>45784.666666666599</v>
      </c>
      <c r="B316" s="2"/>
      <c r="C316" s="2"/>
      <c r="D316" s="1">
        <v>4190</v>
      </c>
      <c r="E316" s="1">
        <v>4200</v>
      </c>
      <c r="F316" s="1">
        <v>4140</v>
      </c>
      <c r="G316" s="1">
        <v>4160</v>
      </c>
      <c r="H316" s="1">
        <v>57689300</v>
      </c>
      <c r="I316" s="4">
        <f t="shared" si="8"/>
        <v>-4.7846889952153108E-3</v>
      </c>
      <c r="J316" s="4">
        <f t="shared" si="9"/>
        <v>-0.22604651162790698</v>
      </c>
    </row>
    <row r="317" spans="1:10" x14ac:dyDescent="0.2">
      <c r="A317" s="2">
        <f ca="1">IFERROR(__xludf.DUMMYFUNCTION("""COMPUTED_VALUE"""),45785.6666666666)</f>
        <v>45785.666666666599</v>
      </c>
      <c r="B317" s="2"/>
      <c r="C317" s="2"/>
      <c r="D317" s="1">
        <v>4160</v>
      </c>
      <c r="E317" s="1">
        <v>4220</v>
      </c>
      <c r="F317" s="1">
        <v>4080</v>
      </c>
      <c r="G317" s="1">
        <v>4120</v>
      </c>
      <c r="H317" s="1">
        <v>77995600</v>
      </c>
      <c r="I317" s="4">
        <f t="shared" si="8"/>
        <v>-9.6153846153846159E-3</v>
      </c>
      <c r="J317" s="4">
        <f t="shared" si="9"/>
        <v>-0.23348837209302326</v>
      </c>
    </row>
    <row r="318" spans="1:10" x14ac:dyDescent="0.2">
      <c r="A318" s="2">
        <f ca="1">IFERROR(__xludf.DUMMYFUNCTION("""COMPUTED_VALUE"""),45786.6666666666)</f>
        <v>45786.666666666599</v>
      </c>
      <c r="B318" s="2"/>
      <c r="C318" s="2"/>
      <c r="D318" s="1">
        <v>4120</v>
      </c>
      <c r="E318" s="1">
        <v>4140</v>
      </c>
      <c r="F318" s="1">
        <v>4060</v>
      </c>
      <c r="G318" s="1">
        <v>4100</v>
      </c>
      <c r="H318" s="1">
        <v>37787800</v>
      </c>
      <c r="I318" s="4">
        <f t="shared" si="8"/>
        <v>-4.8543689320388345E-3</v>
      </c>
      <c r="J318" s="4">
        <f t="shared" si="9"/>
        <v>-0.23720930232558141</v>
      </c>
    </row>
    <row r="319" spans="1:10" x14ac:dyDescent="0.2">
      <c r="A319" s="2">
        <f ca="1">IFERROR(__xludf.DUMMYFUNCTION("""COMPUTED_VALUE"""),45791.6666666666)</f>
        <v>45791.666666666599</v>
      </c>
      <c r="B319" s="2"/>
      <c r="C319" s="2"/>
      <c r="D319" s="1">
        <v>4180</v>
      </c>
      <c r="E319" s="1">
        <v>4370</v>
      </c>
      <c r="F319" s="1">
        <v>4160</v>
      </c>
      <c r="G319" s="1">
        <v>4370</v>
      </c>
      <c r="H319" s="1">
        <v>179465400</v>
      </c>
      <c r="I319" s="4">
        <f t="shared" si="8"/>
        <v>6.5853658536585369E-2</v>
      </c>
      <c r="J319" s="4">
        <f t="shared" si="9"/>
        <v>-0.18697674418604651</v>
      </c>
    </row>
    <row r="320" spans="1:10" x14ac:dyDescent="0.2">
      <c r="A320" s="2">
        <f ca="1">IFERROR(__xludf.DUMMYFUNCTION("""COMPUTED_VALUE"""),45792.6666666666)</f>
        <v>45792.666666666599</v>
      </c>
      <c r="B320" s="2"/>
      <c r="C320" s="2"/>
      <c r="D320" s="1">
        <v>4390</v>
      </c>
      <c r="E320" s="1">
        <v>4530</v>
      </c>
      <c r="F320" s="1">
        <v>4390</v>
      </c>
      <c r="G320" s="1">
        <v>4500</v>
      </c>
      <c r="H320" s="1">
        <v>120598100</v>
      </c>
      <c r="I320" s="4">
        <f t="shared" si="8"/>
        <v>2.9748283752860413E-2</v>
      </c>
      <c r="J320" s="4">
        <f t="shared" si="9"/>
        <v>-0.16279069767441862</v>
      </c>
    </row>
    <row r="321" spans="1:10" x14ac:dyDescent="0.2">
      <c r="A321" s="2">
        <f ca="1">IFERROR(__xludf.DUMMYFUNCTION("""COMPUTED_VALUE"""),45793.6666666666)</f>
        <v>45793.666666666599</v>
      </c>
      <c r="B321" s="2"/>
      <c r="C321" s="2"/>
      <c r="D321" s="1">
        <v>4530</v>
      </c>
      <c r="E321" s="1">
        <v>4530</v>
      </c>
      <c r="F321" s="1">
        <v>4360</v>
      </c>
      <c r="G321" s="1">
        <v>4500</v>
      </c>
      <c r="H321" s="1">
        <v>88956700</v>
      </c>
      <c r="I321" s="4">
        <f t="shared" si="8"/>
        <v>0</v>
      </c>
      <c r="J321" s="4">
        <f t="shared" si="9"/>
        <v>-0.16279069767441862</v>
      </c>
    </row>
    <row r="322" spans="1:10" x14ac:dyDescent="0.2">
      <c r="A322" s="2">
        <f ca="1">IFERROR(__xludf.DUMMYFUNCTION("""COMPUTED_VALUE"""),45796.6666666666)</f>
        <v>45796.666666666599</v>
      </c>
      <c r="B322" s="2"/>
      <c r="C322" s="2"/>
      <c r="D322" s="1">
        <v>4480</v>
      </c>
      <c r="E322" s="1">
        <v>4520</v>
      </c>
      <c r="F322" s="1">
        <v>4430</v>
      </c>
      <c r="G322" s="1">
        <v>4460</v>
      </c>
      <c r="H322" s="1">
        <v>60120200</v>
      </c>
      <c r="I322" s="4">
        <f t="shared" si="8"/>
        <v>-8.8888888888888889E-3</v>
      </c>
      <c r="J322" s="4">
        <f t="shared" si="9"/>
        <v>-0.17023255813953489</v>
      </c>
    </row>
    <row r="323" spans="1:10" x14ac:dyDescent="0.2">
      <c r="A323" s="2">
        <f ca="1">IFERROR(__xludf.DUMMYFUNCTION("""COMPUTED_VALUE"""),45797.6666666666)</f>
        <v>45797.666666666599</v>
      </c>
      <c r="B323" s="2"/>
      <c r="C323" s="2"/>
      <c r="D323" s="1">
        <v>4460</v>
      </c>
      <c r="E323" s="1">
        <v>4570</v>
      </c>
      <c r="F323" s="1">
        <v>4420</v>
      </c>
      <c r="G323" s="1">
        <v>4450</v>
      </c>
      <c r="H323" s="1">
        <v>81048500</v>
      </c>
      <c r="I323" s="4">
        <f t="shared" si="8"/>
        <v>-2.242152466367713E-3</v>
      </c>
      <c r="J323" s="4">
        <f t="shared" si="9"/>
        <v>-0.17209302325581396</v>
      </c>
    </row>
    <row r="324" spans="1:10" x14ac:dyDescent="0.2">
      <c r="A324" s="2">
        <f ca="1">IFERROR(__xludf.DUMMYFUNCTION("""COMPUTED_VALUE"""),45798.6666666666)</f>
        <v>45798.666666666599</v>
      </c>
      <c r="B324" s="2"/>
      <c r="C324" s="2"/>
      <c r="D324" s="1">
        <v>4480</v>
      </c>
      <c r="E324" s="1">
        <v>4580</v>
      </c>
      <c r="F324" s="1">
        <v>4470</v>
      </c>
      <c r="G324" s="1">
        <v>4520</v>
      </c>
      <c r="H324" s="1">
        <v>79967600</v>
      </c>
      <c r="I324" s="4">
        <f t="shared" ref="I324:I387" si="10">(G324-G323)/G323</f>
        <v>1.5730337078651686E-2</v>
      </c>
      <c r="J324" s="4">
        <f t="shared" ref="J324:J387" si="11">(G324-$G$2)/$G$2</f>
        <v>-0.15906976744186047</v>
      </c>
    </row>
    <row r="325" spans="1:10" x14ac:dyDescent="0.2">
      <c r="A325" s="2">
        <f ca="1">IFERROR(__xludf.DUMMYFUNCTION("""COMPUTED_VALUE"""),45799.6666666666)</f>
        <v>45799.666666666599</v>
      </c>
      <c r="B325" s="2"/>
      <c r="C325" s="2"/>
      <c r="D325" s="1">
        <v>4520</v>
      </c>
      <c r="E325" s="1">
        <v>4540</v>
      </c>
      <c r="F325" s="1">
        <v>4470</v>
      </c>
      <c r="G325" s="1">
        <v>4470</v>
      </c>
      <c r="H325" s="1">
        <v>42314700</v>
      </c>
      <c r="I325" s="4">
        <f t="shared" si="10"/>
        <v>-1.1061946902654867E-2</v>
      </c>
      <c r="J325" s="4">
        <f t="shared" si="11"/>
        <v>-0.16837209302325581</v>
      </c>
    </row>
    <row r="326" spans="1:10" x14ac:dyDescent="0.2">
      <c r="A326" s="2">
        <f ca="1">IFERROR(__xludf.DUMMYFUNCTION("""COMPUTED_VALUE"""),45800.6666666666)</f>
        <v>45800.666666666599</v>
      </c>
      <c r="B326" s="2"/>
      <c r="C326" s="2"/>
      <c r="D326" s="1">
        <v>4510</v>
      </c>
      <c r="E326" s="1">
        <v>4520</v>
      </c>
      <c r="F326" s="1">
        <v>4480</v>
      </c>
      <c r="G326" s="1">
        <v>4510</v>
      </c>
      <c r="H326" s="1">
        <v>21621500</v>
      </c>
      <c r="I326" s="4">
        <f t="shared" si="10"/>
        <v>8.948545861297539E-3</v>
      </c>
      <c r="J326" s="4">
        <f t="shared" si="11"/>
        <v>-0.16093023255813954</v>
      </c>
    </row>
    <row r="327" spans="1:10" x14ac:dyDescent="0.2">
      <c r="A327" s="2">
        <f ca="1">IFERROR(__xludf.DUMMYFUNCTION("""COMPUTED_VALUE"""),45803.6666666666)</f>
        <v>45803.666666666599</v>
      </c>
      <c r="B327" s="2"/>
      <c r="C327" s="2"/>
      <c r="D327" s="1">
        <v>4510</v>
      </c>
      <c r="E327" s="1">
        <v>4520</v>
      </c>
      <c r="F327" s="1">
        <v>4420</v>
      </c>
      <c r="G327" s="1">
        <v>4500</v>
      </c>
      <c r="H327" s="1">
        <v>36713800</v>
      </c>
      <c r="I327" s="4">
        <f t="shared" si="10"/>
        <v>-2.2172949002217295E-3</v>
      </c>
      <c r="J327" s="4">
        <f t="shared" si="11"/>
        <v>-0.16279069767441862</v>
      </c>
    </row>
    <row r="328" spans="1:10" x14ac:dyDescent="0.2">
      <c r="A328" s="2">
        <f ca="1">IFERROR(__xludf.DUMMYFUNCTION("""COMPUTED_VALUE"""),45804.6666666666)</f>
        <v>45804.666666666599</v>
      </c>
      <c r="B328" s="2"/>
      <c r="C328" s="2"/>
      <c r="D328" s="1">
        <v>4500</v>
      </c>
      <c r="E328" s="1">
        <v>4530</v>
      </c>
      <c r="F328" s="1">
        <v>4460</v>
      </c>
      <c r="G328" s="1">
        <v>4530</v>
      </c>
      <c r="H328" s="1">
        <v>40871300</v>
      </c>
      <c r="I328" s="4">
        <f t="shared" si="10"/>
        <v>6.6666666666666671E-3</v>
      </c>
      <c r="J328" s="4">
        <f t="shared" si="11"/>
        <v>-0.15720930232558139</v>
      </c>
    </row>
    <row r="329" spans="1:10" x14ac:dyDescent="0.2">
      <c r="A329" s="2">
        <f ca="1">IFERROR(__xludf.DUMMYFUNCTION("""COMPUTED_VALUE"""),45805.6666666666)</f>
        <v>45805.666666666599</v>
      </c>
      <c r="B329" s="2"/>
      <c r="C329" s="2"/>
      <c r="D329" s="1">
        <v>4520</v>
      </c>
      <c r="E329" s="1">
        <v>4540</v>
      </c>
      <c r="F329" s="1">
        <v>4470</v>
      </c>
      <c r="G329" s="1">
        <v>4490</v>
      </c>
      <c r="H329" s="1">
        <v>63745800</v>
      </c>
      <c r="I329" s="4">
        <f t="shared" si="10"/>
        <v>-8.8300220750551876E-3</v>
      </c>
      <c r="J329" s="4">
        <f t="shared" si="11"/>
        <v>-0.16465116279069766</v>
      </c>
    </row>
    <row r="330" spans="1:10" x14ac:dyDescent="0.2">
      <c r="A330" s="2">
        <f ca="1">IFERROR(__xludf.DUMMYFUNCTION("""COMPUTED_VALUE"""),45810.6666666666)</f>
        <v>45810.666666666599</v>
      </c>
      <c r="B330" s="2"/>
      <c r="C330" s="2"/>
      <c r="D330" s="1">
        <v>4480</v>
      </c>
      <c r="E330" s="1">
        <v>4480</v>
      </c>
      <c r="F330" s="1">
        <v>4300</v>
      </c>
      <c r="G330" s="1">
        <v>4370</v>
      </c>
      <c r="H330" s="1">
        <v>68993300</v>
      </c>
      <c r="I330" s="4">
        <f t="shared" si="10"/>
        <v>-2.6726057906458798E-2</v>
      </c>
      <c r="J330" s="4">
        <f t="shared" si="11"/>
        <v>-0.18697674418604651</v>
      </c>
    </row>
    <row r="331" spans="1:10" x14ac:dyDescent="0.2">
      <c r="A331" s="2">
        <f ca="1">IFERROR(__xludf.DUMMYFUNCTION("""COMPUTED_VALUE"""),45811.6666666666)</f>
        <v>45811.666666666599</v>
      </c>
      <c r="B331" s="2"/>
      <c r="C331" s="2"/>
      <c r="D331" s="1">
        <v>4350</v>
      </c>
      <c r="E331" s="1">
        <v>4380</v>
      </c>
      <c r="F331" s="1">
        <v>4260</v>
      </c>
      <c r="G331" s="1">
        <v>4370</v>
      </c>
      <c r="H331" s="1">
        <v>42954800</v>
      </c>
      <c r="I331" s="4">
        <f t="shared" si="10"/>
        <v>0</v>
      </c>
      <c r="J331" s="4">
        <f t="shared" si="11"/>
        <v>-0.18697674418604651</v>
      </c>
    </row>
    <row r="332" spans="1:10" x14ac:dyDescent="0.2">
      <c r="A332" s="2">
        <f ca="1">IFERROR(__xludf.DUMMYFUNCTION("""COMPUTED_VALUE"""),45812.6666666666)</f>
        <v>45812.666666666599</v>
      </c>
      <c r="B332" s="2"/>
      <c r="C332" s="2"/>
      <c r="D332" s="1">
        <v>4420</v>
      </c>
      <c r="E332" s="1">
        <v>4420</v>
      </c>
      <c r="F332" s="1">
        <v>4300</v>
      </c>
      <c r="G332" s="1">
        <v>4300</v>
      </c>
      <c r="H332" s="1">
        <v>35499900</v>
      </c>
      <c r="I332" s="4">
        <f t="shared" si="10"/>
        <v>-1.6018306636155607E-2</v>
      </c>
      <c r="J332" s="4">
        <f t="shared" si="11"/>
        <v>-0.2</v>
      </c>
    </row>
    <row r="333" spans="1:10" x14ac:dyDescent="0.2">
      <c r="A333" s="2">
        <f ca="1">IFERROR(__xludf.DUMMYFUNCTION("""COMPUTED_VALUE"""),45813.6666666666)</f>
        <v>45813.666666666599</v>
      </c>
      <c r="B333" s="2"/>
      <c r="C333" s="2"/>
      <c r="D333" s="1">
        <v>4310</v>
      </c>
      <c r="E333" s="1">
        <v>4420</v>
      </c>
      <c r="F333" s="1">
        <v>4310</v>
      </c>
      <c r="G333" s="1">
        <v>4420</v>
      </c>
      <c r="H333" s="1">
        <v>36143400</v>
      </c>
      <c r="I333" s="4">
        <f t="shared" si="10"/>
        <v>2.7906976744186046E-2</v>
      </c>
      <c r="J333" s="4">
        <f t="shared" si="11"/>
        <v>-0.17767441860465116</v>
      </c>
    </row>
    <row r="334" spans="1:10" x14ac:dyDescent="0.2">
      <c r="A334" s="2">
        <f ca="1">IFERROR(__xludf.DUMMYFUNCTION("""COMPUTED_VALUE"""),45818.6666666666)</f>
        <v>45818.666666666599</v>
      </c>
      <c r="B334" s="2"/>
      <c r="C334" s="2"/>
      <c r="D334" s="1">
        <v>4470</v>
      </c>
      <c r="E334" s="1">
        <v>4520</v>
      </c>
      <c r="F334" s="1">
        <v>4450</v>
      </c>
      <c r="G334" s="1">
        <v>4520</v>
      </c>
      <c r="H334" s="1">
        <v>45818600</v>
      </c>
      <c r="I334" s="4">
        <f t="shared" si="10"/>
        <v>2.2624434389140271E-2</v>
      </c>
      <c r="J334" s="4">
        <f t="shared" si="11"/>
        <v>-0.15906976744186047</v>
      </c>
    </row>
    <row r="335" spans="1:10" x14ac:dyDescent="0.2">
      <c r="A335" s="2">
        <f ca="1">IFERROR(__xludf.DUMMYFUNCTION("""COMPUTED_VALUE"""),45819.6666666666)</f>
        <v>45819.666666666599</v>
      </c>
      <c r="B335" s="2"/>
      <c r="C335" s="2"/>
      <c r="D335" s="1">
        <v>4530</v>
      </c>
      <c r="E335" s="1">
        <v>4540</v>
      </c>
      <c r="F335" s="1">
        <v>4480</v>
      </c>
      <c r="G335" s="1">
        <v>4540</v>
      </c>
      <c r="H335" s="1">
        <v>35008700</v>
      </c>
      <c r="I335" s="4">
        <f t="shared" si="10"/>
        <v>4.4247787610619468E-3</v>
      </c>
      <c r="J335" s="4">
        <f t="shared" si="11"/>
        <v>-0.15534883720930232</v>
      </c>
    </row>
    <row r="336" spans="1:10" x14ac:dyDescent="0.2">
      <c r="A336" s="2">
        <f ca="1">IFERROR(__xludf.DUMMYFUNCTION("""COMPUTED_VALUE"""),45820.6666666666)</f>
        <v>45820.666666666599</v>
      </c>
      <c r="B336" s="2"/>
      <c r="C336" s="2"/>
      <c r="D336" s="1">
        <v>4530</v>
      </c>
      <c r="E336" s="1">
        <v>4540</v>
      </c>
      <c r="F336" s="1">
        <v>4480</v>
      </c>
      <c r="G336" s="1">
        <v>4540</v>
      </c>
      <c r="H336" s="1">
        <v>29571100</v>
      </c>
      <c r="I336" s="4">
        <f t="shared" si="10"/>
        <v>0</v>
      </c>
      <c r="J336" s="4">
        <f t="shared" si="11"/>
        <v>-0.15534883720930232</v>
      </c>
    </row>
    <row r="337" spans="1:10" x14ac:dyDescent="0.2">
      <c r="A337" s="2">
        <f ca="1">IFERROR(__xludf.DUMMYFUNCTION("""COMPUTED_VALUE"""),45821.6666666666)</f>
        <v>45821.666666666599</v>
      </c>
      <c r="B337" s="2"/>
      <c r="C337" s="2"/>
      <c r="D337" s="1">
        <v>4480</v>
      </c>
      <c r="E337" s="1">
        <v>4540</v>
      </c>
      <c r="F337" s="1">
        <v>4450</v>
      </c>
      <c r="G337" s="1">
        <v>4540</v>
      </c>
      <c r="H337" s="1">
        <v>30548300</v>
      </c>
      <c r="I337" s="4">
        <f t="shared" si="10"/>
        <v>0</v>
      </c>
      <c r="J337" s="4">
        <f t="shared" si="11"/>
        <v>-0.15534883720930232</v>
      </c>
    </row>
    <row r="338" spans="1:10" x14ac:dyDescent="0.2">
      <c r="A338" s="2">
        <f ca="1">IFERROR(__xludf.DUMMYFUNCTION("""COMPUTED_VALUE"""),45824.6666666666)</f>
        <v>45824.666666666599</v>
      </c>
      <c r="B338" s="2"/>
      <c r="C338" s="2"/>
      <c r="D338" s="1">
        <v>4490</v>
      </c>
      <c r="E338" s="1">
        <v>4490</v>
      </c>
      <c r="F338" s="1">
        <v>4360</v>
      </c>
      <c r="G338" s="1">
        <v>4400</v>
      </c>
      <c r="H338" s="1">
        <v>90223800</v>
      </c>
      <c r="I338" s="4">
        <f t="shared" si="10"/>
        <v>-3.0837004405286344E-2</v>
      </c>
      <c r="J338" s="4">
        <f t="shared" si="11"/>
        <v>-0.18139534883720931</v>
      </c>
    </row>
    <row r="339" spans="1:10" x14ac:dyDescent="0.2">
      <c r="A339" s="2">
        <f ca="1">IFERROR(__xludf.DUMMYFUNCTION("""COMPUTED_VALUE"""),45825.6666666666)</f>
        <v>45825.666666666599</v>
      </c>
      <c r="B339" s="2"/>
      <c r="C339" s="2"/>
      <c r="D339" s="1">
        <v>4400</v>
      </c>
      <c r="E339" s="1">
        <v>4420</v>
      </c>
      <c r="F339" s="1">
        <v>4350</v>
      </c>
      <c r="G339" s="1">
        <v>4360</v>
      </c>
      <c r="H339" s="1">
        <v>44876400</v>
      </c>
      <c r="I339" s="4">
        <f t="shared" si="10"/>
        <v>-9.0909090909090905E-3</v>
      </c>
      <c r="J339" s="4">
        <f t="shared" si="11"/>
        <v>-0.18883720930232559</v>
      </c>
    </row>
    <row r="340" spans="1:10" x14ac:dyDescent="0.2">
      <c r="A340" s="2">
        <f ca="1">IFERROR(__xludf.DUMMYFUNCTION("""COMPUTED_VALUE"""),45826.6666666666)</f>
        <v>45826.666666666599</v>
      </c>
      <c r="B340" s="2"/>
      <c r="C340" s="2"/>
      <c r="D340" s="1">
        <v>4350</v>
      </c>
      <c r="E340" s="1">
        <v>4360</v>
      </c>
      <c r="F340" s="1">
        <v>4250</v>
      </c>
      <c r="G340" s="1">
        <v>4300</v>
      </c>
      <c r="H340" s="1">
        <v>40711200</v>
      </c>
      <c r="I340" s="4">
        <f t="shared" si="10"/>
        <v>-1.3761467889908258E-2</v>
      </c>
      <c r="J340" s="4">
        <f t="shared" si="11"/>
        <v>-0.2</v>
      </c>
    </row>
    <row r="341" spans="1:10" x14ac:dyDescent="0.2">
      <c r="A341" s="2">
        <f ca="1">IFERROR(__xludf.DUMMYFUNCTION("""COMPUTED_VALUE"""),45827.6666666666)</f>
        <v>45827.666666666599</v>
      </c>
      <c r="B341" s="2"/>
      <c r="C341" s="2"/>
      <c r="D341" s="1">
        <v>4300</v>
      </c>
      <c r="E341" s="1">
        <v>4300</v>
      </c>
      <c r="F341" s="1">
        <v>4100</v>
      </c>
      <c r="G341" s="1">
        <v>4130</v>
      </c>
      <c r="H341" s="1">
        <v>87781700</v>
      </c>
      <c r="I341" s="4">
        <f t="shared" si="10"/>
        <v>-3.9534883720930232E-2</v>
      </c>
      <c r="J341" s="4">
        <f t="shared" si="11"/>
        <v>-0.23162790697674418</v>
      </c>
    </row>
    <row r="342" spans="1:10" x14ac:dyDescent="0.2">
      <c r="A342" s="2">
        <f ca="1">IFERROR(__xludf.DUMMYFUNCTION("""COMPUTED_VALUE"""),45828.6666666666)</f>
        <v>45828.666666666599</v>
      </c>
      <c r="B342" s="2"/>
      <c r="C342" s="2"/>
      <c r="D342" s="1">
        <v>4120</v>
      </c>
      <c r="E342" s="1">
        <v>4140</v>
      </c>
      <c r="F342" s="1">
        <v>4050</v>
      </c>
      <c r="G342" s="1">
        <v>4110</v>
      </c>
      <c r="H342" s="1">
        <v>178503500</v>
      </c>
      <c r="I342" s="4">
        <f t="shared" si="10"/>
        <v>-4.8426150121065378E-3</v>
      </c>
      <c r="J342" s="4">
        <f t="shared" si="11"/>
        <v>-0.23534883720930233</v>
      </c>
    </row>
    <row r="343" spans="1:10" x14ac:dyDescent="0.2">
      <c r="A343" s="2">
        <f ca="1">IFERROR(__xludf.DUMMYFUNCTION("""COMPUTED_VALUE"""),45831.6666666666)</f>
        <v>45831.666666666599</v>
      </c>
      <c r="B343" s="2"/>
      <c r="C343" s="2"/>
      <c r="D343" s="1">
        <v>4060</v>
      </c>
      <c r="E343" s="1">
        <v>4100</v>
      </c>
      <c r="F343" s="1">
        <v>3970</v>
      </c>
      <c r="G343" s="1">
        <v>4060</v>
      </c>
      <c r="H343" s="1">
        <v>53486300</v>
      </c>
      <c r="I343" s="4">
        <f t="shared" si="10"/>
        <v>-1.2165450121654502E-2</v>
      </c>
      <c r="J343" s="4">
        <f t="shared" si="11"/>
        <v>-0.24465116279069768</v>
      </c>
    </row>
    <row r="344" spans="1:10" x14ac:dyDescent="0.2">
      <c r="A344" s="2">
        <f ca="1">IFERROR(__xludf.DUMMYFUNCTION("""COMPUTED_VALUE"""),45832.6666666666)</f>
        <v>45832.666666666599</v>
      </c>
      <c r="B344" s="2"/>
      <c r="C344" s="2"/>
      <c r="D344" s="1">
        <v>4160</v>
      </c>
      <c r="E344" s="1">
        <v>4210</v>
      </c>
      <c r="F344" s="1">
        <v>4140</v>
      </c>
      <c r="G344" s="1">
        <v>4140</v>
      </c>
      <c r="H344" s="1">
        <v>51925200</v>
      </c>
      <c r="I344" s="4">
        <f t="shared" si="10"/>
        <v>1.9704433497536946E-2</v>
      </c>
      <c r="J344" s="4">
        <f t="shared" si="11"/>
        <v>-0.2297674418604651</v>
      </c>
    </row>
    <row r="345" spans="1:10" x14ac:dyDescent="0.2">
      <c r="A345" s="2">
        <f ca="1">IFERROR(__xludf.DUMMYFUNCTION("""COMPUTED_VALUE"""),45833.6666666666)</f>
        <v>45833.666666666599</v>
      </c>
      <c r="B345" s="2"/>
      <c r="C345" s="2"/>
      <c r="D345" s="1">
        <v>4200</v>
      </c>
      <c r="E345" s="1">
        <v>4200</v>
      </c>
      <c r="F345" s="1">
        <v>4060</v>
      </c>
      <c r="G345" s="1">
        <v>4110</v>
      </c>
      <c r="H345" s="1">
        <v>33883900</v>
      </c>
      <c r="I345" s="4">
        <f t="shared" si="10"/>
        <v>-7.246376811594203E-3</v>
      </c>
      <c r="J345" s="4">
        <f t="shared" si="11"/>
        <v>-0.23534883720930233</v>
      </c>
    </row>
    <row r="346" spans="1:10" x14ac:dyDescent="0.2">
      <c r="A346" s="2">
        <f ca="1">IFERROR(__xludf.DUMMYFUNCTION("""COMPUTED_VALUE"""),45834.6666666666)</f>
        <v>45834.666666666599</v>
      </c>
      <c r="B346" s="2"/>
      <c r="C346" s="2"/>
      <c r="D346" s="1">
        <v>4110</v>
      </c>
      <c r="E346" s="1">
        <v>4120</v>
      </c>
      <c r="F346" s="1">
        <v>4050</v>
      </c>
      <c r="G346" s="1">
        <v>4120</v>
      </c>
      <c r="H346" s="1">
        <v>31912200</v>
      </c>
      <c r="I346" s="4">
        <f t="shared" si="10"/>
        <v>2.4330900243309003E-3</v>
      </c>
      <c r="J346" s="4">
        <f t="shared" si="11"/>
        <v>-0.23348837209302326</v>
      </c>
    </row>
    <row r="347" spans="1:10" x14ac:dyDescent="0.2">
      <c r="A347" s="2">
        <f ca="1">IFERROR(__xludf.DUMMYFUNCTION("""COMPUTED_VALUE"""),45838.6666666666)</f>
        <v>45838.666666666599</v>
      </c>
      <c r="B347" s="2"/>
      <c r="C347" s="2"/>
      <c r="D347" s="1">
        <v>4130</v>
      </c>
      <c r="E347" s="1">
        <v>4130</v>
      </c>
      <c r="F347" s="1">
        <v>4050</v>
      </c>
      <c r="G347" s="1">
        <v>4120</v>
      </c>
      <c r="H347" s="1">
        <v>53732100</v>
      </c>
      <c r="I347" s="4">
        <f t="shared" si="10"/>
        <v>0</v>
      </c>
      <c r="J347" s="4">
        <f t="shared" si="11"/>
        <v>-0.23348837209302326</v>
      </c>
    </row>
    <row r="348" spans="1:10" x14ac:dyDescent="0.2">
      <c r="A348" s="2">
        <f ca="1">IFERROR(__xludf.DUMMYFUNCTION("""COMPUTED_VALUE"""),45839.6666666666)</f>
        <v>45839.666666666599</v>
      </c>
      <c r="B348" s="2"/>
      <c r="C348" s="2"/>
      <c r="D348" s="1">
        <v>4120</v>
      </c>
      <c r="E348" s="1">
        <v>4130</v>
      </c>
      <c r="F348" s="1">
        <v>4000</v>
      </c>
      <c r="G348" s="1">
        <v>4010</v>
      </c>
      <c r="H348" s="1">
        <v>55713800</v>
      </c>
      <c r="I348" s="4">
        <f t="shared" si="10"/>
        <v>-2.6699029126213591E-2</v>
      </c>
      <c r="J348" s="4">
        <f t="shared" si="11"/>
        <v>-0.25395348837209303</v>
      </c>
    </row>
    <row r="349" spans="1:10" x14ac:dyDescent="0.2">
      <c r="A349" s="2">
        <f ca="1">IFERROR(__xludf.DUMMYFUNCTION("""COMPUTED_VALUE"""),45840.6666666666)</f>
        <v>45840.666666666599</v>
      </c>
      <c r="B349" s="2"/>
      <c r="C349" s="2"/>
      <c r="D349" s="1">
        <v>4010</v>
      </c>
      <c r="E349" s="1">
        <v>4040</v>
      </c>
      <c r="F349" s="1">
        <v>3970</v>
      </c>
      <c r="G349" s="1">
        <v>4020</v>
      </c>
      <c r="H349" s="1">
        <v>31192900</v>
      </c>
      <c r="I349" s="4">
        <f t="shared" si="10"/>
        <v>2.4937655860349127E-3</v>
      </c>
      <c r="J349" s="4">
        <f t="shared" si="11"/>
        <v>-0.25209302325581395</v>
      </c>
    </row>
    <row r="350" spans="1:10" x14ac:dyDescent="0.2">
      <c r="A350" s="2">
        <f ca="1">IFERROR(__xludf.DUMMYFUNCTION("""COMPUTED_VALUE"""),45841.6666666666)</f>
        <v>45841.666666666599</v>
      </c>
      <c r="B350" s="2"/>
      <c r="C350" s="2"/>
      <c r="D350" s="1">
        <v>4010</v>
      </c>
      <c r="E350" s="1">
        <v>4060</v>
      </c>
      <c r="F350" s="1">
        <v>3970</v>
      </c>
      <c r="G350" s="1">
        <v>3970</v>
      </c>
      <c r="H350" s="1">
        <v>49947500</v>
      </c>
      <c r="I350" s="4">
        <f t="shared" si="10"/>
        <v>-1.2437810945273632E-2</v>
      </c>
      <c r="J350" s="4">
        <f t="shared" si="11"/>
        <v>-0.26139534883720933</v>
      </c>
    </row>
    <row r="351" spans="1:10" x14ac:dyDescent="0.2">
      <c r="A351" s="2">
        <f ca="1">IFERROR(__xludf.DUMMYFUNCTION("""COMPUTED_VALUE"""),45842.6666666666)</f>
        <v>45842.666666666599</v>
      </c>
      <c r="B351" s="2"/>
      <c r="C351" s="2"/>
      <c r="D351" s="1">
        <v>3970</v>
      </c>
      <c r="E351" s="1">
        <v>4010</v>
      </c>
      <c r="F351" s="1">
        <v>3950</v>
      </c>
      <c r="G351" s="1">
        <v>4000</v>
      </c>
      <c r="H351" s="1">
        <v>30396500</v>
      </c>
      <c r="I351" s="4">
        <f t="shared" si="10"/>
        <v>7.556675062972292E-3</v>
      </c>
      <c r="J351" s="4">
        <f t="shared" si="11"/>
        <v>-0.2558139534883721</v>
      </c>
    </row>
    <row r="352" spans="1:10" x14ac:dyDescent="0.2">
      <c r="A352" s="2">
        <f ca="1">IFERROR(__xludf.DUMMYFUNCTION("""COMPUTED_VALUE"""),45845.6666666666)</f>
        <v>45845.666666666599</v>
      </c>
      <c r="B352" s="2"/>
      <c r="C352" s="2"/>
      <c r="D352" s="1">
        <v>4000</v>
      </c>
      <c r="E352" s="1">
        <v>4010</v>
      </c>
      <c r="F352" s="1">
        <v>3930</v>
      </c>
      <c r="G352" s="1">
        <v>4000</v>
      </c>
      <c r="H352" s="1">
        <v>28005400</v>
      </c>
      <c r="I352" s="4">
        <f t="shared" si="10"/>
        <v>0</v>
      </c>
      <c r="J352" s="4">
        <f t="shared" si="11"/>
        <v>-0.2558139534883721</v>
      </c>
    </row>
    <row r="353" spans="1:10" x14ac:dyDescent="0.2">
      <c r="A353" s="2">
        <f ca="1">IFERROR(__xludf.DUMMYFUNCTION("""COMPUTED_VALUE"""),45846.6666666666)</f>
        <v>45846.666666666599</v>
      </c>
      <c r="B353" s="2"/>
      <c r="C353" s="2"/>
      <c r="D353" s="1">
        <v>3980</v>
      </c>
      <c r="E353" s="1">
        <v>4020</v>
      </c>
      <c r="F353" s="1">
        <v>3950</v>
      </c>
      <c r="G353" s="1">
        <v>3970</v>
      </c>
      <c r="H353" s="1">
        <v>27867600</v>
      </c>
      <c r="I353" s="4">
        <f t="shared" si="10"/>
        <v>-7.4999999999999997E-3</v>
      </c>
      <c r="J353" s="4">
        <f t="shared" si="11"/>
        <v>-0.26139534883720933</v>
      </c>
    </row>
    <row r="354" spans="1:10" x14ac:dyDescent="0.2">
      <c r="A354" s="2">
        <f ca="1">IFERROR(__xludf.DUMMYFUNCTION("""COMPUTED_VALUE"""),45847.6666666666)</f>
        <v>45847.666666666599</v>
      </c>
      <c r="B354" s="2"/>
      <c r="C354" s="2"/>
      <c r="D354" s="1">
        <v>3960</v>
      </c>
      <c r="E354" s="1">
        <v>4000</v>
      </c>
      <c r="F354" s="1">
        <v>3950</v>
      </c>
      <c r="G354" s="1">
        <v>4000</v>
      </c>
      <c r="H354" s="1">
        <v>27904300</v>
      </c>
      <c r="I354" s="4">
        <f t="shared" si="10"/>
        <v>7.556675062972292E-3</v>
      </c>
      <c r="J354" s="4">
        <f t="shared" si="11"/>
        <v>-0.2558139534883721</v>
      </c>
    </row>
    <row r="355" spans="1:10" x14ac:dyDescent="0.2">
      <c r="A355" s="2">
        <f ca="1">IFERROR(__xludf.DUMMYFUNCTION("""COMPUTED_VALUE"""),45848.6666666666)</f>
        <v>45848.666666666599</v>
      </c>
      <c r="B355" s="2"/>
      <c r="C355" s="2"/>
      <c r="D355" s="1">
        <v>3980</v>
      </c>
      <c r="E355" s="1">
        <v>4140</v>
      </c>
      <c r="F355" s="1">
        <v>3980</v>
      </c>
      <c r="G355" s="1">
        <v>4110</v>
      </c>
      <c r="H355" s="1">
        <v>44060900</v>
      </c>
      <c r="I355" s="4">
        <f t="shared" si="10"/>
        <v>2.75E-2</v>
      </c>
      <c r="J355" s="4">
        <f t="shared" si="11"/>
        <v>-0.23534883720930233</v>
      </c>
    </row>
    <row r="356" spans="1:10" x14ac:dyDescent="0.2">
      <c r="A356" s="2">
        <f ca="1">IFERROR(__xludf.DUMMYFUNCTION("""COMPUTED_VALUE"""),45849.6666666666)</f>
        <v>45849.666666666599</v>
      </c>
      <c r="B356" s="2"/>
      <c r="C356" s="2"/>
      <c r="D356" s="1">
        <v>4130</v>
      </c>
      <c r="E356" s="1">
        <v>4220</v>
      </c>
      <c r="F356" s="1">
        <v>4120</v>
      </c>
      <c r="G356" s="1">
        <v>4180</v>
      </c>
      <c r="H356" s="1">
        <v>48939300</v>
      </c>
      <c r="I356" s="4">
        <f t="shared" si="10"/>
        <v>1.7031630170316302E-2</v>
      </c>
      <c r="J356" s="4">
        <f t="shared" si="11"/>
        <v>-0.22232558139534883</v>
      </c>
    </row>
    <row r="357" spans="1:10" x14ac:dyDescent="0.2">
      <c r="A357" s="2">
        <f ca="1">IFERROR(__xludf.DUMMYFUNCTION("""COMPUTED_VALUE"""),45852.6666666666)</f>
        <v>45852.666666666599</v>
      </c>
      <c r="B357" s="2"/>
      <c r="C357" s="2"/>
      <c r="D357" s="1">
        <v>4190</v>
      </c>
      <c r="E357" s="1">
        <v>4190</v>
      </c>
      <c r="F357" s="1">
        <v>4000</v>
      </c>
      <c r="G357" s="1">
        <v>4040</v>
      </c>
      <c r="H357" s="1">
        <v>68377100</v>
      </c>
      <c r="I357" s="4">
        <f t="shared" si="10"/>
        <v>-3.3492822966507178E-2</v>
      </c>
      <c r="J357" s="4">
        <f t="shared" si="11"/>
        <v>-0.2483720930232558</v>
      </c>
    </row>
    <row r="358" spans="1:10" x14ac:dyDescent="0.2">
      <c r="A358" s="2">
        <f ca="1">IFERROR(__xludf.DUMMYFUNCTION("""COMPUTED_VALUE"""),45853.6666666666)</f>
        <v>45853.666666666599</v>
      </c>
      <c r="B358" s="2"/>
      <c r="C358" s="2"/>
      <c r="D358" s="1">
        <v>4040</v>
      </c>
      <c r="E358" s="1">
        <v>4070</v>
      </c>
      <c r="F358" s="1">
        <v>4010</v>
      </c>
      <c r="G358" s="1">
        <v>4050</v>
      </c>
      <c r="H358" s="1">
        <v>30497400</v>
      </c>
      <c r="I358" s="4">
        <f t="shared" si="10"/>
        <v>2.4752475247524753E-3</v>
      </c>
      <c r="J358" s="4">
        <f t="shared" si="11"/>
        <v>-0.24651162790697675</v>
      </c>
    </row>
    <row r="359" spans="1:10" x14ac:dyDescent="0.2">
      <c r="A359" s="2">
        <f ca="1">IFERROR(__xludf.DUMMYFUNCTION("""COMPUTED_VALUE"""),45854.6666666666)</f>
        <v>45854.666666666599</v>
      </c>
      <c r="B359" s="2"/>
      <c r="C359" s="2"/>
      <c r="D359" s="1">
        <v>4130</v>
      </c>
      <c r="E359" s="1">
        <v>4150</v>
      </c>
      <c r="F359" s="1">
        <v>4080</v>
      </c>
      <c r="G359" s="1">
        <v>4130</v>
      </c>
      <c r="H359" s="1">
        <v>66349800</v>
      </c>
      <c r="I359" s="4">
        <f t="shared" si="10"/>
        <v>1.9753086419753086E-2</v>
      </c>
      <c r="J359" s="4">
        <f t="shared" si="11"/>
        <v>-0.23162790697674418</v>
      </c>
    </row>
    <row r="360" spans="1:10" x14ac:dyDescent="0.2">
      <c r="A360" s="2">
        <f ca="1">IFERROR(__xludf.DUMMYFUNCTION("""COMPUTED_VALUE"""),45855.6666666666)</f>
        <v>45855.666666666599</v>
      </c>
      <c r="B360" s="2"/>
      <c r="C360" s="2"/>
      <c r="D360" s="1">
        <v>4140</v>
      </c>
      <c r="E360" s="1">
        <v>4140</v>
      </c>
      <c r="F360" s="1">
        <v>4090</v>
      </c>
      <c r="G360" s="1">
        <v>4110</v>
      </c>
      <c r="H360" s="1">
        <v>25818000</v>
      </c>
      <c r="I360" s="4">
        <f t="shared" si="10"/>
        <v>-4.8426150121065378E-3</v>
      </c>
      <c r="J360" s="4">
        <f t="shared" si="11"/>
        <v>-0.23534883720930233</v>
      </c>
    </row>
    <row r="361" spans="1:10" x14ac:dyDescent="0.2">
      <c r="A361" s="2">
        <f ca="1">IFERROR(__xludf.DUMMYFUNCTION("""COMPUTED_VALUE"""),45856.6666666666)</f>
        <v>45856.666666666599</v>
      </c>
      <c r="B361" s="2"/>
      <c r="C361" s="2"/>
      <c r="D361" s="1">
        <v>4120</v>
      </c>
      <c r="E361" s="1">
        <v>4150</v>
      </c>
      <c r="F361" s="1">
        <v>4100</v>
      </c>
      <c r="G361" s="1">
        <v>4120</v>
      </c>
      <c r="H361" s="1">
        <v>35072000</v>
      </c>
      <c r="I361" s="4">
        <f t="shared" si="10"/>
        <v>2.4330900243309003E-3</v>
      </c>
      <c r="J361" s="4">
        <f t="shared" si="11"/>
        <v>-0.23348837209302326</v>
      </c>
    </row>
    <row r="362" spans="1:10" x14ac:dyDescent="0.2">
      <c r="A362" s="2">
        <f ca="1">IFERROR(__xludf.DUMMYFUNCTION("""COMPUTED_VALUE"""),45859.6666666666)</f>
        <v>45859.666666666599</v>
      </c>
      <c r="B362" s="2"/>
      <c r="C362" s="2"/>
      <c r="D362" s="1">
        <v>4140</v>
      </c>
      <c r="E362" s="1">
        <v>4140</v>
      </c>
      <c r="F362" s="1">
        <v>4070</v>
      </c>
      <c r="G362" s="1">
        <v>4070</v>
      </c>
      <c r="H362" s="1">
        <v>35004100</v>
      </c>
      <c r="I362" s="4">
        <f t="shared" si="10"/>
        <v>-1.2135922330097087E-2</v>
      </c>
      <c r="J362" s="4">
        <f t="shared" si="11"/>
        <v>-0.2427906976744186</v>
      </c>
    </row>
    <row r="363" spans="1:10" x14ac:dyDescent="0.2">
      <c r="A363" s="2">
        <f ca="1">IFERROR(__xludf.DUMMYFUNCTION("""COMPUTED_VALUE"""),45860.6666666666)</f>
        <v>45860.666666666599</v>
      </c>
      <c r="B363" s="2"/>
      <c r="C363" s="2"/>
      <c r="D363" s="1">
        <v>4090</v>
      </c>
      <c r="E363" s="1">
        <v>4090</v>
      </c>
      <c r="F363" s="1">
        <v>4040</v>
      </c>
      <c r="G363" s="1">
        <v>4050</v>
      </c>
      <c r="H363" s="1">
        <v>32607800</v>
      </c>
      <c r="I363" s="4">
        <f t="shared" si="10"/>
        <v>-4.9140049140049139E-3</v>
      </c>
      <c r="J363" s="4">
        <f t="shared" si="11"/>
        <v>-0.24651162790697675</v>
      </c>
    </row>
    <row r="364" spans="1:10" x14ac:dyDescent="0.2">
      <c r="A364" s="2">
        <f ca="1">IFERROR(__xludf.DUMMYFUNCTION("""COMPUTED_VALUE"""),45861.6666666666)</f>
        <v>45861.666666666599</v>
      </c>
      <c r="B364" s="2"/>
      <c r="C364" s="2"/>
      <c r="D364" s="1">
        <v>4080</v>
      </c>
      <c r="E364" s="1">
        <v>4100</v>
      </c>
      <c r="F364" s="1">
        <v>4040</v>
      </c>
      <c r="G364" s="1">
        <v>4100</v>
      </c>
      <c r="H364" s="1">
        <v>23315700</v>
      </c>
      <c r="I364" s="4">
        <f t="shared" si="10"/>
        <v>1.2345679012345678E-2</v>
      </c>
      <c r="J364" s="4">
        <f t="shared" si="11"/>
        <v>-0.23720930232558141</v>
      </c>
    </row>
    <row r="365" spans="1:10" x14ac:dyDescent="0.2">
      <c r="A365" s="2">
        <f ca="1">IFERROR(__xludf.DUMMYFUNCTION("""COMPUTED_VALUE"""),45862.6666666666)</f>
        <v>45862.666666666599</v>
      </c>
      <c r="B365" s="2"/>
      <c r="C365" s="2"/>
      <c r="D365" s="1">
        <v>4100</v>
      </c>
      <c r="E365" s="1">
        <v>4250</v>
      </c>
      <c r="F365" s="1">
        <v>4080</v>
      </c>
      <c r="G365" s="1">
        <v>4220</v>
      </c>
      <c r="H365" s="1">
        <v>57276100</v>
      </c>
      <c r="I365" s="4">
        <f t="shared" si="10"/>
        <v>2.9268292682926831E-2</v>
      </c>
      <c r="J365" s="4">
        <f t="shared" si="11"/>
        <v>-0.21488372093023256</v>
      </c>
    </row>
    <row r="366" spans="1:10" x14ac:dyDescent="0.2">
      <c r="A366" s="2">
        <f ca="1">IFERROR(__xludf.DUMMYFUNCTION("""COMPUTED_VALUE"""),45863.6666666666)</f>
        <v>45863.666666666599</v>
      </c>
      <c r="B366" s="2"/>
      <c r="C366" s="2"/>
      <c r="D366" s="1">
        <v>4160</v>
      </c>
      <c r="E366" s="1">
        <v>4180</v>
      </c>
      <c r="F366" s="1">
        <v>4070</v>
      </c>
      <c r="G366" s="1">
        <v>4090</v>
      </c>
      <c r="H366" s="1">
        <v>48597600</v>
      </c>
      <c r="I366" s="4">
        <f t="shared" si="10"/>
        <v>-3.0805687203791468E-2</v>
      </c>
      <c r="J366" s="4">
        <f t="shared" si="11"/>
        <v>-0.23906976744186045</v>
      </c>
    </row>
    <row r="367" spans="1:10" x14ac:dyDescent="0.2">
      <c r="A367" s="2">
        <f ca="1">IFERROR(__xludf.DUMMYFUNCTION("""COMPUTED_VALUE"""),45866.6666666666)</f>
        <v>45866.666666666599</v>
      </c>
      <c r="B367" s="2"/>
      <c r="C367" s="2"/>
      <c r="D367" s="1">
        <v>4110</v>
      </c>
      <c r="E367" s="1">
        <v>4220</v>
      </c>
      <c r="F367" s="1">
        <v>4090</v>
      </c>
      <c r="G367" s="1">
        <v>4210</v>
      </c>
      <c r="H367" s="1">
        <v>45451600</v>
      </c>
      <c r="I367" s="4">
        <f t="shared" si="10"/>
        <v>2.9339853300733496E-2</v>
      </c>
      <c r="J367" s="4">
        <f t="shared" si="11"/>
        <v>-0.21674418604651163</v>
      </c>
    </row>
    <row r="368" spans="1:10" x14ac:dyDescent="0.2">
      <c r="A368" s="2">
        <f ca="1">IFERROR(__xludf.DUMMYFUNCTION("""COMPUTED_VALUE"""),45867.6666666666)</f>
        <v>45867.666666666599</v>
      </c>
      <c r="B368" s="2"/>
      <c r="C368" s="2"/>
      <c r="D368" s="1">
        <v>4200</v>
      </c>
      <c r="E368" s="1">
        <v>4200</v>
      </c>
      <c r="F368" s="1">
        <v>4120</v>
      </c>
      <c r="G368" s="1">
        <v>4150</v>
      </c>
      <c r="H368" s="1">
        <v>27287100</v>
      </c>
      <c r="I368" s="4">
        <f t="shared" si="10"/>
        <v>-1.4251781472684086E-2</v>
      </c>
      <c r="J368" s="4">
        <f t="shared" si="11"/>
        <v>-0.22790697674418606</v>
      </c>
    </row>
    <row r="369" spans="1:10" x14ac:dyDescent="0.2">
      <c r="A369" s="2">
        <f ca="1">IFERROR(__xludf.DUMMYFUNCTION("""COMPUTED_VALUE"""),45868.6666666666)</f>
        <v>45868.666666666599</v>
      </c>
      <c r="B369" s="2"/>
      <c r="C369" s="2"/>
      <c r="D369" s="1">
        <v>4150</v>
      </c>
      <c r="E369" s="1">
        <v>4160</v>
      </c>
      <c r="F369" s="1">
        <v>4090</v>
      </c>
      <c r="G369" s="1">
        <v>4120</v>
      </c>
      <c r="H369" s="1">
        <v>33919100</v>
      </c>
      <c r="I369" s="4">
        <f t="shared" si="10"/>
        <v>-7.2289156626506026E-3</v>
      </c>
      <c r="J369" s="4">
        <f t="shared" si="11"/>
        <v>-0.23348837209302326</v>
      </c>
    </row>
    <row r="370" spans="1:10" x14ac:dyDescent="0.2">
      <c r="A370" s="2">
        <f ca="1">IFERROR(__xludf.DUMMYFUNCTION("""COMPUTED_VALUE"""),45869.6666666666)</f>
        <v>45869.666666666599</v>
      </c>
      <c r="B370" s="2"/>
      <c r="C370" s="2"/>
      <c r="D370" s="1">
        <v>4100</v>
      </c>
      <c r="E370" s="1">
        <v>4110</v>
      </c>
      <c r="F370" s="1">
        <v>4010</v>
      </c>
      <c r="G370" s="1">
        <v>4010</v>
      </c>
      <c r="H370" s="1">
        <v>50384500</v>
      </c>
      <c r="I370" s="4">
        <f t="shared" si="10"/>
        <v>-2.6699029126213591E-2</v>
      </c>
      <c r="J370" s="4">
        <f t="shared" si="11"/>
        <v>-0.25395348837209303</v>
      </c>
    </row>
    <row r="371" spans="1:10" x14ac:dyDescent="0.2">
      <c r="A371" s="2">
        <f ca="1">IFERROR(__xludf.DUMMYFUNCTION("""COMPUTED_VALUE"""),45870.6666666666)</f>
        <v>45870.666666666599</v>
      </c>
      <c r="B371" s="2"/>
      <c r="C371" s="2"/>
      <c r="D371" s="1">
        <v>4050</v>
      </c>
      <c r="E371" s="1">
        <v>4070</v>
      </c>
      <c r="F371" s="1">
        <v>4010</v>
      </c>
      <c r="G371" s="1">
        <v>4010</v>
      </c>
      <c r="H371" s="1">
        <v>32295500</v>
      </c>
      <c r="I371" s="4">
        <f t="shared" si="10"/>
        <v>0</v>
      </c>
      <c r="J371" s="4">
        <f t="shared" si="11"/>
        <v>-0.25395348837209303</v>
      </c>
    </row>
    <row r="372" spans="1:10" x14ac:dyDescent="0.2">
      <c r="A372" s="2">
        <f ca="1">IFERROR(__xludf.DUMMYFUNCTION("""COMPUTED_VALUE"""),45873.6666666666)</f>
        <v>45873.666666666599</v>
      </c>
      <c r="B372" s="2"/>
      <c r="C372" s="2"/>
      <c r="D372" s="1">
        <v>4000</v>
      </c>
      <c r="E372" s="1">
        <v>4030</v>
      </c>
      <c r="F372" s="1">
        <v>3990</v>
      </c>
      <c r="G372" s="1">
        <v>4010</v>
      </c>
      <c r="H372" s="1">
        <v>30440700</v>
      </c>
      <c r="I372" s="4">
        <f t="shared" si="10"/>
        <v>0</v>
      </c>
      <c r="J372" s="4">
        <f t="shared" si="11"/>
        <v>-0.25395348837209303</v>
      </c>
    </row>
    <row r="373" spans="1:10" x14ac:dyDescent="0.2">
      <c r="A373" s="2">
        <f ca="1">IFERROR(__xludf.DUMMYFUNCTION("""COMPUTED_VALUE"""),45874.6666666666)</f>
        <v>45874.666666666599</v>
      </c>
      <c r="B373" s="2"/>
      <c r="C373" s="2"/>
      <c r="D373" s="1">
        <v>4040</v>
      </c>
      <c r="E373" s="1">
        <v>4230</v>
      </c>
      <c r="F373" s="1">
        <v>4040</v>
      </c>
      <c r="G373" s="1">
        <v>4220</v>
      </c>
      <c r="H373" s="1">
        <v>93772600</v>
      </c>
      <c r="I373" s="4">
        <f t="shared" si="10"/>
        <v>5.2369077306733167E-2</v>
      </c>
      <c r="J373" s="4">
        <f t="shared" si="11"/>
        <v>-0.21488372093023256</v>
      </c>
    </row>
    <row r="374" spans="1:10" x14ac:dyDescent="0.2">
      <c r="A374" s="2">
        <f ca="1">IFERROR(__xludf.DUMMYFUNCTION("""COMPUTED_VALUE"""),45875.6666666666)</f>
        <v>45875.666666666599</v>
      </c>
      <c r="B374" s="2"/>
      <c r="C374" s="2"/>
      <c r="D374" s="1">
        <v>4220</v>
      </c>
      <c r="E374" s="1">
        <v>4230</v>
      </c>
      <c r="F374" s="1">
        <v>4100</v>
      </c>
      <c r="G374" s="1">
        <v>4100</v>
      </c>
      <c r="H374" s="1">
        <v>27975700</v>
      </c>
      <c r="I374" s="4">
        <f t="shared" si="10"/>
        <v>-2.843601895734597E-2</v>
      </c>
      <c r="J374" s="4">
        <f t="shared" si="11"/>
        <v>-0.23720930232558141</v>
      </c>
    </row>
    <row r="375" spans="1:10" x14ac:dyDescent="0.2">
      <c r="A375" s="2">
        <f ca="1">IFERROR(__xludf.DUMMYFUNCTION("""COMPUTED_VALUE"""),45876.6666666666)</f>
        <v>45876.666666666599</v>
      </c>
      <c r="B375" s="2"/>
      <c r="C375" s="2"/>
      <c r="D375" s="1">
        <v>4120</v>
      </c>
      <c r="E375" s="1">
        <v>4140</v>
      </c>
      <c r="F375" s="1">
        <v>4100</v>
      </c>
      <c r="G375" s="1">
        <v>4120</v>
      </c>
      <c r="H375" s="1">
        <v>21207800</v>
      </c>
      <c r="I375" s="4">
        <f t="shared" si="10"/>
        <v>4.8780487804878049E-3</v>
      </c>
      <c r="J375" s="4">
        <f t="shared" si="11"/>
        <v>-0.23348837209302326</v>
      </c>
    </row>
    <row r="376" spans="1:10" x14ac:dyDescent="0.2">
      <c r="A376" s="2">
        <f ca="1">IFERROR(__xludf.DUMMYFUNCTION("""COMPUTED_VALUE"""),45877.6666666666)</f>
        <v>45877.666666666599</v>
      </c>
      <c r="B376" s="2"/>
      <c r="C376" s="2"/>
      <c r="D376" s="1">
        <v>4090</v>
      </c>
      <c r="E376" s="1">
        <v>4100</v>
      </c>
      <c r="F376" s="1">
        <v>4070</v>
      </c>
      <c r="G376" s="1">
        <v>4070</v>
      </c>
      <c r="H376" s="1">
        <v>43531000</v>
      </c>
      <c r="I376" s="4">
        <f t="shared" si="10"/>
        <v>-1.2135922330097087E-2</v>
      </c>
      <c r="J376" s="4">
        <f t="shared" si="11"/>
        <v>-0.2427906976744186</v>
      </c>
    </row>
    <row r="377" spans="1:10" x14ac:dyDescent="0.2">
      <c r="A377" s="2">
        <f ca="1">IFERROR(__xludf.DUMMYFUNCTION("""COMPUTED_VALUE"""),45880.6666666666)</f>
        <v>45880.666666666599</v>
      </c>
      <c r="B377" s="2"/>
      <c r="C377" s="2"/>
      <c r="D377" s="1">
        <v>4090</v>
      </c>
      <c r="E377" s="1">
        <v>4220</v>
      </c>
      <c r="F377" s="1">
        <v>4080</v>
      </c>
      <c r="G377" s="1">
        <v>4200</v>
      </c>
      <c r="H377" s="1">
        <v>61703500</v>
      </c>
      <c r="I377" s="4">
        <f t="shared" si="10"/>
        <v>3.1941031941031942E-2</v>
      </c>
      <c r="J377" s="4">
        <f t="shared" si="11"/>
        <v>-0.21860465116279071</v>
      </c>
    </row>
    <row r="378" spans="1:10" x14ac:dyDescent="0.2">
      <c r="A378" s="2">
        <f ca="1">IFERROR(__xludf.DUMMYFUNCTION("""COMPUTED_VALUE"""),45881.6666666666)</f>
        <v>45881.666666666599</v>
      </c>
      <c r="B378" s="2"/>
      <c r="C378" s="2"/>
      <c r="D378" s="1">
        <v>4220</v>
      </c>
      <c r="E378" s="1">
        <v>4420</v>
      </c>
      <c r="F378" s="1">
        <v>4210</v>
      </c>
      <c r="G378" s="1">
        <v>4360</v>
      </c>
      <c r="H378" s="1">
        <v>120908000</v>
      </c>
      <c r="I378" s="4">
        <f t="shared" si="10"/>
        <v>3.8095238095238099E-2</v>
      </c>
      <c r="J378" s="4">
        <f t="shared" si="11"/>
        <v>-0.18883720930232559</v>
      </c>
    </row>
    <row r="379" spans="1:10" x14ac:dyDescent="0.2">
      <c r="A379" s="2">
        <f ca="1">IFERROR(__xludf.DUMMYFUNCTION("""COMPUTED_VALUE"""),45882.6666666666)</f>
        <v>45882.666666666599</v>
      </c>
      <c r="B379" s="2"/>
      <c r="C379" s="2"/>
      <c r="D379" s="1">
        <v>4390</v>
      </c>
      <c r="E379" s="1">
        <v>4420</v>
      </c>
      <c r="F379" s="1">
        <v>4310</v>
      </c>
      <c r="G379" s="1">
        <v>4370</v>
      </c>
      <c r="H379" s="1">
        <v>54042400</v>
      </c>
      <c r="I379" s="4">
        <f t="shared" si="10"/>
        <v>2.2935779816513763E-3</v>
      </c>
      <c r="J379" s="4">
        <f t="shared" si="11"/>
        <v>-0.18697674418604651</v>
      </c>
    </row>
    <row r="380" spans="1:10" x14ac:dyDescent="0.2">
      <c r="A380" s="2">
        <f ca="1">IFERROR(__xludf.DUMMYFUNCTION("""COMPUTED_VALUE"""),45883.6666666666)</f>
        <v>45883.666666666599</v>
      </c>
      <c r="B380" s="2"/>
      <c r="C380" s="2"/>
      <c r="D380" s="1">
        <v>4400</v>
      </c>
      <c r="E380" s="1">
        <v>4400</v>
      </c>
      <c r="F380" s="1">
        <v>4360</v>
      </c>
      <c r="G380" s="1">
        <v>4390</v>
      </c>
      <c r="H380" s="1">
        <v>43156900</v>
      </c>
      <c r="I380" s="4">
        <f t="shared" si="10"/>
        <v>4.5766590389016018E-3</v>
      </c>
      <c r="J380" s="4">
        <f t="shared" si="11"/>
        <v>-0.18325581395348836</v>
      </c>
    </row>
    <row r="381" spans="1:10" x14ac:dyDescent="0.2">
      <c r="A381" s="2">
        <f ca="1">IFERROR(__xludf.DUMMYFUNCTION("""COMPUTED_VALUE"""),45884.6666666666)</f>
        <v>45884.666666666599</v>
      </c>
      <c r="B381" s="2"/>
      <c r="C381" s="2"/>
      <c r="D381" s="1">
        <v>4370</v>
      </c>
      <c r="E381" s="1">
        <v>4450</v>
      </c>
      <c r="F381" s="1">
        <v>4370</v>
      </c>
      <c r="G381" s="1">
        <v>4370</v>
      </c>
      <c r="H381" s="1">
        <v>62301400</v>
      </c>
      <c r="I381" s="4">
        <f t="shared" si="10"/>
        <v>-4.5558086560364463E-3</v>
      </c>
      <c r="J381" s="4">
        <f t="shared" si="11"/>
        <v>-0.18697674418604651</v>
      </c>
    </row>
    <row r="382" spans="1:10" x14ac:dyDescent="0.2">
      <c r="A382" s="2">
        <f ca="1">IFERROR(__xludf.DUMMYFUNCTION("""COMPUTED_VALUE"""),45888.6666666666)</f>
        <v>45888.666666666599</v>
      </c>
      <c r="B382" s="2"/>
      <c r="C382" s="2"/>
      <c r="D382" s="1">
        <v>4360</v>
      </c>
      <c r="E382" s="1">
        <v>4360</v>
      </c>
      <c r="F382" s="1">
        <v>4280</v>
      </c>
      <c r="G382" s="1">
        <v>4330</v>
      </c>
      <c r="H382" s="1">
        <v>34407300</v>
      </c>
      <c r="I382" s="4">
        <f t="shared" si="10"/>
        <v>-9.1533180778032037E-3</v>
      </c>
      <c r="J382" s="4">
        <f t="shared" si="11"/>
        <v>-0.19441860465116279</v>
      </c>
    </row>
    <row r="383" spans="1:10" x14ac:dyDescent="0.2">
      <c r="A383" s="2">
        <f ca="1">IFERROR(__xludf.DUMMYFUNCTION("""COMPUTED_VALUE"""),45889.6666666666)</f>
        <v>45889.666666666599</v>
      </c>
      <c r="B383" s="2"/>
      <c r="C383" s="2"/>
      <c r="D383" s="1">
        <v>4290</v>
      </c>
      <c r="E383" s="1">
        <v>4450</v>
      </c>
      <c r="F383" s="1">
        <v>4290</v>
      </c>
      <c r="G383" s="1">
        <v>4430</v>
      </c>
      <c r="H383" s="1">
        <v>52897600</v>
      </c>
      <c r="I383" s="4">
        <f t="shared" si="10"/>
        <v>2.3094688221709007E-2</v>
      </c>
      <c r="J383" s="4">
        <f t="shared" si="11"/>
        <v>-0.17581395348837209</v>
      </c>
    </row>
    <row r="384" spans="1:10" x14ac:dyDescent="0.2">
      <c r="A384" s="2">
        <f ca="1">IFERROR(__xludf.DUMMYFUNCTION("""COMPUTED_VALUE"""),45890.6666666666)</f>
        <v>45890.666666666599</v>
      </c>
      <c r="B384" s="2"/>
      <c r="C384" s="2"/>
      <c r="D384" s="1">
        <v>4420</v>
      </c>
      <c r="E384" s="1">
        <v>4490</v>
      </c>
      <c r="F384" s="1">
        <v>4400</v>
      </c>
      <c r="G384" s="1">
        <v>4490</v>
      </c>
      <c r="H384" s="1">
        <v>60899400</v>
      </c>
      <c r="I384" s="4">
        <f t="shared" si="10"/>
        <v>1.3544018058690745E-2</v>
      </c>
      <c r="J384" s="4">
        <f t="shared" si="11"/>
        <v>-0.16465116279069766</v>
      </c>
    </row>
    <row r="385" spans="1:10" x14ac:dyDescent="0.2">
      <c r="A385" s="2">
        <f ca="1">IFERROR(__xludf.DUMMYFUNCTION("""COMPUTED_VALUE"""),45891.6666666666)</f>
        <v>45891.666666666599</v>
      </c>
      <c r="B385" s="2"/>
      <c r="C385" s="2"/>
      <c r="D385" s="1">
        <v>4500</v>
      </c>
      <c r="E385" s="1">
        <v>4500</v>
      </c>
      <c r="F385" s="1">
        <v>4380</v>
      </c>
      <c r="G385" s="1">
        <v>4390</v>
      </c>
      <c r="H385" s="1">
        <v>32633000</v>
      </c>
      <c r="I385" s="4">
        <f t="shared" si="10"/>
        <v>-2.2271714922048998E-2</v>
      </c>
      <c r="J385" s="4">
        <f t="shared" si="11"/>
        <v>-0.18325581395348836</v>
      </c>
    </row>
    <row r="386" spans="1:10" x14ac:dyDescent="0.2">
      <c r="A386" s="2">
        <f ca="1">IFERROR(__xludf.DUMMYFUNCTION("""COMPUTED_VALUE"""),45894.6666666666)</f>
        <v>45894.666666666599</v>
      </c>
      <c r="B386" s="2"/>
      <c r="C386" s="2"/>
      <c r="D386" s="1">
        <v>4460</v>
      </c>
      <c r="E386" s="1">
        <v>4520</v>
      </c>
      <c r="F386" s="1">
        <v>4440</v>
      </c>
      <c r="G386" s="1">
        <v>4450</v>
      </c>
      <c r="H386" s="1">
        <v>53434200</v>
      </c>
      <c r="I386" s="4">
        <f t="shared" si="10"/>
        <v>1.366742596810934E-2</v>
      </c>
      <c r="J386" s="4">
        <f t="shared" si="11"/>
        <v>-0.17209302325581396</v>
      </c>
    </row>
    <row r="387" spans="1:10" x14ac:dyDescent="0.2">
      <c r="A387" s="2">
        <f ca="1">IFERROR(__xludf.DUMMYFUNCTION("""COMPUTED_VALUE"""),45895.6666666666)</f>
        <v>45895.666666666599</v>
      </c>
      <c r="B387" s="2"/>
      <c r="C387" s="2"/>
      <c r="D387" s="1">
        <v>4430</v>
      </c>
      <c r="E387" s="1">
        <v>4540</v>
      </c>
      <c r="F387" s="1">
        <v>4370</v>
      </c>
      <c r="G387" s="1">
        <v>4540</v>
      </c>
      <c r="H387" s="1">
        <v>85603900</v>
      </c>
      <c r="I387" s="4">
        <f t="shared" si="10"/>
        <v>2.0224719101123594E-2</v>
      </c>
      <c r="J387" s="4">
        <f t="shared" si="11"/>
        <v>-0.15534883720930232</v>
      </c>
    </row>
    <row r="388" spans="1:10" x14ac:dyDescent="0.2">
      <c r="A388" s="2">
        <f ca="1">IFERROR(__xludf.DUMMYFUNCTION("""COMPUTED_VALUE"""),45896.6666666666)</f>
        <v>45896.666666666599</v>
      </c>
      <c r="B388" s="2"/>
      <c r="C388" s="2"/>
      <c r="D388" s="1">
        <v>4500</v>
      </c>
      <c r="E388" s="1">
        <v>4500</v>
      </c>
      <c r="F388" s="1">
        <v>4400</v>
      </c>
      <c r="G388" s="1">
        <v>4450</v>
      </c>
      <c r="H388" s="1">
        <v>45966700</v>
      </c>
      <c r="I388" s="4">
        <f t="shared" ref="I388:I451" si="12">(G388-G387)/G387</f>
        <v>-1.9823788546255508E-2</v>
      </c>
      <c r="J388" s="4">
        <f t="shared" ref="J388:J451" si="13">(G388-$G$2)/$G$2</f>
        <v>-0.17209302325581396</v>
      </c>
    </row>
    <row r="389" spans="1:10" x14ac:dyDescent="0.2">
      <c r="A389" s="2">
        <f ca="1">IFERROR(__xludf.DUMMYFUNCTION("""COMPUTED_VALUE"""),45897.6666666666)</f>
        <v>45897.666666666599</v>
      </c>
      <c r="B389" s="2"/>
      <c r="C389" s="2"/>
      <c r="D389" s="1">
        <v>4480</v>
      </c>
      <c r="E389" s="1">
        <v>4500</v>
      </c>
      <c r="F389" s="1">
        <v>4450</v>
      </c>
      <c r="G389" s="1">
        <v>4460</v>
      </c>
      <c r="H389" s="1">
        <v>37274600</v>
      </c>
      <c r="I389" s="4">
        <f t="shared" si="12"/>
        <v>2.2471910112359553E-3</v>
      </c>
      <c r="J389" s="4">
        <f t="shared" si="13"/>
        <v>-0.17023255813953489</v>
      </c>
    </row>
    <row r="390" spans="1:10" x14ac:dyDescent="0.2">
      <c r="A390" s="2">
        <f ca="1">IFERROR(__xludf.DUMMYFUNCTION("""COMPUTED_VALUE"""),45898.6666666666)</f>
        <v>45898.666666666599</v>
      </c>
      <c r="B390" s="2"/>
      <c r="C390" s="2"/>
      <c r="D390" s="1">
        <v>4440</v>
      </c>
      <c r="E390" s="1">
        <v>4460</v>
      </c>
      <c r="F390" s="1">
        <v>4350</v>
      </c>
      <c r="G390" s="1">
        <v>4380</v>
      </c>
      <c r="H390" s="1">
        <v>60711900</v>
      </c>
      <c r="I390" s="4">
        <f t="shared" si="12"/>
        <v>-1.7937219730941704E-2</v>
      </c>
      <c r="J390" s="4">
        <f t="shared" si="13"/>
        <v>-0.18511627906976744</v>
      </c>
    </row>
    <row r="391" spans="1:10" x14ac:dyDescent="0.2">
      <c r="A391" s="2">
        <f ca="1">IFERROR(__xludf.DUMMYFUNCTION("""COMPUTED_VALUE"""),45901.6666666666)</f>
        <v>45901.666666666599</v>
      </c>
      <c r="B391" s="2"/>
      <c r="C391" s="2"/>
      <c r="D391" s="1">
        <v>4170</v>
      </c>
      <c r="E391" s="1">
        <v>4400</v>
      </c>
      <c r="F391" s="1">
        <v>4150</v>
      </c>
      <c r="G391" s="1">
        <v>4320</v>
      </c>
      <c r="H391" s="1">
        <v>60513100</v>
      </c>
      <c r="I391" s="4">
        <f t="shared" si="12"/>
        <v>-1.3698630136986301E-2</v>
      </c>
      <c r="J391" s="4">
        <f t="shared" si="13"/>
        <v>-0.19627906976744186</v>
      </c>
    </row>
    <row r="392" spans="1:10" x14ac:dyDescent="0.2">
      <c r="A392" s="2">
        <f ca="1">IFERROR(__xludf.DUMMYFUNCTION("""COMPUTED_VALUE"""),45902.6666666666)</f>
        <v>45902.666666666599</v>
      </c>
      <c r="B392" s="2"/>
      <c r="C392" s="2"/>
      <c r="D392" s="1">
        <v>4340</v>
      </c>
      <c r="E392" s="1">
        <v>4430</v>
      </c>
      <c r="F392" s="1">
        <v>4290</v>
      </c>
      <c r="G392" s="1">
        <v>4310</v>
      </c>
      <c r="H392" s="1">
        <v>28513000</v>
      </c>
      <c r="I392" s="4">
        <f t="shared" si="12"/>
        <v>-2.3148148148148147E-3</v>
      </c>
      <c r="J392" s="4">
        <f t="shared" si="13"/>
        <v>-0.19813953488372094</v>
      </c>
    </row>
    <row r="393" spans="1:10" x14ac:dyDescent="0.2">
      <c r="A393" s="2">
        <f ca="1">IFERROR(__xludf.DUMMYFUNCTION("""COMPUTED_VALUE"""),45903.6666666666)</f>
        <v>45903.666666666599</v>
      </c>
      <c r="B393" s="2"/>
      <c r="C393" s="2"/>
      <c r="D393" s="1">
        <v>4320</v>
      </c>
      <c r="E393" s="1">
        <v>4410</v>
      </c>
      <c r="F393" s="1">
        <v>4320</v>
      </c>
      <c r="G393" s="1">
        <v>4410</v>
      </c>
      <c r="H393" s="1">
        <v>29754100</v>
      </c>
      <c r="I393" s="4">
        <f t="shared" si="12"/>
        <v>2.3201856148491878E-2</v>
      </c>
      <c r="J393" s="4">
        <f t="shared" si="13"/>
        <v>-0.17953488372093024</v>
      </c>
    </row>
    <row r="394" spans="1:10" x14ac:dyDescent="0.2">
      <c r="A394" s="2">
        <f ca="1">IFERROR(__xludf.DUMMYFUNCTION("""COMPUTED_VALUE"""),45904.6666666666)</f>
        <v>45904.666666666599</v>
      </c>
      <c r="B394" s="2"/>
      <c r="C394" s="2"/>
      <c r="D394" s="1">
        <v>4410</v>
      </c>
      <c r="E394" s="1">
        <v>4410</v>
      </c>
      <c r="F394" s="1">
        <v>4340</v>
      </c>
      <c r="G394" s="1">
        <v>4370</v>
      </c>
      <c r="H394" s="1">
        <v>17346200</v>
      </c>
      <c r="I394" s="4">
        <f t="shared" si="12"/>
        <v>-9.0702947845804991E-3</v>
      </c>
      <c r="J394" s="4">
        <f t="shared" si="13"/>
        <v>-0.18697674418604651</v>
      </c>
    </row>
    <row r="395" spans="1:10" x14ac:dyDescent="0.2">
      <c r="A395" s="2">
        <f ca="1">IFERROR(__xludf.DUMMYFUNCTION("""COMPUTED_VALUE"""),45908.6666666666)</f>
        <v>45908.666666666599</v>
      </c>
      <c r="B395" s="2"/>
      <c r="C395" s="2"/>
      <c r="D395" s="1">
        <v>4430</v>
      </c>
      <c r="E395" s="1">
        <v>4440</v>
      </c>
      <c r="F395" s="1">
        <v>4050</v>
      </c>
      <c r="G395" s="1">
        <v>4180</v>
      </c>
      <c r="H395" s="1">
        <v>55687200</v>
      </c>
      <c r="I395" s="4">
        <f t="shared" si="12"/>
        <v>-4.3478260869565216E-2</v>
      </c>
      <c r="J395" s="4">
        <f t="shared" si="13"/>
        <v>-0.22232558139534883</v>
      </c>
    </row>
    <row r="396" spans="1:10" x14ac:dyDescent="0.2">
      <c r="A396" s="2">
        <f ca="1">IFERROR(__xludf.DUMMYFUNCTION("""COMPUTED_VALUE"""),45909.6666666666)</f>
        <v>45909.666666666599</v>
      </c>
      <c r="B396" s="2"/>
      <c r="C396" s="2"/>
      <c r="D396" s="1">
        <v>4160</v>
      </c>
      <c r="E396" s="1">
        <v>4200</v>
      </c>
      <c r="F396" s="1">
        <v>4020</v>
      </c>
      <c r="G396" s="1">
        <v>4080</v>
      </c>
      <c r="H396" s="1">
        <v>102884200</v>
      </c>
      <c r="I396" s="4">
        <f t="shared" si="12"/>
        <v>-2.3923444976076555E-2</v>
      </c>
      <c r="J396" s="4">
        <f t="shared" si="13"/>
        <v>-0.24093023255813953</v>
      </c>
    </row>
    <row r="397" spans="1:10" x14ac:dyDescent="0.2">
      <c r="A397" s="2">
        <f ca="1">IFERROR(__xludf.DUMMYFUNCTION("""COMPUTED_VALUE"""),45910.6666666666)</f>
        <v>45910.666666666599</v>
      </c>
      <c r="B397" s="2"/>
      <c r="C397" s="2"/>
      <c r="D397" s="1">
        <v>4100</v>
      </c>
      <c r="E397" s="1">
        <v>4100</v>
      </c>
      <c r="F397" s="1">
        <v>4100</v>
      </c>
      <c r="G397" s="1">
        <v>4100</v>
      </c>
      <c r="H397" s="1">
        <v>801500</v>
      </c>
      <c r="I397" s="4">
        <f t="shared" si="12"/>
        <v>4.9019607843137254E-3</v>
      </c>
      <c r="J397" s="4">
        <f t="shared" si="13"/>
        <v>-0.23720930232558141</v>
      </c>
    </row>
    <row r="398" spans="1:10" x14ac:dyDescent="0.2">
      <c r="A398" s="2">
        <f ca="1">IFERROR(__xludf.DUMMYFUNCTION("""COMPUTED_VALUE"""),45911.6666666666)</f>
        <v>45911.666666666599</v>
      </c>
      <c r="B398" s="2"/>
      <c r="C398" s="2"/>
      <c r="D398" s="1">
        <v>4210</v>
      </c>
      <c r="E398" s="1">
        <v>4430</v>
      </c>
      <c r="F398" s="1">
        <v>4210</v>
      </c>
      <c r="G398" s="1">
        <v>4420</v>
      </c>
      <c r="H398" s="1">
        <v>130159900</v>
      </c>
      <c r="I398" s="4">
        <f t="shared" si="12"/>
        <v>7.8048780487804878E-2</v>
      </c>
      <c r="J398" s="4">
        <f t="shared" si="13"/>
        <v>-0.17767441860465116</v>
      </c>
    </row>
    <row r="399" spans="1:10" x14ac:dyDescent="0.2">
      <c r="A399" s="2">
        <f ca="1">IFERROR(__xludf.DUMMYFUNCTION("""COMPUTED_VALUE"""),45912.6666666666)</f>
        <v>45912.666666666599</v>
      </c>
      <c r="B399" s="2"/>
      <c r="C399" s="2"/>
      <c r="D399" s="1">
        <v>4430</v>
      </c>
      <c r="E399" s="1">
        <v>4530</v>
      </c>
      <c r="F399" s="1">
        <v>4330</v>
      </c>
      <c r="G399" s="1">
        <v>4520</v>
      </c>
      <c r="H399" s="1">
        <v>109797000</v>
      </c>
      <c r="I399" s="4">
        <f t="shared" si="12"/>
        <v>2.2624434389140271E-2</v>
      </c>
      <c r="J399" s="4">
        <f t="shared" si="13"/>
        <v>-0.15906976744186047</v>
      </c>
    </row>
    <row r="400" spans="1:10" x14ac:dyDescent="0.2">
      <c r="A400" s="2">
        <f ca="1">IFERROR(__xludf.DUMMYFUNCTION("""COMPUTED_VALUE"""),45915.6666666666)</f>
        <v>45915.666666666599</v>
      </c>
      <c r="B400" s="2"/>
      <c r="C400" s="2"/>
      <c r="D400" s="1">
        <v>4550</v>
      </c>
      <c r="E400" s="1">
        <v>4600</v>
      </c>
      <c r="F400" s="1">
        <v>4410</v>
      </c>
      <c r="G400" s="1">
        <v>4410</v>
      </c>
      <c r="H400" s="1">
        <v>74523200</v>
      </c>
      <c r="I400" s="4">
        <f t="shared" si="12"/>
        <v>-2.4336283185840708E-2</v>
      </c>
      <c r="J400" s="4">
        <f t="shared" si="13"/>
        <v>-0.17953488372093024</v>
      </c>
    </row>
    <row r="401" spans="1:10" x14ac:dyDescent="0.2">
      <c r="A401" s="2">
        <f ca="1">IFERROR(__xludf.DUMMYFUNCTION("""COMPUTED_VALUE"""),45916.6666666666)</f>
        <v>45916.666666666599</v>
      </c>
      <c r="B401" s="2"/>
      <c r="C401" s="2"/>
      <c r="D401" s="1">
        <v>4440</v>
      </c>
      <c r="E401" s="1">
        <v>4450</v>
      </c>
      <c r="F401" s="1">
        <v>4320</v>
      </c>
      <c r="G401" s="1">
        <v>4370</v>
      </c>
      <c r="H401" s="1">
        <v>52083500</v>
      </c>
      <c r="I401" s="4">
        <f t="shared" si="12"/>
        <v>-9.0702947845804991E-3</v>
      </c>
      <c r="J401" s="4">
        <f t="shared" si="13"/>
        <v>-0.18697674418604651</v>
      </c>
    </row>
    <row r="402" spans="1:10" x14ac:dyDescent="0.2">
      <c r="A402" s="2">
        <f ca="1">IFERROR(__xludf.DUMMYFUNCTION("""COMPUTED_VALUE"""),45917.6666666666)</f>
        <v>45917.666666666599</v>
      </c>
      <c r="B402" s="2"/>
      <c r="C402" s="2"/>
      <c r="D402" s="1">
        <v>4390</v>
      </c>
      <c r="E402" s="1">
        <v>4450</v>
      </c>
      <c r="F402" s="1">
        <v>4330</v>
      </c>
      <c r="G402" s="1">
        <v>4450</v>
      </c>
      <c r="H402" s="1">
        <v>54546000</v>
      </c>
      <c r="I402" s="4">
        <f t="shared" si="12"/>
        <v>1.8306636155606407E-2</v>
      </c>
      <c r="J402" s="4">
        <f t="shared" si="13"/>
        <v>-0.17209302325581396</v>
      </c>
    </row>
    <row r="403" spans="1:10" x14ac:dyDescent="0.2">
      <c r="A403" s="2">
        <f ca="1">IFERROR(__xludf.DUMMYFUNCTION("""COMPUTED_VALUE"""),45918.6666666666)</f>
        <v>45918.666666666599</v>
      </c>
      <c r="B403" s="2"/>
      <c r="C403" s="2"/>
      <c r="D403" s="1">
        <v>4480</v>
      </c>
      <c r="E403" s="1">
        <v>4490</v>
      </c>
      <c r="F403" s="1">
        <v>4250</v>
      </c>
      <c r="G403" s="1">
        <v>4340</v>
      </c>
      <c r="H403" s="1">
        <v>90929900</v>
      </c>
      <c r="I403" s="4">
        <f t="shared" si="12"/>
        <v>-2.4719101123595506E-2</v>
      </c>
      <c r="J403" s="4">
        <f t="shared" si="13"/>
        <v>-0.19255813953488371</v>
      </c>
    </row>
    <row r="404" spans="1:10" x14ac:dyDescent="0.2">
      <c r="A404" s="2">
        <f ca="1">IFERROR(__xludf.DUMMYFUNCTION("""COMPUTED_VALUE"""),45919.6666666666)</f>
        <v>45919.666666666599</v>
      </c>
      <c r="B404" s="2"/>
      <c r="C404" s="2"/>
      <c r="D404" s="1">
        <v>4250</v>
      </c>
      <c r="E404" s="1">
        <v>4290</v>
      </c>
      <c r="F404" s="1">
        <v>4210</v>
      </c>
      <c r="G404" s="1">
        <v>4270</v>
      </c>
      <c r="H404" s="1">
        <v>100584800</v>
      </c>
      <c r="I404" s="4">
        <f t="shared" si="12"/>
        <v>-1.6129032258064516E-2</v>
      </c>
      <c r="J404" s="4">
        <f t="shared" si="13"/>
        <v>-0.20558139534883721</v>
      </c>
    </row>
    <row r="405" spans="1:10" x14ac:dyDescent="0.2">
      <c r="A405" s="2">
        <f ca="1">IFERROR(__xludf.DUMMYFUNCTION("""COMPUTED_VALUE"""),45922.6666666666)</f>
        <v>45922.666666666599</v>
      </c>
      <c r="B405" s="2"/>
      <c r="C405" s="2"/>
      <c r="D405" s="1">
        <v>4270</v>
      </c>
      <c r="E405" s="1">
        <v>4280</v>
      </c>
      <c r="F405" s="1">
        <v>4170</v>
      </c>
      <c r="G405" s="1">
        <v>4210</v>
      </c>
      <c r="H405" s="1">
        <v>63520200</v>
      </c>
      <c r="I405" s="4">
        <f t="shared" si="12"/>
        <v>-1.405152224824356E-2</v>
      </c>
      <c r="J405" s="4">
        <f t="shared" si="13"/>
        <v>-0.21674418604651163</v>
      </c>
    </row>
    <row r="406" spans="1:10" x14ac:dyDescent="0.2">
      <c r="A406" s="2">
        <f ca="1">IFERROR(__xludf.DUMMYFUNCTION("""COMPUTED_VALUE"""),45923.6666666666)</f>
        <v>45923.666666666599</v>
      </c>
      <c r="B406" s="2"/>
      <c r="C406" s="2"/>
      <c r="D406" s="1">
        <v>4210</v>
      </c>
      <c r="E406" s="1">
        <v>4240</v>
      </c>
      <c r="F406" s="1">
        <v>4170</v>
      </c>
      <c r="G406" s="1">
        <v>4200</v>
      </c>
      <c r="H406" s="1">
        <v>39154400</v>
      </c>
      <c r="I406" s="4">
        <f t="shared" si="12"/>
        <v>-2.3752969121140144E-3</v>
      </c>
      <c r="J406" s="4">
        <f t="shared" si="13"/>
        <v>-0.21860465116279071</v>
      </c>
    </row>
    <row r="407" spans="1:10" x14ac:dyDescent="0.2">
      <c r="A407" s="2">
        <f ca="1">IFERROR(__xludf.DUMMYFUNCTION("""COMPUTED_VALUE"""),45924.6666666666)</f>
        <v>45924.666666666599</v>
      </c>
      <c r="B407" s="2"/>
      <c r="C407" s="2"/>
      <c r="D407" s="1">
        <v>4220</v>
      </c>
      <c r="E407" s="1">
        <v>4230</v>
      </c>
      <c r="F407" s="1">
        <v>4170</v>
      </c>
      <c r="G407" s="1">
        <v>4190</v>
      </c>
      <c r="H407" s="1">
        <v>28653700</v>
      </c>
      <c r="I407" s="4">
        <f t="shared" si="12"/>
        <v>-2.3809523809523812E-3</v>
      </c>
      <c r="J407" s="4">
        <f t="shared" si="13"/>
        <v>-0.22046511627906976</v>
      </c>
    </row>
    <row r="408" spans="1:10" x14ac:dyDescent="0.2">
      <c r="A408" s="2">
        <f ca="1">IFERROR(__xludf.DUMMYFUNCTION("""COMPUTED_VALUE"""),45925.6666666666)</f>
        <v>45925.666666666599</v>
      </c>
      <c r="B408" s="2"/>
      <c r="C408" s="2"/>
      <c r="D408" s="1">
        <v>4180</v>
      </c>
      <c r="E408" s="1">
        <v>4190</v>
      </c>
      <c r="F408" s="1">
        <v>4140</v>
      </c>
      <c r="G408" s="1">
        <v>4190</v>
      </c>
      <c r="H408" s="1">
        <v>35633900</v>
      </c>
      <c r="I408" s="4">
        <f t="shared" si="12"/>
        <v>0</v>
      </c>
      <c r="J408" s="4">
        <f t="shared" si="13"/>
        <v>-0.22046511627906976</v>
      </c>
    </row>
    <row r="409" spans="1:10" x14ac:dyDescent="0.2">
      <c r="A409" s="2">
        <f ca="1">IFERROR(__xludf.DUMMYFUNCTION("""COMPUTED_VALUE"""),45926.6666666666)</f>
        <v>45926.666666666599</v>
      </c>
      <c r="B409" s="2"/>
      <c r="C409" s="2"/>
      <c r="D409" s="1">
        <v>4150</v>
      </c>
      <c r="E409" s="1">
        <v>4180</v>
      </c>
      <c r="F409" s="1">
        <v>4110</v>
      </c>
      <c r="G409" s="1">
        <v>4180</v>
      </c>
      <c r="H409" s="1">
        <v>39380500</v>
      </c>
      <c r="I409" s="4">
        <f t="shared" si="12"/>
        <v>-2.3866348448687352E-3</v>
      </c>
      <c r="J409" s="4">
        <f t="shared" si="13"/>
        <v>-0.22232558139534883</v>
      </c>
    </row>
    <row r="410" spans="1:10" x14ac:dyDescent="0.2">
      <c r="A410" s="2">
        <f ca="1">IFERROR(__xludf.DUMMYFUNCTION("""COMPUTED_VALUE"""),45929.6666666666)</f>
        <v>45929.666666666599</v>
      </c>
      <c r="B410" s="2"/>
      <c r="C410" s="2"/>
      <c r="D410" s="1">
        <v>4160</v>
      </c>
      <c r="E410" s="1">
        <v>4170</v>
      </c>
      <c r="F410" s="1">
        <v>4110</v>
      </c>
      <c r="G410" s="1">
        <v>4170</v>
      </c>
      <c r="H410" s="1">
        <v>41037000</v>
      </c>
      <c r="I410" s="4">
        <f t="shared" si="12"/>
        <v>-2.3923444976076554E-3</v>
      </c>
      <c r="J410" s="4">
        <f t="shared" si="13"/>
        <v>-0.22418604651162791</v>
      </c>
    </row>
    <row r="411" spans="1:10" x14ac:dyDescent="0.2">
      <c r="A411" s="2">
        <f ca="1">IFERROR(__xludf.DUMMYFUNCTION("""COMPUTED_VALUE"""),45930.6666666666)</f>
        <v>45930.666666666599</v>
      </c>
      <c r="B411" s="2"/>
      <c r="C411" s="2"/>
      <c r="D411" s="1">
        <v>4170</v>
      </c>
      <c r="E411" s="1">
        <v>4170</v>
      </c>
      <c r="F411" s="1">
        <v>4100</v>
      </c>
      <c r="G411" s="1">
        <v>4100</v>
      </c>
      <c r="H411" s="1">
        <v>60162600</v>
      </c>
      <c r="I411" s="4">
        <f t="shared" si="12"/>
        <v>-1.6786570743405275E-2</v>
      </c>
      <c r="J411" s="4">
        <f t="shared" si="13"/>
        <v>-0.23720930232558141</v>
      </c>
    </row>
    <row r="412" spans="1:10" x14ac:dyDescent="0.2">
      <c r="A412" s="2">
        <f ca="1">IFERROR(__xludf.DUMMYFUNCTION("""COMPUTED_VALUE"""),45931.6666666666)</f>
        <v>45931.666666666599</v>
      </c>
      <c r="B412" s="2"/>
      <c r="C412" s="2"/>
      <c r="D412" s="1">
        <v>4050</v>
      </c>
      <c r="E412" s="1">
        <v>4120</v>
      </c>
      <c r="F412" s="1">
        <v>4050</v>
      </c>
      <c r="G412" s="1">
        <v>4050</v>
      </c>
      <c r="H412" s="1">
        <v>37812400</v>
      </c>
      <c r="I412" s="4">
        <f t="shared" si="12"/>
        <v>-1.2195121951219513E-2</v>
      </c>
      <c r="J412" s="4">
        <f t="shared" si="13"/>
        <v>-0.24651162790697675</v>
      </c>
    </row>
    <row r="413" spans="1:10" x14ac:dyDescent="0.2">
      <c r="A413" s="2">
        <f ca="1">IFERROR(__xludf.DUMMYFUNCTION("""COMPUTED_VALUE"""),45932.6666666666)</f>
        <v>45932.666666666599</v>
      </c>
      <c r="B413" s="2"/>
      <c r="C413" s="2"/>
      <c r="D413" s="1">
        <v>4050</v>
      </c>
      <c r="E413" s="1">
        <v>4100</v>
      </c>
      <c r="F413" s="1">
        <v>4040</v>
      </c>
      <c r="G413" s="1">
        <v>4040</v>
      </c>
      <c r="H413" s="1">
        <v>34730200</v>
      </c>
      <c r="I413" s="4">
        <f t="shared" si="12"/>
        <v>-2.4691358024691358E-3</v>
      </c>
      <c r="J413" s="4">
        <f t="shared" si="13"/>
        <v>-0.2483720930232558</v>
      </c>
    </row>
    <row r="414" spans="1:10" x14ac:dyDescent="0.2">
      <c r="A414" s="2">
        <f ca="1">IFERROR(__xludf.DUMMYFUNCTION("""COMPUTED_VALUE"""),45933.6666666666)</f>
        <v>45933.666666666599</v>
      </c>
      <c r="B414" s="2"/>
      <c r="C414" s="2"/>
      <c r="D414" s="1">
        <v>4060</v>
      </c>
      <c r="E414" s="1">
        <v>4080</v>
      </c>
      <c r="F414" s="1">
        <v>4010</v>
      </c>
      <c r="G414" s="1">
        <v>4040</v>
      </c>
      <c r="H414" s="1">
        <v>26763100</v>
      </c>
      <c r="I414" s="4">
        <f t="shared" si="12"/>
        <v>0</v>
      </c>
      <c r="J414" s="4">
        <f t="shared" si="13"/>
        <v>-0.2483720930232558</v>
      </c>
    </row>
    <row r="415" spans="1:10" x14ac:dyDescent="0.2">
      <c r="A415" s="2">
        <f ca="1">IFERROR(__xludf.DUMMYFUNCTION("""COMPUTED_VALUE"""),45936.6666666666)</f>
        <v>45936.666666666599</v>
      </c>
      <c r="B415" s="2"/>
      <c r="C415" s="2"/>
      <c r="D415" s="1">
        <v>4040</v>
      </c>
      <c r="E415" s="1">
        <v>4090</v>
      </c>
      <c r="F415" s="1">
        <v>4000</v>
      </c>
      <c r="G415" s="1">
        <v>4000</v>
      </c>
      <c r="H415" s="1">
        <v>35060200</v>
      </c>
      <c r="I415" s="4">
        <f t="shared" si="12"/>
        <v>-9.9009900990099011E-3</v>
      </c>
      <c r="J415" s="4">
        <f t="shared" si="13"/>
        <v>-0.2558139534883721</v>
      </c>
    </row>
    <row r="416" spans="1:10" x14ac:dyDescent="0.2">
      <c r="A416" s="2">
        <f ca="1">IFERROR(__xludf.DUMMYFUNCTION("""COMPUTED_VALUE"""),45937.6666666666)</f>
        <v>45937.666666666599</v>
      </c>
      <c r="B416" s="2"/>
      <c r="C416" s="2"/>
      <c r="D416" s="1">
        <v>4030</v>
      </c>
      <c r="E416" s="1">
        <v>4040</v>
      </c>
      <c r="F416" s="1">
        <v>3970</v>
      </c>
      <c r="G416" s="1">
        <v>3990</v>
      </c>
      <c r="H416" s="1">
        <v>41251900</v>
      </c>
      <c r="I416" s="4">
        <f t="shared" si="12"/>
        <v>-2.5000000000000001E-3</v>
      </c>
      <c r="J416" s="4">
        <f t="shared" si="13"/>
        <v>-0.25767441860465118</v>
      </c>
    </row>
    <row r="417" spans="1:10" x14ac:dyDescent="0.2">
      <c r="A417" s="2">
        <f ca="1">IFERROR(__xludf.DUMMYFUNCTION("""COMPUTED_VALUE"""),45938.6666666666)</f>
        <v>45938.666666666599</v>
      </c>
      <c r="B417" s="2"/>
      <c r="C417" s="2"/>
      <c r="D417" s="1">
        <v>4000</v>
      </c>
      <c r="E417" s="1">
        <v>4010</v>
      </c>
      <c r="F417" s="1">
        <v>3930</v>
      </c>
      <c r="G417" s="1">
        <v>3940</v>
      </c>
      <c r="H417" s="1">
        <v>28812600</v>
      </c>
      <c r="I417" s="4">
        <f t="shared" si="12"/>
        <v>-1.2531328320802004E-2</v>
      </c>
      <c r="J417" s="4">
        <f t="shared" si="13"/>
        <v>-0.2669767441860465</v>
      </c>
    </row>
    <row r="418" spans="1:10" x14ac:dyDescent="0.2">
      <c r="A418" s="2">
        <f ca="1">IFERROR(__xludf.DUMMYFUNCTION("""COMPUTED_VALUE"""),45939.6666666666)</f>
        <v>45939.666666666599</v>
      </c>
      <c r="B418" s="2"/>
      <c r="C418" s="2"/>
      <c r="D418" s="1">
        <v>3910</v>
      </c>
      <c r="E418" s="1">
        <v>4150</v>
      </c>
      <c r="F418" s="1">
        <v>3860</v>
      </c>
      <c r="G418" s="1">
        <v>4100</v>
      </c>
      <c r="H418" s="1">
        <v>106114200</v>
      </c>
      <c r="I418" s="4">
        <f t="shared" si="12"/>
        <v>4.060913705583756E-2</v>
      </c>
      <c r="J418" s="4">
        <f t="shared" si="13"/>
        <v>-0.23720930232558141</v>
      </c>
    </row>
    <row r="419" spans="1:10" x14ac:dyDescent="0.2">
      <c r="A419" s="2">
        <f ca="1">IFERROR(__xludf.DUMMYFUNCTION("""COMPUTED_VALUE"""),45940.6666666666)</f>
        <v>45940.666666666599</v>
      </c>
      <c r="B419" s="2"/>
      <c r="C419" s="2"/>
      <c r="D419" s="1">
        <v>4090</v>
      </c>
      <c r="E419" s="1">
        <v>4090</v>
      </c>
      <c r="F419" s="1">
        <v>3950</v>
      </c>
      <c r="G419" s="1">
        <v>3970</v>
      </c>
      <c r="H419" s="1">
        <v>48778300</v>
      </c>
      <c r="I419" s="4">
        <f t="shared" si="12"/>
        <v>-3.1707317073170732E-2</v>
      </c>
      <c r="J419" s="4">
        <f t="shared" si="13"/>
        <v>-0.26139534883720933</v>
      </c>
    </row>
    <row r="420" spans="1:10" x14ac:dyDescent="0.2">
      <c r="A420" s="2">
        <f ca="1">IFERROR(__xludf.DUMMYFUNCTION("""COMPUTED_VALUE"""),45943.6666666666)</f>
        <v>45943.666666666599</v>
      </c>
      <c r="B420" s="2"/>
      <c r="C420" s="2"/>
      <c r="D420" s="1">
        <v>3920</v>
      </c>
      <c r="E420" s="1">
        <v>3940</v>
      </c>
      <c r="F420" s="1">
        <v>3870</v>
      </c>
      <c r="G420" s="1">
        <v>3900</v>
      </c>
      <c r="H420" s="1">
        <v>38351600</v>
      </c>
      <c r="I420" s="4">
        <f t="shared" si="12"/>
        <v>-1.7632241813602016E-2</v>
      </c>
      <c r="J420" s="4">
        <f t="shared" si="13"/>
        <v>-0.2744186046511628</v>
      </c>
    </row>
    <row r="421" spans="1:10" x14ac:dyDescent="0.2">
      <c r="A421" s="2">
        <f ca="1">IFERROR(__xludf.DUMMYFUNCTION("""COMPUTED_VALUE"""),45944.6666666666)</f>
        <v>45944.666666666599</v>
      </c>
      <c r="B421" s="2"/>
      <c r="C421" s="2"/>
      <c r="D421" s="1">
        <v>3910</v>
      </c>
      <c r="E421" s="1">
        <v>3940</v>
      </c>
      <c r="F421" s="1">
        <v>3800</v>
      </c>
      <c r="G421" s="1">
        <v>3800</v>
      </c>
      <c r="H421" s="1">
        <v>69452000</v>
      </c>
      <c r="I421" s="4">
        <f t="shared" si="12"/>
        <v>-2.564102564102564E-2</v>
      </c>
      <c r="J421" s="4">
        <f t="shared" si="13"/>
        <v>-0.2930232558139535</v>
      </c>
    </row>
    <row r="422" spans="1:10" x14ac:dyDescent="0.2">
      <c r="A422" s="2">
        <f ca="1">IFERROR(__xludf.DUMMYFUNCTION("""COMPUTED_VALUE"""),45945.6666666666)</f>
        <v>45945.666666666599</v>
      </c>
      <c r="B422" s="2"/>
      <c r="C422" s="2"/>
      <c r="D422" s="1">
        <v>3810</v>
      </c>
      <c r="E422" s="1">
        <v>3840</v>
      </c>
      <c r="F422" s="1">
        <v>3720</v>
      </c>
      <c r="G422" s="1">
        <v>3770</v>
      </c>
      <c r="H422" s="1">
        <v>84578200</v>
      </c>
      <c r="I422" s="4">
        <f t="shared" si="12"/>
        <v>-7.8947368421052634E-3</v>
      </c>
      <c r="J422" s="4">
        <f t="shared" si="13"/>
        <v>-0.29860465116279072</v>
      </c>
    </row>
    <row r="423" spans="1:10" x14ac:dyDescent="0.2">
      <c r="A423" s="2">
        <f ca="1">IFERROR(__xludf.DUMMYFUNCTION("""COMPUTED_VALUE"""),45946.6666666666)</f>
        <v>45946.666666666599</v>
      </c>
      <c r="B423" s="2"/>
      <c r="C423" s="2"/>
      <c r="D423" s="1">
        <v>3790</v>
      </c>
      <c r="E423" s="1">
        <v>3890</v>
      </c>
      <c r="F423" s="1">
        <v>3760</v>
      </c>
      <c r="G423" s="1">
        <v>3850</v>
      </c>
      <c r="H423" s="1">
        <v>55980800</v>
      </c>
      <c r="I423" s="4">
        <f t="shared" si="12"/>
        <v>2.1220159151193633E-2</v>
      </c>
      <c r="J423" s="4">
        <f t="shared" si="13"/>
        <v>-0.28372093023255812</v>
      </c>
    </row>
    <row r="424" spans="1:10" x14ac:dyDescent="0.2">
      <c r="A424" s="2">
        <f ca="1">IFERROR(__xludf.DUMMYFUNCTION("""COMPUTED_VALUE"""),45947.6666666666)</f>
        <v>45947.666666666599</v>
      </c>
      <c r="B424" s="2"/>
      <c r="C424" s="2"/>
      <c r="D424" s="1">
        <v>3870</v>
      </c>
      <c r="E424" s="1">
        <v>3900</v>
      </c>
      <c r="F424" s="1">
        <v>3800</v>
      </c>
      <c r="G424" s="1">
        <v>3800</v>
      </c>
      <c r="H424" s="1">
        <v>60733400</v>
      </c>
      <c r="I424" s="4">
        <f t="shared" si="12"/>
        <v>-1.2987012987012988E-2</v>
      </c>
      <c r="J424" s="4">
        <f t="shared" si="13"/>
        <v>-0.2930232558139535</v>
      </c>
    </row>
    <row r="425" spans="1:10" x14ac:dyDescent="0.2">
      <c r="A425" s="2">
        <f ca="1">IFERROR(__xludf.DUMMYFUNCTION("""COMPUTED_VALUE"""),45950.6666666666)</f>
        <v>45950.666666666599</v>
      </c>
      <c r="B425" s="2"/>
      <c r="C425" s="2"/>
      <c r="D425" s="1">
        <v>3870</v>
      </c>
      <c r="E425" s="1">
        <v>4110</v>
      </c>
      <c r="F425" s="1">
        <v>3860</v>
      </c>
      <c r="G425" s="1">
        <v>4040</v>
      </c>
      <c r="H425" s="1">
        <v>146203400</v>
      </c>
      <c r="I425" s="4">
        <f t="shared" si="12"/>
        <v>6.3157894736842107E-2</v>
      </c>
      <c r="J425" s="4">
        <f t="shared" si="13"/>
        <v>-0.2483720930232558</v>
      </c>
    </row>
    <row r="426" spans="1:10" x14ac:dyDescent="0.2">
      <c r="A426" s="2">
        <f ca="1">IFERROR(__xludf.DUMMYFUNCTION("""COMPUTED_VALUE"""),45951.6666666666)</f>
        <v>45951.666666666599</v>
      </c>
      <c r="B426" s="2"/>
      <c r="C426" s="2"/>
      <c r="D426" s="1">
        <v>4110</v>
      </c>
      <c r="E426" s="1">
        <v>4130</v>
      </c>
      <c r="F426" s="1">
        <v>4030</v>
      </c>
      <c r="G426" s="1">
        <v>4050</v>
      </c>
      <c r="H426" s="1">
        <v>88064800</v>
      </c>
      <c r="I426" s="4">
        <f t="shared" si="12"/>
        <v>2.4752475247524753E-3</v>
      </c>
      <c r="J426" s="4">
        <f t="shared" si="13"/>
        <v>-0.24651162790697675</v>
      </c>
    </row>
    <row r="427" spans="1:10" x14ac:dyDescent="0.2">
      <c r="A427" s="2">
        <f ca="1">IFERROR(__xludf.DUMMYFUNCTION("""COMPUTED_VALUE"""),45952.6666666666)</f>
        <v>45952.666666666599</v>
      </c>
      <c r="B427" s="2"/>
      <c r="C427" s="2"/>
      <c r="D427" s="1">
        <v>4070</v>
      </c>
      <c r="E427" s="1">
        <v>4150</v>
      </c>
      <c r="F427" s="1">
        <v>4000</v>
      </c>
      <c r="G427" s="1">
        <v>4030</v>
      </c>
      <c r="H427" s="1">
        <v>81226400</v>
      </c>
      <c r="I427" s="4">
        <f t="shared" si="12"/>
        <v>-4.9382716049382715E-3</v>
      </c>
      <c r="J427" s="4">
        <f t="shared" si="13"/>
        <v>-0.25023255813953488</v>
      </c>
    </row>
    <row r="428" spans="1:10" x14ac:dyDescent="0.2">
      <c r="A428" s="2">
        <f ca="1">IFERROR(__xludf.DUMMYFUNCTION("""COMPUTED_VALUE"""),45953.6666666666)</f>
        <v>45953.666666666599</v>
      </c>
      <c r="B428" s="2"/>
      <c r="C428" s="2"/>
      <c r="D428" s="1">
        <v>4030</v>
      </c>
      <c r="E428" s="1">
        <v>4250</v>
      </c>
      <c r="F428" s="1">
        <v>4020</v>
      </c>
      <c r="G428" s="1">
        <v>4240</v>
      </c>
      <c r="H428" s="1">
        <v>130641200</v>
      </c>
      <c r="I428" s="4">
        <f t="shared" si="12"/>
        <v>5.2109181141439205E-2</v>
      </c>
      <c r="J428" s="4">
        <f t="shared" si="13"/>
        <v>-0.21116279069767441</v>
      </c>
    </row>
    <row r="429" spans="1:10" x14ac:dyDescent="0.2">
      <c r="A429" s="2">
        <f ca="1">IFERROR(__xludf.DUMMYFUNCTION("""COMPUTED_VALUE"""),45954.6666666666)</f>
        <v>45954.666666666599</v>
      </c>
      <c r="B429" s="2"/>
      <c r="C429" s="2"/>
      <c r="D429" s="1">
        <v>4220</v>
      </c>
      <c r="E429" s="1">
        <v>4440</v>
      </c>
      <c r="F429" s="1">
        <v>4210</v>
      </c>
      <c r="G429" s="1">
        <v>4370</v>
      </c>
      <c r="H429" s="1">
        <v>177603900</v>
      </c>
      <c r="I429" s="4">
        <f t="shared" si="12"/>
        <v>3.0660377358490566E-2</v>
      </c>
      <c r="J429" s="4">
        <f t="shared" si="13"/>
        <v>-0.18697674418604651</v>
      </c>
    </row>
    <row r="430" spans="1:10" x14ac:dyDescent="0.2">
      <c r="A430" s="2">
        <f ca="1">IFERROR(__xludf.DUMMYFUNCTION("""COMPUTED_VALUE"""),45957.6666666666)</f>
        <v>45957.666666666599</v>
      </c>
      <c r="B430" s="2"/>
      <c r="C430" s="2"/>
      <c r="D430" s="1">
        <v>4440</v>
      </c>
      <c r="E430" s="1">
        <v>4450</v>
      </c>
      <c r="F430" s="1">
        <v>4270</v>
      </c>
      <c r="G430" s="1">
        <v>4370</v>
      </c>
      <c r="H430" s="1">
        <v>102355700</v>
      </c>
      <c r="I430" s="4">
        <f t="shared" si="12"/>
        <v>0</v>
      </c>
      <c r="J430" s="4">
        <f t="shared" si="13"/>
        <v>-0.18697674418604651</v>
      </c>
    </row>
    <row r="431" spans="1:10" x14ac:dyDescent="0.2">
      <c r="A431" s="2">
        <f ca="1">IFERROR(__xludf.DUMMYFUNCTION("""COMPUTED_VALUE"""),45958.6666666666)</f>
        <v>45958.666666666599</v>
      </c>
      <c r="B431" s="2"/>
      <c r="C431" s="2"/>
      <c r="D431" s="1">
        <v>4390</v>
      </c>
      <c r="E431" s="1">
        <v>4440</v>
      </c>
      <c r="F431" s="1">
        <v>4340</v>
      </c>
      <c r="G431" s="1">
        <v>4370</v>
      </c>
      <c r="H431" s="1">
        <v>58463900</v>
      </c>
      <c r="I431" s="4">
        <f t="shared" si="12"/>
        <v>0</v>
      </c>
      <c r="J431" s="4">
        <f t="shared" si="13"/>
        <v>-0.18697674418604651</v>
      </c>
    </row>
    <row r="432" spans="1:10" x14ac:dyDescent="0.2">
      <c r="A432" s="2">
        <f ca="1">IFERROR(__xludf.DUMMYFUNCTION("""COMPUTED_VALUE"""),45959.6666666666)</f>
        <v>45959.666666666599</v>
      </c>
      <c r="B432" s="2"/>
      <c r="C432" s="2"/>
      <c r="D432" s="1">
        <v>4380</v>
      </c>
      <c r="E432" s="1">
        <v>4440</v>
      </c>
      <c r="F432" s="1">
        <v>4320</v>
      </c>
      <c r="G432" s="1">
        <v>4440</v>
      </c>
      <c r="H432" s="1">
        <v>71743700</v>
      </c>
      <c r="I432" s="4">
        <f t="shared" si="12"/>
        <v>1.6018306636155607E-2</v>
      </c>
      <c r="J432" s="4">
        <f t="shared" si="13"/>
        <v>-0.17395348837209301</v>
      </c>
    </row>
    <row r="433" spans="1:10" x14ac:dyDescent="0.2">
      <c r="A433" s="2">
        <f ca="1">IFERROR(__xludf.DUMMYFUNCTION("""COMPUTED_VALUE"""),45960.6666666666)</f>
        <v>45960.666666666599</v>
      </c>
      <c r="B433" s="2"/>
      <c r="C433" s="2"/>
      <c r="D433" s="1">
        <v>4420</v>
      </c>
      <c r="E433" s="1">
        <v>4530</v>
      </c>
      <c r="F433" s="1">
        <v>4370</v>
      </c>
      <c r="G433" s="1">
        <v>4410</v>
      </c>
      <c r="H433" s="1">
        <v>91042600</v>
      </c>
      <c r="I433" s="4">
        <f t="shared" si="12"/>
        <v>-6.7567567567567571E-3</v>
      </c>
      <c r="J433" s="4">
        <f t="shared" si="13"/>
        <v>-0.17953488372093024</v>
      </c>
    </row>
    <row r="434" spans="1:10" x14ac:dyDescent="0.2">
      <c r="A434" s="2">
        <f ca="1">IFERROR(__xludf.DUMMYFUNCTION("""COMPUTED_VALUE"""),45961.6666666666)</f>
        <v>45961.666666666599</v>
      </c>
      <c r="B434" s="2"/>
      <c r="C434" s="2"/>
      <c r="D434" s="1">
        <v>4400</v>
      </c>
      <c r="E434" s="1">
        <v>4450</v>
      </c>
      <c r="F434" s="1">
        <v>4350</v>
      </c>
      <c r="G434" s="1">
        <v>4380</v>
      </c>
      <c r="H434" s="1">
        <v>69141700</v>
      </c>
      <c r="I434" s="4">
        <f t="shared" si="12"/>
        <v>-6.8027210884353739E-3</v>
      </c>
      <c r="J434" s="4">
        <f t="shared" si="13"/>
        <v>-0.18511627906976744</v>
      </c>
    </row>
    <row r="435" spans="1:10" x14ac:dyDescent="0.2">
      <c r="A435" s="2">
        <f ca="1">IFERROR(__xludf.DUMMYFUNCTION("""COMPUTED_VALUE"""),45964.6666666666)</f>
        <v>45964.666666666599</v>
      </c>
      <c r="B435" s="2"/>
      <c r="C435" s="2"/>
      <c r="D435" s="1">
        <v>4390</v>
      </c>
      <c r="E435" s="1">
        <v>4460</v>
      </c>
      <c r="F435" s="1">
        <v>4380</v>
      </c>
      <c r="G435" s="1">
        <v>4430</v>
      </c>
      <c r="H435" s="1">
        <v>40455000</v>
      </c>
      <c r="I435" s="4">
        <f t="shared" si="12"/>
        <v>1.1415525114155251E-2</v>
      </c>
      <c r="J435" s="4">
        <f t="shared" si="13"/>
        <v>-0.17581395348837209</v>
      </c>
    </row>
    <row r="436" spans="1:10" x14ac:dyDescent="0.2">
      <c r="A436" s="2">
        <f ca="1">IFERROR(__xludf.DUMMYFUNCTION("""COMPUTED_VALUE"""),45965.6666666666)</f>
        <v>45965.666666666599</v>
      </c>
      <c r="B436" s="2"/>
      <c r="C436" s="2"/>
      <c r="D436" s="1">
        <v>4430</v>
      </c>
      <c r="E436" s="1">
        <v>4510</v>
      </c>
      <c r="F436" s="1">
        <v>4430</v>
      </c>
      <c r="G436" s="1">
        <v>4450</v>
      </c>
      <c r="H436" s="1">
        <v>73342900</v>
      </c>
      <c r="I436" s="4">
        <f t="shared" si="12"/>
        <v>4.5146726862302479E-3</v>
      </c>
      <c r="J436" s="4">
        <f t="shared" si="13"/>
        <v>-0.17209302325581396</v>
      </c>
    </row>
    <row r="437" spans="1:10" x14ac:dyDescent="0.2">
      <c r="A437" s="2">
        <f ca="1">IFERROR(__xludf.DUMMYFUNCTION("""COMPUTED_VALUE"""),45966.6666666666)</f>
        <v>45966.666666666599</v>
      </c>
      <c r="B437" s="2"/>
      <c r="C437" s="2"/>
      <c r="D437" s="1">
        <v>4400</v>
      </c>
      <c r="E437" s="1">
        <v>4480</v>
      </c>
      <c r="F437" s="1">
        <v>4380</v>
      </c>
      <c r="G437" s="1">
        <v>4460</v>
      </c>
      <c r="H437" s="1">
        <v>43447700</v>
      </c>
      <c r="I437" s="4">
        <f t="shared" si="12"/>
        <v>2.2471910112359553E-3</v>
      </c>
      <c r="J437" s="4">
        <f t="shared" si="13"/>
        <v>-0.17023255813953489</v>
      </c>
    </row>
    <row r="438" spans="1:10" x14ac:dyDescent="0.2">
      <c r="A438" s="2">
        <f ca="1">IFERROR(__xludf.DUMMYFUNCTION("""COMPUTED_VALUE"""),45967.6666666666)</f>
        <v>45967.666666666599</v>
      </c>
      <c r="B438" s="2"/>
      <c r="C438" s="2"/>
      <c r="D438" s="1">
        <v>4450</v>
      </c>
      <c r="E438" s="1">
        <v>4480</v>
      </c>
      <c r="F438" s="1">
        <v>4430</v>
      </c>
      <c r="G438" s="1">
        <v>4440</v>
      </c>
      <c r="H438" s="1">
        <v>31809500</v>
      </c>
      <c r="I438" s="4">
        <f t="shared" si="12"/>
        <v>-4.4843049327354259E-3</v>
      </c>
      <c r="J438" s="4">
        <f t="shared" si="13"/>
        <v>-0.17395348837209301</v>
      </c>
    </row>
    <row r="439" spans="1:10" x14ac:dyDescent="0.2">
      <c r="A439" s="2">
        <f ca="1">IFERROR(__xludf.DUMMYFUNCTION("""COMPUTED_VALUE"""),45968.6666666666)</f>
        <v>45968.666666666599</v>
      </c>
      <c r="B439" s="2"/>
      <c r="C439" s="2"/>
      <c r="D439" s="1">
        <v>4440</v>
      </c>
      <c r="E439" s="1">
        <v>4500</v>
      </c>
      <c r="F439" s="1">
        <v>4440</v>
      </c>
      <c r="G439" s="1">
        <v>4500</v>
      </c>
      <c r="H439" s="1">
        <v>36148800</v>
      </c>
      <c r="I439" s="4">
        <f t="shared" si="12"/>
        <v>1.3513513513513514E-2</v>
      </c>
      <c r="J439" s="4">
        <f t="shared" si="13"/>
        <v>-0.16279069767441862</v>
      </c>
    </row>
    <row r="440" spans="1:10" x14ac:dyDescent="0.2">
      <c r="A440" s="2">
        <f ca="1">IFERROR(__xludf.DUMMYFUNCTION("""COMPUTED_VALUE"""),45971.6666666666)</f>
        <v>45971.666666666599</v>
      </c>
      <c r="B440" s="2"/>
      <c r="C440" s="2"/>
      <c r="D440" s="1">
        <v>4520</v>
      </c>
      <c r="E440" s="1">
        <v>4520</v>
      </c>
      <c r="F440" s="1">
        <v>4410</v>
      </c>
      <c r="G440" s="1">
        <v>4420</v>
      </c>
      <c r="H440" s="1">
        <v>45518800</v>
      </c>
      <c r="I440" s="4">
        <f t="shared" si="12"/>
        <v>-1.7777777777777778E-2</v>
      </c>
      <c r="J440" s="4">
        <f t="shared" si="13"/>
        <v>-0.17767441860465116</v>
      </c>
    </row>
    <row r="441" spans="1:10" x14ac:dyDescent="0.2">
      <c r="A441" s="2">
        <f ca="1">IFERROR(__xludf.DUMMYFUNCTION("""COMPUTED_VALUE"""),45972.6666666666)</f>
        <v>45972.666666666599</v>
      </c>
      <c r="B441" s="2"/>
      <c r="C441" s="2"/>
      <c r="D441" s="1">
        <v>4450</v>
      </c>
      <c r="E441" s="1">
        <v>4450</v>
      </c>
      <c r="F441" s="1">
        <v>4370</v>
      </c>
      <c r="G441" s="1">
        <v>4420</v>
      </c>
      <c r="H441" s="1">
        <v>48792200</v>
      </c>
      <c r="I441" s="4">
        <f t="shared" si="12"/>
        <v>0</v>
      </c>
      <c r="J441" s="4">
        <f t="shared" si="13"/>
        <v>-0.17767441860465116</v>
      </c>
    </row>
    <row r="442" spans="1:10" x14ac:dyDescent="0.2">
      <c r="A442" s="2">
        <f ca="1">IFERROR(__xludf.DUMMYFUNCTION("""COMPUTED_VALUE"""),45973.6666666666)</f>
        <v>45973.666666666599</v>
      </c>
      <c r="B442" s="2"/>
      <c r="C442" s="2"/>
      <c r="D442" s="1">
        <v>4410</v>
      </c>
      <c r="E442" s="1">
        <v>4480</v>
      </c>
      <c r="F442" s="1">
        <v>4400</v>
      </c>
      <c r="G442" s="1">
        <v>4460</v>
      </c>
      <c r="H442" s="1">
        <v>35386800</v>
      </c>
      <c r="I442" s="4">
        <f t="shared" si="12"/>
        <v>9.0497737556561094E-3</v>
      </c>
      <c r="J442" s="4">
        <f t="shared" si="13"/>
        <v>-0.17023255813953489</v>
      </c>
    </row>
    <row r="443" spans="1:10" x14ac:dyDescent="0.2">
      <c r="A443" s="2">
        <f ca="1">IFERROR(__xludf.DUMMYFUNCTION("""COMPUTED_VALUE"""),45974.6666666666)</f>
        <v>45974.666666666599</v>
      </c>
      <c r="B443" s="2"/>
      <c r="C443" s="2"/>
      <c r="D443" s="1">
        <v>4470</v>
      </c>
      <c r="E443" s="1">
        <v>4480</v>
      </c>
      <c r="F443" s="1">
        <v>4420</v>
      </c>
      <c r="G443" s="1">
        <v>4420</v>
      </c>
      <c r="H443" s="1">
        <v>20207300</v>
      </c>
      <c r="I443" s="4">
        <f t="shared" si="12"/>
        <v>-8.9686098654708519E-3</v>
      </c>
      <c r="J443" s="4">
        <f t="shared" si="13"/>
        <v>-0.17767441860465116</v>
      </c>
    </row>
    <row r="444" spans="1:10" x14ac:dyDescent="0.2">
      <c r="A444" s="2">
        <f ca="1">IFERROR(__xludf.DUMMYFUNCTION("""COMPUTED_VALUE"""),45975.6666666666)</f>
        <v>45975.666666666599</v>
      </c>
      <c r="B444" s="2"/>
      <c r="C444" s="2"/>
      <c r="D444" s="1">
        <v>4410</v>
      </c>
      <c r="E444" s="1">
        <v>4450</v>
      </c>
      <c r="F444" s="1">
        <v>4370</v>
      </c>
      <c r="G444" s="1">
        <v>4390</v>
      </c>
      <c r="H444" s="1">
        <v>34602500</v>
      </c>
      <c r="I444" s="4">
        <f t="shared" si="12"/>
        <v>-6.7873303167420816E-3</v>
      </c>
      <c r="J444" s="4">
        <f t="shared" si="13"/>
        <v>-0.18325581395348836</v>
      </c>
    </row>
    <row r="445" spans="1:10" x14ac:dyDescent="0.2">
      <c r="A445" s="2">
        <f ca="1">IFERROR(__xludf.DUMMYFUNCTION("""COMPUTED_VALUE"""),45978.6666666666)</f>
        <v>45978.666666666599</v>
      </c>
      <c r="B445" s="2"/>
      <c r="C445" s="2"/>
      <c r="D445" s="1">
        <v>4390</v>
      </c>
      <c r="E445" s="1">
        <v>4440</v>
      </c>
      <c r="F445" s="1">
        <v>4380</v>
      </c>
      <c r="G445" s="1">
        <v>4390</v>
      </c>
      <c r="H445" s="1">
        <v>28453300</v>
      </c>
      <c r="I445" s="4">
        <f t="shared" si="12"/>
        <v>0</v>
      </c>
      <c r="J445" s="4">
        <f t="shared" si="13"/>
        <v>-0.18325581395348836</v>
      </c>
    </row>
    <row r="446" spans="1:10" x14ac:dyDescent="0.2">
      <c r="A446" s="2">
        <f ca="1">IFERROR(__xludf.DUMMYFUNCTION("""COMPUTED_VALUE"""),45979.6666666666)</f>
        <v>45979.666666666599</v>
      </c>
      <c r="B446" s="2"/>
      <c r="C446" s="2"/>
      <c r="D446" s="1">
        <v>4400</v>
      </c>
      <c r="E446" s="1">
        <v>4470</v>
      </c>
      <c r="F446" s="1">
        <v>4400</v>
      </c>
      <c r="G446" s="1">
        <v>4460</v>
      </c>
      <c r="H446" s="1">
        <v>36957300</v>
      </c>
      <c r="I446" s="4">
        <f t="shared" si="12"/>
        <v>1.5945330296127564E-2</v>
      </c>
      <c r="J446" s="4">
        <f t="shared" si="13"/>
        <v>-0.17023255813953489</v>
      </c>
    </row>
    <row r="447" spans="1:10" x14ac:dyDescent="0.2">
      <c r="A447" s="2">
        <f ca="1">IFERROR(__xludf.DUMMYFUNCTION("""COMPUTED_VALUE"""),45980.6666666666)</f>
        <v>45980.666666666599</v>
      </c>
      <c r="B447" s="2"/>
      <c r="C447" s="2"/>
      <c r="D447" s="1">
        <v>4470</v>
      </c>
      <c r="E447" s="1">
        <v>4470</v>
      </c>
      <c r="F447" s="1">
        <v>4410</v>
      </c>
      <c r="G447" s="1">
        <v>4460</v>
      </c>
      <c r="H447" s="1">
        <v>34300600</v>
      </c>
      <c r="I447" s="4">
        <f t="shared" si="12"/>
        <v>0</v>
      </c>
      <c r="J447" s="4">
        <f t="shared" si="13"/>
        <v>-0.17023255813953489</v>
      </c>
    </row>
    <row r="448" spans="1:10" x14ac:dyDescent="0.2">
      <c r="A448" s="2">
        <f ca="1">IFERROR(__xludf.DUMMYFUNCTION("""COMPUTED_VALUE"""),45981.6666666666)</f>
        <v>45981.666666666599</v>
      </c>
      <c r="B448" s="2"/>
      <c r="C448" s="2"/>
      <c r="D448" s="1">
        <v>4470</v>
      </c>
      <c r="E448" s="1">
        <v>4560</v>
      </c>
      <c r="F448" s="1">
        <v>4450</v>
      </c>
      <c r="G448" s="1">
        <v>4460</v>
      </c>
      <c r="H448" s="1">
        <v>54706000</v>
      </c>
      <c r="I448" s="4">
        <f t="shared" si="12"/>
        <v>0</v>
      </c>
      <c r="J448" s="4">
        <f t="shared" si="13"/>
        <v>-0.17023255813953489</v>
      </c>
    </row>
    <row r="449" spans="1:10" x14ac:dyDescent="0.2">
      <c r="A449" s="2">
        <f ca="1">IFERROR(__xludf.DUMMYFUNCTION("""COMPUTED_VALUE"""),45982.6666666666)</f>
        <v>45982.666666666599</v>
      </c>
      <c r="B449" s="2"/>
      <c r="C449" s="2"/>
      <c r="D449" s="1">
        <v>4450</v>
      </c>
      <c r="E449" s="1">
        <v>4450</v>
      </c>
      <c r="F449" s="1">
        <v>4370</v>
      </c>
      <c r="G449" s="1">
        <v>4390</v>
      </c>
      <c r="H449" s="1">
        <v>45565700</v>
      </c>
      <c r="I449" s="4">
        <f t="shared" si="12"/>
        <v>-1.5695067264573991E-2</v>
      </c>
      <c r="J449" s="4">
        <f t="shared" si="13"/>
        <v>-0.18325581395348836</v>
      </c>
    </row>
    <row r="450" spans="1:10" x14ac:dyDescent="0.2">
      <c r="A450" s="2">
        <f ca="1">IFERROR(__xludf.DUMMYFUNCTION("""COMPUTED_VALUE"""),45985.6666666666)</f>
        <v>45985.666666666599</v>
      </c>
      <c r="B450" s="2"/>
      <c r="C450" s="2"/>
      <c r="D450" s="1">
        <v>4400</v>
      </c>
      <c r="E450" s="1">
        <v>4440</v>
      </c>
      <c r="F450" s="1">
        <v>4350</v>
      </c>
      <c r="G450" s="1">
        <v>4390</v>
      </c>
      <c r="H450" s="1">
        <v>76652700</v>
      </c>
      <c r="I450" s="4">
        <f t="shared" si="12"/>
        <v>0</v>
      </c>
      <c r="J450" s="4">
        <f t="shared" si="13"/>
        <v>-0.18325581395348836</v>
      </c>
    </row>
    <row r="451" spans="1:10" x14ac:dyDescent="0.2">
      <c r="A451" s="2">
        <f ca="1">IFERROR(__xludf.DUMMYFUNCTION("""COMPUTED_VALUE"""),45986.6666666666)</f>
        <v>45986.666666666599</v>
      </c>
      <c r="B451" s="2"/>
      <c r="C451" s="2"/>
      <c r="D451" s="1">
        <v>4420</v>
      </c>
      <c r="E451" s="1">
        <v>4450</v>
      </c>
      <c r="F451" s="1">
        <v>4370</v>
      </c>
      <c r="G451" s="1">
        <v>4420</v>
      </c>
      <c r="H451" s="1">
        <v>36142900</v>
      </c>
      <c r="I451" s="4">
        <f t="shared" si="12"/>
        <v>6.8337129840546698E-3</v>
      </c>
      <c r="J451" s="4">
        <f t="shared" si="13"/>
        <v>-0.17767441860465116</v>
      </c>
    </row>
    <row r="452" spans="1:10" x14ac:dyDescent="0.2">
      <c r="A452" s="2">
        <f ca="1">IFERROR(__xludf.DUMMYFUNCTION("""COMPUTED_VALUE"""),45987.6666666666)</f>
        <v>45987.666666666599</v>
      </c>
      <c r="B452" s="2"/>
      <c r="C452" s="2"/>
      <c r="D452" s="1">
        <v>4420</v>
      </c>
      <c r="E452" s="1">
        <v>4420</v>
      </c>
      <c r="F452" s="1">
        <v>4370</v>
      </c>
      <c r="G452" s="1">
        <v>4410</v>
      </c>
      <c r="H452" s="1">
        <v>31686100</v>
      </c>
      <c r="I452" s="4">
        <f t="shared" ref="I452:I474" si="14">(G452-G451)/G451</f>
        <v>-2.2624434389140274E-3</v>
      </c>
      <c r="J452" s="4">
        <f t="shared" ref="J452:J474" si="15">(G452-$G$2)/$G$2</f>
        <v>-0.17953488372093024</v>
      </c>
    </row>
    <row r="453" spans="1:10" x14ac:dyDescent="0.2">
      <c r="A453" s="2">
        <f ca="1">IFERROR(__xludf.DUMMYFUNCTION("""COMPUTED_VALUE"""),45988.6666666666)</f>
        <v>45988.666666666599</v>
      </c>
      <c r="B453" s="2"/>
      <c r="C453" s="2"/>
      <c r="D453" s="1">
        <v>4420</v>
      </c>
      <c r="E453" s="1">
        <v>4420</v>
      </c>
      <c r="F453" s="1">
        <v>4300</v>
      </c>
      <c r="G453" s="1">
        <v>4350</v>
      </c>
      <c r="H453" s="1">
        <v>33618200</v>
      </c>
      <c r="I453" s="4">
        <f t="shared" si="14"/>
        <v>-1.3605442176870748E-2</v>
      </c>
      <c r="J453" s="4">
        <f t="shared" si="15"/>
        <v>-0.19069767441860466</v>
      </c>
    </row>
    <row r="454" spans="1:10" x14ac:dyDescent="0.2">
      <c r="A454" s="2">
        <f ca="1">IFERROR(__xludf.DUMMYFUNCTION("""COMPUTED_VALUE"""),45989.6666666666)</f>
        <v>45989.666666666599</v>
      </c>
      <c r="B454" s="2"/>
      <c r="C454" s="2"/>
      <c r="D454" s="1">
        <v>4330</v>
      </c>
      <c r="E454" s="1">
        <v>4350</v>
      </c>
      <c r="F454" s="1">
        <v>4260</v>
      </c>
      <c r="G454" s="1">
        <v>4260</v>
      </c>
      <c r="H454" s="1">
        <v>40758200</v>
      </c>
      <c r="I454" s="4">
        <f t="shared" si="14"/>
        <v>-2.0689655172413793E-2</v>
      </c>
      <c r="J454" s="4">
        <f t="shared" si="15"/>
        <v>-0.20744186046511628</v>
      </c>
    </row>
    <row r="455" spans="1:10" x14ac:dyDescent="0.2">
      <c r="A455" s="2">
        <f ca="1">IFERROR(__xludf.DUMMYFUNCTION("""COMPUTED_VALUE"""),45992.6666666666)</f>
        <v>45992.666666666599</v>
      </c>
      <c r="B455" s="2"/>
      <c r="C455" s="2"/>
      <c r="D455" s="1">
        <v>4240</v>
      </c>
      <c r="E455" s="1">
        <v>4350</v>
      </c>
      <c r="F455" s="1">
        <v>4240</v>
      </c>
      <c r="G455" s="1">
        <v>4310</v>
      </c>
      <c r="H455" s="1">
        <v>19335100</v>
      </c>
      <c r="I455" s="4">
        <f t="shared" si="14"/>
        <v>1.1737089201877934E-2</v>
      </c>
      <c r="J455" s="4">
        <f t="shared" si="15"/>
        <v>-0.19813953488372094</v>
      </c>
    </row>
    <row r="456" spans="1:10" x14ac:dyDescent="0.2">
      <c r="A456" s="2">
        <f ca="1">IFERROR(__xludf.DUMMYFUNCTION("""COMPUTED_VALUE"""),45993.6666666666)</f>
        <v>45993.666666666599</v>
      </c>
      <c r="B456" s="2"/>
      <c r="C456" s="2"/>
      <c r="D456" s="1">
        <v>4340</v>
      </c>
      <c r="E456" s="1">
        <v>4360</v>
      </c>
      <c r="F456" s="1">
        <v>4250</v>
      </c>
      <c r="G456" s="1">
        <v>4270</v>
      </c>
      <c r="H456" s="1">
        <v>39091800</v>
      </c>
      <c r="I456" s="4">
        <f t="shared" si="14"/>
        <v>-9.2807424593967514E-3</v>
      </c>
      <c r="J456" s="4">
        <f t="shared" si="15"/>
        <v>-0.20558139534883721</v>
      </c>
    </row>
    <row r="457" spans="1:10" x14ac:dyDescent="0.2">
      <c r="A457" s="2">
        <f ca="1">IFERROR(__xludf.DUMMYFUNCTION("""COMPUTED_VALUE"""),45994.6666666666)</f>
        <v>45994.666666666599</v>
      </c>
      <c r="B457" s="2"/>
      <c r="C457" s="2"/>
      <c r="D457" s="1">
        <v>4270</v>
      </c>
      <c r="E457" s="1">
        <v>4290</v>
      </c>
      <c r="F457" s="1">
        <v>4240</v>
      </c>
      <c r="G457" s="1">
        <v>4260</v>
      </c>
      <c r="H457" s="1">
        <v>28263900</v>
      </c>
      <c r="I457" s="4">
        <f t="shared" si="14"/>
        <v>-2.34192037470726E-3</v>
      </c>
      <c r="J457" s="4">
        <f t="shared" si="15"/>
        <v>-0.20744186046511628</v>
      </c>
    </row>
    <row r="458" spans="1:10" x14ac:dyDescent="0.2">
      <c r="A458" s="2">
        <f ca="1">IFERROR(__xludf.DUMMYFUNCTION("""COMPUTED_VALUE"""),45995.6666666666)</f>
        <v>45995.666666666599</v>
      </c>
      <c r="B458" s="2"/>
      <c r="C458" s="2"/>
      <c r="D458" s="1">
        <v>4260</v>
      </c>
      <c r="E458" s="1">
        <v>4320</v>
      </c>
      <c r="F458" s="1">
        <v>4240</v>
      </c>
      <c r="G458" s="1">
        <v>4310</v>
      </c>
      <c r="H458" s="1">
        <v>23544900</v>
      </c>
      <c r="I458" s="4">
        <f t="shared" si="14"/>
        <v>1.1737089201877934E-2</v>
      </c>
      <c r="J458" s="4">
        <f t="shared" si="15"/>
        <v>-0.19813953488372094</v>
      </c>
    </row>
    <row r="459" spans="1:10" x14ac:dyDescent="0.2">
      <c r="A459" s="2">
        <f ca="1">IFERROR(__xludf.DUMMYFUNCTION("""COMPUTED_VALUE"""),45996.6666666666)</f>
        <v>45996.666666666599</v>
      </c>
      <c r="B459" s="2"/>
      <c r="C459" s="2"/>
      <c r="D459" s="1">
        <v>4330</v>
      </c>
      <c r="E459" s="1">
        <v>4360</v>
      </c>
      <c r="F459" s="1">
        <v>4290</v>
      </c>
      <c r="G459" s="1">
        <v>4290</v>
      </c>
      <c r="H459" s="1">
        <v>28877500</v>
      </c>
      <c r="I459" s="4">
        <f t="shared" si="14"/>
        <v>-4.6403712296983757E-3</v>
      </c>
      <c r="J459" s="4">
        <f t="shared" si="15"/>
        <v>-0.20186046511627906</v>
      </c>
    </row>
    <row r="460" spans="1:10" x14ac:dyDescent="0.2">
      <c r="A460" s="2">
        <f ca="1">IFERROR(__xludf.DUMMYFUNCTION("""COMPUTED_VALUE"""),45999.6666666666)</f>
        <v>45999.666666666599</v>
      </c>
      <c r="B460" s="2"/>
      <c r="C460" s="2"/>
      <c r="D460" s="1">
        <v>4360</v>
      </c>
      <c r="E460" s="1">
        <v>4360</v>
      </c>
      <c r="F460" s="1">
        <v>4290</v>
      </c>
      <c r="G460" s="1">
        <v>4310</v>
      </c>
      <c r="H460" s="1">
        <v>28219300</v>
      </c>
      <c r="I460" s="4">
        <f t="shared" si="14"/>
        <v>4.662004662004662E-3</v>
      </c>
      <c r="J460" s="4">
        <f t="shared" si="15"/>
        <v>-0.19813953488372094</v>
      </c>
    </row>
    <row r="461" spans="1:10" x14ac:dyDescent="0.2">
      <c r="A461" s="2">
        <f ca="1">IFERROR(__xludf.DUMMYFUNCTION("""COMPUTED_VALUE"""),46000.6666666666)</f>
        <v>46000.666666666599</v>
      </c>
      <c r="B461" s="2"/>
      <c r="C461" s="2"/>
      <c r="D461" s="1">
        <v>4310</v>
      </c>
      <c r="E461" s="1">
        <v>4330</v>
      </c>
      <c r="F461" s="1">
        <v>4260</v>
      </c>
      <c r="G461" s="1">
        <v>4320</v>
      </c>
      <c r="H461" s="1">
        <v>34461400</v>
      </c>
      <c r="I461" s="4">
        <f t="shared" si="14"/>
        <v>2.3201856148491878E-3</v>
      </c>
      <c r="J461" s="4">
        <f t="shared" si="15"/>
        <v>-0.19627906976744186</v>
      </c>
    </row>
    <row r="462" spans="1:10" x14ac:dyDescent="0.2">
      <c r="A462" s="2">
        <f ca="1">IFERROR(__xludf.DUMMYFUNCTION("""COMPUTED_VALUE"""),46001.6666666666)</f>
        <v>46001.666666666599</v>
      </c>
      <c r="B462" s="2"/>
      <c r="C462" s="2"/>
      <c r="D462" s="1">
        <v>4350</v>
      </c>
      <c r="E462" s="1">
        <v>4350</v>
      </c>
      <c r="F462" s="1">
        <v>4270</v>
      </c>
      <c r="G462" s="1">
        <v>4310</v>
      </c>
      <c r="H462" s="1">
        <v>19908000</v>
      </c>
      <c r="I462" s="4">
        <f t="shared" si="14"/>
        <v>-2.3148148148148147E-3</v>
      </c>
      <c r="J462" s="4">
        <f t="shared" si="15"/>
        <v>-0.19813953488372094</v>
      </c>
    </row>
    <row r="463" spans="1:10" x14ac:dyDescent="0.2">
      <c r="A463" s="2">
        <f ca="1">IFERROR(__xludf.DUMMYFUNCTION("""COMPUTED_VALUE"""),46002.6666666666)</f>
        <v>46002.666666666599</v>
      </c>
      <c r="B463" s="2"/>
      <c r="C463" s="2"/>
      <c r="D463" s="1">
        <v>4350</v>
      </c>
      <c r="E463" s="1">
        <v>4390</v>
      </c>
      <c r="F463" s="1">
        <v>4190</v>
      </c>
      <c r="G463" s="1">
        <v>4230</v>
      </c>
      <c r="H463" s="1">
        <v>43389300</v>
      </c>
      <c r="I463" s="4">
        <f t="shared" si="14"/>
        <v>-1.8561484918793503E-2</v>
      </c>
      <c r="J463" s="4">
        <f t="shared" si="15"/>
        <v>-0.21302325581395348</v>
      </c>
    </row>
    <row r="464" spans="1:10" x14ac:dyDescent="0.2">
      <c r="A464" s="2">
        <f ca="1">IFERROR(__xludf.DUMMYFUNCTION("""COMPUTED_VALUE"""),46003.6666666666)</f>
        <v>46003.666666666599</v>
      </c>
      <c r="B464" s="2"/>
      <c r="C464" s="2"/>
      <c r="D464" s="1">
        <v>4290</v>
      </c>
      <c r="E464" s="1">
        <v>4290</v>
      </c>
      <c r="F464" s="1">
        <v>4170</v>
      </c>
      <c r="G464" s="1">
        <v>4240</v>
      </c>
      <c r="H464" s="1">
        <v>23240100</v>
      </c>
      <c r="I464" s="4">
        <f t="shared" si="14"/>
        <v>2.3640661938534278E-3</v>
      </c>
      <c r="J464" s="4">
        <f t="shared" si="15"/>
        <v>-0.21116279069767441</v>
      </c>
    </row>
    <row r="465" spans="1:10" x14ac:dyDescent="0.2">
      <c r="A465" s="2">
        <f ca="1">IFERROR(__xludf.DUMMYFUNCTION("""COMPUTED_VALUE"""),46006.6666666666)</f>
        <v>46006.666666666599</v>
      </c>
      <c r="B465" s="2"/>
      <c r="C465" s="2"/>
      <c r="D465" s="1">
        <v>4270</v>
      </c>
      <c r="E465" s="1">
        <v>4450</v>
      </c>
      <c r="F465" s="1">
        <v>4230</v>
      </c>
      <c r="G465" s="1">
        <v>4440</v>
      </c>
      <c r="H465" s="1">
        <v>57531500</v>
      </c>
      <c r="I465" s="4">
        <f t="shared" si="14"/>
        <v>4.716981132075472E-2</v>
      </c>
      <c r="J465" s="4">
        <f t="shared" si="15"/>
        <v>-0.17395348837209301</v>
      </c>
    </row>
    <row r="466" spans="1:10" x14ac:dyDescent="0.2">
      <c r="A466" s="2">
        <f ca="1">IFERROR(__xludf.DUMMYFUNCTION("""COMPUTED_VALUE"""),46007.6666666666)</f>
        <v>46007.666666666599</v>
      </c>
      <c r="B466" s="2"/>
      <c r="C466" s="2"/>
      <c r="D466" s="1">
        <v>4440</v>
      </c>
      <c r="E466" s="1">
        <v>4460</v>
      </c>
      <c r="F466" s="1">
        <v>4330</v>
      </c>
      <c r="G466" s="1">
        <v>4400</v>
      </c>
      <c r="H466" s="1">
        <v>36287500</v>
      </c>
      <c r="I466" s="4">
        <f t="shared" si="14"/>
        <v>-9.0090090090090089E-3</v>
      </c>
      <c r="J466" s="4">
        <f t="shared" si="15"/>
        <v>-0.18139534883720931</v>
      </c>
    </row>
    <row r="467" spans="1:10" x14ac:dyDescent="0.2">
      <c r="A467" s="2">
        <f ca="1">IFERROR(__xludf.DUMMYFUNCTION("""COMPUTED_VALUE"""),46008.6666666666)</f>
        <v>46008.666666666599</v>
      </c>
      <c r="B467" s="2"/>
      <c r="C467" s="2"/>
      <c r="D467" s="1">
        <v>4400</v>
      </c>
      <c r="E467" s="1">
        <v>4420</v>
      </c>
      <c r="F467" s="1">
        <v>4340</v>
      </c>
      <c r="G467" s="1">
        <v>4370</v>
      </c>
      <c r="H467" s="1">
        <v>27653900</v>
      </c>
      <c r="I467" s="4">
        <f t="shared" si="14"/>
        <v>-6.8181818181818179E-3</v>
      </c>
      <c r="J467" s="4">
        <f t="shared" si="15"/>
        <v>-0.18697674418604651</v>
      </c>
    </row>
    <row r="468" spans="1:10" x14ac:dyDescent="0.2">
      <c r="A468" s="2">
        <f ca="1">IFERROR(__xludf.DUMMYFUNCTION("""COMPUTED_VALUE"""),46009.6666666666)</f>
        <v>46009.666666666599</v>
      </c>
      <c r="B468" s="2"/>
      <c r="C468" s="2"/>
      <c r="D468" s="1">
        <v>4360</v>
      </c>
      <c r="E468" s="1">
        <v>4440</v>
      </c>
      <c r="F468" s="1">
        <v>4360</v>
      </c>
      <c r="G468" s="1">
        <v>4380</v>
      </c>
      <c r="H468" s="1">
        <v>45694900</v>
      </c>
      <c r="I468" s="4">
        <f t="shared" si="14"/>
        <v>2.2883295194508009E-3</v>
      </c>
      <c r="J468" s="4">
        <f t="shared" si="15"/>
        <v>-0.18511627906976744</v>
      </c>
    </row>
    <row r="469" spans="1:10" x14ac:dyDescent="0.2">
      <c r="A469" s="2">
        <f ca="1">IFERROR(__xludf.DUMMYFUNCTION("""COMPUTED_VALUE"""),46010.6666666666)</f>
        <v>46010.666666666599</v>
      </c>
      <c r="B469" s="2"/>
      <c r="C469" s="2"/>
      <c r="D469" s="1">
        <v>4380</v>
      </c>
      <c r="E469" s="1">
        <v>4410</v>
      </c>
      <c r="F469" s="1">
        <v>4320</v>
      </c>
      <c r="G469" s="1">
        <v>4340</v>
      </c>
      <c r="H469" s="1">
        <v>47290300</v>
      </c>
      <c r="I469" s="4">
        <f t="shared" si="14"/>
        <v>-9.1324200913242004E-3</v>
      </c>
      <c r="J469" s="4">
        <f t="shared" si="15"/>
        <v>-0.19255813953488371</v>
      </c>
    </row>
    <row r="470" spans="1:10" x14ac:dyDescent="0.2">
      <c r="A470" s="2">
        <f ca="1">IFERROR(__xludf.DUMMYFUNCTION("""COMPUTED_VALUE"""),46013.6666666666)</f>
        <v>46013.666666666599</v>
      </c>
      <c r="B470" s="2"/>
      <c r="C470" s="2"/>
      <c r="D470" s="1">
        <v>4330</v>
      </c>
      <c r="E470" s="1">
        <v>4360</v>
      </c>
      <c r="F470" s="1">
        <v>4290</v>
      </c>
      <c r="G470" s="1">
        <v>4330</v>
      </c>
      <c r="H470" s="1">
        <v>28113800</v>
      </c>
      <c r="I470" s="4">
        <f t="shared" si="14"/>
        <v>-2.304147465437788E-3</v>
      </c>
      <c r="J470" s="4">
        <f t="shared" si="15"/>
        <v>-0.19441860465116279</v>
      </c>
    </row>
    <row r="471" spans="1:10" x14ac:dyDescent="0.2">
      <c r="A471" s="2">
        <f ca="1">IFERROR(__xludf.DUMMYFUNCTION("""COMPUTED_VALUE"""),46014.6666666666)</f>
        <v>46014.666666666599</v>
      </c>
      <c r="B471" s="2"/>
      <c r="C471" s="2"/>
      <c r="D471" s="1">
        <v>4290</v>
      </c>
      <c r="E471" s="1">
        <v>4320</v>
      </c>
      <c r="F471" s="1">
        <v>4250</v>
      </c>
      <c r="G471" s="1">
        <v>4290</v>
      </c>
      <c r="H471" s="1">
        <v>26801700</v>
      </c>
      <c r="I471" s="4">
        <f t="shared" si="14"/>
        <v>-9.2378752886836026E-3</v>
      </c>
      <c r="J471" s="4">
        <f t="shared" si="15"/>
        <v>-0.20186046511627906</v>
      </c>
    </row>
    <row r="472" spans="1:10" x14ac:dyDescent="0.2">
      <c r="A472" s="2">
        <f ca="1">IFERROR(__xludf.DUMMYFUNCTION("""COMPUTED_VALUE"""),46015.6666666666)</f>
        <v>46015.666666666599</v>
      </c>
      <c r="B472" s="2"/>
      <c r="C472" s="2"/>
      <c r="D472" s="1">
        <v>4260</v>
      </c>
      <c r="E472" s="1">
        <v>4330</v>
      </c>
      <c r="F472" s="1">
        <v>4260</v>
      </c>
      <c r="G472" s="1">
        <v>4270</v>
      </c>
      <c r="H472" s="1">
        <v>18160600</v>
      </c>
      <c r="I472" s="4">
        <f t="shared" si="14"/>
        <v>-4.662004662004662E-3</v>
      </c>
      <c r="J472" s="4">
        <f t="shared" si="15"/>
        <v>-0.20558139534883721</v>
      </c>
    </row>
    <row r="473" spans="1:10" x14ac:dyDescent="0.2">
      <c r="A473" s="2">
        <f ca="1">IFERROR(__xludf.DUMMYFUNCTION("""COMPUTED_VALUE"""),46020.6666666666)</f>
        <v>46020.666666666599</v>
      </c>
      <c r="B473" s="2"/>
      <c r="C473" s="2"/>
      <c r="D473" s="1">
        <v>4270</v>
      </c>
      <c r="E473" s="1">
        <v>4320</v>
      </c>
      <c r="F473" s="1">
        <v>4260</v>
      </c>
      <c r="G473" s="1">
        <v>4260</v>
      </c>
      <c r="H473" s="1">
        <v>24490400</v>
      </c>
      <c r="I473" s="4">
        <f t="shared" si="14"/>
        <v>-2.34192037470726E-3</v>
      </c>
      <c r="J473" s="4">
        <f t="shared" si="15"/>
        <v>-0.20744186046511628</v>
      </c>
    </row>
    <row r="474" spans="1:10" x14ac:dyDescent="0.2">
      <c r="A474" s="2">
        <f ca="1">IFERROR(__xludf.DUMMYFUNCTION("""COMPUTED_VALUE"""),46021.6666666666)</f>
        <v>46021.666666666599</v>
      </c>
      <c r="B474" s="2"/>
      <c r="C474" s="2"/>
      <c r="D474" s="1">
        <v>4260</v>
      </c>
      <c r="E474" s="1">
        <v>4380</v>
      </c>
      <c r="F474" s="1">
        <v>4250</v>
      </c>
      <c r="G474" s="1">
        <v>4370</v>
      </c>
      <c r="H474" s="1">
        <v>44229200</v>
      </c>
      <c r="I474" s="4">
        <f t="shared" si="14"/>
        <v>2.5821596244131457E-2</v>
      </c>
      <c r="J474" s="4">
        <f t="shared" si="15"/>
        <v>-0.18697674418604651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B720"/>
  <sheetViews>
    <sheetView workbookViewId="0">
      <selection activeCell="N7" sqref="N7"/>
    </sheetView>
  </sheetViews>
  <sheetFormatPr defaultColWidth="12.5703125" defaultRowHeight="15.75" customHeight="1" x14ac:dyDescent="0.2"/>
  <cols>
    <col min="1" max="1" width="18.140625" bestFit="1" customWidth="1"/>
  </cols>
  <sheetData>
    <row r="1" spans="1:2" x14ac:dyDescent="0.2">
      <c r="A1" s="1" t="s">
        <v>40</v>
      </c>
      <c r="B1" s="1" t="s">
        <v>44</v>
      </c>
    </row>
    <row r="2" spans="1:2" x14ac:dyDescent="0.2">
      <c r="A2" s="2">
        <f ca="1">IFERROR(__xludf.DUMMYFUNCTION("""COMPUTED_VALUE"""),45292.9986111111)</f>
        <v>45292.998611111099</v>
      </c>
      <c r="B2" s="3">
        <v>15383</v>
      </c>
    </row>
    <row r="3" spans="1:2" x14ac:dyDescent="0.2">
      <c r="A3" s="2">
        <f ca="1">IFERROR(__xludf.DUMMYFUNCTION("""COMPUTED_VALUE"""),45293.9986111111)</f>
        <v>45293.998611111099</v>
      </c>
      <c r="B3" s="3">
        <v>15498</v>
      </c>
    </row>
    <row r="4" spans="1:2" x14ac:dyDescent="0.2">
      <c r="A4" s="2">
        <f ca="1">IFERROR(__xludf.DUMMYFUNCTION("""COMPUTED_VALUE"""),45294.9986111111)</f>
        <v>45294.998611111099</v>
      </c>
      <c r="B4" s="3">
        <v>15555</v>
      </c>
    </row>
    <row r="5" spans="1:2" x14ac:dyDescent="0.2">
      <c r="A5" s="2">
        <f ca="1">IFERROR(__xludf.DUMMYFUNCTION("""COMPUTED_VALUE"""),45295.9986111111)</f>
        <v>45295.998611111099</v>
      </c>
      <c r="B5" s="3">
        <v>15511</v>
      </c>
    </row>
    <row r="6" spans="1:2" x14ac:dyDescent="0.2">
      <c r="A6" s="2">
        <f ca="1">IFERROR(__xludf.DUMMYFUNCTION("""COMPUTED_VALUE"""),45296.9986111111)</f>
        <v>45296.998611111099</v>
      </c>
      <c r="B6" s="3">
        <v>15477.5</v>
      </c>
    </row>
    <row r="7" spans="1:2" x14ac:dyDescent="0.2">
      <c r="A7" s="2">
        <f ca="1">IFERROR(__xludf.DUMMYFUNCTION("""COMPUTED_VALUE"""),45297.9986111111)</f>
        <v>45297.998611111099</v>
      </c>
      <c r="B7" s="3">
        <v>15477.5</v>
      </c>
    </row>
    <row r="8" spans="1:2" x14ac:dyDescent="0.2">
      <c r="A8" s="2">
        <f ca="1">IFERROR(__xludf.DUMMYFUNCTION("""COMPUTED_VALUE"""),45298.9986111111)</f>
        <v>45298.998611111099</v>
      </c>
      <c r="B8" s="3">
        <v>15477.5</v>
      </c>
    </row>
    <row r="9" spans="1:2" x14ac:dyDescent="0.2">
      <c r="A9" s="2">
        <f ca="1">IFERROR(__xludf.DUMMYFUNCTION("""COMPUTED_VALUE"""),45299.9986111111)</f>
        <v>45299.998611111099</v>
      </c>
      <c r="B9" s="3">
        <v>15495.5</v>
      </c>
    </row>
    <row r="10" spans="1:2" x14ac:dyDescent="0.2">
      <c r="A10" s="2">
        <f ca="1">IFERROR(__xludf.DUMMYFUNCTION("""COMPUTED_VALUE"""),45300.9986111111)</f>
        <v>45300.998611111099</v>
      </c>
      <c r="B10" s="3">
        <v>15534.5</v>
      </c>
    </row>
    <row r="11" spans="1:2" x14ac:dyDescent="0.2">
      <c r="A11" s="2">
        <f ca="1">IFERROR(__xludf.DUMMYFUNCTION("""COMPUTED_VALUE"""),45301.9986111111)</f>
        <v>45301.998611111099</v>
      </c>
      <c r="B11" s="3">
        <v>15555</v>
      </c>
    </row>
    <row r="12" spans="1:2" x14ac:dyDescent="0.2">
      <c r="A12" s="2">
        <f ca="1">IFERROR(__xludf.DUMMYFUNCTION("""COMPUTED_VALUE"""),45302.9986111111)</f>
        <v>45302.998611111099</v>
      </c>
      <c r="B12" s="3">
        <v>15556.5</v>
      </c>
    </row>
    <row r="13" spans="1:2" x14ac:dyDescent="0.2">
      <c r="A13" s="2">
        <f ca="1">IFERROR(__xludf.DUMMYFUNCTION("""COMPUTED_VALUE"""),45303.9986111111)</f>
        <v>45303.998611111099</v>
      </c>
      <c r="B13" s="3">
        <v>15503.2</v>
      </c>
    </row>
    <row r="14" spans="1:2" x14ac:dyDescent="0.2">
      <c r="A14" s="2">
        <f ca="1">IFERROR(__xludf.DUMMYFUNCTION("""COMPUTED_VALUE"""),45304.9986111111)</f>
        <v>45304.998611111099</v>
      </c>
      <c r="B14" s="3">
        <v>15503.2</v>
      </c>
    </row>
    <row r="15" spans="1:2" x14ac:dyDescent="0.2">
      <c r="A15" s="2">
        <f ca="1">IFERROR(__xludf.DUMMYFUNCTION("""COMPUTED_VALUE"""),45305.9986111111)</f>
        <v>45305.998611111099</v>
      </c>
      <c r="B15" s="3">
        <v>15503.2</v>
      </c>
    </row>
    <row r="16" spans="1:2" x14ac:dyDescent="0.2">
      <c r="A16" s="2">
        <f ca="1">IFERROR(__xludf.DUMMYFUNCTION("""COMPUTED_VALUE"""),45306.9986111111)</f>
        <v>45306.998611111099</v>
      </c>
      <c r="B16" s="3">
        <v>15546</v>
      </c>
    </row>
    <row r="17" spans="1:2" x14ac:dyDescent="0.2">
      <c r="A17" s="2">
        <f ca="1">IFERROR(__xludf.DUMMYFUNCTION("""COMPUTED_VALUE"""),45307.9986111111)</f>
        <v>45307.998611111099</v>
      </c>
      <c r="B17" s="3">
        <v>15625</v>
      </c>
    </row>
    <row r="18" spans="1:2" x14ac:dyDescent="0.2">
      <c r="A18" s="2">
        <f ca="1">IFERROR(__xludf.DUMMYFUNCTION("""COMPUTED_VALUE"""),45308.9986111111)</f>
        <v>45308.998611111099</v>
      </c>
      <c r="B18" s="3">
        <v>15624</v>
      </c>
    </row>
    <row r="19" spans="1:2" x14ac:dyDescent="0.2">
      <c r="A19" s="2">
        <f ca="1">IFERROR(__xludf.DUMMYFUNCTION("""COMPUTED_VALUE"""),45309.9986111111)</f>
        <v>45309.998611111099</v>
      </c>
      <c r="B19" s="3">
        <v>15613.1</v>
      </c>
    </row>
    <row r="20" spans="1:2" x14ac:dyDescent="0.2">
      <c r="A20" s="2">
        <f ca="1">IFERROR(__xludf.DUMMYFUNCTION("""COMPUTED_VALUE"""),45310.9986111111)</f>
        <v>45310.998611111099</v>
      </c>
      <c r="B20" s="3">
        <v>15601</v>
      </c>
    </row>
    <row r="21" spans="1:2" x14ac:dyDescent="0.2">
      <c r="A21" s="2">
        <f ca="1">IFERROR(__xludf.DUMMYFUNCTION("""COMPUTED_VALUE"""),45311.9986111111)</f>
        <v>45311.998611111099</v>
      </c>
      <c r="B21" s="3">
        <v>15601</v>
      </c>
    </row>
    <row r="22" spans="1:2" x14ac:dyDescent="0.2">
      <c r="A22" s="2">
        <f ca="1">IFERROR(__xludf.DUMMYFUNCTION("""COMPUTED_VALUE"""),45312.9986111111)</f>
        <v>45312.998611111099</v>
      </c>
      <c r="B22" s="3">
        <v>15601</v>
      </c>
    </row>
    <row r="23" spans="1:2" x14ac:dyDescent="0.2">
      <c r="A23" s="2">
        <f ca="1">IFERROR(__xludf.DUMMYFUNCTION("""COMPUTED_VALUE"""),45313.9986111111)</f>
        <v>45313.998611111099</v>
      </c>
      <c r="B23" s="3">
        <v>15655.5</v>
      </c>
    </row>
    <row r="24" spans="1:2" x14ac:dyDescent="0.2">
      <c r="A24" s="2">
        <f ca="1">IFERROR(__xludf.DUMMYFUNCTION("""COMPUTED_VALUE"""),45314.9986111111)</f>
        <v>45314.998611111099</v>
      </c>
      <c r="B24" s="3">
        <v>15715</v>
      </c>
    </row>
    <row r="25" spans="1:2" x14ac:dyDescent="0.2">
      <c r="A25" s="2">
        <f ca="1">IFERROR(__xludf.DUMMYFUNCTION("""COMPUTED_VALUE"""),45315.9986111111)</f>
        <v>45315.998611111099</v>
      </c>
      <c r="B25" s="3">
        <v>15714.5</v>
      </c>
    </row>
    <row r="26" spans="1:2" x14ac:dyDescent="0.2">
      <c r="A26" s="2">
        <f ca="1">IFERROR(__xludf.DUMMYFUNCTION("""COMPUTED_VALUE"""),45316.9986111111)</f>
        <v>45316.998611111099</v>
      </c>
      <c r="B26" s="3">
        <v>15808</v>
      </c>
    </row>
    <row r="27" spans="1:2" x14ac:dyDescent="0.2">
      <c r="A27" s="2">
        <f ca="1">IFERROR(__xludf.DUMMYFUNCTION("""COMPUTED_VALUE"""),45317.9986111111)</f>
        <v>45317.998611111099</v>
      </c>
      <c r="B27" s="3">
        <v>15767.6</v>
      </c>
    </row>
    <row r="28" spans="1:2" x14ac:dyDescent="0.2">
      <c r="A28" s="2">
        <f ca="1">IFERROR(__xludf.DUMMYFUNCTION("""COMPUTED_VALUE"""),45318.9986111111)</f>
        <v>45318.998611111099</v>
      </c>
      <c r="B28" s="3">
        <v>15767.6</v>
      </c>
    </row>
    <row r="29" spans="1:2" x14ac:dyDescent="0.2">
      <c r="A29" s="2">
        <f ca="1">IFERROR(__xludf.DUMMYFUNCTION("""COMPUTED_VALUE"""),45319.9986111111)</f>
        <v>45319.998611111099</v>
      </c>
      <c r="B29" s="3">
        <v>15767.6</v>
      </c>
    </row>
    <row r="30" spans="1:2" x14ac:dyDescent="0.2">
      <c r="A30" s="2">
        <f ca="1">IFERROR(__xludf.DUMMYFUNCTION("""COMPUTED_VALUE"""),45320.9986111111)</f>
        <v>45320.998611111099</v>
      </c>
      <c r="B30" s="3">
        <v>15828</v>
      </c>
    </row>
    <row r="31" spans="1:2" x14ac:dyDescent="0.2">
      <c r="A31" s="2">
        <f ca="1">IFERROR(__xludf.DUMMYFUNCTION("""COMPUTED_VALUE"""),45321.9986111111)</f>
        <v>45321.998611111099</v>
      </c>
      <c r="B31" s="3">
        <v>15785</v>
      </c>
    </row>
    <row r="32" spans="1:2" x14ac:dyDescent="0.2">
      <c r="A32" s="2">
        <f ca="1">IFERROR(__xludf.DUMMYFUNCTION("""COMPUTED_VALUE"""),45322.9986111111)</f>
        <v>45322.998611111099</v>
      </c>
      <c r="B32" s="3">
        <v>15769</v>
      </c>
    </row>
    <row r="33" spans="1:2" x14ac:dyDescent="0.2">
      <c r="A33" s="2">
        <f ca="1">IFERROR(__xludf.DUMMYFUNCTION("""COMPUTED_VALUE"""),45323.9986111111)</f>
        <v>45323.998611111099</v>
      </c>
      <c r="B33" s="3">
        <v>15726</v>
      </c>
    </row>
    <row r="34" spans="1:2" x14ac:dyDescent="0.2">
      <c r="A34" s="2">
        <f ca="1">IFERROR(__xludf.DUMMYFUNCTION("""COMPUTED_VALUE"""),45324.9986111111)</f>
        <v>45324.998611111099</v>
      </c>
      <c r="B34" s="3">
        <v>15727.2</v>
      </c>
    </row>
    <row r="35" spans="1:2" x14ac:dyDescent="0.2">
      <c r="A35" s="2">
        <f ca="1">IFERROR(__xludf.DUMMYFUNCTION("""COMPUTED_VALUE"""),45325.9986111111)</f>
        <v>45325.998611111099</v>
      </c>
      <c r="B35" s="3">
        <v>15727.2</v>
      </c>
    </row>
    <row r="36" spans="1:2" x14ac:dyDescent="0.2">
      <c r="A36" s="2">
        <f ca="1">IFERROR(__xludf.DUMMYFUNCTION("""COMPUTED_VALUE"""),45326.9986111111)</f>
        <v>45326.998611111099</v>
      </c>
      <c r="B36" s="3">
        <v>15727.2</v>
      </c>
    </row>
    <row r="37" spans="1:2" x14ac:dyDescent="0.2">
      <c r="A37" s="2">
        <f ca="1">IFERROR(__xludf.DUMMYFUNCTION("""COMPUTED_VALUE"""),45327.9986111111)</f>
        <v>45327.998611111099</v>
      </c>
      <c r="B37" s="3">
        <v>15711.5</v>
      </c>
    </row>
    <row r="38" spans="1:2" x14ac:dyDescent="0.2">
      <c r="A38" s="2">
        <f ca="1">IFERROR(__xludf.DUMMYFUNCTION("""COMPUTED_VALUE"""),45328.9986111111)</f>
        <v>45328.998611111099</v>
      </c>
      <c r="B38" s="3">
        <v>15733</v>
      </c>
    </row>
    <row r="39" spans="1:2" x14ac:dyDescent="0.2">
      <c r="A39" s="2">
        <f ca="1">IFERROR(__xludf.DUMMYFUNCTION("""COMPUTED_VALUE"""),45329.9986111111)</f>
        <v>45329.998611111099</v>
      </c>
      <c r="B39" s="3">
        <v>15647</v>
      </c>
    </row>
    <row r="40" spans="1:2" x14ac:dyDescent="0.2">
      <c r="A40" s="2">
        <f ca="1">IFERROR(__xludf.DUMMYFUNCTION("""COMPUTED_VALUE"""),45330.9986111111)</f>
        <v>45330.998611111099</v>
      </c>
      <c r="B40" s="3">
        <v>15660.3</v>
      </c>
    </row>
    <row r="41" spans="1:2" x14ac:dyDescent="0.2">
      <c r="A41" s="2">
        <f ca="1">IFERROR(__xludf.DUMMYFUNCTION("""COMPUTED_VALUE"""),45331.9986111111)</f>
        <v>45331.998611111099</v>
      </c>
      <c r="B41" s="3">
        <v>15598</v>
      </c>
    </row>
    <row r="42" spans="1:2" x14ac:dyDescent="0.2">
      <c r="A42" s="2">
        <f ca="1">IFERROR(__xludf.DUMMYFUNCTION("""COMPUTED_VALUE"""),45332.9986111111)</f>
        <v>45332.998611111099</v>
      </c>
      <c r="B42" s="3">
        <v>15598</v>
      </c>
    </row>
    <row r="43" spans="1:2" x14ac:dyDescent="0.2">
      <c r="A43" s="2">
        <f ca="1">IFERROR(__xludf.DUMMYFUNCTION("""COMPUTED_VALUE"""),45333.9986111111)</f>
        <v>45333.998611111099</v>
      </c>
      <c r="B43" s="3">
        <v>15598</v>
      </c>
    </row>
    <row r="44" spans="1:2" x14ac:dyDescent="0.2">
      <c r="A44" s="2">
        <f ca="1">IFERROR(__xludf.DUMMYFUNCTION("""COMPUTED_VALUE"""),45334.9986111111)</f>
        <v>45334.998611111099</v>
      </c>
      <c r="B44" s="3">
        <v>15579.5</v>
      </c>
    </row>
    <row r="45" spans="1:2" x14ac:dyDescent="0.2">
      <c r="A45" s="2">
        <f ca="1">IFERROR(__xludf.DUMMYFUNCTION("""COMPUTED_VALUE"""),45335.9986111111)</f>
        <v>45335.998611111099</v>
      </c>
      <c r="B45" s="3">
        <v>15661.5</v>
      </c>
    </row>
    <row r="46" spans="1:2" x14ac:dyDescent="0.2">
      <c r="A46" s="2">
        <f ca="1">IFERROR(__xludf.DUMMYFUNCTION("""COMPUTED_VALUE"""),45336.9986111111)</f>
        <v>45336.998611111099</v>
      </c>
      <c r="B46" s="3">
        <v>15553.1</v>
      </c>
    </row>
    <row r="47" spans="1:2" x14ac:dyDescent="0.2">
      <c r="A47" s="2">
        <f ca="1">IFERROR(__xludf.DUMMYFUNCTION("""COMPUTED_VALUE"""),45337.9986111111)</f>
        <v>45337.998611111099</v>
      </c>
      <c r="B47" s="3">
        <v>15672</v>
      </c>
    </row>
    <row r="48" spans="1:2" x14ac:dyDescent="0.2">
      <c r="A48" s="2">
        <f ca="1">IFERROR(__xludf.DUMMYFUNCTION("""COMPUTED_VALUE"""),45338.9986111111)</f>
        <v>45338.998611111099</v>
      </c>
      <c r="B48" s="3">
        <v>15628.6</v>
      </c>
    </row>
    <row r="49" spans="1:2" x14ac:dyDescent="0.2">
      <c r="A49" s="2">
        <f ca="1">IFERROR(__xludf.DUMMYFUNCTION("""COMPUTED_VALUE"""),45339.9986111111)</f>
        <v>45339.998611111099</v>
      </c>
      <c r="B49" s="3">
        <v>15628.6</v>
      </c>
    </row>
    <row r="50" spans="1:2" x14ac:dyDescent="0.2">
      <c r="A50" s="2">
        <f ca="1">IFERROR(__xludf.DUMMYFUNCTION("""COMPUTED_VALUE"""),45340.9986111111)</f>
        <v>45340.998611111099</v>
      </c>
      <c r="B50" s="3">
        <v>15628.6</v>
      </c>
    </row>
    <row r="51" spans="1:2" x14ac:dyDescent="0.2">
      <c r="A51" s="2">
        <f ca="1">IFERROR(__xludf.DUMMYFUNCTION("""COMPUTED_VALUE"""),45341.9986111111)</f>
        <v>45341.998611111099</v>
      </c>
      <c r="B51" s="3">
        <v>15634</v>
      </c>
    </row>
    <row r="52" spans="1:2" x14ac:dyDescent="0.2">
      <c r="A52" s="2">
        <f ca="1">IFERROR(__xludf.DUMMYFUNCTION("""COMPUTED_VALUE"""),45342.9986111111)</f>
        <v>45342.998611111099</v>
      </c>
      <c r="B52" s="3">
        <v>15661</v>
      </c>
    </row>
    <row r="53" spans="1:2" x14ac:dyDescent="0.2">
      <c r="A53" s="2">
        <f ca="1">IFERROR(__xludf.DUMMYFUNCTION("""COMPUTED_VALUE"""),45343.9986111111)</f>
        <v>45343.998611111099</v>
      </c>
      <c r="B53" s="3">
        <v>15642</v>
      </c>
    </row>
    <row r="54" spans="1:2" x14ac:dyDescent="0.2">
      <c r="A54" s="2">
        <f ca="1">IFERROR(__xludf.DUMMYFUNCTION("""COMPUTED_VALUE"""),45344.9986111111)</f>
        <v>45344.998611111099</v>
      </c>
      <c r="B54" s="3">
        <v>15588</v>
      </c>
    </row>
    <row r="55" spans="1:2" x14ac:dyDescent="0.2">
      <c r="A55" s="2">
        <f ca="1">IFERROR(__xludf.DUMMYFUNCTION("""COMPUTED_VALUE"""),45345.9986111111)</f>
        <v>45345.998611111099</v>
      </c>
      <c r="B55" s="3">
        <v>15586.1</v>
      </c>
    </row>
    <row r="56" spans="1:2" x14ac:dyDescent="0.2">
      <c r="A56" s="2">
        <f ca="1">IFERROR(__xludf.DUMMYFUNCTION("""COMPUTED_VALUE"""),45346.9986111111)</f>
        <v>45346.998611111099</v>
      </c>
      <c r="B56" s="3">
        <v>15586.1</v>
      </c>
    </row>
    <row r="57" spans="1:2" x14ac:dyDescent="0.2">
      <c r="A57" s="2">
        <f ca="1">IFERROR(__xludf.DUMMYFUNCTION("""COMPUTED_VALUE"""),45347.9986111111)</f>
        <v>45347.998611111099</v>
      </c>
      <c r="B57" s="3">
        <v>15586.1</v>
      </c>
    </row>
    <row r="58" spans="1:2" x14ac:dyDescent="0.2">
      <c r="A58" s="2">
        <f ca="1">IFERROR(__xludf.DUMMYFUNCTION("""COMPUTED_VALUE"""),45348.9986111111)</f>
        <v>45348.998611111099</v>
      </c>
      <c r="B58" s="3">
        <v>15638.5</v>
      </c>
    </row>
    <row r="59" spans="1:2" x14ac:dyDescent="0.2">
      <c r="A59" s="2">
        <f ca="1">IFERROR(__xludf.DUMMYFUNCTION("""COMPUTED_VALUE"""),45349.9986111111)</f>
        <v>45349.998611111099</v>
      </c>
      <c r="B59" s="3">
        <v>15653</v>
      </c>
    </row>
    <row r="60" spans="1:2" x14ac:dyDescent="0.2">
      <c r="A60" s="2">
        <f ca="1">IFERROR(__xludf.DUMMYFUNCTION("""COMPUTED_VALUE"""),45350.9986111111)</f>
        <v>45350.998611111099</v>
      </c>
      <c r="B60" s="3">
        <v>15712.2</v>
      </c>
    </row>
    <row r="61" spans="1:2" x14ac:dyDescent="0.2">
      <c r="A61" s="2">
        <f ca="1">IFERROR(__xludf.DUMMYFUNCTION("""COMPUTED_VALUE"""),45351.9986111111)</f>
        <v>45351.998611111099</v>
      </c>
      <c r="B61" s="3">
        <v>15704</v>
      </c>
    </row>
    <row r="62" spans="1:2" x14ac:dyDescent="0.2">
      <c r="A62" s="2">
        <f ca="1">IFERROR(__xludf.DUMMYFUNCTION("""COMPUTED_VALUE"""),45352.9986111111)</f>
        <v>45352.998611111099</v>
      </c>
      <c r="B62" s="3">
        <v>15691.9</v>
      </c>
    </row>
    <row r="63" spans="1:2" x14ac:dyDescent="0.2">
      <c r="A63" s="2">
        <f ca="1">IFERROR(__xludf.DUMMYFUNCTION("""COMPUTED_VALUE"""),45353.9986111111)</f>
        <v>45353.998611111099</v>
      </c>
      <c r="B63" s="3">
        <v>15691.9</v>
      </c>
    </row>
    <row r="64" spans="1:2" x14ac:dyDescent="0.2">
      <c r="A64" s="2">
        <f ca="1">IFERROR(__xludf.DUMMYFUNCTION("""COMPUTED_VALUE"""),45354.9986111111)</f>
        <v>45354.998611111099</v>
      </c>
      <c r="B64" s="3">
        <v>15691.9</v>
      </c>
    </row>
    <row r="65" spans="1:2" x14ac:dyDescent="0.2">
      <c r="A65" s="2">
        <f ca="1">IFERROR(__xludf.DUMMYFUNCTION("""COMPUTED_VALUE"""),45355.9986111111)</f>
        <v>45355.998611111099</v>
      </c>
      <c r="B65" s="3">
        <v>15766</v>
      </c>
    </row>
    <row r="66" spans="1:2" x14ac:dyDescent="0.2">
      <c r="A66" s="2">
        <f ca="1">IFERROR(__xludf.DUMMYFUNCTION("""COMPUTED_VALUE"""),45356.9986111111)</f>
        <v>45356.998611111099</v>
      </c>
      <c r="B66" s="3">
        <v>15751.5</v>
      </c>
    </row>
    <row r="67" spans="1:2" x14ac:dyDescent="0.2">
      <c r="A67" s="2">
        <f ca="1">IFERROR(__xludf.DUMMYFUNCTION("""COMPUTED_VALUE"""),45357.9986111111)</f>
        <v>45357.998611111099</v>
      </c>
      <c r="B67" s="3">
        <v>15668</v>
      </c>
    </row>
    <row r="68" spans="1:2" x14ac:dyDescent="0.2">
      <c r="A68" s="2">
        <f ca="1">IFERROR(__xludf.DUMMYFUNCTION("""COMPUTED_VALUE"""),45358.9986111111)</f>
        <v>45358.998611111099</v>
      </c>
      <c r="B68" s="3">
        <v>15621</v>
      </c>
    </row>
    <row r="69" spans="1:2" x14ac:dyDescent="0.2">
      <c r="A69" s="2">
        <f ca="1">IFERROR(__xludf.DUMMYFUNCTION("""COMPUTED_VALUE"""),45359.9986111111)</f>
        <v>45359.998611111099</v>
      </c>
      <c r="B69" s="3">
        <v>15536.3</v>
      </c>
    </row>
    <row r="70" spans="1:2" x14ac:dyDescent="0.2">
      <c r="A70" s="2">
        <f ca="1">IFERROR(__xludf.DUMMYFUNCTION("""COMPUTED_VALUE"""),45360.9986111111)</f>
        <v>45360.998611111099</v>
      </c>
      <c r="B70" s="3">
        <v>15536.3</v>
      </c>
    </row>
    <row r="71" spans="1:2" x14ac:dyDescent="0.2">
      <c r="A71" s="2">
        <f ca="1">IFERROR(__xludf.DUMMYFUNCTION("""COMPUTED_VALUE"""),45361.9986111111)</f>
        <v>45361.998611111099</v>
      </c>
      <c r="B71" s="3">
        <v>15536.3</v>
      </c>
    </row>
    <row r="72" spans="1:2" x14ac:dyDescent="0.2">
      <c r="A72" s="2">
        <f ca="1">IFERROR(__xludf.DUMMYFUNCTION("""COMPUTED_VALUE"""),45362.9986111111)</f>
        <v>45362.998611111099</v>
      </c>
      <c r="B72" s="3">
        <v>15518</v>
      </c>
    </row>
    <row r="73" spans="1:2" x14ac:dyDescent="0.2">
      <c r="A73" s="2">
        <f ca="1">IFERROR(__xludf.DUMMYFUNCTION("""COMPUTED_VALUE"""),45363.9986111111)</f>
        <v>45363.998611111099</v>
      </c>
      <c r="B73" s="3">
        <v>15546</v>
      </c>
    </row>
    <row r="74" spans="1:2" x14ac:dyDescent="0.2">
      <c r="A74" s="2">
        <f ca="1">IFERROR(__xludf.DUMMYFUNCTION("""COMPUTED_VALUE"""),45364.9986111111)</f>
        <v>45364.998611111099</v>
      </c>
      <c r="B74" s="3">
        <v>15574</v>
      </c>
    </row>
    <row r="75" spans="1:2" x14ac:dyDescent="0.2">
      <c r="A75" s="2">
        <f ca="1">IFERROR(__xludf.DUMMYFUNCTION("""COMPUTED_VALUE"""),45365.9986111111)</f>
        <v>45365.998611111099</v>
      </c>
      <c r="B75" s="3">
        <v>15630</v>
      </c>
    </row>
    <row r="76" spans="1:2" x14ac:dyDescent="0.2">
      <c r="A76" s="2">
        <f ca="1">IFERROR(__xludf.DUMMYFUNCTION("""COMPUTED_VALUE"""),45366.9986111111)</f>
        <v>45366.998611111099</v>
      </c>
      <c r="B76" s="3">
        <v>15639.3</v>
      </c>
    </row>
    <row r="77" spans="1:2" x14ac:dyDescent="0.2">
      <c r="A77" s="2">
        <f ca="1">IFERROR(__xludf.DUMMYFUNCTION("""COMPUTED_VALUE"""),45367.9986111111)</f>
        <v>45367.998611111099</v>
      </c>
      <c r="B77" s="3">
        <v>15639.3</v>
      </c>
    </row>
    <row r="78" spans="1:2" x14ac:dyDescent="0.2">
      <c r="A78" s="2">
        <f ca="1">IFERROR(__xludf.DUMMYFUNCTION("""COMPUTED_VALUE"""),45368.9986111111)</f>
        <v>45368.998611111099</v>
      </c>
      <c r="B78" s="3">
        <v>15639.3</v>
      </c>
    </row>
    <row r="79" spans="1:2" x14ac:dyDescent="0.2">
      <c r="A79" s="2">
        <f ca="1">IFERROR(__xludf.DUMMYFUNCTION("""COMPUTED_VALUE"""),45369.9986111111)</f>
        <v>45369.998611111099</v>
      </c>
      <c r="B79" s="3">
        <v>15743</v>
      </c>
    </row>
    <row r="80" spans="1:2" x14ac:dyDescent="0.2">
      <c r="A80" s="2">
        <f ca="1">IFERROR(__xludf.DUMMYFUNCTION("""COMPUTED_VALUE"""),45370.9986111111)</f>
        <v>45370.998611111099</v>
      </c>
      <c r="B80" s="3">
        <v>15718</v>
      </c>
    </row>
    <row r="81" spans="1:2" x14ac:dyDescent="0.2">
      <c r="A81" s="2">
        <f ca="1">IFERROR(__xludf.DUMMYFUNCTION("""COMPUTED_VALUE"""),45371.9986111111)</f>
        <v>45371.998611111099</v>
      </c>
      <c r="B81" s="3">
        <v>15687</v>
      </c>
    </row>
    <row r="82" spans="1:2" x14ac:dyDescent="0.2">
      <c r="A82" s="2">
        <f ca="1">IFERROR(__xludf.DUMMYFUNCTION("""COMPUTED_VALUE"""),45372.9986111111)</f>
        <v>45372.998611111099</v>
      </c>
      <c r="B82" s="3">
        <v>15723.5</v>
      </c>
    </row>
    <row r="83" spans="1:2" x14ac:dyDescent="0.2">
      <c r="A83" s="2">
        <f ca="1">IFERROR(__xludf.DUMMYFUNCTION("""COMPUTED_VALUE"""),45373.9986111111)</f>
        <v>45373.998611111099</v>
      </c>
      <c r="B83" s="3">
        <v>15802.6</v>
      </c>
    </row>
    <row r="84" spans="1:2" x14ac:dyDescent="0.2">
      <c r="A84" s="2">
        <f ca="1">IFERROR(__xludf.DUMMYFUNCTION("""COMPUTED_VALUE"""),45374.9986111111)</f>
        <v>45374.998611111099</v>
      </c>
      <c r="B84" s="3">
        <v>15802.6</v>
      </c>
    </row>
    <row r="85" spans="1:2" x14ac:dyDescent="0.2">
      <c r="A85" s="2">
        <f ca="1">IFERROR(__xludf.DUMMYFUNCTION("""COMPUTED_VALUE"""),45375.9986111111)</f>
        <v>45375.998611111099</v>
      </c>
      <c r="B85" s="3">
        <v>15802.6</v>
      </c>
    </row>
    <row r="86" spans="1:2" x14ac:dyDescent="0.2">
      <c r="A86" s="2">
        <f ca="1">IFERROR(__xludf.DUMMYFUNCTION("""COMPUTED_VALUE"""),45376.9986111111)</f>
        <v>45376.998611111099</v>
      </c>
      <c r="B86" s="3">
        <v>15784</v>
      </c>
    </row>
    <row r="87" spans="1:2" x14ac:dyDescent="0.2">
      <c r="A87" s="2">
        <f ca="1">IFERROR(__xludf.DUMMYFUNCTION("""COMPUTED_VALUE"""),45377.9986111111)</f>
        <v>45377.998611111099</v>
      </c>
      <c r="B87" s="3">
        <v>15828</v>
      </c>
    </row>
    <row r="88" spans="1:2" x14ac:dyDescent="0.2">
      <c r="A88" s="2">
        <f ca="1">IFERROR(__xludf.DUMMYFUNCTION("""COMPUTED_VALUE"""),45378.9986111111)</f>
        <v>45378.998611111099</v>
      </c>
      <c r="B88" s="3">
        <v>15877</v>
      </c>
    </row>
    <row r="89" spans="1:2" x14ac:dyDescent="0.2">
      <c r="A89" s="2">
        <f ca="1">IFERROR(__xludf.DUMMYFUNCTION("""COMPUTED_VALUE"""),45379.9986111111)</f>
        <v>45379.998611111099</v>
      </c>
      <c r="B89" s="3">
        <v>15877</v>
      </c>
    </row>
    <row r="90" spans="1:2" x14ac:dyDescent="0.2">
      <c r="A90" s="2">
        <f ca="1">IFERROR(__xludf.DUMMYFUNCTION("""COMPUTED_VALUE"""),45380.9986111111)</f>
        <v>45380.998611111099</v>
      </c>
      <c r="B90" s="3">
        <v>15873.1</v>
      </c>
    </row>
    <row r="91" spans="1:2" x14ac:dyDescent="0.2">
      <c r="A91" s="2">
        <f ca="1">IFERROR(__xludf.DUMMYFUNCTION("""COMPUTED_VALUE"""),45381.9986111111)</f>
        <v>45381.998611111099</v>
      </c>
      <c r="B91" s="3">
        <v>15873.1</v>
      </c>
    </row>
    <row r="92" spans="1:2" x14ac:dyDescent="0.2">
      <c r="A92" s="2">
        <f ca="1">IFERROR(__xludf.DUMMYFUNCTION("""COMPUTED_VALUE"""),45382.9986111111)</f>
        <v>45382.998611111099</v>
      </c>
      <c r="B92" s="3">
        <v>15848</v>
      </c>
    </row>
    <row r="93" spans="1:2" x14ac:dyDescent="0.2">
      <c r="A93" s="2">
        <f ca="1">IFERROR(__xludf.DUMMYFUNCTION("""COMPUTED_VALUE"""),45383.9986111111)</f>
        <v>45383.998611111099</v>
      </c>
      <c r="B93" s="3">
        <v>15945.8</v>
      </c>
    </row>
    <row r="94" spans="1:2" x14ac:dyDescent="0.2">
      <c r="A94" s="2">
        <f ca="1">IFERROR(__xludf.DUMMYFUNCTION("""COMPUTED_VALUE"""),45384.9986111111)</f>
        <v>45384.998611111099</v>
      </c>
      <c r="B94" s="3">
        <v>15955</v>
      </c>
    </row>
    <row r="95" spans="1:2" x14ac:dyDescent="0.2">
      <c r="A95" s="2">
        <f ca="1">IFERROR(__xludf.DUMMYFUNCTION("""COMPUTED_VALUE"""),45385.9986111111)</f>
        <v>45385.998611111099</v>
      </c>
      <c r="B95" s="3">
        <v>15936</v>
      </c>
    </row>
    <row r="96" spans="1:2" x14ac:dyDescent="0.2">
      <c r="A96" s="2">
        <f ca="1">IFERROR(__xludf.DUMMYFUNCTION("""COMPUTED_VALUE"""),45386.9986111111)</f>
        <v>45386.998611111099</v>
      </c>
      <c r="B96" s="3">
        <v>15904.5</v>
      </c>
    </row>
    <row r="97" spans="1:2" x14ac:dyDescent="0.2">
      <c r="A97" s="2">
        <f ca="1">IFERROR(__xludf.DUMMYFUNCTION("""COMPUTED_VALUE"""),45387.9986111111)</f>
        <v>45387.998611111099</v>
      </c>
      <c r="B97" s="3">
        <v>15882.5</v>
      </c>
    </row>
    <row r="98" spans="1:2" x14ac:dyDescent="0.2">
      <c r="A98" s="2">
        <f ca="1">IFERROR(__xludf.DUMMYFUNCTION("""COMPUTED_VALUE"""),45388.9986111111)</f>
        <v>45388.998611111099</v>
      </c>
      <c r="B98" s="3">
        <v>15882.5</v>
      </c>
    </row>
    <row r="99" spans="1:2" x14ac:dyDescent="0.2">
      <c r="A99" s="2">
        <f ca="1">IFERROR(__xludf.DUMMYFUNCTION("""COMPUTED_VALUE"""),45389.9986111111)</f>
        <v>45389.998611111099</v>
      </c>
      <c r="B99" s="3">
        <v>15881</v>
      </c>
    </row>
    <row r="100" spans="1:2" x14ac:dyDescent="0.2">
      <c r="A100" s="2">
        <f ca="1">IFERROR(__xludf.DUMMYFUNCTION("""COMPUTED_VALUE"""),45390.9986111111)</f>
        <v>45390.998611111099</v>
      </c>
      <c r="B100" s="3">
        <v>15918</v>
      </c>
    </row>
    <row r="101" spans="1:2" x14ac:dyDescent="0.2">
      <c r="A101" s="2">
        <f ca="1">IFERROR(__xludf.DUMMYFUNCTION("""COMPUTED_VALUE"""),45391.9986111111)</f>
        <v>45391.998611111099</v>
      </c>
      <c r="B101" s="3">
        <v>15892.3</v>
      </c>
    </row>
    <row r="102" spans="1:2" x14ac:dyDescent="0.2">
      <c r="A102" s="2">
        <f ca="1">IFERROR(__xludf.DUMMYFUNCTION("""COMPUTED_VALUE"""),45392.9986111111)</f>
        <v>45392.998611111099</v>
      </c>
      <c r="B102" s="3">
        <v>15998.2</v>
      </c>
    </row>
    <row r="103" spans="1:2" x14ac:dyDescent="0.2">
      <c r="A103" s="2">
        <f ca="1">IFERROR(__xludf.DUMMYFUNCTION("""COMPUTED_VALUE"""),45393.9986111111)</f>
        <v>45393.998611111099</v>
      </c>
      <c r="B103" s="3">
        <v>16007</v>
      </c>
    </row>
    <row r="104" spans="1:2" x14ac:dyDescent="0.2">
      <c r="A104" s="2">
        <f ca="1">IFERROR(__xludf.DUMMYFUNCTION("""COMPUTED_VALUE"""),45394.9986111111)</f>
        <v>45394.998611111099</v>
      </c>
      <c r="B104" s="3">
        <v>16112.3</v>
      </c>
    </row>
    <row r="105" spans="1:2" x14ac:dyDescent="0.2">
      <c r="A105" s="2">
        <f ca="1">IFERROR(__xludf.DUMMYFUNCTION("""COMPUTED_VALUE"""),45395.9986111111)</f>
        <v>45395.998611111099</v>
      </c>
      <c r="B105" s="3">
        <v>16112.3</v>
      </c>
    </row>
    <row r="106" spans="1:2" x14ac:dyDescent="0.2">
      <c r="A106" s="2">
        <f ca="1">IFERROR(__xludf.DUMMYFUNCTION("""COMPUTED_VALUE"""),45396.9986111111)</f>
        <v>45396.998611111099</v>
      </c>
      <c r="B106" s="3">
        <v>16111</v>
      </c>
    </row>
    <row r="107" spans="1:2" x14ac:dyDescent="0.2">
      <c r="A107" s="2">
        <f ca="1">IFERROR(__xludf.DUMMYFUNCTION("""COMPUTED_VALUE"""),45397.9986111111)</f>
        <v>45397.998611111099</v>
      </c>
      <c r="B107" s="3">
        <v>16075</v>
      </c>
    </row>
    <row r="108" spans="1:2" x14ac:dyDescent="0.2">
      <c r="A108" s="2">
        <f ca="1">IFERROR(__xludf.DUMMYFUNCTION("""COMPUTED_VALUE"""),45398.9986111111)</f>
        <v>45398.998611111099</v>
      </c>
      <c r="B108" s="3">
        <v>16312.2</v>
      </c>
    </row>
    <row r="109" spans="1:2" x14ac:dyDescent="0.2">
      <c r="A109" s="2">
        <f ca="1">IFERROR(__xludf.DUMMYFUNCTION("""COMPUTED_VALUE"""),45399.9986111111)</f>
        <v>45399.998611111099</v>
      </c>
      <c r="B109" s="3">
        <v>16246</v>
      </c>
    </row>
    <row r="110" spans="1:2" x14ac:dyDescent="0.2">
      <c r="A110" s="2">
        <f ca="1">IFERROR(__xludf.DUMMYFUNCTION("""COMPUTED_VALUE"""),45400.9986111111)</f>
        <v>45400.998611111099</v>
      </c>
      <c r="B110" s="3">
        <v>16220</v>
      </c>
    </row>
    <row r="111" spans="1:2" x14ac:dyDescent="0.2">
      <c r="A111" s="2">
        <f ca="1">IFERROR(__xludf.DUMMYFUNCTION("""COMPUTED_VALUE"""),45401.9986111111)</f>
        <v>45401.998611111099</v>
      </c>
      <c r="B111" s="3">
        <v>16210.3</v>
      </c>
    </row>
    <row r="112" spans="1:2" x14ac:dyDescent="0.2">
      <c r="A112" s="2">
        <f ca="1">IFERROR(__xludf.DUMMYFUNCTION("""COMPUTED_VALUE"""),45402.9986111111)</f>
        <v>45402.998611111099</v>
      </c>
      <c r="B112" s="3">
        <v>16210.3</v>
      </c>
    </row>
    <row r="113" spans="1:2" x14ac:dyDescent="0.2">
      <c r="A113" s="2">
        <f ca="1">IFERROR(__xludf.DUMMYFUNCTION("""COMPUTED_VALUE"""),45403.9986111111)</f>
        <v>45403.998611111099</v>
      </c>
      <c r="B113" s="3">
        <v>16210.3</v>
      </c>
    </row>
    <row r="114" spans="1:2" x14ac:dyDescent="0.2">
      <c r="A114" s="2">
        <f ca="1">IFERROR(__xludf.DUMMYFUNCTION("""COMPUTED_VALUE"""),45404.9986111111)</f>
        <v>45404.998611111099</v>
      </c>
      <c r="B114" s="3">
        <v>16246</v>
      </c>
    </row>
    <row r="115" spans="1:2" x14ac:dyDescent="0.2">
      <c r="A115" s="2">
        <f ca="1">IFERROR(__xludf.DUMMYFUNCTION("""COMPUTED_VALUE"""),45405.9986111111)</f>
        <v>45405.998611111099</v>
      </c>
      <c r="B115" s="3">
        <v>16140.2</v>
      </c>
    </row>
    <row r="116" spans="1:2" x14ac:dyDescent="0.2">
      <c r="A116" s="2">
        <f ca="1">IFERROR(__xludf.DUMMYFUNCTION("""COMPUTED_VALUE"""),45406.9986111111)</f>
        <v>45406.998611111099</v>
      </c>
      <c r="B116" s="3">
        <v>16220</v>
      </c>
    </row>
    <row r="117" spans="1:2" x14ac:dyDescent="0.2">
      <c r="A117" s="2">
        <f ca="1">IFERROR(__xludf.DUMMYFUNCTION("""COMPUTED_VALUE"""),45407.9986111111)</f>
        <v>45407.998611111099</v>
      </c>
      <c r="B117" s="3">
        <v>16202</v>
      </c>
    </row>
    <row r="118" spans="1:2" x14ac:dyDescent="0.2">
      <c r="A118" s="2">
        <f ca="1">IFERROR(__xludf.DUMMYFUNCTION("""COMPUTED_VALUE"""),45408.9986111111)</f>
        <v>45408.998611111099</v>
      </c>
      <c r="B118" s="3">
        <v>16232.2</v>
      </c>
    </row>
    <row r="119" spans="1:2" x14ac:dyDescent="0.2">
      <c r="A119" s="2">
        <f ca="1">IFERROR(__xludf.DUMMYFUNCTION("""COMPUTED_VALUE"""),45409.9986111111)</f>
        <v>45409.998611111099</v>
      </c>
      <c r="B119" s="3">
        <v>16232.2</v>
      </c>
    </row>
    <row r="120" spans="1:2" x14ac:dyDescent="0.2">
      <c r="A120" s="2">
        <f ca="1">IFERROR(__xludf.DUMMYFUNCTION("""COMPUTED_VALUE"""),45410.9986111111)</f>
        <v>45410.998611111099</v>
      </c>
      <c r="B120" s="3">
        <v>16203</v>
      </c>
    </row>
    <row r="121" spans="1:2" x14ac:dyDescent="0.2">
      <c r="A121" s="2">
        <f ca="1">IFERROR(__xludf.DUMMYFUNCTION("""COMPUTED_VALUE"""),45411.9986111111)</f>
        <v>45411.998611111099</v>
      </c>
      <c r="B121" s="3">
        <v>16246</v>
      </c>
    </row>
    <row r="122" spans="1:2" x14ac:dyDescent="0.2">
      <c r="A122" s="2">
        <f ca="1">IFERROR(__xludf.DUMMYFUNCTION("""COMPUTED_VALUE"""),45412.9986111111)</f>
        <v>45412.998611111099</v>
      </c>
      <c r="B122" s="3">
        <v>16273</v>
      </c>
    </row>
    <row r="123" spans="1:2" x14ac:dyDescent="0.2">
      <c r="A123" s="2">
        <f ca="1">IFERROR(__xludf.DUMMYFUNCTION("""COMPUTED_VALUE"""),45413.9986111111)</f>
        <v>45413.998611111099</v>
      </c>
      <c r="B123" s="3">
        <v>16190.4</v>
      </c>
    </row>
    <row r="124" spans="1:2" x14ac:dyDescent="0.2">
      <c r="A124" s="2">
        <f ca="1">IFERROR(__xludf.DUMMYFUNCTION("""COMPUTED_VALUE"""),45414.9986111111)</f>
        <v>45414.998611111099</v>
      </c>
      <c r="B124" s="3">
        <v>16097</v>
      </c>
    </row>
    <row r="125" spans="1:2" x14ac:dyDescent="0.2">
      <c r="A125" s="2">
        <f ca="1">IFERROR(__xludf.DUMMYFUNCTION("""COMPUTED_VALUE"""),45415.9986111111)</f>
        <v>45415.998611111099</v>
      </c>
      <c r="B125" s="3">
        <v>15951.2</v>
      </c>
    </row>
    <row r="126" spans="1:2" x14ac:dyDescent="0.2">
      <c r="A126" s="2">
        <f ca="1">IFERROR(__xludf.DUMMYFUNCTION("""COMPUTED_VALUE"""),45416.9986111111)</f>
        <v>45416.998611111099</v>
      </c>
      <c r="B126" s="3">
        <v>15951.2</v>
      </c>
    </row>
    <row r="127" spans="1:2" x14ac:dyDescent="0.2">
      <c r="A127" s="2">
        <f ca="1">IFERROR(__xludf.DUMMYFUNCTION("""COMPUTED_VALUE"""),45417.9986111111)</f>
        <v>45417.998611111099</v>
      </c>
      <c r="B127" s="3">
        <v>16077</v>
      </c>
    </row>
    <row r="128" spans="1:2" x14ac:dyDescent="0.2">
      <c r="A128" s="2">
        <f ca="1">IFERROR(__xludf.DUMMYFUNCTION("""COMPUTED_VALUE"""),45418.9986111111)</f>
        <v>45418.998611111099</v>
      </c>
      <c r="B128" s="3">
        <v>16034</v>
      </c>
    </row>
    <row r="129" spans="1:2" x14ac:dyDescent="0.2">
      <c r="A129" s="2">
        <f ca="1">IFERROR(__xludf.DUMMYFUNCTION("""COMPUTED_VALUE"""),45419.9986111111)</f>
        <v>45419.998611111099</v>
      </c>
      <c r="B129" s="3">
        <v>16073</v>
      </c>
    </row>
    <row r="130" spans="1:2" x14ac:dyDescent="0.2">
      <c r="A130" s="2">
        <f ca="1">IFERROR(__xludf.DUMMYFUNCTION("""COMPUTED_VALUE"""),45420.9986111111)</f>
        <v>45420.998611111099</v>
      </c>
      <c r="B130" s="3">
        <v>16074</v>
      </c>
    </row>
    <row r="131" spans="1:2" x14ac:dyDescent="0.2">
      <c r="A131" s="2">
        <f ca="1">IFERROR(__xludf.DUMMYFUNCTION("""COMPUTED_VALUE"""),45421.9986111111)</f>
        <v>45421.998611111099</v>
      </c>
      <c r="B131" s="3">
        <v>16030</v>
      </c>
    </row>
    <row r="132" spans="1:2" x14ac:dyDescent="0.2">
      <c r="A132" s="2">
        <f ca="1">IFERROR(__xludf.DUMMYFUNCTION("""COMPUTED_VALUE"""),45422.9986111111)</f>
        <v>45422.998611111099</v>
      </c>
      <c r="B132" s="3">
        <v>16047</v>
      </c>
    </row>
    <row r="133" spans="1:2" x14ac:dyDescent="0.2">
      <c r="A133" s="2">
        <f ca="1">IFERROR(__xludf.DUMMYFUNCTION("""COMPUTED_VALUE"""),45423.9986111111)</f>
        <v>45423.998611111099</v>
      </c>
      <c r="B133" s="3">
        <v>16047</v>
      </c>
    </row>
    <row r="134" spans="1:2" x14ac:dyDescent="0.2">
      <c r="A134" s="2">
        <f ca="1">IFERROR(__xludf.DUMMYFUNCTION("""COMPUTED_VALUE"""),45424.9986111111)</f>
        <v>45424.998611111099</v>
      </c>
      <c r="B134" s="3">
        <v>16038</v>
      </c>
    </row>
    <row r="135" spans="1:2" x14ac:dyDescent="0.2">
      <c r="A135" s="2">
        <f ca="1">IFERROR(__xludf.DUMMYFUNCTION("""COMPUTED_VALUE"""),45425.9986111111)</f>
        <v>45425.998611111099</v>
      </c>
      <c r="B135" s="3">
        <v>16121</v>
      </c>
    </row>
    <row r="136" spans="1:2" x14ac:dyDescent="0.2">
      <c r="A136" s="2">
        <f ca="1">IFERROR(__xludf.DUMMYFUNCTION("""COMPUTED_VALUE"""),45426.9986111111)</f>
        <v>45426.998611111099</v>
      </c>
      <c r="B136" s="3">
        <v>16102</v>
      </c>
    </row>
    <row r="137" spans="1:2" x14ac:dyDescent="0.2">
      <c r="A137" s="2">
        <f ca="1">IFERROR(__xludf.DUMMYFUNCTION("""COMPUTED_VALUE"""),45427.9986111111)</f>
        <v>45427.998611111099</v>
      </c>
      <c r="B137" s="3">
        <v>15914</v>
      </c>
    </row>
    <row r="138" spans="1:2" x14ac:dyDescent="0.2">
      <c r="A138" s="2">
        <f ca="1">IFERROR(__xludf.DUMMYFUNCTION("""COMPUTED_VALUE"""),45428.9986111111)</f>
        <v>45428.998611111099</v>
      </c>
      <c r="B138" s="3">
        <v>15930.8</v>
      </c>
    </row>
    <row r="139" spans="1:2" x14ac:dyDescent="0.2">
      <c r="A139" s="2">
        <f ca="1">IFERROR(__xludf.DUMMYFUNCTION("""COMPUTED_VALUE"""),45429.9986111111)</f>
        <v>45429.998611111099</v>
      </c>
      <c r="B139" s="3">
        <v>15920.3</v>
      </c>
    </row>
    <row r="140" spans="1:2" x14ac:dyDescent="0.2">
      <c r="A140" s="2">
        <f ca="1">IFERROR(__xludf.DUMMYFUNCTION("""COMPUTED_VALUE"""),45430.9986111111)</f>
        <v>45430.998611111099</v>
      </c>
      <c r="B140" s="3">
        <v>15920.3</v>
      </c>
    </row>
    <row r="141" spans="1:2" x14ac:dyDescent="0.2">
      <c r="A141" s="2">
        <f ca="1">IFERROR(__xludf.DUMMYFUNCTION("""COMPUTED_VALUE"""),45431.9986111111)</f>
        <v>45431.998611111099</v>
      </c>
      <c r="B141" s="3">
        <v>15958</v>
      </c>
    </row>
    <row r="142" spans="1:2" x14ac:dyDescent="0.2">
      <c r="A142" s="2">
        <f ca="1">IFERROR(__xludf.DUMMYFUNCTION("""COMPUTED_VALUE"""),45432.9986111111)</f>
        <v>45432.998611111099</v>
      </c>
      <c r="B142" s="3">
        <v>16031</v>
      </c>
    </row>
    <row r="143" spans="1:2" x14ac:dyDescent="0.2">
      <c r="A143" s="2">
        <f ca="1">IFERROR(__xludf.DUMMYFUNCTION("""COMPUTED_VALUE"""),45433.9986111111)</f>
        <v>45433.998611111099</v>
      </c>
      <c r="B143" s="3">
        <v>16005</v>
      </c>
    </row>
    <row r="144" spans="1:2" x14ac:dyDescent="0.2">
      <c r="A144" s="2">
        <f ca="1">IFERROR(__xludf.DUMMYFUNCTION("""COMPUTED_VALUE"""),45434.9986111111)</f>
        <v>45434.998611111099</v>
      </c>
      <c r="B144" s="3">
        <v>16040.7</v>
      </c>
    </row>
    <row r="145" spans="1:2" x14ac:dyDescent="0.2">
      <c r="A145" s="2">
        <f ca="1">IFERROR(__xludf.DUMMYFUNCTION("""COMPUTED_VALUE"""),45435.9986111111)</f>
        <v>45435.998611111099</v>
      </c>
      <c r="B145" s="3">
        <v>16095</v>
      </c>
    </row>
    <row r="146" spans="1:2" x14ac:dyDescent="0.2">
      <c r="A146" s="2">
        <f ca="1">IFERROR(__xludf.DUMMYFUNCTION("""COMPUTED_VALUE"""),45436.9986111111)</f>
        <v>45436.998611111099</v>
      </c>
      <c r="B146" s="3">
        <v>16038</v>
      </c>
    </row>
    <row r="147" spans="1:2" x14ac:dyDescent="0.2">
      <c r="A147" s="2">
        <f ca="1">IFERROR(__xludf.DUMMYFUNCTION("""COMPUTED_VALUE"""),45437.9986111111)</f>
        <v>45437.998611111099</v>
      </c>
      <c r="B147" s="3">
        <v>16038</v>
      </c>
    </row>
    <row r="148" spans="1:2" x14ac:dyDescent="0.2">
      <c r="A148" s="2">
        <f ca="1">IFERROR(__xludf.DUMMYFUNCTION("""COMPUTED_VALUE"""),45438.9986111111)</f>
        <v>45438.998611111099</v>
      </c>
      <c r="B148" s="3">
        <v>16038</v>
      </c>
    </row>
    <row r="149" spans="1:2" x14ac:dyDescent="0.2">
      <c r="A149" s="2">
        <f ca="1">IFERROR(__xludf.DUMMYFUNCTION("""COMPUTED_VALUE"""),45439.9986111111)</f>
        <v>45439.998611111099</v>
      </c>
      <c r="B149" s="3">
        <v>16071</v>
      </c>
    </row>
    <row r="150" spans="1:2" x14ac:dyDescent="0.2">
      <c r="A150" s="2">
        <f ca="1">IFERROR(__xludf.DUMMYFUNCTION("""COMPUTED_VALUE"""),45440.9986111111)</f>
        <v>45440.998611111099</v>
      </c>
      <c r="B150" s="3">
        <v>16117</v>
      </c>
    </row>
    <row r="151" spans="1:2" x14ac:dyDescent="0.2">
      <c r="A151" s="2">
        <f ca="1">IFERROR(__xludf.DUMMYFUNCTION("""COMPUTED_VALUE"""),45441.9986111111)</f>
        <v>45441.998611111099</v>
      </c>
      <c r="B151" s="3">
        <v>16232.1</v>
      </c>
    </row>
    <row r="152" spans="1:2" x14ac:dyDescent="0.2">
      <c r="A152" s="2">
        <f ca="1">IFERROR(__xludf.DUMMYFUNCTION("""COMPUTED_VALUE"""),45442.9986111111)</f>
        <v>45442.998611111099</v>
      </c>
      <c r="B152" s="3">
        <v>16228</v>
      </c>
    </row>
    <row r="153" spans="1:2" x14ac:dyDescent="0.2">
      <c r="A153" s="2">
        <f ca="1">IFERROR(__xludf.DUMMYFUNCTION("""COMPUTED_VALUE"""),45443.9986111111)</f>
        <v>45443.998611111099</v>
      </c>
      <c r="B153" s="3">
        <v>16244.2</v>
      </c>
    </row>
    <row r="154" spans="1:2" x14ac:dyDescent="0.2">
      <c r="A154" s="2">
        <f ca="1">IFERROR(__xludf.DUMMYFUNCTION("""COMPUTED_VALUE"""),45444.9986111111)</f>
        <v>45444.998611111099</v>
      </c>
      <c r="B154" s="3">
        <v>16244.2</v>
      </c>
    </row>
    <row r="155" spans="1:2" x14ac:dyDescent="0.2">
      <c r="A155" s="2">
        <f ca="1">IFERROR(__xludf.DUMMYFUNCTION("""COMPUTED_VALUE"""),45445.9986111111)</f>
        <v>45445.998611111099</v>
      </c>
      <c r="B155" s="3">
        <v>16243</v>
      </c>
    </row>
    <row r="156" spans="1:2" x14ac:dyDescent="0.2">
      <c r="A156" s="2">
        <f ca="1">IFERROR(__xludf.DUMMYFUNCTION("""COMPUTED_VALUE"""),45446.9986111111)</f>
        <v>45446.998611111099</v>
      </c>
      <c r="B156" s="3">
        <v>16203</v>
      </c>
    </row>
    <row r="157" spans="1:2" x14ac:dyDescent="0.2">
      <c r="A157" s="2">
        <f ca="1">IFERROR(__xludf.DUMMYFUNCTION("""COMPUTED_VALUE"""),45447.9986111111)</f>
        <v>45447.998611111099</v>
      </c>
      <c r="B157" s="3">
        <v>16276</v>
      </c>
    </row>
    <row r="158" spans="1:2" x14ac:dyDescent="0.2">
      <c r="A158" s="2">
        <f ca="1">IFERROR(__xludf.DUMMYFUNCTION("""COMPUTED_VALUE"""),45448.9986111111)</f>
        <v>45448.998611111099</v>
      </c>
      <c r="B158" s="3">
        <v>16315</v>
      </c>
    </row>
    <row r="159" spans="1:2" x14ac:dyDescent="0.2">
      <c r="A159" s="2">
        <f ca="1">IFERROR(__xludf.DUMMYFUNCTION("""COMPUTED_VALUE"""),45449.9986111111)</f>
        <v>45449.998611111099</v>
      </c>
      <c r="B159" s="3">
        <v>16241.7</v>
      </c>
    </row>
    <row r="160" spans="1:2" x14ac:dyDescent="0.2">
      <c r="A160" s="2">
        <f ca="1">IFERROR(__xludf.DUMMYFUNCTION("""COMPUTED_VALUE"""),45450.9986111111)</f>
        <v>45450.998611111099</v>
      </c>
      <c r="B160" s="3">
        <v>16268.2</v>
      </c>
    </row>
    <row r="161" spans="1:2" x14ac:dyDescent="0.2">
      <c r="A161" s="2">
        <f ca="1">IFERROR(__xludf.DUMMYFUNCTION("""COMPUTED_VALUE"""),45451.9986111111)</f>
        <v>45451.998611111099</v>
      </c>
      <c r="B161" s="3">
        <v>16268.2</v>
      </c>
    </row>
    <row r="162" spans="1:2" x14ac:dyDescent="0.2">
      <c r="A162" s="2">
        <f ca="1">IFERROR(__xludf.DUMMYFUNCTION("""COMPUTED_VALUE"""),45452.9986111111)</f>
        <v>45452.998611111099</v>
      </c>
      <c r="B162" s="3">
        <v>16270</v>
      </c>
    </row>
    <row r="163" spans="1:2" x14ac:dyDescent="0.2">
      <c r="A163" s="2">
        <f ca="1">IFERROR(__xludf.DUMMYFUNCTION("""COMPUTED_VALUE"""),45453.9986111111)</f>
        <v>45453.998611111099</v>
      </c>
      <c r="B163" s="3">
        <v>16312</v>
      </c>
    </row>
    <row r="164" spans="1:2" x14ac:dyDescent="0.2">
      <c r="A164" s="2">
        <f ca="1">IFERROR(__xludf.DUMMYFUNCTION("""COMPUTED_VALUE"""),45454.9986111111)</f>
        <v>45454.998611111099</v>
      </c>
      <c r="B164" s="3">
        <v>16305.4</v>
      </c>
    </row>
    <row r="165" spans="1:2" x14ac:dyDescent="0.2">
      <c r="A165" s="2">
        <f ca="1">IFERROR(__xludf.DUMMYFUNCTION("""COMPUTED_VALUE"""),45455.9986111111)</f>
        <v>45455.998611111099</v>
      </c>
      <c r="B165" s="3">
        <v>16230</v>
      </c>
    </row>
    <row r="166" spans="1:2" x14ac:dyDescent="0.2">
      <c r="A166" s="2">
        <f ca="1">IFERROR(__xludf.DUMMYFUNCTION("""COMPUTED_VALUE"""),45456.9986111111)</f>
        <v>45456.998611111099</v>
      </c>
      <c r="B166" s="3">
        <v>16286</v>
      </c>
    </row>
    <row r="167" spans="1:2" x14ac:dyDescent="0.2">
      <c r="A167" s="2">
        <f ca="1">IFERROR(__xludf.DUMMYFUNCTION("""COMPUTED_VALUE"""),45457.9986111111)</f>
        <v>45457.998611111099</v>
      </c>
      <c r="B167" s="3">
        <v>16479.900000000001</v>
      </c>
    </row>
    <row r="168" spans="1:2" x14ac:dyDescent="0.2">
      <c r="A168" s="2">
        <f ca="1">IFERROR(__xludf.DUMMYFUNCTION("""COMPUTED_VALUE"""),45458.9986111111)</f>
        <v>45458.998611111099</v>
      </c>
      <c r="B168" s="3">
        <v>16479.900000000001</v>
      </c>
    </row>
    <row r="169" spans="1:2" x14ac:dyDescent="0.2">
      <c r="A169" s="2">
        <f ca="1">IFERROR(__xludf.DUMMYFUNCTION("""COMPUTED_VALUE"""),45459.9986111111)</f>
        <v>45459.998611111099</v>
      </c>
      <c r="B169" s="3">
        <v>16479.900000000001</v>
      </c>
    </row>
    <row r="170" spans="1:2" x14ac:dyDescent="0.2">
      <c r="A170" s="2">
        <f ca="1">IFERROR(__xludf.DUMMYFUNCTION("""COMPUTED_VALUE"""),45460.9986111111)</f>
        <v>45460.998611111099</v>
      </c>
      <c r="B170" s="3">
        <v>16479</v>
      </c>
    </row>
    <row r="171" spans="1:2" x14ac:dyDescent="0.2">
      <c r="A171" s="2">
        <f ca="1">IFERROR(__xludf.DUMMYFUNCTION("""COMPUTED_VALUE"""),45461.9986111111)</f>
        <v>45461.998611111099</v>
      </c>
      <c r="B171" s="3">
        <v>16379</v>
      </c>
    </row>
    <row r="172" spans="1:2" x14ac:dyDescent="0.2">
      <c r="A172" s="2">
        <f ca="1">IFERROR(__xludf.DUMMYFUNCTION("""COMPUTED_VALUE"""),45462.9986111111)</f>
        <v>45462.998611111099</v>
      </c>
      <c r="B172" s="3">
        <v>16380.9</v>
      </c>
    </row>
    <row r="173" spans="1:2" x14ac:dyDescent="0.2">
      <c r="A173" s="2">
        <f ca="1">IFERROR(__xludf.DUMMYFUNCTION("""COMPUTED_VALUE"""),45463.9986111111)</f>
        <v>45463.998611111099</v>
      </c>
      <c r="B173" s="3">
        <v>16491.900000000001</v>
      </c>
    </row>
    <row r="174" spans="1:2" x14ac:dyDescent="0.2">
      <c r="A174" s="2">
        <f ca="1">IFERROR(__xludf.DUMMYFUNCTION("""COMPUTED_VALUE"""),45464.9986111111)</f>
        <v>45464.998611111099</v>
      </c>
      <c r="B174" s="3">
        <v>16470.2</v>
      </c>
    </row>
    <row r="175" spans="1:2" x14ac:dyDescent="0.2">
      <c r="A175" s="2">
        <f ca="1">IFERROR(__xludf.DUMMYFUNCTION("""COMPUTED_VALUE"""),45465.9986111111)</f>
        <v>45465.998611111099</v>
      </c>
      <c r="B175" s="3">
        <v>16470.2</v>
      </c>
    </row>
    <row r="176" spans="1:2" x14ac:dyDescent="0.2">
      <c r="A176" s="2">
        <f ca="1">IFERROR(__xludf.DUMMYFUNCTION("""COMPUTED_VALUE"""),45466.9986111111)</f>
        <v>45466.998611111099</v>
      </c>
      <c r="B176" s="3">
        <v>16443</v>
      </c>
    </row>
    <row r="177" spans="1:2" x14ac:dyDescent="0.2">
      <c r="A177" s="2">
        <f ca="1">IFERROR(__xludf.DUMMYFUNCTION("""COMPUTED_VALUE"""),45467.9986111111)</f>
        <v>45467.998611111099</v>
      </c>
      <c r="B177" s="3">
        <v>16394.099999999999</v>
      </c>
    </row>
    <row r="178" spans="1:2" x14ac:dyDescent="0.2">
      <c r="A178" s="2">
        <f ca="1">IFERROR(__xludf.DUMMYFUNCTION("""COMPUTED_VALUE"""),45469.9986111111)</f>
        <v>45469.998611111099</v>
      </c>
      <c r="B178" s="3">
        <v>16434</v>
      </c>
    </row>
    <row r="179" spans="1:2" x14ac:dyDescent="0.2">
      <c r="A179" s="2">
        <f ca="1">IFERROR(__xludf.DUMMYFUNCTION("""COMPUTED_VALUE"""),45470.9986111111)</f>
        <v>45470.998611111099</v>
      </c>
      <c r="B179" s="3">
        <v>16374.4</v>
      </c>
    </row>
    <row r="180" spans="1:2" x14ac:dyDescent="0.2">
      <c r="A180" s="2">
        <f ca="1">IFERROR(__xludf.DUMMYFUNCTION("""COMPUTED_VALUE"""),45471.9986111111)</f>
        <v>45471.998611111099</v>
      </c>
      <c r="B180" s="3">
        <v>16342.8</v>
      </c>
    </row>
    <row r="181" spans="1:2" x14ac:dyDescent="0.2">
      <c r="A181" s="2">
        <f ca="1">IFERROR(__xludf.DUMMYFUNCTION("""COMPUTED_VALUE"""),45472.9986111111)</f>
        <v>45472.998611111099</v>
      </c>
      <c r="B181" s="3">
        <v>16342.8</v>
      </c>
    </row>
    <row r="182" spans="1:2" x14ac:dyDescent="0.2">
      <c r="A182" s="2">
        <f ca="1">IFERROR(__xludf.DUMMYFUNCTION("""COMPUTED_VALUE"""),45473.9986111111)</f>
        <v>45473.998611111099</v>
      </c>
      <c r="B182" s="3">
        <v>16343</v>
      </c>
    </row>
    <row r="183" spans="1:2" x14ac:dyDescent="0.2">
      <c r="A183" s="2">
        <f ca="1">IFERROR(__xludf.DUMMYFUNCTION("""COMPUTED_VALUE"""),45474.9986111111)</f>
        <v>45474.998611111099</v>
      </c>
      <c r="B183" s="3">
        <v>16390</v>
      </c>
    </row>
    <row r="184" spans="1:2" x14ac:dyDescent="0.2">
      <c r="A184" s="2">
        <f ca="1">IFERROR(__xludf.DUMMYFUNCTION("""COMPUTED_VALUE"""),45475.9986111111)</f>
        <v>45475.998611111099</v>
      </c>
      <c r="B184" s="3">
        <v>16391</v>
      </c>
    </row>
    <row r="185" spans="1:2" x14ac:dyDescent="0.2">
      <c r="A185" s="2">
        <f ca="1">IFERROR(__xludf.DUMMYFUNCTION("""COMPUTED_VALUE"""),45476.9986111111)</f>
        <v>45476.998611111099</v>
      </c>
      <c r="B185" s="3">
        <v>16340</v>
      </c>
    </row>
    <row r="186" spans="1:2" x14ac:dyDescent="0.2">
      <c r="A186" s="2">
        <f ca="1">IFERROR(__xludf.DUMMYFUNCTION("""COMPUTED_VALUE"""),45477.9986111111)</f>
        <v>45477.998611111099</v>
      </c>
      <c r="B186" s="3">
        <v>16328.5</v>
      </c>
    </row>
    <row r="187" spans="1:2" x14ac:dyDescent="0.2">
      <c r="A187" s="2">
        <f ca="1">IFERROR(__xludf.DUMMYFUNCTION("""COMPUTED_VALUE"""),45478.9986111111)</f>
        <v>45478.998611111099</v>
      </c>
      <c r="B187" s="3">
        <v>16239.3</v>
      </c>
    </row>
    <row r="188" spans="1:2" x14ac:dyDescent="0.2">
      <c r="A188" s="2">
        <f ca="1">IFERROR(__xludf.DUMMYFUNCTION("""COMPUTED_VALUE"""),45479.9986111111)</f>
        <v>45479.998611111099</v>
      </c>
      <c r="B188" s="3">
        <v>16239.3</v>
      </c>
    </row>
    <row r="189" spans="1:2" x14ac:dyDescent="0.2">
      <c r="A189" s="2">
        <f ca="1">IFERROR(__xludf.DUMMYFUNCTION("""COMPUTED_VALUE"""),45480.9986111111)</f>
        <v>45480.998611111099</v>
      </c>
      <c r="B189" s="3">
        <v>16245</v>
      </c>
    </row>
    <row r="190" spans="1:2" x14ac:dyDescent="0.2">
      <c r="A190" s="2">
        <f ca="1">IFERROR(__xludf.DUMMYFUNCTION("""COMPUTED_VALUE"""),45481.9986111111)</f>
        <v>45481.998611111099</v>
      </c>
      <c r="B190" s="3">
        <v>16277.2</v>
      </c>
    </row>
    <row r="191" spans="1:2" x14ac:dyDescent="0.2">
      <c r="A191" s="2">
        <f ca="1">IFERROR(__xludf.DUMMYFUNCTION("""COMPUTED_VALUE"""),45482.9986111111)</f>
        <v>45482.998611111099</v>
      </c>
      <c r="B191" s="3">
        <v>16277</v>
      </c>
    </row>
    <row r="192" spans="1:2" x14ac:dyDescent="0.2">
      <c r="A192" s="2">
        <f ca="1">IFERROR(__xludf.DUMMYFUNCTION("""COMPUTED_VALUE"""),45483.9986111111)</f>
        <v>45483.998611111099</v>
      </c>
      <c r="B192" s="3">
        <v>16198</v>
      </c>
    </row>
    <row r="193" spans="1:2" x14ac:dyDescent="0.2">
      <c r="A193" s="2">
        <f ca="1">IFERROR(__xludf.DUMMYFUNCTION("""COMPUTED_VALUE"""),45484.9986111111)</f>
        <v>45484.998611111099</v>
      </c>
      <c r="B193" s="3">
        <v>16104</v>
      </c>
    </row>
    <row r="194" spans="1:2" x14ac:dyDescent="0.2">
      <c r="A194" s="2">
        <f ca="1">IFERROR(__xludf.DUMMYFUNCTION("""COMPUTED_VALUE"""),45485.9986111111)</f>
        <v>45485.998611111099</v>
      </c>
      <c r="B194" s="3">
        <v>16067.3</v>
      </c>
    </row>
    <row r="195" spans="1:2" x14ac:dyDescent="0.2">
      <c r="A195" s="2">
        <f ca="1">IFERROR(__xludf.DUMMYFUNCTION("""COMPUTED_VALUE"""),45486.9986111111)</f>
        <v>45486.998611111099</v>
      </c>
      <c r="B195" s="3">
        <v>16067.3</v>
      </c>
    </row>
    <row r="196" spans="1:2" x14ac:dyDescent="0.2">
      <c r="A196" s="2">
        <f ca="1">IFERROR(__xludf.DUMMYFUNCTION("""COMPUTED_VALUE"""),45487.9986111111)</f>
        <v>45487.998611111099</v>
      </c>
      <c r="B196" s="3">
        <v>16108</v>
      </c>
    </row>
    <row r="197" spans="1:2" x14ac:dyDescent="0.2">
      <c r="A197" s="2">
        <f ca="1">IFERROR(__xludf.DUMMYFUNCTION("""COMPUTED_VALUE"""),45488.9986111111)</f>
        <v>45488.998611111099</v>
      </c>
      <c r="B197" s="3">
        <v>16195</v>
      </c>
    </row>
    <row r="198" spans="1:2" x14ac:dyDescent="0.2">
      <c r="A198" s="2">
        <f ca="1">IFERROR(__xludf.DUMMYFUNCTION("""COMPUTED_VALUE"""),45489.9986111111)</f>
        <v>45489.998611111099</v>
      </c>
      <c r="B198" s="3">
        <v>16173</v>
      </c>
    </row>
    <row r="199" spans="1:2" x14ac:dyDescent="0.2">
      <c r="A199" s="2">
        <f ca="1">IFERROR(__xludf.DUMMYFUNCTION("""COMPUTED_VALUE"""),45490.9986111111)</f>
        <v>45490.998611111099</v>
      </c>
      <c r="B199" s="3">
        <v>16138</v>
      </c>
    </row>
    <row r="200" spans="1:2" x14ac:dyDescent="0.2">
      <c r="A200" s="2">
        <f ca="1">IFERROR(__xludf.DUMMYFUNCTION("""COMPUTED_VALUE"""),45491.9986111111)</f>
        <v>45491.998611111099</v>
      </c>
      <c r="B200" s="3">
        <v>16185</v>
      </c>
    </row>
    <row r="201" spans="1:2" x14ac:dyDescent="0.2">
      <c r="A201" s="2">
        <f ca="1">IFERROR(__xludf.DUMMYFUNCTION("""COMPUTED_VALUE"""),45492.9986111111)</f>
        <v>45492.998611111099</v>
      </c>
      <c r="B201" s="3">
        <v>16207.8</v>
      </c>
    </row>
    <row r="202" spans="1:2" x14ac:dyDescent="0.2">
      <c r="A202" s="2">
        <f ca="1">IFERROR(__xludf.DUMMYFUNCTION("""COMPUTED_VALUE"""),45493.9986111111)</f>
        <v>45493.998611111099</v>
      </c>
      <c r="B202" s="3">
        <v>16207.8</v>
      </c>
    </row>
    <row r="203" spans="1:2" x14ac:dyDescent="0.2">
      <c r="A203" s="2">
        <f ca="1">IFERROR(__xludf.DUMMYFUNCTION("""COMPUTED_VALUE"""),45494.9986111111)</f>
        <v>45494.998611111099</v>
      </c>
      <c r="B203" s="3">
        <v>16206</v>
      </c>
    </row>
    <row r="204" spans="1:2" x14ac:dyDescent="0.2">
      <c r="A204" s="2">
        <f ca="1">IFERROR(__xludf.DUMMYFUNCTION("""COMPUTED_VALUE"""),45495.9986111111)</f>
        <v>45495.998611111099</v>
      </c>
      <c r="B204" s="3">
        <v>16220.2</v>
      </c>
    </row>
    <row r="205" spans="1:2" x14ac:dyDescent="0.2">
      <c r="A205" s="2">
        <f ca="1">IFERROR(__xludf.DUMMYFUNCTION("""COMPUTED_VALUE"""),45496.9986111111)</f>
        <v>45496.998611111099</v>
      </c>
      <c r="B205" s="3">
        <v>16222</v>
      </c>
    </row>
    <row r="206" spans="1:2" x14ac:dyDescent="0.2">
      <c r="A206" s="2">
        <f ca="1">IFERROR(__xludf.DUMMYFUNCTION("""COMPUTED_VALUE"""),45497.9986111111)</f>
        <v>45497.998611111099</v>
      </c>
      <c r="B206" s="3">
        <v>16246</v>
      </c>
    </row>
    <row r="207" spans="1:2" x14ac:dyDescent="0.2">
      <c r="A207" s="2">
        <f ca="1">IFERROR(__xludf.DUMMYFUNCTION("""COMPUTED_VALUE"""),45498.9986111111)</f>
        <v>45498.998611111099</v>
      </c>
      <c r="B207" s="3">
        <v>16337.8</v>
      </c>
    </row>
    <row r="208" spans="1:2" x14ac:dyDescent="0.2">
      <c r="A208" s="2">
        <f ca="1">IFERROR(__xludf.DUMMYFUNCTION("""COMPUTED_VALUE"""),45499.9986111111)</f>
        <v>45499.998611111099</v>
      </c>
      <c r="B208" s="3">
        <v>16284.1</v>
      </c>
    </row>
    <row r="209" spans="1:2" x14ac:dyDescent="0.2">
      <c r="A209" s="2">
        <f ca="1">IFERROR(__xludf.DUMMYFUNCTION("""COMPUTED_VALUE"""),45500.9986111111)</f>
        <v>45500.998611111099</v>
      </c>
      <c r="B209" s="3">
        <v>16284.1</v>
      </c>
    </row>
    <row r="210" spans="1:2" x14ac:dyDescent="0.2">
      <c r="A210" s="2">
        <f ca="1">IFERROR(__xludf.DUMMYFUNCTION("""COMPUTED_VALUE"""),45501.9986111111)</f>
        <v>45501.998611111099</v>
      </c>
      <c r="B210" s="3">
        <v>16283</v>
      </c>
    </row>
    <row r="211" spans="1:2" x14ac:dyDescent="0.2">
      <c r="A211" s="2">
        <f ca="1">IFERROR(__xludf.DUMMYFUNCTION("""COMPUTED_VALUE"""),45502.9986111111)</f>
        <v>45502.998611111099</v>
      </c>
      <c r="B211" s="3">
        <v>16301.7</v>
      </c>
    </row>
    <row r="212" spans="1:2" x14ac:dyDescent="0.2">
      <c r="A212" s="2">
        <f ca="1">IFERROR(__xludf.DUMMYFUNCTION("""COMPUTED_VALUE"""),45503.9986111111)</f>
        <v>45503.998611111099</v>
      </c>
      <c r="B212" s="3">
        <v>16328.5</v>
      </c>
    </row>
    <row r="213" spans="1:2" x14ac:dyDescent="0.2">
      <c r="A213" s="2">
        <f ca="1">IFERROR(__xludf.DUMMYFUNCTION("""COMPUTED_VALUE"""),45504.9986111111)</f>
        <v>45504.998611111099</v>
      </c>
      <c r="B213" s="3">
        <v>16255</v>
      </c>
    </row>
    <row r="214" spans="1:2" x14ac:dyDescent="0.2">
      <c r="A214" s="2">
        <f ca="1">IFERROR(__xludf.DUMMYFUNCTION("""COMPUTED_VALUE"""),45505.9986111111)</f>
        <v>45505.998611111099</v>
      </c>
      <c r="B214" s="3">
        <v>16281</v>
      </c>
    </row>
    <row r="215" spans="1:2" x14ac:dyDescent="0.2">
      <c r="A215" s="2">
        <f ca="1">IFERROR(__xludf.DUMMYFUNCTION("""COMPUTED_VALUE"""),45506.9986111111)</f>
        <v>45506.998611111099</v>
      </c>
      <c r="B215" s="3">
        <v>16134.6</v>
      </c>
    </row>
    <row r="216" spans="1:2" x14ac:dyDescent="0.2">
      <c r="A216" s="2">
        <f ca="1">IFERROR(__xludf.DUMMYFUNCTION("""COMPUTED_VALUE"""),45507.9986111111)</f>
        <v>45507.998611111099</v>
      </c>
      <c r="B216" s="3">
        <v>16134.6</v>
      </c>
    </row>
    <row r="217" spans="1:2" x14ac:dyDescent="0.2">
      <c r="A217" s="2">
        <f ca="1">IFERROR(__xludf.DUMMYFUNCTION("""COMPUTED_VALUE"""),45508.9986111111)</f>
        <v>45508.998611111099</v>
      </c>
      <c r="B217" s="3">
        <v>16012</v>
      </c>
    </row>
    <row r="218" spans="1:2" x14ac:dyDescent="0.2">
      <c r="A218" s="2">
        <f ca="1">IFERROR(__xludf.DUMMYFUNCTION("""COMPUTED_VALUE"""),45509.9986111111)</f>
        <v>45509.998611111099</v>
      </c>
      <c r="B218" s="3">
        <v>16208</v>
      </c>
    </row>
    <row r="219" spans="1:2" x14ac:dyDescent="0.2">
      <c r="A219" s="2">
        <f ca="1">IFERROR(__xludf.DUMMYFUNCTION("""COMPUTED_VALUE"""),45510.9986111111)</f>
        <v>45510.998611111099</v>
      </c>
      <c r="B219" s="3">
        <v>16152.3</v>
      </c>
    </row>
    <row r="220" spans="1:2" x14ac:dyDescent="0.2">
      <c r="A220" s="2">
        <f ca="1">IFERROR(__xludf.DUMMYFUNCTION("""COMPUTED_VALUE"""),45511.9986111111)</f>
        <v>45511.998611111099</v>
      </c>
      <c r="B220" s="3">
        <v>16023</v>
      </c>
    </row>
    <row r="221" spans="1:2" x14ac:dyDescent="0.2">
      <c r="A221" s="2">
        <f ca="1">IFERROR(__xludf.DUMMYFUNCTION("""COMPUTED_VALUE"""),45512.9986111111)</f>
        <v>45512.998611111099</v>
      </c>
      <c r="B221" s="3">
        <v>15979</v>
      </c>
    </row>
    <row r="222" spans="1:2" x14ac:dyDescent="0.2">
      <c r="A222" s="2">
        <f ca="1">IFERROR(__xludf.DUMMYFUNCTION("""COMPUTED_VALUE"""),45513.9986111111)</f>
        <v>45513.998611111099</v>
      </c>
      <c r="B222" s="3">
        <v>15934</v>
      </c>
    </row>
    <row r="223" spans="1:2" x14ac:dyDescent="0.2">
      <c r="A223" s="2">
        <f ca="1">IFERROR(__xludf.DUMMYFUNCTION("""COMPUTED_VALUE"""),45514.9986111111)</f>
        <v>45514.998611111099</v>
      </c>
      <c r="B223" s="3">
        <v>15934</v>
      </c>
    </row>
    <row r="224" spans="1:2" x14ac:dyDescent="0.2">
      <c r="A224" s="2">
        <f ca="1">IFERROR(__xludf.DUMMYFUNCTION("""COMPUTED_VALUE"""),45515.9986111111)</f>
        <v>45515.998611111099</v>
      </c>
      <c r="B224" s="3">
        <v>15918</v>
      </c>
    </row>
    <row r="225" spans="1:2" x14ac:dyDescent="0.2">
      <c r="A225" s="2">
        <f ca="1">IFERROR(__xludf.DUMMYFUNCTION("""COMPUTED_VALUE"""),45516.9986111111)</f>
        <v>45516.998611111099</v>
      </c>
      <c r="B225" s="3">
        <v>15949.1</v>
      </c>
    </row>
    <row r="226" spans="1:2" x14ac:dyDescent="0.2">
      <c r="A226" s="2">
        <f ca="1">IFERROR(__xludf.DUMMYFUNCTION("""COMPUTED_VALUE"""),45517.9986111111)</f>
        <v>45517.998611111099</v>
      </c>
      <c r="B226" s="3">
        <v>15749</v>
      </c>
    </row>
    <row r="227" spans="1:2" x14ac:dyDescent="0.2">
      <c r="A227" s="2">
        <f ca="1">IFERROR(__xludf.DUMMYFUNCTION("""COMPUTED_VALUE"""),45518.9986111111)</f>
        <v>45518.998611111099</v>
      </c>
      <c r="B227" s="3">
        <v>15619.5</v>
      </c>
    </row>
    <row r="228" spans="1:2" x14ac:dyDescent="0.2">
      <c r="A228" s="2">
        <f ca="1">IFERROR(__xludf.DUMMYFUNCTION("""COMPUTED_VALUE"""),45519.9986111111)</f>
        <v>45519.998611111099</v>
      </c>
      <c r="B228" s="3">
        <v>15755</v>
      </c>
    </row>
    <row r="229" spans="1:2" x14ac:dyDescent="0.2">
      <c r="A229" s="2">
        <f ca="1">IFERROR(__xludf.DUMMYFUNCTION("""COMPUTED_VALUE"""),45520.9986111111)</f>
        <v>45520.998611111099</v>
      </c>
      <c r="B229" s="3">
        <v>15672</v>
      </c>
    </row>
    <row r="230" spans="1:2" x14ac:dyDescent="0.2">
      <c r="A230" s="2">
        <f ca="1">IFERROR(__xludf.DUMMYFUNCTION("""COMPUTED_VALUE"""),45521.9986111111)</f>
        <v>45521.998611111099</v>
      </c>
      <c r="B230" s="3">
        <v>15672</v>
      </c>
    </row>
    <row r="231" spans="1:2" x14ac:dyDescent="0.2">
      <c r="A231" s="2">
        <f ca="1">IFERROR(__xludf.DUMMYFUNCTION("""COMPUTED_VALUE"""),45522.9986111111)</f>
        <v>45522.998611111099</v>
      </c>
      <c r="B231" s="3">
        <v>15683</v>
      </c>
    </row>
    <row r="232" spans="1:2" x14ac:dyDescent="0.2">
      <c r="A232" s="2">
        <f ca="1">IFERROR(__xludf.DUMMYFUNCTION("""COMPUTED_VALUE"""),45523.9986111111)</f>
        <v>45523.998611111099</v>
      </c>
      <c r="B232" s="3">
        <v>15523</v>
      </c>
    </row>
    <row r="233" spans="1:2" x14ac:dyDescent="0.2">
      <c r="A233" s="2">
        <f ca="1">IFERROR(__xludf.DUMMYFUNCTION("""COMPUTED_VALUE"""),45524.9986111111)</f>
        <v>45524.998611111099</v>
      </c>
      <c r="B233" s="3">
        <v>15442</v>
      </c>
    </row>
    <row r="234" spans="1:2" x14ac:dyDescent="0.2">
      <c r="A234" s="2">
        <f ca="1">IFERROR(__xludf.DUMMYFUNCTION("""COMPUTED_VALUE"""),45525.9986111111)</f>
        <v>45525.998611111099</v>
      </c>
      <c r="B234" s="3">
        <v>15484</v>
      </c>
    </row>
    <row r="235" spans="1:2" x14ac:dyDescent="0.2">
      <c r="A235" s="2">
        <f ca="1">IFERROR(__xludf.DUMMYFUNCTION("""COMPUTED_VALUE"""),45526.9986111111)</f>
        <v>45526.998611111099</v>
      </c>
      <c r="B235" s="3">
        <v>15728.5</v>
      </c>
    </row>
    <row r="236" spans="1:2" x14ac:dyDescent="0.2">
      <c r="A236" s="2">
        <f ca="1">IFERROR(__xludf.DUMMYFUNCTION("""COMPUTED_VALUE"""),45527.9986111111)</f>
        <v>45527.998611111099</v>
      </c>
      <c r="B236" s="3">
        <v>15377.2</v>
      </c>
    </row>
    <row r="237" spans="1:2" x14ac:dyDescent="0.2">
      <c r="A237" s="2">
        <f ca="1">IFERROR(__xludf.DUMMYFUNCTION("""COMPUTED_VALUE"""),45528.9986111111)</f>
        <v>45528.998611111099</v>
      </c>
      <c r="B237" s="3">
        <v>15377.2</v>
      </c>
    </row>
    <row r="238" spans="1:2" x14ac:dyDescent="0.2">
      <c r="A238" s="2">
        <f ca="1">IFERROR(__xludf.DUMMYFUNCTION("""COMPUTED_VALUE"""),45529.9986111111)</f>
        <v>45529.998611111099</v>
      </c>
      <c r="B238" s="3">
        <v>15377.2</v>
      </c>
    </row>
    <row r="239" spans="1:2" x14ac:dyDescent="0.2">
      <c r="A239" s="2">
        <f ca="1">IFERROR(__xludf.DUMMYFUNCTION("""COMPUTED_VALUE"""),45530.9986111111)</f>
        <v>45530.998611111099</v>
      </c>
      <c r="B239" s="3">
        <v>15462.6</v>
      </c>
    </row>
    <row r="240" spans="1:2" x14ac:dyDescent="0.2">
      <c r="A240" s="2">
        <f ca="1">IFERROR(__xludf.DUMMYFUNCTION("""COMPUTED_VALUE"""),45531.9986111111)</f>
        <v>45531.998611111099</v>
      </c>
      <c r="B240" s="3">
        <v>15467.1</v>
      </c>
    </row>
    <row r="241" spans="1:2" x14ac:dyDescent="0.2">
      <c r="A241" s="2">
        <f ca="1">IFERROR(__xludf.DUMMYFUNCTION("""COMPUTED_VALUE"""),45532.9986111111)</f>
        <v>45532.998611111099</v>
      </c>
      <c r="B241" s="3">
        <v>15440</v>
      </c>
    </row>
    <row r="242" spans="1:2" x14ac:dyDescent="0.2">
      <c r="A242" s="2">
        <f ca="1">IFERROR(__xludf.DUMMYFUNCTION("""COMPUTED_VALUE"""),45533.9986111111)</f>
        <v>45533.998611111099</v>
      </c>
      <c r="B242" s="3">
        <v>15444.8</v>
      </c>
    </row>
    <row r="243" spans="1:2" x14ac:dyDescent="0.2">
      <c r="A243" s="2">
        <f ca="1">IFERROR(__xludf.DUMMYFUNCTION("""COMPUTED_VALUE"""),45534.9986111111)</f>
        <v>45534.998611111099</v>
      </c>
      <c r="B243" s="3">
        <v>15521.4</v>
      </c>
    </row>
    <row r="244" spans="1:2" x14ac:dyDescent="0.2">
      <c r="A244" s="2">
        <f ca="1">IFERROR(__xludf.DUMMYFUNCTION("""COMPUTED_VALUE"""),45535.9986111111)</f>
        <v>45535.998611111099</v>
      </c>
      <c r="B244" s="3">
        <v>15521.4</v>
      </c>
    </row>
    <row r="245" spans="1:2" x14ac:dyDescent="0.2">
      <c r="A245" s="2">
        <f ca="1">IFERROR(__xludf.DUMMYFUNCTION("""COMPUTED_VALUE"""),45536.9986111111)</f>
        <v>45536.998611111099</v>
      </c>
      <c r="B245" s="3">
        <v>15525</v>
      </c>
    </row>
    <row r="246" spans="1:2" x14ac:dyDescent="0.2">
      <c r="A246" s="2">
        <f ca="1">IFERROR(__xludf.DUMMYFUNCTION("""COMPUTED_VALUE"""),45537.9986111111)</f>
        <v>45537.998611111099</v>
      </c>
      <c r="B246" s="3">
        <v>15520.1</v>
      </c>
    </row>
    <row r="247" spans="1:2" x14ac:dyDescent="0.2">
      <c r="A247" s="2">
        <f ca="1">IFERROR(__xludf.DUMMYFUNCTION("""COMPUTED_VALUE"""),45538.9986111111)</f>
        <v>45538.998611111099</v>
      </c>
      <c r="B247" s="3">
        <v>15532.9</v>
      </c>
    </row>
    <row r="248" spans="1:2" x14ac:dyDescent="0.2">
      <c r="A248" s="2">
        <f ca="1">IFERROR(__xludf.DUMMYFUNCTION("""COMPUTED_VALUE"""),45539.9986111111)</f>
        <v>45539.998611111099</v>
      </c>
      <c r="B248" s="3">
        <v>15444.4</v>
      </c>
    </row>
    <row r="249" spans="1:2" x14ac:dyDescent="0.2">
      <c r="A249" s="2">
        <f ca="1">IFERROR(__xludf.DUMMYFUNCTION("""COMPUTED_VALUE"""),45540.9986111111)</f>
        <v>45540.998611111099</v>
      </c>
      <c r="B249" s="3">
        <v>15417</v>
      </c>
    </row>
    <row r="250" spans="1:2" x14ac:dyDescent="0.2">
      <c r="A250" s="2">
        <f ca="1">IFERROR(__xludf.DUMMYFUNCTION("""COMPUTED_VALUE"""),45541.9986111111)</f>
        <v>45541.998611111099</v>
      </c>
      <c r="B250" s="3">
        <v>15404.6</v>
      </c>
    </row>
    <row r="251" spans="1:2" x14ac:dyDescent="0.2">
      <c r="A251" s="2">
        <f ca="1">IFERROR(__xludf.DUMMYFUNCTION("""COMPUTED_VALUE"""),45542.9986111111)</f>
        <v>45542.998611111099</v>
      </c>
      <c r="B251" s="3">
        <v>15404.6</v>
      </c>
    </row>
    <row r="252" spans="1:2" x14ac:dyDescent="0.2">
      <c r="A252" s="2">
        <f ca="1">IFERROR(__xludf.DUMMYFUNCTION("""COMPUTED_VALUE"""),45543.9986111111)</f>
        <v>45543.998611111099</v>
      </c>
      <c r="B252" s="3">
        <v>15405</v>
      </c>
    </row>
    <row r="253" spans="1:2" x14ac:dyDescent="0.2">
      <c r="A253" s="2">
        <f ca="1">IFERROR(__xludf.DUMMYFUNCTION("""COMPUTED_VALUE"""),45544.9986111111)</f>
        <v>45544.998611111099</v>
      </c>
      <c r="B253" s="3">
        <v>15456.8</v>
      </c>
    </row>
    <row r="254" spans="1:2" x14ac:dyDescent="0.2">
      <c r="A254" s="2">
        <f ca="1">IFERROR(__xludf.DUMMYFUNCTION("""COMPUTED_VALUE"""),45545.9986111111)</f>
        <v>45545.998611111099</v>
      </c>
      <c r="B254" s="3">
        <v>15489</v>
      </c>
    </row>
    <row r="255" spans="1:2" x14ac:dyDescent="0.2">
      <c r="A255" s="2">
        <f ca="1">IFERROR(__xludf.DUMMYFUNCTION("""COMPUTED_VALUE"""),45546.9986111111)</f>
        <v>45546.998611111099</v>
      </c>
      <c r="B255" s="3">
        <v>15437</v>
      </c>
    </row>
    <row r="256" spans="1:2" x14ac:dyDescent="0.2">
      <c r="A256" s="2">
        <f ca="1">IFERROR(__xludf.DUMMYFUNCTION("""COMPUTED_VALUE"""),45547.9986111111)</f>
        <v>45547.998611111099</v>
      </c>
      <c r="B256" s="3">
        <v>15418.7</v>
      </c>
    </row>
    <row r="257" spans="1:2" x14ac:dyDescent="0.2">
      <c r="A257" s="2">
        <f ca="1">IFERROR(__xludf.DUMMYFUNCTION("""COMPUTED_VALUE"""),45548.9986111111)</f>
        <v>45548.998611111099</v>
      </c>
      <c r="B257" s="3">
        <v>15397.8</v>
      </c>
    </row>
    <row r="258" spans="1:2" x14ac:dyDescent="0.2">
      <c r="A258" s="2">
        <f ca="1">IFERROR(__xludf.DUMMYFUNCTION("""COMPUTED_VALUE"""),45549.9986111111)</f>
        <v>45549.998611111099</v>
      </c>
      <c r="B258" s="3">
        <v>15397.8</v>
      </c>
    </row>
    <row r="259" spans="1:2" x14ac:dyDescent="0.2">
      <c r="A259" s="2">
        <f ca="1">IFERROR(__xludf.DUMMYFUNCTION("""COMPUTED_VALUE"""),45550.9986111111)</f>
        <v>45550.998611111099</v>
      </c>
      <c r="B259" s="3">
        <v>15393</v>
      </c>
    </row>
    <row r="260" spans="1:2" x14ac:dyDescent="0.2">
      <c r="A260" s="2">
        <f ca="1">IFERROR(__xludf.DUMMYFUNCTION("""COMPUTED_VALUE"""),45551.9986111111)</f>
        <v>45551.998611111099</v>
      </c>
      <c r="B260" s="3">
        <v>15385</v>
      </c>
    </row>
    <row r="261" spans="1:2" x14ac:dyDescent="0.2">
      <c r="A261" s="2">
        <f ca="1">IFERROR(__xludf.DUMMYFUNCTION("""COMPUTED_VALUE"""),45552.9986111111)</f>
        <v>45552.998611111099</v>
      </c>
      <c r="B261" s="3">
        <v>15345</v>
      </c>
    </row>
    <row r="262" spans="1:2" x14ac:dyDescent="0.2">
      <c r="A262" s="2">
        <f ca="1">IFERROR(__xludf.DUMMYFUNCTION("""COMPUTED_VALUE"""),45553.9986111111)</f>
        <v>45553.998611111099</v>
      </c>
      <c r="B262" s="3">
        <v>15300.2</v>
      </c>
    </row>
    <row r="263" spans="1:2" x14ac:dyDescent="0.2">
      <c r="A263" s="2">
        <f ca="1">IFERROR(__xludf.DUMMYFUNCTION("""COMPUTED_VALUE"""),45554.9986111111)</f>
        <v>45554.998611111099</v>
      </c>
      <c r="B263" s="3">
        <v>15197.6</v>
      </c>
    </row>
    <row r="264" spans="1:2" x14ac:dyDescent="0.2">
      <c r="A264" s="2">
        <f ca="1">IFERROR(__xludf.DUMMYFUNCTION("""COMPUTED_VALUE"""),45555.9986111111)</f>
        <v>45555.998611111099</v>
      </c>
      <c r="B264" s="3">
        <v>15143.2</v>
      </c>
    </row>
    <row r="265" spans="1:2" x14ac:dyDescent="0.2">
      <c r="A265" s="2">
        <f ca="1">IFERROR(__xludf.DUMMYFUNCTION("""COMPUTED_VALUE"""),45556.9986111111)</f>
        <v>45556.998611111099</v>
      </c>
      <c r="B265" s="3">
        <v>15143.2</v>
      </c>
    </row>
    <row r="266" spans="1:2" x14ac:dyDescent="0.2">
      <c r="A266" s="2">
        <f ca="1">IFERROR(__xludf.DUMMYFUNCTION("""COMPUTED_VALUE"""),45557.9986111111)</f>
        <v>45557.998611111099</v>
      </c>
      <c r="B266" s="3">
        <v>15154</v>
      </c>
    </row>
    <row r="267" spans="1:2" x14ac:dyDescent="0.2">
      <c r="A267" s="2">
        <f ca="1">IFERROR(__xludf.DUMMYFUNCTION("""COMPUTED_VALUE"""),45558.9986111111)</f>
        <v>45558.998611111099</v>
      </c>
      <c r="B267" s="3">
        <v>15174.1</v>
      </c>
    </row>
    <row r="268" spans="1:2" x14ac:dyDescent="0.2">
      <c r="A268" s="2">
        <f ca="1">IFERROR(__xludf.DUMMYFUNCTION("""COMPUTED_VALUE"""),45559.9986111111)</f>
        <v>45559.998611111099</v>
      </c>
      <c r="B268" s="3">
        <v>15121.1</v>
      </c>
    </row>
    <row r="269" spans="1:2" x14ac:dyDescent="0.2">
      <c r="A269" s="2">
        <f ca="1">IFERROR(__xludf.DUMMYFUNCTION("""COMPUTED_VALUE"""),45560.9986111111)</f>
        <v>45560.998611111099</v>
      </c>
      <c r="B269" s="3">
        <v>15201.5</v>
      </c>
    </row>
    <row r="270" spans="1:2" x14ac:dyDescent="0.2">
      <c r="A270" s="2">
        <f ca="1">IFERROR(__xludf.DUMMYFUNCTION("""COMPUTED_VALUE"""),45561.9986111111)</f>
        <v>45561.998611111099</v>
      </c>
      <c r="B270" s="3">
        <v>15070</v>
      </c>
    </row>
    <row r="271" spans="1:2" x14ac:dyDescent="0.2">
      <c r="A271" s="2">
        <f ca="1">IFERROR(__xludf.DUMMYFUNCTION("""COMPUTED_VALUE"""),45562.9986111111)</f>
        <v>45562.998611111099</v>
      </c>
      <c r="B271" s="3">
        <v>15101.9</v>
      </c>
    </row>
    <row r="272" spans="1:2" x14ac:dyDescent="0.2">
      <c r="A272" s="2">
        <f ca="1">IFERROR(__xludf.DUMMYFUNCTION("""COMPUTED_VALUE"""),45563.9986111111)</f>
        <v>45563.998611111099</v>
      </c>
      <c r="B272" s="3">
        <v>15101.9</v>
      </c>
    </row>
    <row r="273" spans="1:2" x14ac:dyDescent="0.2">
      <c r="A273" s="2">
        <f ca="1">IFERROR(__xludf.DUMMYFUNCTION("""COMPUTED_VALUE"""),45564.9986111111)</f>
        <v>45564.998611111099</v>
      </c>
      <c r="B273" s="3">
        <v>15118</v>
      </c>
    </row>
    <row r="274" spans="1:2" x14ac:dyDescent="0.2">
      <c r="A274" s="2">
        <f ca="1">IFERROR(__xludf.DUMMYFUNCTION("""COMPUTED_VALUE"""),45565.9986111111)</f>
        <v>45565.998611111099</v>
      </c>
      <c r="B274" s="3">
        <v>15170.6</v>
      </c>
    </row>
    <row r="275" spans="1:2" x14ac:dyDescent="0.2">
      <c r="A275" s="2">
        <f ca="1">IFERROR(__xludf.DUMMYFUNCTION("""COMPUTED_VALUE"""),45566.9986111111)</f>
        <v>45566.998611111099</v>
      </c>
      <c r="B275" s="3">
        <v>15260.6</v>
      </c>
    </row>
    <row r="276" spans="1:2" x14ac:dyDescent="0.2">
      <c r="A276" s="2">
        <f ca="1">IFERROR(__xludf.DUMMYFUNCTION("""COMPUTED_VALUE"""),45567.9986111111)</f>
        <v>45567.998611111099</v>
      </c>
      <c r="B276" s="3">
        <v>15324</v>
      </c>
    </row>
    <row r="277" spans="1:2" x14ac:dyDescent="0.2">
      <c r="A277" s="2">
        <f ca="1">IFERROR(__xludf.DUMMYFUNCTION("""COMPUTED_VALUE"""),45568.9986111111)</f>
        <v>45568.998611111099</v>
      </c>
      <c r="B277" s="3">
        <v>15457</v>
      </c>
    </row>
    <row r="278" spans="1:2" x14ac:dyDescent="0.2">
      <c r="A278" s="2">
        <f ca="1">IFERROR(__xludf.DUMMYFUNCTION("""COMPUTED_VALUE"""),45569.9986111111)</f>
        <v>45569.998611111099</v>
      </c>
      <c r="B278" s="3">
        <v>15650</v>
      </c>
    </row>
    <row r="279" spans="1:2" x14ac:dyDescent="0.2">
      <c r="A279" s="2">
        <f ca="1">IFERROR(__xludf.DUMMYFUNCTION("""COMPUTED_VALUE"""),45570.9986111111)</f>
        <v>45570.998611111099</v>
      </c>
      <c r="B279" s="3">
        <v>15650</v>
      </c>
    </row>
    <row r="280" spans="1:2" x14ac:dyDescent="0.2">
      <c r="A280" s="2">
        <f ca="1">IFERROR(__xludf.DUMMYFUNCTION("""COMPUTED_VALUE"""),45571.9986111111)</f>
        <v>45571.998611111099</v>
      </c>
      <c r="B280" s="3">
        <v>15650</v>
      </c>
    </row>
    <row r="281" spans="1:2" x14ac:dyDescent="0.2">
      <c r="A281" s="2">
        <f ca="1">IFERROR(__xludf.DUMMYFUNCTION("""COMPUTED_VALUE"""),45572.9986111111)</f>
        <v>45572.998611111099</v>
      </c>
      <c r="B281" s="3">
        <v>15744</v>
      </c>
    </row>
    <row r="282" spans="1:2" x14ac:dyDescent="0.2">
      <c r="A282" s="2">
        <f ca="1">IFERROR(__xludf.DUMMYFUNCTION("""COMPUTED_VALUE"""),45573.9986111111)</f>
        <v>45573.998611111099</v>
      </c>
      <c r="B282" s="3">
        <v>15682.4</v>
      </c>
    </row>
    <row r="283" spans="1:2" x14ac:dyDescent="0.2">
      <c r="A283" s="2">
        <f ca="1">IFERROR(__xludf.DUMMYFUNCTION("""COMPUTED_VALUE"""),45574.9986111111)</f>
        <v>45574.998611111099</v>
      </c>
      <c r="B283" s="3">
        <v>15664.6</v>
      </c>
    </row>
    <row r="284" spans="1:2" x14ac:dyDescent="0.2">
      <c r="A284" s="2">
        <f ca="1">IFERROR(__xludf.DUMMYFUNCTION("""COMPUTED_VALUE"""),45575.9986111111)</f>
        <v>45575.998611111099</v>
      </c>
      <c r="B284" s="3">
        <v>15670.9</v>
      </c>
    </row>
    <row r="285" spans="1:2" x14ac:dyDescent="0.2">
      <c r="A285" s="2">
        <f ca="1">IFERROR(__xludf.DUMMYFUNCTION("""COMPUTED_VALUE"""),45576.9986111111)</f>
        <v>45576.998611111099</v>
      </c>
      <c r="B285" s="3">
        <v>15557.9</v>
      </c>
    </row>
    <row r="286" spans="1:2" x14ac:dyDescent="0.2">
      <c r="A286" s="2">
        <f ca="1">IFERROR(__xludf.DUMMYFUNCTION("""COMPUTED_VALUE"""),45577.9986111111)</f>
        <v>45577.998611111099</v>
      </c>
      <c r="B286" s="3">
        <v>15557.9</v>
      </c>
    </row>
    <row r="287" spans="1:2" x14ac:dyDescent="0.2">
      <c r="A287" s="2">
        <f ca="1">IFERROR(__xludf.DUMMYFUNCTION("""COMPUTED_VALUE"""),45578.9986111111)</f>
        <v>45578.998611111099</v>
      </c>
      <c r="B287" s="3">
        <v>15562</v>
      </c>
    </row>
    <row r="288" spans="1:2" x14ac:dyDescent="0.2">
      <c r="A288" s="2">
        <f ca="1">IFERROR(__xludf.DUMMYFUNCTION("""COMPUTED_VALUE"""),45579.9986111111)</f>
        <v>45579.998611111099</v>
      </c>
      <c r="B288" s="3">
        <v>15573</v>
      </c>
    </row>
    <row r="289" spans="1:2" x14ac:dyDescent="0.2">
      <c r="A289" s="2">
        <f ca="1">IFERROR(__xludf.DUMMYFUNCTION("""COMPUTED_VALUE"""),45580.9986111111)</f>
        <v>45580.998611111099</v>
      </c>
      <c r="B289" s="3">
        <v>15578.6</v>
      </c>
    </row>
    <row r="290" spans="1:2" x14ac:dyDescent="0.2">
      <c r="A290" s="2">
        <f ca="1">IFERROR(__xludf.DUMMYFUNCTION("""COMPUTED_VALUE"""),45581.9986111111)</f>
        <v>45581.998611111099</v>
      </c>
      <c r="B290" s="3">
        <v>15583.9</v>
      </c>
    </row>
    <row r="291" spans="1:2" x14ac:dyDescent="0.2">
      <c r="A291" s="2">
        <f ca="1">IFERROR(__xludf.DUMMYFUNCTION("""COMPUTED_VALUE"""),45582.9986111111)</f>
        <v>45582.998611111099</v>
      </c>
      <c r="B291" s="3">
        <v>15493</v>
      </c>
    </row>
    <row r="292" spans="1:2" x14ac:dyDescent="0.2">
      <c r="A292" s="2">
        <f ca="1">IFERROR(__xludf.DUMMYFUNCTION("""COMPUTED_VALUE"""),45583.9986111111)</f>
        <v>45583.998611111099</v>
      </c>
      <c r="B292" s="3">
        <v>15465</v>
      </c>
    </row>
    <row r="293" spans="1:2" x14ac:dyDescent="0.2">
      <c r="A293" s="2">
        <f ca="1">IFERROR(__xludf.DUMMYFUNCTION("""COMPUTED_VALUE"""),45584.9986111111)</f>
        <v>45584.998611111099</v>
      </c>
      <c r="B293" s="3">
        <v>15465</v>
      </c>
    </row>
    <row r="294" spans="1:2" x14ac:dyDescent="0.2">
      <c r="A294" s="2">
        <f ca="1">IFERROR(__xludf.DUMMYFUNCTION("""COMPUTED_VALUE"""),45585.9986111111)</f>
        <v>45585.998611111099</v>
      </c>
      <c r="B294" s="3">
        <v>15467</v>
      </c>
    </row>
    <row r="295" spans="1:2" x14ac:dyDescent="0.2">
      <c r="A295" s="2">
        <f ca="1">IFERROR(__xludf.DUMMYFUNCTION("""COMPUTED_VALUE"""),45586.9986111111)</f>
        <v>45586.998611111099</v>
      </c>
      <c r="B295" s="3">
        <v>15556</v>
      </c>
    </row>
    <row r="296" spans="1:2" x14ac:dyDescent="0.2">
      <c r="A296" s="2">
        <f ca="1">IFERROR(__xludf.DUMMYFUNCTION("""COMPUTED_VALUE"""),45587.9986111111)</f>
        <v>45587.998611111099</v>
      </c>
      <c r="B296" s="3">
        <v>15586</v>
      </c>
    </row>
    <row r="297" spans="1:2" x14ac:dyDescent="0.2">
      <c r="A297" s="2">
        <f ca="1">IFERROR(__xludf.DUMMYFUNCTION("""COMPUTED_VALUE"""),45588.9986111111)</f>
        <v>45588.998611111099</v>
      </c>
      <c r="B297" s="3">
        <v>15663</v>
      </c>
    </row>
    <row r="298" spans="1:2" x14ac:dyDescent="0.2">
      <c r="A298" s="2">
        <f ca="1">IFERROR(__xludf.DUMMYFUNCTION("""COMPUTED_VALUE"""),45589.9986111111)</f>
        <v>45589.998611111099</v>
      </c>
      <c r="B298" s="3">
        <v>15621.5</v>
      </c>
    </row>
    <row r="299" spans="1:2" x14ac:dyDescent="0.2">
      <c r="A299" s="2">
        <f ca="1">IFERROR(__xludf.DUMMYFUNCTION("""COMPUTED_VALUE"""),45590.9986111111)</f>
        <v>45590.998611111099</v>
      </c>
      <c r="B299" s="3">
        <v>15688.1</v>
      </c>
    </row>
    <row r="300" spans="1:2" x14ac:dyDescent="0.2">
      <c r="A300" s="2">
        <f ca="1">IFERROR(__xludf.DUMMYFUNCTION("""COMPUTED_VALUE"""),45591.9986111111)</f>
        <v>45591.998611111099</v>
      </c>
      <c r="B300" s="3">
        <v>15688.1</v>
      </c>
    </row>
    <row r="301" spans="1:2" x14ac:dyDescent="0.2">
      <c r="A301" s="2">
        <f ca="1">IFERROR(__xludf.DUMMYFUNCTION("""COMPUTED_VALUE"""),45592.9986111111)</f>
        <v>45592.998611111099</v>
      </c>
      <c r="B301" s="3">
        <v>15688.1</v>
      </c>
    </row>
    <row r="302" spans="1:2" x14ac:dyDescent="0.2">
      <c r="A302" s="2">
        <f ca="1">IFERROR(__xludf.DUMMYFUNCTION("""COMPUTED_VALUE"""),45593.9986111111)</f>
        <v>45593.998611111099</v>
      </c>
      <c r="B302" s="3">
        <v>15747</v>
      </c>
    </row>
    <row r="303" spans="1:2" x14ac:dyDescent="0.2">
      <c r="A303" s="2">
        <f ca="1">IFERROR(__xludf.DUMMYFUNCTION("""COMPUTED_VALUE"""),45595.9986111111)</f>
        <v>45595.998611111099</v>
      </c>
      <c r="B303" s="3">
        <v>15695.5</v>
      </c>
    </row>
    <row r="304" spans="1:2" x14ac:dyDescent="0.2">
      <c r="A304" s="2">
        <f ca="1">IFERROR(__xludf.DUMMYFUNCTION("""COMPUTED_VALUE"""),45596.9986111111)</f>
        <v>45596.998611111099</v>
      </c>
      <c r="B304" s="3">
        <v>15713</v>
      </c>
    </row>
    <row r="305" spans="1:2" x14ac:dyDescent="0.2">
      <c r="A305" s="2">
        <f ca="1">IFERROR(__xludf.DUMMYFUNCTION("""COMPUTED_VALUE"""),45597.9986111111)</f>
        <v>45597.998611111099</v>
      </c>
      <c r="B305" s="3">
        <v>15842</v>
      </c>
    </row>
    <row r="306" spans="1:2" x14ac:dyDescent="0.2">
      <c r="A306" s="2">
        <f ca="1">IFERROR(__xludf.DUMMYFUNCTION("""COMPUTED_VALUE"""),45598.9986111111)</f>
        <v>45598.998611111099</v>
      </c>
      <c r="B306" s="3">
        <v>15842</v>
      </c>
    </row>
    <row r="307" spans="1:2" x14ac:dyDescent="0.2">
      <c r="A307" s="2">
        <f ca="1">IFERROR(__xludf.DUMMYFUNCTION("""COMPUTED_VALUE"""),45599.9986111111)</f>
        <v>45599.998611111099</v>
      </c>
      <c r="B307" s="3">
        <v>15842</v>
      </c>
    </row>
    <row r="308" spans="1:2" x14ac:dyDescent="0.2">
      <c r="A308" s="2">
        <f ca="1">IFERROR(__xludf.DUMMYFUNCTION("""COMPUTED_VALUE"""),45600.9986111111)</f>
        <v>45600.998611111099</v>
      </c>
      <c r="B308" s="3">
        <v>15790</v>
      </c>
    </row>
    <row r="309" spans="1:2" x14ac:dyDescent="0.2">
      <c r="A309" s="2">
        <f ca="1">IFERROR(__xludf.DUMMYFUNCTION("""COMPUTED_VALUE"""),45601.9986111111)</f>
        <v>45601.998611111099</v>
      </c>
      <c r="B309" s="3">
        <v>15665</v>
      </c>
    </row>
    <row r="310" spans="1:2" x14ac:dyDescent="0.2">
      <c r="A310" s="2">
        <f ca="1">IFERROR(__xludf.DUMMYFUNCTION("""COMPUTED_VALUE"""),45602.9986111111)</f>
        <v>45602.998611111099</v>
      </c>
      <c r="B310" s="3">
        <v>15818.2</v>
      </c>
    </row>
    <row r="311" spans="1:2" x14ac:dyDescent="0.2">
      <c r="A311" s="2">
        <f ca="1">IFERROR(__xludf.DUMMYFUNCTION("""COMPUTED_VALUE"""),45603.9986111111)</f>
        <v>45603.998611111099</v>
      </c>
      <c r="B311" s="3">
        <v>15558</v>
      </c>
    </row>
    <row r="312" spans="1:2" x14ac:dyDescent="0.2">
      <c r="A312" s="2">
        <f ca="1">IFERROR(__xludf.DUMMYFUNCTION("""COMPUTED_VALUE"""),45604.9986111111)</f>
        <v>45604.998611111099</v>
      </c>
      <c r="B312" s="3">
        <v>15647.2</v>
      </c>
    </row>
    <row r="313" spans="1:2" x14ac:dyDescent="0.2">
      <c r="A313" s="2">
        <f ca="1">IFERROR(__xludf.DUMMYFUNCTION("""COMPUTED_VALUE"""),45605.9986111111)</f>
        <v>45605.998611111099</v>
      </c>
      <c r="B313" s="3">
        <v>15647.2</v>
      </c>
    </row>
    <row r="314" spans="1:2" x14ac:dyDescent="0.2">
      <c r="A314" s="2">
        <f ca="1">IFERROR(__xludf.DUMMYFUNCTION("""COMPUTED_VALUE"""),45606.9986111111)</f>
        <v>45606.998611111099</v>
      </c>
      <c r="B314" s="3">
        <v>15647.2</v>
      </c>
    </row>
    <row r="315" spans="1:2" x14ac:dyDescent="0.2">
      <c r="A315" s="2">
        <f ca="1">IFERROR(__xludf.DUMMYFUNCTION("""COMPUTED_VALUE"""),45607.9986111111)</f>
        <v>45607.998611111099</v>
      </c>
      <c r="B315" s="3">
        <v>15765</v>
      </c>
    </row>
    <row r="316" spans="1:2" x14ac:dyDescent="0.2">
      <c r="A316" s="2">
        <f ca="1">IFERROR(__xludf.DUMMYFUNCTION("""COMPUTED_VALUE"""),45608.9986111111)</f>
        <v>45608.998611111099</v>
      </c>
      <c r="B316" s="3">
        <v>15788.9</v>
      </c>
    </row>
    <row r="317" spans="1:2" x14ac:dyDescent="0.2">
      <c r="A317" s="2">
        <f ca="1">IFERROR(__xludf.DUMMYFUNCTION("""COMPUTED_VALUE"""),45609.9986111111)</f>
        <v>45609.998611111099</v>
      </c>
      <c r="B317" s="3">
        <v>15847.2</v>
      </c>
    </row>
    <row r="318" spans="1:2" x14ac:dyDescent="0.2">
      <c r="A318" s="2">
        <f ca="1">IFERROR(__xludf.DUMMYFUNCTION("""COMPUTED_VALUE"""),45610.9986111111)</f>
        <v>45610.998611111099</v>
      </c>
      <c r="B318" s="3">
        <v>15933.3</v>
      </c>
    </row>
    <row r="319" spans="1:2" x14ac:dyDescent="0.2">
      <c r="A319" s="2">
        <f ca="1">IFERROR(__xludf.DUMMYFUNCTION("""COMPUTED_VALUE"""),45611.9986111111)</f>
        <v>45611.998611111099</v>
      </c>
      <c r="B319" s="3">
        <v>15891.3</v>
      </c>
    </row>
    <row r="320" spans="1:2" x14ac:dyDescent="0.2">
      <c r="A320" s="2">
        <f ca="1">IFERROR(__xludf.DUMMYFUNCTION("""COMPUTED_VALUE"""),45612.9986111111)</f>
        <v>45612.998611111099</v>
      </c>
      <c r="B320" s="3">
        <v>15891.3</v>
      </c>
    </row>
    <row r="321" spans="1:2" x14ac:dyDescent="0.2">
      <c r="A321" s="2">
        <f ca="1">IFERROR(__xludf.DUMMYFUNCTION("""COMPUTED_VALUE"""),45613.9986111111)</f>
        <v>45613.998611111099</v>
      </c>
      <c r="B321" s="3">
        <v>15891.3</v>
      </c>
    </row>
    <row r="322" spans="1:2" x14ac:dyDescent="0.2">
      <c r="A322" s="2">
        <f ca="1">IFERROR(__xludf.DUMMYFUNCTION("""COMPUTED_VALUE"""),45614.9986111111)</f>
        <v>45614.998611111099</v>
      </c>
      <c r="B322" s="3">
        <v>15806.1</v>
      </c>
    </row>
    <row r="323" spans="1:2" x14ac:dyDescent="0.2">
      <c r="A323" s="2">
        <f ca="1">IFERROR(__xludf.DUMMYFUNCTION("""COMPUTED_VALUE"""),45615.9986111111)</f>
        <v>45615.998611111099</v>
      </c>
      <c r="B323" s="3">
        <v>15817.1</v>
      </c>
    </row>
    <row r="324" spans="1:2" x14ac:dyDescent="0.2">
      <c r="A324" s="2">
        <f ca="1">IFERROR(__xludf.DUMMYFUNCTION("""COMPUTED_VALUE"""),45616.9986111111)</f>
        <v>45616.998611111099</v>
      </c>
      <c r="B324" s="3">
        <v>15913</v>
      </c>
    </row>
    <row r="325" spans="1:2" x14ac:dyDescent="0.2">
      <c r="A325" s="2">
        <f ca="1">IFERROR(__xludf.DUMMYFUNCTION("""COMPUTED_VALUE"""),45617.9986111111)</f>
        <v>45617.998611111099</v>
      </c>
      <c r="B325" s="3">
        <v>15816.9</v>
      </c>
    </row>
    <row r="326" spans="1:2" x14ac:dyDescent="0.2">
      <c r="A326" s="2">
        <f ca="1">IFERROR(__xludf.DUMMYFUNCTION("""COMPUTED_VALUE"""),45618.9986111111)</f>
        <v>45618.998611111099</v>
      </c>
      <c r="B326" s="3">
        <v>15940</v>
      </c>
    </row>
    <row r="327" spans="1:2" x14ac:dyDescent="0.2">
      <c r="A327" s="2">
        <f ca="1">IFERROR(__xludf.DUMMYFUNCTION("""COMPUTED_VALUE"""),45619.9986111111)</f>
        <v>45619.998611111099</v>
      </c>
      <c r="B327" s="3">
        <v>15940</v>
      </c>
    </row>
    <row r="328" spans="1:2" x14ac:dyDescent="0.2">
      <c r="A328" s="2">
        <f ca="1">IFERROR(__xludf.DUMMYFUNCTION("""COMPUTED_VALUE"""),45620.9986111111)</f>
        <v>45620.998611111099</v>
      </c>
      <c r="B328" s="3">
        <v>15940</v>
      </c>
    </row>
    <row r="329" spans="1:2" x14ac:dyDescent="0.2">
      <c r="A329" s="2">
        <f ca="1">IFERROR(__xludf.DUMMYFUNCTION("""COMPUTED_VALUE"""),45621.9986111111)</f>
        <v>45621.998611111099</v>
      </c>
      <c r="B329" s="3">
        <v>15901.2</v>
      </c>
    </row>
    <row r="330" spans="1:2" x14ac:dyDescent="0.2">
      <c r="A330" s="2">
        <f ca="1">IFERROR(__xludf.DUMMYFUNCTION("""COMPUTED_VALUE"""),45622.9986111111)</f>
        <v>45622.998611111099</v>
      </c>
      <c r="B330" s="3">
        <v>15930</v>
      </c>
    </row>
    <row r="331" spans="1:2" x14ac:dyDescent="0.2">
      <c r="A331" s="2">
        <f ca="1">IFERROR(__xludf.DUMMYFUNCTION("""COMPUTED_VALUE"""),45623.9986111111)</f>
        <v>45623.998611111099</v>
      </c>
      <c r="B331" s="3">
        <v>15863.5</v>
      </c>
    </row>
    <row r="332" spans="1:2" x14ac:dyDescent="0.2">
      <c r="A332" s="2">
        <f ca="1">IFERROR(__xludf.DUMMYFUNCTION("""COMPUTED_VALUE"""),45624.9986111111)</f>
        <v>45624.998611111099</v>
      </c>
      <c r="B332" s="3">
        <v>15878</v>
      </c>
    </row>
    <row r="333" spans="1:2" x14ac:dyDescent="0.2">
      <c r="A333" s="2">
        <f ca="1">IFERROR(__xludf.DUMMYFUNCTION("""COMPUTED_VALUE"""),45625.9986111111)</f>
        <v>45625.998611111099</v>
      </c>
      <c r="B333" s="3">
        <v>15829</v>
      </c>
    </row>
    <row r="334" spans="1:2" x14ac:dyDescent="0.2">
      <c r="A334" s="2">
        <f ca="1">IFERROR(__xludf.DUMMYFUNCTION("""COMPUTED_VALUE"""),45626.9986111111)</f>
        <v>45626.998611111099</v>
      </c>
      <c r="B334" s="3">
        <v>15829</v>
      </c>
    </row>
    <row r="335" spans="1:2" x14ac:dyDescent="0.2">
      <c r="A335" s="2">
        <f ca="1">IFERROR(__xludf.DUMMYFUNCTION("""COMPUTED_VALUE"""),45627.9986111111)</f>
        <v>45627.998611111099</v>
      </c>
      <c r="B335" s="3">
        <v>15829</v>
      </c>
    </row>
    <row r="336" spans="1:2" x14ac:dyDescent="0.2">
      <c r="A336" s="2">
        <f ca="1">IFERROR(__xludf.DUMMYFUNCTION("""COMPUTED_VALUE"""),45628.9986111111)</f>
        <v>45628.998611111099</v>
      </c>
      <c r="B336" s="3">
        <v>15910</v>
      </c>
    </row>
    <row r="337" spans="1:2" x14ac:dyDescent="0.2">
      <c r="A337" s="2">
        <f ca="1">IFERROR(__xludf.DUMMYFUNCTION("""COMPUTED_VALUE"""),45629.9986111111)</f>
        <v>45629.998611111099</v>
      </c>
      <c r="B337" s="3">
        <v>15940</v>
      </c>
    </row>
    <row r="338" spans="1:2" x14ac:dyDescent="0.2">
      <c r="A338" s="2">
        <f ca="1">IFERROR(__xludf.DUMMYFUNCTION("""COMPUTED_VALUE"""),45630.9986111111)</f>
        <v>45630.998611111099</v>
      </c>
      <c r="B338" s="3">
        <v>15906.6</v>
      </c>
    </row>
    <row r="339" spans="1:2" x14ac:dyDescent="0.2">
      <c r="A339" s="2">
        <f ca="1">IFERROR(__xludf.DUMMYFUNCTION("""COMPUTED_VALUE"""),45631.9986111111)</f>
        <v>45631.998611111099</v>
      </c>
      <c r="B339" s="3">
        <v>15839.8</v>
      </c>
    </row>
    <row r="340" spans="1:2" x14ac:dyDescent="0.2">
      <c r="A340" s="2">
        <f ca="1">IFERROR(__xludf.DUMMYFUNCTION("""COMPUTED_VALUE"""),45632.9986111111)</f>
        <v>45632.998611111099</v>
      </c>
      <c r="B340" s="3">
        <v>15825.8</v>
      </c>
    </row>
    <row r="341" spans="1:2" x14ac:dyDescent="0.2">
      <c r="A341" s="2">
        <f ca="1">IFERROR(__xludf.DUMMYFUNCTION("""COMPUTED_VALUE"""),45633.9986111111)</f>
        <v>45633.998611111099</v>
      </c>
      <c r="B341" s="3">
        <v>15825.8</v>
      </c>
    </row>
    <row r="342" spans="1:2" x14ac:dyDescent="0.2">
      <c r="A342" s="2">
        <f ca="1">IFERROR(__xludf.DUMMYFUNCTION("""COMPUTED_VALUE"""),45634.9986111111)</f>
        <v>45634.998611111099</v>
      </c>
      <c r="B342" s="3">
        <v>15825.8</v>
      </c>
    </row>
    <row r="343" spans="1:2" x14ac:dyDescent="0.2">
      <c r="A343" s="2">
        <f ca="1">IFERROR(__xludf.DUMMYFUNCTION("""COMPUTED_VALUE"""),45635.9986111111)</f>
        <v>45635.998611111099</v>
      </c>
      <c r="B343" s="3">
        <v>15864</v>
      </c>
    </row>
    <row r="344" spans="1:2" x14ac:dyDescent="0.2">
      <c r="A344" s="2">
        <f ca="1">IFERROR(__xludf.DUMMYFUNCTION("""COMPUTED_VALUE"""),45636.9986111111)</f>
        <v>45636.998611111099</v>
      </c>
      <c r="B344" s="3">
        <v>15908</v>
      </c>
    </row>
    <row r="345" spans="1:2" x14ac:dyDescent="0.2">
      <c r="A345" s="2">
        <f ca="1">IFERROR(__xludf.DUMMYFUNCTION("""COMPUTED_VALUE"""),45637.9986111111)</f>
        <v>45637.998611111099</v>
      </c>
      <c r="B345" s="3">
        <v>15963</v>
      </c>
    </row>
    <row r="346" spans="1:2" x14ac:dyDescent="0.2">
      <c r="A346" s="2">
        <f ca="1">IFERROR(__xludf.DUMMYFUNCTION("""COMPUTED_VALUE"""),45638.9986111111)</f>
        <v>45638.998611111099</v>
      </c>
      <c r="B346" s="3">
        <v>15967.4</v>
      </c>
    </row>
    <row r="347" spans="1:2" x14ac:dyDescent="0.2">
      <c r="A347" s="2">
        <f ca="1">IFERROR(__xludf.DUMMYFUNCTION("""COMPUTED_VALUE"""),45639.9986111111)</f>
        <v>45639.998611111099</v>
      </c>
      <c r="B347" s="3">
        <v>16025.8</v>
      </c>
    </row>
    <row r="348" spans="1:2" x14ac:dyDescent="0.2">
      <c r="A348" s="2">
        <f ca="1">IFERROR(__xludf.DUMMYFUNCTION("""COMPUTED_VALUE"""),45640.9986111111)</f>
        <v>45640.998611111099</v>
      </c>
      <c r="B348" s="3">
        <v>16025.8</v>
      </c>
    </row>
    <row r="349" spans="1:2" x14ac:dyDescent="0.2">
      <c r="A349" s="2">
        <f ca="1">IFERROR(__xludf.DUMMYFUNCTION("""COMPUTED_VALUE"""),45641.9986111111)</f>
        <v>45641.998611111099</v>
      </c>
      <c r="B349" s="3">
        <v>16025.8</v>
      </c>
    </row>
    <row r="350" spans="1:2" x14ac:dyDescent="0.2">
      <c r="A350" s="2">
        <f ca="1">IFERROR(__xludf.DUMMYFUNCTION("""COMPUTED_VALUE"""),45642.9986111111)</f>
        <v>45642.998611111099</v>
      </c>
      <c r="B350" s="3">
        <v>15955</v>
      </c>
    </row>
    <row r="351" spans="1:2" x14ac:dyDescent="0.2">
      <c r="A351" s="2">
        <f ca="1">IFERROR(__xludf.DUMMYFUNCTION("""COMPUTED_VALUE"""),45643.9986111111)</f>
        <v>45643.998611111099</v>
      </c>
      <c r="B351" s="3">
        <v>15926.2</v>
      </c>
    </row>
    <row r="352" spans="1:2" x14ac:dyDescent="0.2">
      <c r="A352" s="2">
        <f ca="1">IFERROR(__xludf.DUMMYFUNCTION("""COMPUTED_VALUE"""),45644.9986111111)</f>
        <v>45644.998611111099</v>
      </c>
      <c r="B352" s="3">
        <v>16145.3</v>
      </c>
    </row>
    <row r="353" spans="1:2" x14ac:dyDescent="0.2">
      <c r="A353" s="2">
        <f ca="1">IFERROR(__xludf.DUMMYFUNCTION("""COMPUTED_VALUE"""),45645.9986111111)</f>
        <v>45645.998611111099</v>
      </c>
      <c r="B353" s="3">
        <v>15981.3</v>
      </c>
    </row>
    <row r="354" spans="1:2" x14ac:dyDescent="0.2">
      <c r="A354" s="2">
        <f ca="1">IFERROR(__xludf.DUMMYFUNCTION("""COMPUTED_VALUE"""),45646.9986111111)</f>
        <v>45646.998611111099</v>
      </c>
      <c r="B354" s="3">
        <v>16159.3</v>
      </c>
    </row>
    <row r="355" spans="1:2" x14ac:dyDescent="0.2">
      <c r="A355" s="2">
        <f ca="1">IFERROR(__xludf.DUMMYFUNCTION("""COMPUTED_VALUE"""),45647.9986111111)</f>
        <v>45647.998611111099</v>
      </c>
      <c r="B355" s="3">
        <v>16159.3</v>
      </c>
    </row>
    <row r="356" spans="1:2" x14ac:dyDescent="0.2">
      <c r="A356" s="2">
        <f ca="1">IFERROR(__xludf.DUMMYFUNCTION("""COMPUTED_VALUE"""),45648.9986111111)</f>
        <v>45648.998611111099</v>
      </c>
      <c r="B356" s="3">
        <v>16159.3</v>
      </c>
    </row>
    <row r="357" spans="1:2" x14ac:dyDescent="0.2">
      <c r="A357" s="2">
        <f ca="1">IFERROR(__xludf.DUMMYFUNCTION("""COMPUTED_VALUE"""),45649.9986111111)</f>
        <v>45649.998611111099</v>
      </c>
      <c r="B357" s="3">
        <v>16217.6</v>
      </c>
    </row>
    <row r="358" spans="1:2" x14ac:dyDescent="0.2">
      <c r="A358" s="2">
        <f ca="1">IFERROR(__xludf.DUMMYFUNCTION("""COMPUTED_VALUE"""),45650.9986111111)</f>
        <v>45650.998611111099</v>
      </c>
      <c r="B358" s="3">
        <v>15970.8</v>
      </c>
    </row>
    <row r="359" spans="1:2" x14ac:dyDescent="0.2">
      <c r="A359" s="2">
        <f ca="1">IFERROR(__xludf.DUMMYFUNCTION("""COMPUTED_VALUE"""),45651.9986111111)</f>
        <v>45651.998611111099</v>
      </c>
      <c r="B359" s="3">
        <v>15069.4</v>
      </c>
    </row>
    <row r="360" spans="1:2" x14ac:dyDescent="0.2">
      <c r="A360" s="2">
        <f ca="1">IFERROR(__xludf.DUMMYFUNCTION("""COMPUTED_VALUE"""),45652.9986111111)</f>
        <v>45652.998611111099</v>
      </c>
      <c r="B360" s="3">
        <v>16189</v>
      </c>
    </row>
    <row r="361" spans="1:2" x14ac:dyDescent="0.2">
      <c r="A361" s="2">
        <f ca="1">IFERROR(__xludf.DUMMYFUNCTION("""COMPUTED_VALUE"""),45653.9986111111)</f>
        <v>45653.998611111099</v>
      </c>
      <c r="B361" s="3">
        <v>16178</v>
      </c>
    </row>
    <row r="362" spans="1:2" x14ac:dyDescent="0.2">
      <c r="A362" s="2">
        <f ca="1">IFERROR(__xludf.DUMMYFUNCTION("""COMPUTED_VALUE"""),45654.9986111111)</f>
        <v>45654.998611111099</v>
      </c>
      <c r="B362" s="3">
        <v>16178</v>
      </c>
    </row>
    <row r="363" spans="1:2" x14ac:dyDescent="0.2">
      <c r="A363" s="2">
        <f ca="1">IFERROR(__xludf.DUMMYFUNCTION("""COMPUTED_VALUE"""),45655.9986111111)</f>
        <v>45655.998611111099</v>
      </c>
      <c r="B363" s="3">
        <v>16178</v>
      </c>
    </row>
    <row r="364" spans="1:2" x14ac:dyDescent="0.2">
      <c r="A364" s="2">
        <f ca="1">IFERROR(__xludf.DUMMYFUNCTION("""COMPUTED_VALUE"""),45656.9986111111)</f>
        <v>45656.998611111099</v>
      </c>
      <c r="B364" s="3">
        <v>16085.6</v>
      </c>
    </row>
    <row r="365" spans="1:2" x14ac:dyDescent="0.2">
      <c r="A365" s="2">
        <f ca="1">IFERROR(__xludf.DUMMYFUNCTION("""COMPUTED_VALUE"""),45657.9986111111)</f>
        <v>45657.998611111099</v>
      </c>
      <c r="B365" s="3">
        <v>16244.8</v>
      </c>
    </row>
    <row r="366" spans="1:2" x14ac:dyDescent="0.2">
      <c r="A366" s="2">
        <f ca="1">IFERROR(__xludf.DUMMYFUNCTION("""COMPUTED_VALUE"""),45658.9986111111)</f>
        <v>45658.998611111099</v>
      </c>
      <c r="B366" s="3">
        <v>16230.5</v>
      </c>
    </row>
    <row r="367" spans="1:2" x14ac:dyDescent="0.2">
      <c r="A367" s="2">
        <f ca="1">IFERROR(__xludf.DUMMYFUNCTION("""COMPUTED_VALUE"""),45659.9986111111)</f>
        <v>45659.998611111099</v>
      </c>
      <c r="B367" s="3">
        <v>16201.1</v>
      </c>
    </row>
    <row r="368" spans="1:2" x14ac:dyDescent="0.2">
      <c r="A368" s="2">
        <f ca="1">IFERROR(__xludf.DUMMYFUNCTION("""COMPUTED_VALUE"""),45660.9986111111)</f>
        <v>45660.998611111099</v>
      </c>
      <c r="B368" s="3">
        <v>16178.8</v>
      </c>
    </row>
    <row r="369" spans="1:2" x14ac:dyDescent="0.2">
      <c r="A369" s="2">
        <f ca="1">IFERROR(__xludf.DUMMYFUNCTION("""COMPUTED_VALUE"""),45661.9986111111)</f>
        <v>45661.998611111099</v>
      </c>
      <c r="B369" s="3">
        <v>16178.8</v>
      </c>
    </row>
    <row r="370" spans="1:2" x14ac:dyDescent="0.2">
      <c r="A370" s="2">
        <f ca="1">IFERROR(__xludf.DUMMYFUNCTION("""COMPUTED_VALUE"""),45662.9986111111)</f>
        <v>45662.998611111099</v>
      </c>
      <c r="B370" s="3">
        <v>16178.8</v>
      </c>
    </row>
    <row r="371" spans="1:2" x14ac:dyDescent="0.2">
      <c r="A371" s="2">
        <f ca="1">IFERROR(__xludf.DUMMYFUNCTION("""COMPUTED_VALUE"""),45663.9986111111)</f>
        <v>45663.998611111099</v>
      </c>
      <c r="B371" s="3">
        <v>16179.1</v>
      </c>
    </row>
    <row r="372" spans="1:2" x14ac:dyDescent="0.2">
      <c r="A372" s="2">
        <f ca="1">IFERROR(__xludf.DUMMYFUNCTION("""COMPUTED_VALUE"""),45664.9986111111)</f>
        <v>45664.998611111099</v>
      </c>
      <c r="B372" s="3">
        <v>16157.7</v>
      </c>
    </row>
    <row r="373" spans="1:2" x14ac:dyDescent="0.2">
      <c r="A373" s="2">
        <f ca="1">IFERROR(__xludf.DUMMYFUNCTION("""COMPUTED_VALUE"""),45665.9986111111)</f>
        <v>45665.998611111099</v>
      </c>
      <c r="B373" s="3">
        <v>16187.6</v>
      </c>
    </row>
    <row r="374" spans="1:2" x14ac:dyDescent="0.2">
      <c r="A374" s="2">
        <f ca="1">IFERROR(__xludf.DUMMYFUNCTION("""COMPUTED_VALUE"""),45666.9986111111)</f>
        <v>45666.998611111099</v>
      </c>
      <c r="B374" s="3">
        <v>16237</v>
      </c>
    </row>
    <row r="375" spans="1:2" x14ac:dyDescent="0.2">
      <c r="A375" s="2">
        <f ca="1">IFERROR(__xludf.DUMMYFUNCTION("""COMPUTED_VALUE"""),45667.9986111111)</f>
        <v>45667.998611111099</v>
      </c>
      <c r="B375" s="3">
        <v>16268</v>
      </c>
    </row>
    <row r="376" spans="1:2" x14ac:dyDescent="0.2">
      <c r="A376" s="2">
        <f ca="1">IFERROR(__xludf.DUMMYFUNCTION("""COMPUTED_VALUE"""),45668.9986111111)</f>
        <v>45668.998611111099</v>
      </c>
      <c r="B376" s="3">
        <v>16268</v>
      </c>
    </row>
    <row r="377" spans="1:2" x14ac:dyDescent="0.2">
      <c r="A377" s="2">
        <f ca="1">IFERROR(__xludf.DUMMYFUNCTION("""COMPUTED_VALUE"""),45669.9986111111)</f>
        <v>45669.998611111099</v>
      </c>
      <c r="B377" s="3">
        <v>16268</v>
      </c>
    </row>
    <row r="378" spans="1:2" x14ac:dyDescent="0.2">
      <c r="A378" s="2">
        <f ca="1">IFERROR(__xludf.DUMMYFUNCTION("""COMPUTED_VALUE"""),45670.9986111111)</f>
        <v>45670.998611111099</v>
      </c>
      <c r="B378" s="3">
        <v>16295.2</v>
      </c>
    </row>
    <row r="379" spans="1:2" x14ac:dyDescent="0.2">
      <c r="A379" s="2">
        <f ca="1">IFERROR(__xludf.DUMMYFUNCTION("""COMPUTED_VALUE"""),45671.9986111111)</f>
        <v>45671.998611111099</v>
      </c>
      <c r="B379" s="3">
        <v>16320</v>
      </c>
    </row>
    <row r="380" spans="1:2" x14ac:dyDescent="0.2">
      <c r="A380" s="2">
        <f ca="1">IFERROR(__xludf.DUMMYFUNCTION("""COMPUTED_VALUE"""),45672.9986111111)</f>
        <v>45672.998611111099</v>
      </c>
      <c r="B380" s="3">
        <v>16360.8</v>
      </c>
    </row>
    <row r="381" spans="1:2" x14ac:dyDescent="0.2">
      <c r="A381" s="2">
        <f ca="1">IFERROR(__xludf.DUMMYFUNCTION("""COMPUTED_VALUE"""),45673.9986111111)</f>
        <v>45673.998611111099</v>
      </c>
      <c r="B381" s="3">
        <v>16368.8</v>
      </c>
    </row>
    <row r="382" spans="1:2" x14ac:dyDescent="0.2">
      <c r="A382" s="2">
        <f ca="1">IFERROR(__xludf.DUMMYFUNCTION("""COMPUTED_VALUE"""),45674.9986111111)</f>
        <v>45674.998611111099</v>
      </c>
      <c r="B382" s="3">
        <v>16367.1</v>
      </c>
    </row>
    <row r="383" spans="1:2" x14ac:dyDescent="0.2">
      <c r="A383" s="2">
        <f ca="1">IFERROR(__xludf.DUMMYFUNCTION("""COMPUTED_VALUE"""),45675.9986111111)</f>
        <v>45675.998611111099</v>
      </c>
      <c r="B383" s="3">
        <v>16367.1</v>
      </c>
    </row>
    <row r="384" spans="1:2" x14ac:dyDescent="0.2">
      <c r="A384" s="2">
        <f ca="1">IFERROR(__xludf.DUMMYFUNCTION("""COMPUTED_VALUE"""),45677.9986111111)</f>
        <v>45677.998611111099</v>
      </c>
      <c r="B384" s="3">
        <v>16245</v>
      </c>
    </row>
    <row r="385" spans="1:2" x14ac:dyDescent="0.2">
      <c r="A385" s="2">
        <f ca="1">IFERROR(__xludf.DUMMYFUNCTION("""COMPUTED_VALUE"""),45678.9986111111)</f>
        <v>45678.998611111099</v>
      </c>
      <c r="B385" s="3">
        <v>16330.8</v>
      </c>
    </row>
    <row r="386" spans="1:2" x14ac:dyDescent="0.2">
      <c r="A386" s="2">
        <f ca="1">IFERROR(__xludf.DUMMYFUNCTION("""COMPUTED_VALUE"""),45679.9986111111)</f>
        <v>45679.998611111099</v>
      </c>
      <c r="B386" s="3">
        <v>16232.8</v>
      </c>
    </row>
    <row r="387" spans="1:2" x14ac:dyDescent="0.2">
      <c r="A387" s="2">
        <f ca="1">IFERROR(__xludf.DUMMYFUNCTION("""COMPUTED_VALUE"""),45680.9986111111)</f>
        <v>45680.998611111099</v>
      </c>
      <c r="B387" s="3">
        <v>16230.9</v>
      </c>
    </row>
    <row r="388" spans="1:2" x14ac:dyDescent="0.2">
      <c r="A388" s="2">
        <f ca="1">IFERROR(__xludf.DUMMYFUNCTION("""COMPUTED_VALUE"""),45681.9986111111)</f>
        <v>45681.998611111099</v>
      </c>
      <c r="B388" s="3">
        <v>16164.9</v>
      </c>
    </row>
    <row r="389" spans="1:2" x14ac:dyDescent="0.2">
      <c r="A389" s="2">
        <f ca="1">IFERROR(__xludf.DUMMYFUNCTION("""COMPUTED_VALUE"""),45682.9986111111)</f>
        <v>45682.998611111099</v>
      </c>
      <c r="B389" s="3">
        <v>16164.9</v>
      </c>
    </row>
    <row r="390" spans="1:2" x14ac:dyDescent="0.2">
      <c r="A390" s="2">
        <f ca="1">IFERROR(__xludf.DUMMYFUNCTION("""COMPUTED_VALUE"""),45683.9986111111)</f>
        <v>45683.998611111099</v>
      </c>
      <c r="B390" s="3">
        <v>16164.9</v>
      </c>
    </row>
    <row r="391" spans="1:2" x14ac:dyDescent="0.2">
      <c r="A391" s="2">
        <f ca="1">IFERROR(__xludf.DUMMYFUNCTION("""COMPUTED_VALUE"""),45684.9986111111)</f>
        <v>45684.998611111099</v>
      </c>
      <c r="B391" s="3">
        <v>16155.6</v>
      </c>
    </row>
    <row r="392" spans="1:2" x14ac:dyDescent="0.2">
      <c r="A392" s="2">
        <f ca="1">IFERROR(__xludf.DUMMYFUNCTION("""COMPUTED_VALUE"""),45685.9986111111)</f>
        <v>45685.998611111099</v>
      </c>
      <c r="B392" s="3">
        <v>15881.2</v>
      </c>
    </row>
    <row r="393" spans="1:2" x14ac:dyDescent="0.2">
      <c r="A393" s="2">
        <f ca="1">IFERROR(__xludf.DUMMYFUNCTION("""COMPUTED_VALUE"""),45686.9986111111)</f>
        <v>45686.998611111099</v>
      </c>
      <c r="B393" s="3">
        <v>16238</v>
      </c>
    </row>
    <row r="394" spans="1:2" x14ac:dyDescent="0.2">
      <c r="A394" s="2">
        <f ca="1">IFERROR(__xludf.DUMMYFUNCTION("""COMPUTED_VALUE"""),45687.9986111111)</f>
        <v>45687.998611111099</v>
      </c>
      <c r="B394" s="3">
        <v>16274.5</v>
      </c>
    </row>
    <row r="395" spans="1:2" x14ac:dyDescent="0.2">
      <c r="A395" s="2">
        <f ca="1">IFERROR(__xludf.DUMMYFUNCTION("""COMPUTED_VALUE"""),45688.9986111111)</f>
        <v>45688.998611111099</v>
      </c>
      <c r="B395" s="3">
        <v>16341.3</v>
      </c>
    </row>
    <row r="396" spans="1:2" x14ac:dyDescent="0.2">
      <c r="A396" s="2">
        <f ca="1">IFERROR(__xludf.DUMMYFUNCTION("""COMPUTED_VALUE"""),45689.9986111111)</f>
        <v>45689.998611111099</v>
      </c>
      <c r="B396" s="3">
        <v>16341.3</v>
      </c>
    </row>
    <row r="397" spans="1:2" x14ac:dyDescent="0.2">
      <c r="A397" s="2">
        <f ca="1">IFERROR(__xludf.DUMMYFUNCTION("""COMPUTED_VALUE"""),45690.9986111111)</f>
        <v>45690.998611111099</v>
      </c>
      <c r="B397" s="3">
        <v>16341.3</v>
      </c>
    </row>
    <row r="398" spans="1:2" x14ac:dyDescent="0.2">
      <c r="A398" s="2">
        <f ca="1">IFERROR(__xludf.DUMMYFUNCTION("""COMPUTED_VALUE"""),45691.9986111111)</f>
        <v>45691.998611111099</v>
      </c>
      <c r="B398" s="3">
        <v>16320.5</v>
      </c>
    </row>
    <row r="399" spans="1:2" x14ac:dyDescent="0.2">
      <c r="A399" s="2">
        <f ca="1">IFERROR(__xludf.DUMMYFUNCTION("""COMPUTED_VALUE"""),45692.9986111111)</f>
        <v>45692.998611111099</v>
      </c>
      <c r="B399" s="3">
        <v>16299.1</v>
      </c>
    </row>
    <row r="400" spans="1:2" x14ac:dyDescent="0.2">
      <c r="A400" s="2">
        <f ca="1">IFERROR(__xludf.DUMMYFUNCTION("""COMPUTED_VALUE"""),45693.9986111111)</f>
        <v>45693.998611111099</v>
      </c>
      <c r="B400" s="3">
        <v>16298.1</v>
      </c>
    </row>
    <row r="401" spans="1:2" x14ac:dyDescent="0.2">
      <c r="A401" s="2">
        <f ca="1">IFERROR(__xludf.DUMMYFUNCTION("""COMPUTED_VALUE"""),45694.9986111111)</f>
        <v>45694.998611111099</v>
      </c>
      <c r="B401" s="3">
        <v>16327</v>
      </c>
    </row>
    <row r="402" spans="1:2" x14ac:dyDescent="0.2">
      <c r="A402" s="2">
        <f ca="1">IFERROR(__xludf.DUMMYFUNCTION("""COMPUTED_VALUE"""),45695.9986111111)</f>
        <v>45695.998611111099</v>
      </c>
      <c r="B402" s="3">
        <v>16314.7</v>
      </c>
    </row>
    <row r="403" spans="1:2" x14ac:dyDescent="0.2">
      <c r="A403" s="2">
        <f ca="1">IFERROR(__xludf.DUMMYFUNCTION("""COMPUTED_VALUE"""),45696.9986111111)</f>
        <v>45696.998611111099</v>
      </c>
      <c r="B403" s="3">
        <v>16314.7</v>
      </c>
    </row>
    <row r="404" spans="1:2" x14ac:dyDescent="0.2">
      <c r="A404" s="2">
        <f ca="1">IFERROR(__xludf.DUMMYFUNCTION("""COMPUTED_VALUE"""),45697.9986111111)</f>
        <v>45697.998611111099</v>
      </c>
      <c r="B404" s="3">
        <v>16314.7</v>
      </c>
    </row>
    <row r="405" spans="1:2" x14ac:dyDescent="0.2">
      <c r="A405" s="2">
        <f ca="1">IFERROR(__xludf.DUMMYFUNCTION("""COMPUTED_VALUE"""),45698.9986111111)</f>
        <v>45698.998611111099</v>
      </c>
      <c r="B405" s="3">
        <v>16330.1</v>
      </c>
    </row>
    <row r="406" spans="1:2" x14ac:dyDescent="0.2">
      <c r="A406" s="2">
        <f ca="1">IFERROR(__xludf.DUMMYFUNCTION("""COMPUTED_VALUE"""),45699.9986111111)</f>
        <v>45699.998611111099</v>
      </c>
      <c r="B406" s="3">
        <v>16343.3</v>
      </c>
    </row>
    <row r="407" spans="1:2" x14ac:dyDescent="0.2">
      <c r="A407" s="2">
        <f ca="1">IFERROR(__xludf.DUMMYFUNCTION("""COMPUTED_VALUE"""),45700.9986111111)</f>
        <v>45700.998611111099</v>
      </c>
      <c r="B407" s="3">
        <v>16375</v>
      </c>
    </row>
    <row r="408" spans="1:2" x14ac:dyDescent="0.2">
      <c r="A408" s="2">
        <f ca="1">IFERROR(__xludf.DUMMYFUNCTION("""COMPUTED_VALUE"""),45701.9986111111)</f>
        <v>45701.998611111099</v>
      </c>
      <c r="B408" s="3">
        <v>16219</v>
      </c>
    </row>
    <row r="409" spans="1:2" x14ac:dyDescent="0.2">
      <c r="A409" s="2">
        <f ca="1">IFERROR(__xludf.DUMMYFUNCTION("""COMPUTED_VALUE"""),45702.9986111111)</f>
        <v>45702.998611111099</v>
      </c>
      <c r="B409" s="3">
        <v>16173</v>
      </c>
    </row>
    <row r="410" spans="1:2" x14ac:dyDescent="0.2">
      <c r="A410" s="2">
        <f ca="1">IFERROR(__xludf.DUMMYFUNCTION("""COMPUTED_VALUE"""),45703.9986111111)</f>
        <v>45703.998611111099</v>
      </c>
      <c r="B410" s="3">
        <v>16173</v>
      </c>
    </row>
    <row r="411" spans="1:2" x14ac:dyDescent="0.2">
      <c r="A411" s="2">
        <f ca="1">IFERROR(__xludf.DUMMYFUNCTION("""COMPUTED_VALUE"""),45704.9986111111)</f>
        <v>45704.998611111099</v>
      </c>
      <c r="B411" s="3">
        <v>16173</v>
      </c>
    </row>
    <row r="412" spans="1:2" x14ac:dyDescent="0.2">
      <c r="A412" s="2">
        <f ca="1">IFERROR(__xludf.DUMMYFUNCTION("""COMPUTED_VALUE"""),45705.9986111111)</f>
        <v>45705.998611111099</v>
      </c>
      <c r="B412" s="3">
        <v>16220</v>
      </c>
    </row>
    <row r="413" spans="1:2" x14ac:dyDescent="0.2">
      <c r="A413" s="2">
        <f ca="1">IFERROR(__xludf.DUMMYFUNCTION("""COMPUTED_VALUE"""),45706.9986111111)</f>
        <v>45706.998611111099</v>
      </c>
      <c r="B413" s="3">
        <v>16317</v>
      </c>
    </row>
    <row r="414" spans="1:2" x14ac:dyDescent="0.2">
      <c r="A414" s="2">
        <f ca="1">IFERROR(__xludf.DUMMYFUNCTION("""COMPUTED_VALUE"""),45707.9986111111)</f>
        <v>45707.998611111099</v>
      </c>
      <c r="B414" s="3">
        <v>16346.4</v>
      </c>
    </row>
    <row r="415" spans="1:2" x14ac:dyDescent="0.2">
      <c r="A415" s="2">
        <f ca="1">IFERROR(__xludf.DUMMYFUNCTION("""COMPUTED_VALUE"""),45708.9986111111)</f>
        <v>45708.998611111099</v>
      </c>
      <c r="B415" s="3">
        <v>16245.1</v>
      </c>
    </row>
    <row r="416" spans="1:2" x14ac:dyDescent="0.2">
      <c r="A416" s="2">
        <f ca="1">IFERROR(__xludf.DUMMYFUNCTION("""COMPUTED_VALUE"""),45709.9986111111)</f>
        <v>45709.998611111099</v>
      </c>
      <c r="B416" s="3">
        <v>16278</v>
      </c>
    </row>
    <row r="417" spans="1:2" x14ac:dyDescent="0.2">
      <c r="A417" s="2">
        <f ca="1">IFERROR(__xludf.DUMMYFUNCTION("""COMPUTED_VALUE"""),45710.9986111111)</f>
        <v>45710.998611111099</v>
      </c>
      <c r="B417" s="3">
        <v>16278</v>
      </c>
    </row>
    <row r="418" spans="1:2" x14ac:dyDescent="0.2">
      <c r="A418" s="2">
        <f ca="1">IFERROR(__xludf.DUMMYFUNCTION("""COMPUTED_VALUE"""),45711.9986111111)</f>
        <v>45711.998611111099</v>
      </c>
      <c r="B418" s="3">
        <v>16278</v>
      </c>
    </row>
    <row r="419" spans="1:2" x14ac:dyDescent="0.2">
      <c r="A419" s="2">
        <f ca="1">IFERROR(__xludf.DUMMYFUNCTION("""COMPUTED_VALUE"""),45712.9986111111)</f>
        <v>45712.998611111099</v>
      </c>
      <c r="B419" s="3">
        <v>16279.3</v>
      </c>
    </row>
    <row r="420" spans="1:2" x14ac:dyDescent="0.2">
      <c r="A420" s="2">
        <f ca="1">IFERROR(__xludf.DUMMYFUNCTION("""COMPUTED_VALUE"""),45713.9986111111)</f>
        <v>45713.998611111099</v>
      </c>
      <c r="B420" s="3">
        <v>16314</v>
      </c>
    </row>
    <row r="421" spans="1:2" x14ac:dyDescent="0.2">
      <c r="A421" s="2">
        <f ca="1">IFERROR(__xludf.DUMMYFUNCTION("""COMPUTED_VALUE"""),45714.9986111111)</f>
        <v>45714.998611111099</v>
      </c>
      <c r="B421" s="3">
        <v>16367.4</v>
      </c>
    </row>
    <row r="422" spans="1:2" x14ac:dyDescent="0.2">
      <c r="A422" s="2">
        <f ca="1">IFERROR(__xludf.DUMMYFUNCTION("""COMPUTED_VALUE"""),45715.9986111111)</f>
        <v>45715.998611111099</v>
      </c>
      <c r="B422" s="3">
        <v>16553.7</v>
      </c>
    </row>
    <row r="423" spans="1:2" x14ac:dyDescent="0.2">
      <c r="A423" s="2">
        <f ca="1">IFERROR(__xludf.DUMMYFUNCTION("""COMPUTED_VALUE"""),45716.9986111111)</f>
        <v>45716.998611111099</v>
      </c>
      <c r="B423" s="3">
        <v>16522</v>
      </c>
    </row>
    <row r="424" spans="1:2" x14ac:dyDescent="0.2">
      <c r="A424" s="2">
        <f ca="1">IFERROR(__xludf.DUMMYFUNCTION("""COMPUTED_VALUE"""),45717.9986111111)</f>
        <v>45717.998611111099</v>
      </c>
      <c r="B424" s="3">
        <v>16522</v>
      </c>
    </row>
    <row r="425" spans="1:2" x14ac:dyDescent="0.2">
      <c r="A425" s="2">
        <f ca="1">IFERROR(__xludf.DUMMYFUNCTION("""COMPUTED_VALUE"""),45718.9986111111)</f>
        <v>45718.998611111099</v>
      </c>
      <c r="B425" s="3">
        <v>16522</v>
      </c>
    </row>
    <row r="426" spans="1:2" x14ac:dyDescent="0.2">
      <c r="A426" s="2">
        <f ca="1">IFERROR(__xludf.DUMMYFUNCTION("""COMPUTED_VALUE"""),45719.9986111111)</f>
        <v>45719.998611111099</v>
      </c>
      <c r="B426" s="3">
        <v>16451.2</v>
      </c>
    </row>
    <row r="427" spans="1:2" x14ac:dyDescent="0.2">
      <c r="A427" s="2">
        <f ca="1">IFERROR(__xludf.DUMMYFUNCTION("""COMPUTED_VALUE"""),45720.9986111111)</f>
        <v>45720.998611111099</v>
      </c>
      <c r="B427" s="3">
        <v>16379</v>
      </c>
    </row>
    <row r="428" spans="1:2" x14ac:dyDescent="0.2">
      <c r="A428" s="2">
        <f ca="1">IFERROR(__xludf.DUMMYFUNCTION("""COMPUTED_VALUE"""),45721.9986111111)</f>
        <v>45721.998611111099</v>
      </c>
      <c r="B428" s="3">
        <v>16268.9</v>
      </c>
    </row>
    <row r="429" spans="1:2" x14ac:dyDescent="0.2">
      <c r="A429" s="2">
        <f ca="1">IFERROR(__xludf.DUMMYFUNCTION("""COMPUTED_VALUE"""),45722.9986111111)</f>
        <v>45722.998611111099</v>
      </c>
      <c r="B429" s="3">
        <v>16322.1</v>
      </c>
    </row>
    <row r="430" spans="1:2" x14ac:dyDescent="0.2">
      <c r="A430" s="2">
        <f ca="1">IFERROR(__xludf.DUMMYFUNCTION("""COMPUTED_VALUE"""),45723.9986111111)</f>
        <v>45723.998611111099</v>
      </c>
      <c r="B430" s="3">
        <v>16292.6</v>
      </c>
    </row>
    <row r="431" spans="1:2" x14ac:dyDescent="0.2">
      <c r="A431" s="2">
        <f ca="1">IFERROR(__xludf.DUMMYFUNCTION("""COMPUTED_VALUE"""),45724.9986111111)</f>
        <v>45724.998611111099</v>
      </c>
      <c r="B431" s="3">
        <v>16292.6</v>
      </c>
    </row>
    <row r="432" spans="1:2" x14ac:dyDescent="0.2">
      <c r="A432" s="2">
        <f ca="1">IFERROR(__xludf.DUMMYFUNCTION("""COMPUTED_VALUE"""),45725.9986111111)</f>
        <v>45725.998611111099</v>
      </c>
      <c r="B432" s="3">
        <v>16292.6</v>
      </c>
    </row>
    <row r="433" spans="1:2" x14ac:dyDescent="0.2">
      <c r="A433" s="2">
        <f ca="1">IFERROR(__xludf.DUMMYFUNCTION("""COMPUTED_VALUE"""),45726.9986111111)</f>
        <v>45726.998611111099</v>
      </c>
      <c r="B433" s="3">
        <v>16323</v>
      </c>
    </row>
    <row r="434" spans="1:2" x14ac:dyDescent="0.2">
      <c r="A434" s="2">
        <f ca="1">IFERROR(__xludf.DUMMYFUNCTION("""COMPUTED_VALUE"""),45727.9986111111)</f>
        <v>45727.998611111099</v>
      </c>
      <c r="B434" s="3">
        <v>16433.900000000001</v>
      </c>
    </row>
    <row r="435" spans="1:2" x14ac:dyDescent="0.2">
      <c r="A435" s="2">
        <f ca="1">IFERROR(__xludf.DUMMYFUNCTION("""COMPUTED_VALUE"""),45728.9986111111)</f>
        <v>45728.998611111099</v>
      </c>
      <c r="B435" s="3">
        <v>16305.6</v>
      </c>
    </row>
    <row r="436" spans="1:2" x14ac:dyDescent="0.2">
      <c r="A436" s="2">
        <f ca="1">IFERROR(__xludf.DUMMYFUNCTION("""COMPUTED_VALUE"""),45729.9986111111)</f>
        <v>45729.998611111099</v>
      </c>
      <c r="B436" s="3">
        <v>16259.3</v>
      </c>
    </row>
    <row r="437" spans="1:2" x14ac:dyDescent="0.2">
      <c r="A437" s="2">
        <f ca="1">IFERROR(__xludf.DUMMYFUNCTION("""COMPUTED_VALUE"""),45730.9986111111)</f>
        <v>45730.998611111099</v>
      </c>
      <c r="B437" s="3">
        <v>16321</v>
      </c>
    </row>
    <row r="438" spans="1:2" x14ac:dyDescent="0.2">
      <c r="A438" s="2">
        <f ca="1">IFERROR(__xludf.DUMMYFUNCTION("""COMPUTED_VALUE"""),45731.9986111111)</f>
        <v>45731.998611111099</v>
      </c>
      <c r="B438" s="3">
        <v>16321</v>
      </c>
    </row>
    <row r="439" spans="1:2" x14ac:dyDescent="0.2">
      <c r="A439" s="2">
        <f ca="1">IFERROR(__xludf.DUMMYFUNCTION("""COMPUTED_VALUE"""),45732.9986111111)</f>
        <v>45732.998611111099</v>
      </c>
      <c r="B439" s="3">
        <v>16321</v>
      </c>
    </row>
    <row r="440" spans="1:2" x14ac:dyDescent="0.2">
      <c r="A440" s="2">
        <f ca="1">IFERROR(__xludf.DUMMYFUNCTION("""COMPUTED_VALUE"""),45733.9986111111)</f>
        <v>45733.998611111099</v>
      </c>
      <c r="B440" s="3">
        <v>16370</v>
      </c>
    </row>
    <row r="441" spans="1:2" x14ac:dyDescent="0.2">
      <c r="A441" s="2">
        <f ca="1">IFERROR(__xludf.DUMMYFUNCTION("""COMPUTED_VALUE"""),45734.9986111111)</f>
        <v>45734.998611111099</v>
      </c>
      <c r="B441" s="3">
        <v>16514.5</v>
      </c>
    </row>
    <row r="442" spans="1:2" x14ac:dyDescent="0.2">
      <c r="A442" s="2">
        <f ca="1">IFERROR(__xludf.DUMMYFUNCTION("""COMPUTED_VALUE"""),45735.9986111111)</f>
        <v>45735.998611111099</v>
      </c>
      <c r="B442" s="3">
        <v>16330.3</v>
      </c>
    </row>
    <row r="443" spans="1:2" x14ac:dyDescent="0.2">
      <c r="A443" s="2">
        <f ca="1">IFERROR(__xludf.DUMMYFUNCTION("""COMPUTED_VALUE"""),45736.9986111111)</f>
        <v>45736.998611111099</v>
      </c>
      <c r="B443" s="3">
        <v>16428.5</v>
      </c>
    </row>
    <row r="444" spans="1:2" x14ac:dyDescent="0.2">
      <c r="A444" s="2">
        <f ca="1">IFERROR(__xludf.DUMMYFUNCTION("""COMPUTED_VALUE"""),45737.9986111111)</f>
        <v>45737.998611111099</v>
      </c>
      <c r="B444" s="3">
        <v>16519</v>
      </c>
    </row>
    <row r="445" spans="1:2" x14ac:dyDescent="0.2">
      <c r="A445" s="2">
        <f ca="1">IFERROR(__xludf.DUMMYFUNCTION("""COMPUTED_VALUE"""),45738.9986111111)</f>
        <v>45738.998611111099</v>
      </c>
      <c r="B445" s="3">
        <v>16519</v>
      </c>
    </row>
    <row r="446" spans="1:2" x14ac:dyDescent="0.2">
      <c r="A446" s="2">
        <f ca="1">IFERROR(__xludf.DUMMYFUNCTION("""COMPUTED_VALUE"""),45739.9986111111)</f>
        <v>45739.998611111099</v>
      </c>
      <c r="B446" s="3">
        <v>16519</v>
      </c>
    </row>
    <row r="447" spans="1:2" x14ac:dyDescent="0.2">
      <c r="A447" s="2">
        <f ca="1">IFERROR(__xludf.DUMMYFUNCTION("""COMPUTED_VALUE"""),45740.9986111111)</f>
        <v>45740.998611111099</v>
      </c>
      <c r="B447" s="3">
        <v>16575.8</v>
      </c>
    </row>
    <row r="448" spans="1:2" x14ac:dyDescent="0.2">
      <c r="A448" s="2">
        <f ca="1">IFERROR(__xludf.DUMMYFUNCTION("""COMPUTED_VALUE"""),45741.9986111111)</f>
        <v>45741.998611111099</v>
      </c>
      <c r="B448" s="3">
        <v>16621</v>
      </c>
    </row>
    <row r="449" spans="1:2" x14ac:dyDescent="0.2">
      <c r="A449" s="2">
        <f ca="1">IFERROR(__xludf.DUMMYFUNCTION("""COMPUTED_VALUE"""),45742.9986111111)</f>
        <v>45742.998611111099</v>
      </c>
      <c r="B449" s="3">
        <v>16629</v>
      </c>
    </row>
    <row r="450" spans="1:2" x14ac:dyDescent="0.2">
      <c r="A450" s="2">
        <f ca="1">IFERROR(__xludf.DUMMYFUNCTION("""COMPUTED_VALUE"""),45743.9986111111)</f>
        <v>45743.998611111099</v>
      </c>
      <c r="B450" s="3">
        <v>16560.900000000001</v>
      </c>
    </row>
    <row r="451" spans="1:2" x14ac:dyDescent="0.2">
      <c r="A451" s="2">
        <f ca="1">IFERROR(__xludf.DUMMYFUNCTION("""COMPUTED_VALUE"""),45744.9986111111)</f>
        <v>45744.998611111099</v>
      </c>
      <c r="B451" s="3">
        <v>16597</v>
      </c>
    </row>
    <row r="452" spans="1:2" x14ac:dyDescent="0.2">
      <c r="A452" s="2">
        <f ca="1">IFERROR(__xludf.DUMMYFUNCTION("""COMPUTED_VALUE"""),45745.9986111111)</f>
        <v>45745.998611111099</v>
      </c>
      <c r="B452" s="3">
        <v>16597</v>
      </c>
    </row>
    <row r="453" spans="1:2" x14ac:dyDescent="0.2">
      <c r="A453" s="2">
        <f ca="1">IFERROR(__xludf.DUMMYFUNCTION("""COMPUTED_VALUE"""),45746.9986111111)</f>
        <v>45746.998611111099</v>
      </c>
      <c r="B453" s="3">
        <v>16575</v>
      </c>
    </row>
    <row r="454" spans="1:2" x14ac:dyDescent="0.2">
      <c r="A454" s="2">
        <f ca="1">IFERROR(__xludf.DUMMYFUNCTION("""COMPUTED_VALUE"""),45747.9986111111)</f>
        <v>45747.998611111099</v>
      </c>
      <c r="B454" s="3">
        <v>16652</v>
      </c>
    </row>
    <row r="455" spans="1:2" x14ac:dyDescent="0.2">
      <c r="A455" s="2">
        <f ca="1">IFERROR(__xludf.DUMMYFUNCTION("""COMPUTED_VALUE"""),45748.9986111111)</f>
        <v>45748.998611111099</v>
      </c>
      <c r="B455" s="3">
        <v>16731.400000000001</v>
      </c>
    </row>
    <row r="456" spans="1:2" x14ac:dyDescent="0.2">
      <c r="A456" s="2">
        <f ca="1">IFERROR(__xludf.DUMMYFUNCTION("""COMPUTED_VALUE"""),45749.9986111111)</f>
        <v>45749.998611111099</v>
      </c>
      <c r="B456" s="3">
        <v>16739</v>
      </c>
    </row>
    <row r="457" spans="1:2" x14ac:dyDescent="0.2">
      <c r="A457" s="2">
        <f ca="1">IFERROR(__xludf.DUMMYFUNCTION("""COMPUTED_VALUE"""),45750.9986111111)</f>
        <v>45750.998611111099</v>
      </c>
      <c r="B457" s="3">
        <v>16739.8</v>
      </c>
    </row>
    <row r="458" spans="1:2" x14ac:dyDescent="0.2">
      <c r="A458" s="2">
        <f ca="1">IFERROR(__xludf.DUMMYFUNCTION("""COMPUTED_VALUE"""),45751.9986111111)</f>
        <v>45751.998611111099</v>
      </c>
      <c r="B458" s="3">
        <v>16738</v>
      </c>
    </row>
    <row r="459" spans="1:2" x14ac:dyDescent="0.2">
      <c r="A459" s="2">
        <f ca="1">IFERROR(__xludf.DUMMYFUNCTION("""COMPUTED_VALUE"""),45752.9986111111)</f>
        <v>45752.998611111099</v>
      </c>
      <c r="B459" s="3">
        <v>16738</v>
      </c>
    </row>
    <row r="460" spans="1:2" x14ac:dyDescent="0.2">
      <c r="A460" s="2">
        <f ca="1">IFERROR(__xludf.DUMMYFUNCTION("""COMPUTED_VALUE"""),45753.9986111111)</f>
        <v>45753.998611111099</v>
      </c>
      <c r="B460" s="3">
        <v>16738</v>
      </c>
    </row>
    <row r="461" spans="1:2" x14ac:dyDescent="0.2">
      <c r="A461" s="2">
        <f ca="1">IFERROR(__xludf.DUMMYFUNCTION("""COMPUTED_VALUE"""),45754.9986111111)</f>
        <v>45754.998611111099</v>
      </c>
      <c r="B461" s="3">
        <v>16855.7</v>
      </c>
    </row>
    <row r="462" spans="1:2" x14ac:dyDescent="0.2">
      <c r="A462" s="2">
        <f ca="1">IFERROR(__xludf.DUMMYFUNCTION("""COMPUTED_VALUE"""),45755.9986111111)</f>
        <v>45755.998611111099</v>
      </c>
      <c r="B462" s="3">
        <v>17051.900000000001</v>
      </c>
    </row>
    <row r="463" spans="1:2" x14ac:dyDescent="0.2">
      <c r="A463" s="2">
        <f ca="1">IFERROR(__xludf.DUMMYFUNCTION("""COMPUTED_VALUE"""),45756.9986111111)</f>
        <v>45756.998611111099</v>
      </c>
      <c r="B463" s="3">
        <v>16805.5</v>
      </c>
    </row>
    <row r="464" spans="1:2" x14ac:dyDescent="0.2">
      <c r="A464" s="2">
        <f ca="1">IFERROR(__xludf.DUMMYFUNCTION("""COMPUTED_VALUE"""),45757.9986111111)</f>
        <v>45757.998611111099</v>
      </c>
      <c r="B464" s="3">
        <v>16833.8</v>
      </c>
    </row>
    <row r="465" spans="1:2" x14ac:dyDescent="0.2">
      <c r="A465" s="2">
        <f ca="1">IFERROR(__xludf.DUMMYFUNCTION("""COMPUTED_VALUE"""),45758.9986111111)</f>
        <v>45758.998611111099</v>
      </c>
      <c r="B465" s="3">
        <v>16779.8</v>
      </c>
    </row>
    <row r="466" spans="1:2" x14ac:dyDescent="0.2">
      <c r="A466" s="2">
        <f ca="1">IFERROR(__xludf.DUMMYFUNCTION("""COMPUTED_VALUE"""),45759.9986111111)</f>
        <v>45759.998611111099</v>
      </c>
      <c r="B466" s="3">
        <v>16779.8</v>
      </c>
    </row>
    <row r="467" spans="1:2" x14ac:dyDescent="0.2">
      <c r="A467" s="2">
        <f ca="1">IFERROR(__xludf.DUMMYFUNCTION("""COMPUTED_VALUE"""),45760.9986111111)</f>
        <v>45760.998611111099</v>
      </c>
      <c r="B467" s="3">
        <v>16788</v>
      </c>
    </row>
    <row r="468" spans="1:2" x14ac:dyDescent="0.2">
      <c r="A468" s="2">
        <f ca="1">IFERROR(__xludf.DUMMYFUNCTION("""COMPUTED_VALUE"""),45761.9986111111)</f>
        <v>45761.998611111099</v>
      </c>
      <c r="B468" s="3">
        <v>16780</v>
      </c>
    </row>
    <row r="469" spans="1:2" x14ac:dyDescent="0.2">
      <c r="A469" s="2">
        <f ca="1">IFERROR(__xludf.DUMMYFUNCTION("""COMPUTED_VALUE"""),45762.9986111111)</f>
        <v>45762.998611111099</v>
      </c>
      <c r="B469" s="3">
        <v>16813.5</v>
      </c>
    </row>
    <row r="470" spans="1:2" x14ac:dyDescent="0.2">
      <c r="A470" s="2">
        <f ca="1">IFERROR(__xludf.DUMMYFUNCTION("""COMPUTED_VALUE"""),45763.9986111111)</f>
        <v>45763.998611111099</v>
      </c>
      <c r="B470" s="3">
        <v>16794.599999999999</v>
      </c>
    </row>
    <row r="471" spans="1:2" x14ac:dyDescent="0.2">
      <c r="A471" s="2">
        <f ca="1">IFERROR(__xludf.DUMMYFUNCTION("""COMPUTED_VALUE"""),45764.9986111111)</f>
        <v>45764.998611111099</v>
      </c>
      <c r="B471" s="3">
        <v>16856.8</v>
      </c>
    </row>
    <row r="472" spans="1:2" x14ac:dyDescent="0.2">
      <c r="A472" s="2">
        <f ca="1">IFERROR(__xludf.DUMMYFUNCTION("""COMPUTED_VALUE"""),45768.9986111111)</f>
        <v>45768.998611111099</v>
      </c>
      <c r="B472" s="3">
        <v>16814.900000000001</v>
      </c>
    </row>
    <row r="473" spans="1:2" x14ac:dyDescent="0.2">
      <c r="A473" s="2">
        <f ca="1">IFERROR(__xludf.DUMMYFUNCTION("""COMPUTED_VALUE"""),45769.9986111111)</f>
        <v>45769.998611111099</v>
      </c>
      <c r="B473" s="3">
        <v>16858.099999999999</v>
      </c>
    </row>
    <row r="474" spans="1:2" x14ac:dyDescent="0.2">
      <c r="A474" s="2">
        <f ca="1">IFERROR(__xludf.DUMMYFUNCTION("""COMPUTED_VALUE"""),45770.9986111111)</f>
        <v>45770.998611111099</v>
      </c>
      <c r="B474" s="3">
        <v>16846</v>
      </c>
    </row>
    <row r="475" spans="1:2" x14ac:dyDescent="0.2">
      <c r="A475" s="2">
        <f ca="1">IFERROR(__xludf.DUMMYFUNCTION("""COMPUTED_VALUE"""),45771.9986111111)</f>
        <v>45771.998611111099</v>
      </c>
      <c r="B475" s="3">
        <v>16778.5</v>
      </c>
    </row>
    <row r="476" spans="1:2" x14ac:dyDescent="0.2">
      <c r="A476" s="2">
        <f ca="1">IFERROR(__xludf.DUMMYFUNCTION("""COMPUTED_VALUE"""),45772.9986111111)</f>
        <v>45772.998611111099</v>
      </c>
      <c r="B476" s="3">
        <v>16789.7</v>
      </c>
    </row>
    <row r="477" spans="1:2" x14ac:dyDescent="0.2">
      <c r="A477" s="2">
        <f ca="1">IFERROR(__xludf.DUMMYFUNCTION("""COMPUTED_VALUE"""),45773.9986111111)</f>
        <v>45773.998611111099</v>
      </c>
      <c r="B477" s="3">
        <v>16796.599999999999</v>
      </c>
    </row>
    <row r="478" spans="1:2" x14ac:dyDescent="0.2">
      <c r="A478" s="2">
        <f ca="1">IFERROR(__xludf.DUMMYFUNCTION("""COMPUTED_VALUE"""),45774.9986111111)</f>
        <v>45774.998611111099</v>
      </c>
      <c r="B478" s="3">
        <v>16823</v>
      </c>
    </row>
    <row r="479" spans="1:2" x14ac:dyDescent="0.2">
      <c r="A479" s="2">
        <f ca="1">IFERROR(__xludf.DUMMYFUNCTION("""COMPUTED_VALUE"""),45775.9986111111)</f>
        <v>45775.998611111099</v>
      </c>
      <c r="B479" s="3">
        <v>16795</v>
      </c>
    </row>
    <row r="480" spans="1:2" x14ac:dyDescent="0.2">
      <c r="A480" s="2">
        <f ca="1">IFERROR(__xludf.DUMMYFUNCTION("""COMPUTED_VALUE"""),45776.9986111111)</f>
        <v>45776.998611111099</v>
      </c>
      <c r="B480" s="3">
        <v>16711.900000000001</v>
      </c>
    </row>
    <row r="481" spans="1:2" x14ac:dyDescent="0.2">
      <c r="A481" s="2">
        <f ca="1">IFERROR(__xludf.DUMMYFUNCTION("""COMPUTED_VALUE"""),45777.9986111111)</f>
        <v>45777.998611111099</v>
      </c>
      <c r="B481" s="3">
        <v>16545.900000000001</v>
      </c>
    </row>
    <row r="482" spans="1:2" x14ac:dyDescent="0.2">
      <c r="A482" s="2">
        <f ca="1">IFERROR(__xludf.DUMMYFUNCTION("""COMPUTED_VALUE"""),45778.9986111111)</f>
        <v>45778.998611111099</v>
      </c>
      <c r="B482" s="3">
        <v>16606</v>
      </c>
    </row>
    <row r="483" spans="1:2" x14ac:dyDescent="0.2">
      <c r="A483" s="2">
        <f ca="1">IFERROR(__xludf.DUMMYFUNCTION("""COMPUTED_VALUE"""),45779.9986111111)</f>
        <v>45779.998611111099</v>
      </c>
      <c r="B483" s="3">
        <v>16453.2</v>
      </c>
    </row>
    <row r="484" spans="1:2" x14ac:dyDescent="0.2">
      <c r="A484" s="2">
        <f ca="1">IFERROR(__xludf.DUMMYFUNCTION("""COMPUTED_VALUE"""),45780.9986111111)</f>
        <v>45780.998611111099</v>
      </c>
      <c r="B484" s="3">
        <v>16453.2</v>
      </c>
    </row>
    <row r="485" spans="1:2" x14ac:dyDescent="0.2">
      <c r="A485" s="2">
        <f ca="1">IFERROR(__xludf.DUMMYFUNCTION("""COMPUTED_VALUE"""),45781.9986111111)</f>
        <v>45781.998611111099</v>
      </c>
      <c r="B485" s="3">
        <v>16460</v>
      </c>
    </row>
    <row r="486" spans="1:2" x14ac:dyDescent="0.2">
      <c r="A486" s="2">
        <f ca="1">IFERROR(__xludf.DUMMYFUNCTION("""COMPUTED_VALUE"""),45782.9986111111)</f>
        <v>45782.998611111099</v>
      </c>
      <c r="B486" s="3">
        <v>16421.5</v>
      </c>
    </row>
    <row r="487" spans="1:2" x14ac:dyDescent="0.2">
      <c r="A487" s="2">
        <f ca="1">IFERROR(__xludf.DUMMYFUNCTION("""COMPUTED_VALUE"""),45783.9986111111)</f>
        <v>45783.998611111099</v>
      </c>
      <c r="B487" s="3">
        <v>16432</v>
      </c>
    </row>
    <row r="488" spans="1:2" x14ac:dyDescent="0.2">
      <c r="A488" s="2">
        <f ca="1">IFERROR(__xludf.DUMMYFUNCTION("""COMPUTED_VALUE"""),45784.9986111111)</f>
        <v>45784.998611111099</v>
      </c>
      <c r="B488" s="3">
        <v>16492.599999999999</v>
      </c>
    </row>
    <row r="489" spans="1:2" x14ac:dyDescent="0.2">
      <c r="A489" s="2">
        <f ca="1">IFERROR(__xludf.DUMMYFUNCTION("""COMPUTED_VALUE"""),45785.9986111111)</f>
        <v>45785.998611111099</v>
      </c>
      <c r="B489" s="3">
        <v>16538.3</v>
      </c>
    </row>
    <row r="490" spans="1:2" x14ac:dyDescent="0.2">
      <c r="A490" s="2">
        <f ca="1">IFERROR(__xludf.DUMMYFUNCTION("""COMPUTED_VALUE"""),45786.9986111111)</f>
        <v>45786.998611111099</v>
      </c>
      <c r="B490" s="3">
        <v>16536.8</v>
      </c>
    </row>
    <row r="491" spans="1:2" x14ac:dyDescent="0.2">
      <c r="A491" s="2">
        <f ca="1">IFERROR(__xludf.DUMMYFUNCTION("""COMPUTED_VALUE"""),45787.9986111111)</f>
        <v>45787.998611111099</v>
      </c>
      <c r="B491" s="3">
        <v>16536.8</v>
      </c>
    </row>
    <row r="492" spans="1:2" x14ac:dyDescent="0.2">
      <c r="A492" s="2">
        <f ca="1">IFERROR(__xludf.DUMMYFUNCTION("""COMPUTED_VALUE"""),45788.9986111111)</f>
        <v>45788.998611111099</v>
      </c>
      <c r="B492" s="3">
        <v>16543</v>
      </c>
    </row>
    <row r="493" spans="1:2" x14ac:dyDescent="0.2">
      <c r="A493" s="2">
        <f ca="1">IFERROR(__xludf.DUMMYFUNCTION("""COMPUTED_VALUE"""),45789.9986111111)</f>
        <v>45789.998611111099</v>
      </c>
      <c r="B493" s="3">
        <v>16688.8</v>
      </c>
    </row>
    <row r="494" spans="1:2" x14ac:dyDescent="0.2">
      <c r="A494" s="2">
        <f ca="1">IFERROR(__xludf.DUMMYFUNCTION("""COMPUTED_VALUE"""),45790.9986111111)</f>
        <v>45790.998611111099</v>
      </c>
      <c r="B494" s="3">
        <v>16599.400000000001</v>
      </c>
    </row>
    <row r="495" spans="1:2" x14ac:dyDescent="0.2">
      <c r="A495" s="2">
        <f ca="1">IFERROR(__xludf.DUMMYFUNCTION("""COMPUTED_VALUE"""),45791.9986111111)</f>
        <v>45791.998611111099</v>
      </c>
      <c r="B495" s="3">
        <v>16558.2</v>
      </c>
    </row>
    <row r="496" spans="1:2" x14ac:dyDescent="0.2">
      <c r="A496" s="2">
        <f ca="1">IFERROR(__xludf.DUMMYFUNCTION("""COMPUTED_VALUE"""),45792.9986111111)</f>
        <v>45792.998611111099</v>
      </c>
      <c r="B496" s="3">
        <v>16511.8</v>
      </c>
    </row>
    <row r="497" spans="1:2" x14ac:dyDescent="0.2">
      <c r="A497" s="2">
        <f ca="1">IFERROR(__xludf.DUMMYFUNCTION("""COMPUTED_VALUE"""),45793.9986111111)</f>
        <v>45793.998611111099</v>
      </c>
      <c r="B497" s="3">
        <v>16485</v>
      </c>
    </row>
    <row r="498" spans="1:2" x14ac:dyDescent="0.2">
      <c r="A498" s="2">
        <f ca="1">IFERROR(__xludf.DUMMYFUNCTION("""COMPUTED_VALUE"""),45794.9986111111)</f>
        <v>45794.998611111099</v>
      </c>
      <c r="B498" s="3">
        <v>16485</v>
      </c>
    </row>
    <row r="499" spans="1:2" x14ac:dyDescent="0.2">
      <c r="A499" s="2">
        <f ca="1">IFERROR(__xludf.DUMMYFUNCTION("""COMPUTED_VALUE"""),45795.9986111111)</f>
        <v>45795.998611111099</v>
      </c>
      <c r="B499" s="3">
        <v>16487</v>
      </c>
    </row>
    <row r="500" spans="1:2" x14ac:dyDescent="0.2">
      <c r="A500" s="2">
        <f ca="1">IFERROR(__xludf.DUMMYFUNCTION("""COMPUTED_VALUE"""),45796.9986111111)</f>
        <v>45796.998611111099</v>
      </c>
      <c r="B500" s="3">
        <v>16428</v>
      </c>
    </row>
    <row r="501" spans="1:2" x14ac:dyDescent="0.2">
      <c r="A501" s="2">
        <f ca="1">IFERROR(__xludf.DUMMYFUNCTION("""COMPUTED_VALUE"""),45797.9986111111)</f>
        <v>45797.998611111099</v>
      </c>
      <c r="B501" s="3">
        <v>16403</v>
      </c>
    </row>
    <row r="502" spans="1:2" x14ac:dyDescent="0.2">
      <c r="A502" s="2">
        <f ca="1">IFERROR(__xludf.DUMMYFUNCTION("""COMPUTED_VALUE"""),45798.9986111111)</f>
        <v>45798.998611111099</v>
      </c>
      <c r="B502" s="3">
        <v>16347.6</v>
      </c>
    </row>
    <row r="503" spans="1:2" x14ac:dyDescent="0.2">
      <c r="A503" s="2">
        <f ca="1">IFERROR(__xludf.DUMMYFUNCTION("""COMPUTED_VALUE"""),45799.9986111111)</f>
        <v>45799.998611111099</v>
      </c>
      <c r="B503" s="3">
        <v>16356.9</v>
      </c>
    </row>
    <row r="504" spans="1:2" x14ac:dyDescent="0.2">
      <c r="A504" s="2">
        <f ca="1">IFERROR(__xludf.DUMMYFUNCTION("""COMPUTED_VALUE"""),45800.9986111111)</f>
        <v>45800.998611111099</v>
      </c>
      <c r="B504" s="3">
        <v>16232.6</v>
      </c>
    </row>
    <row r="505" spans="1:2" x14ac:dyDescent="0.2">
      <c r="A505" s="2">
        <f ca="1">IFERROR(__xludf.DUMMYFUNCTION("""COMPUTED_VALUE"""),45801.9986111111)</f>
        <v>45801.998611111099</v>
      </c>
      <c r="B505" s="3">
        <v>16232.6</v>
      </c>
    </row>
    <row r="506" spans="1:2" x14ac:dyDescent="0.2">
      <c r="A506" s="2">
        <f ca="1">IFERROR(__xludf.DUMMYFUNCTION("""COMPUTED_VALUE"""),45802.9986111111)</f>
        <v>45802.998611111099</v>
      </c>
      <c r="B506" s="3">
        <v>16211</v>
      </c>
    </row>
    <row r="507" spans="1:2" x14ac:dyDescent="0.2">
      <c r="A507" s="2">
        <f ca="1">IFERROR(__xludf.DUMMYFUNCTION("""COMPUTED_VALUE"""),45803.9986111111)</f>
        <v>45803.998611111099</v>
      </c>
      <c r="B507" s="3">
        <v>16243.5</v>
      </c>
    </row>
    <row r="508" spans="1:2" x14ac:dyDescent="0.2">
      <c r="A508" s="2">
        <f ca="1">IFERROR(__xludf.DUMMYFUNCTION("""COMPUTED_VALUE"""),45804.9986111111)</f>
        <v>45804.998611111099</v>
      </c>
      <c r="B508" s="3">
        <v>16279</v>
      </c>
    </row>
    <row r="509" spans="1:2" x14ac:dyDescent="0.2">
      <c r="A509" s="2">
        <f ca="1">IFERROR(__xludf.DUMMYFUNCTION("""COMPUTED_VALUE"""),45805.9986111111)</f>
        <v>45805.998611111099</v>
      </c>
      <c r="B509" s="3">
        <v>16286</v>
      </c>
    </row>
    <row r="510" spans="1:2" x14ac:dyDescent="0.2">
      <c r="A510" s="2">
        <f ca="1">IFERROR(__xludf.DUMMYFUNCTION("""COMPUTED_VALUE"""),45806.9986111111)</f>
        <v>45806.998611111099</v>
      </c>
      <c r="B510" s="3">
        <v>16293</v>
      </c>
    </row>
    <row r="511" spans="1:2" x14ac:dyDescent="0.2">
      <c r="A511" s="2">
        <f ca="1">IFERROR(__xludf.DUMMYFUNCTION("""COMPUTED_VALUE"""),45807.9986111111)</f>
        <v>45807.998611111099</v>
      </c>
      <c r="B511" s="3">
        <v>16359.7</v>
      </c>
    </row>
    <row r="512" spans="1:2" x14ac:dyDescent="0.2">
      <c r="A512" s="2">
        <f ca="1">IFERROR(__xludf.DUMMYFUNCTION("""COMPUTED_VALUE"""),45808.9986111111)</f>
        <v>45808.998611111099</v>
      </c>
      <c r="B512" s="3">
        <v>16359.7</v>
      </c>
    </row>
    <row r="513" spans="1:2" x14ac:dyDescent="0.2">
      <c r="A513" s="2">
        <f ca="1">IFERROR(__xludf.DUMMYFUNCTION("""COMPUTED_VALUE"""),45809.9986111111)</f>
        <v>45809.998611111099</v>
      </c>
      <c r="B513" s="3">
        <v>16322</v>
      </c>
    </row>
    <row r="514" spans="1:2" x14ac:dyDescent="0.2">
      <c r="A514" s="2">
        <f ca="1">IFERROR(__xludf.DUMMYFUNCTION("""COMPUTED_VALUE"""),45810.9986111111)</f>
        <v>45810.998611111099</v>
      </c>
      <c r="B514" s="3">
        <v>16288.5</v>
      </c>
    </row>
    <row r="515" spans="1:2" x14ac:dyDescent="0.2">
      <c r="A515" s="2">
        <f ca="1">IFERROR(__xludf.DUMMYFUNCTION("""COMPUTED_VALUE"""),45811.9986111111)</f>
        <v>45811.998611111099</v>
      </c>
      <c r="B515" s="3">
        <v>16332.4</v>
      </c>
    </row>
    <row r="516" spans="1:2" x14ac:dyDescent="0.2">
      <c r="A516" s="2">
        <f ca="1">IFERROR(__xludf.DUMMYFUNCTION("""COMPUTED_VALUE"""),45812.9986111111)</f>
        <v>45812.998611111099</v>
      </c>
      <c r="B516" s="3">
        <v>16291.5</v>
      </c>
    </row>
    <row r="517" spans="1:2" x14ac:dyDescent="0.2">
      <c r="A517" s="2">
        <f ca="1">IFERROR(__xludf.DUMMYFUNCTION("""COMPUTED_VALUE"""),45813.9986111111)</f>
        <v>45813.998611111099</v>
      </c>
      <c r="B517" s="3">
        <v>16246.4</v>
      </c>
    </row>
    <row r="518" spans="1:2" x14ac:dyDescent="0.2">
      <c r="A518" s="2">
        <f ca="1">IFERROR(__xludf.DUMMYFUNCTION("""COMPUTED_VALUE"""),45814.9986111111)</f>
        <v>45814.998611111099</v>
      </c>
      <c r="B518" s="3">
        <v>16305.3</v>
      </c>
    </row>
    <row r="519" spans="1:2" x14ac:dyDescent="0.2">
      <c r="A519" s="2">
        <f ca="1">IFERROR(__xludf.DUMMYFUNCTION("""COMPUTED_VALUE"""),45816.9986111111)</f>
        <v>45816.998611111099</v>
      </c>
      <c r="B519" s="3">
        <v>16309</v>
      </c>
    </row>
    <row r="520" spans="1:2" x14ac:dyDescent="0.2">
      <c r="A520" s="2">
        <f ca="1">IFERROR(__xludf.DUMMYFUNCTION("""COMPUTED_VALUE"""),45817.9986111111)</f>
        <v>45817.998611111099</v>
      </c>
      <c r="B520" s="3">
        <v>15550.5</v>
      </c>
    </row>
    <row r="521" spans="1:2" x14ac:dyDescent="0.2">
      <c r="A521" s="2">
        <f ca="1">IFERROR(__xludf.DUMMYFUNCTION("""COMPUTED_VALUE"""),45818.9986111111)</f>
        <v>45818.998611111099</v>
      </c>
      <c r="B521" s="3">
        <v>15714.3</v>
      </c>
    </row>
    <row r="522" spans="1:2" x14ac:dyDescent="0.2">
      <c r="A522" s="2">
        <f ca="1">IFERROR(__xludf.DUMMYFUNCTION("""COMPUTED_VALUE"""),45819.9986111111)</f>
        <v>45819.998611111099</v>
      </c>
      <c r="B522" s="3">
        <v>16793.78</v>
      </c>
    </row>
    <row r="523" spans="1:2" x14ac:dyDescent="0.2">
      <c r="A523" s="2">
        <f ca="1">IFERROR(__xludf.DUMMYFUNCTION("""COMPUTED_VALUE"""),45820.9986111111)</f>
        <v>45820.998611111099</v>
      </c>
      <c r="B523" s="3">
        <v>16164.5</v>
      </c>
    </row>
    <row r="524" spans="1:2" x14ac:dyDescent="0.2">
      <c r="A524" s="2">
        <f ca="1">IFERROR(__xludf.DUMMYFUNCTION("""COMPUTED_VALUE"""),45821.9986111111)</f>
        <v>45821.998611111099</v>
      </c>
      <c r="B524" s="3">
        <v>16282.6</v>
      </c>
    </row>
    <row r="525" spans="1:2" x14ac:dyDescent="0.2">
      <c r="A525" s="2">
        <f ca="1">IFERROR(__xludf.DUMMYFUNCTION("""COMPUTED_VALUE"""),45822.9986111111)</f>
        <v>45822.998611111099</v>
      </c>
      <c r="B525" s="3">
        <v>16282.6</v>
      </c>
    </row>
    <row r="526" spans="1:2" x14ac:dyDescent="0.2">
      <c r="A526" s="2">
        <f ca="1">IFERROR(__xludf.DUMMYFUNCTION("""COMPUTED_VALUE"""),45824.9986111111)</f>
        <v>45824.998611111099</v>
      </c>
      <c r="B526" s="3">
        <v>15801</v>
      </c>
    </row>
    <row r="527" spans="1:2" x14ac:dyDescent="0.2">
      <c r="A527" s="2">
        <f ca="1">IFERROR(__xludf.DUMMYFUNCTION("""COMPUTED_VALUE"""),45825.9986111111)</f>
        <v>45825.998611111099</v>
      </c>
      <c r="B527" s="3">
        <v>15604.9</v>
      </c>
    </row>
    <row r="528" spans="1:2" x14ac:dyDescent="0.2">
      <c r="A528" s="2">
        <f ca="1">IFERROR(__xludf.DUMMYFUNCTION("""COMPUTED_VALUE"""),45826.9986111111)</f>
        <v>45826.998611111099</v>
      </c>
      <c r="B528" s="3">
        <v>15598.5</v>
      </c>
    </row>
    <row r="529" spans="1:2" x14ac:dyDescent="0.2">
      <c r="A529" s="2">
        <f ca="1">IFERROR(__xludf.DUMMYFUNCTION("""COMPUTED_VALUE"""),45827.9986111111)</f>
        <v>45827.998611111099</v>
      </c>
      <c r="B529" s="3">
        <v>14871</v>
      </c>
    </row>
    <row r="530" spans="1:2" x14ac:dyDescent="0.2">
      <c r="A530" s="2">
        <f ca="1">IFERROR(__xludf.DUMMYFUNCTION("""COMPUTED_VALUE"""),45828.9986111111)</f>
        <v>45828.998611111099</v>
      </c>
      <c r="B530" s="3">
        <v>16410</v>
      </c>
    </row>
    <row r="531" spans="1:2" x14ac:dyDescent="0.2">
      <c r="A531" s="2">
        <f ca="1">IFERROR(__xludf.DUMMYFUNCTION("""COMPUTED_VALUE"""),45829.9986111111)</f>
        <v>45829.998611111099</v>
      </c>
      <c r="B531" s="3">
        <v>16410</v>
      </c>
    </row>
    <row r="532" spans="1:2" x14ac:dyDescent="0.2">
      <c r="A532" s="2">
        <f ca="1">IFERROR(__xludf.DUMMYFUNCTION("""COMPUTED_VALUE"""),45830.9986111111)</f>
        <v>45830.998611111099</v>
      </c>
      <c r="B532" s="3">
        <v>16431</v>
      </c>
    </row>
    <row r="533" spans="1:2" x14ac:dyDescent="0.2">
      <c r="A533" s="2">
        <f ca="1">IFERROR(__xludf.DUMMYFUNCTION("""COMPUTED_VALUE"""),45831.9986111111)</f>
        <v>45831.998611111099</v>
      </c>
      <c r="B533" s="3">
        <v>15943.3</v>
      </c>
    </row>
    <row r="534" spans="1:2" x14ac:dyDescent="0.2">
      <c r="A534" s="2">
        <f ca="1">IFERROR(__xludf.DUMMYFUNCTION("""COMPUTED_VALUE"""),45832.9986111111)</f>
        <v>45832.998611111099</v>
      </c>
      <c r="B534" s="3">
        <v>14701</v>
      </c>
    </row>
    <row r="535" spans="1:2" x14ac:dyDescent="0.2">
      <c r="A535" s="2">
        <f ca="1">IFERROR(__xludf.DUMMYFUNCTION("""COMPUTED_VALUE"""),45833.9986111111)</f>
        <v>45833.998611111099</v>
      </c>
      <c r="B535" s="3">
        <v>15560.7</v>
      </c>
    </row>
    <row r="536" spans="1:2" x14ac:dyDescent="0.2">
      <c r="A536" s="2">
        <f ca="1">IFERROR(__xludf.DUMMYFUNCTION("""COMPUTED_VALUE"""),45834.9986111111)</f>
        <v>45834.998611111099</v>
      </c>
      <c r="B536" s="3">
        <v>15488.3</v>
      </c>
    </row>
    <row r="537" spans="1:2" x14ac:dyDescent="0.2">
      <c r="A537" s="2">
        <f ca="1">IFERROR(__xludf.DUMMYFUNCTION("""COMPUTED_VALUE"""),45835.9986111111)</f>
        <v>45835.998611111099</v>
      </c>
      <c r="B537" s="3">
        <v>16226</v>
      </c>
    </row>
    <row r="538" spans="1:2" x14ac:dyDescent="0.2">
      <c r="A538" s="2">
        <f ca="1">IFERROR(__xludf.DUMMYFUNCTION("""COMPUTED_VALUE"""),45836.9986111111)</f>
        <v>45836.998611111099</v>
      </c>
      <c r="B538" s="3">
        <v>16226</v>
      </c>
    </row>
    <row r="539" spans="1:2" x14ac:dyDescent="0.2">
      <c r="A539" s="2">
        <f ca="1">IFERROR(__xludf.DUMMYFUNCTION("""COMPUTED_VALUE"""),45837.9986111111)</f>
        <v>45837.998611111099</v>
      </c>
      <c r="B539" s="3">
        <v>16229</v>
      </c>
    </row>
    <row r="540" spans="1:2" x14ac:dyDescent="0.2">
      <c r="A540" s="2">
        <f ca="1">IFERROR(__xludf.DUMMYFUNCTION("""COMPUTED_VALUE"""),45838.9986111111)</f>
        <v>45838.998611111099</v>
      </c>
      <c r="B540" s="3">
        <v>16316.18</v>
      </c>
    </row>
    <row r="541" spans="1:2" x14ac:dyDescent="0.2">
      <c r="A541" s="2">
        <f ca="1">IFERROR(__xludf.DUMMYFUNCTION("""COMPUTED_VALUE"""),45839.9986111111)</f>
        <v>45839.998611111099</v>
      </c>
      <c r="B541" s="3">
        <v>16185</v>
      </c>
    </row>
    <row r="542" spans="1:2" x14ac:dyDescent="0.2">
      <c r="A542" s="2">
        <f ca="1">IFERROR(__xludf.DUMMYFUNCTION("""COMPUTED_VALUE"""),45840.9986111111)</f>
        <v>45840.998611111099</v>
      </c>
      <c r="B542" s="3">
        <v>16235</v>
      </c>
    </row>
    <row r="543" spans="1:2" x14ac:dyDescent="0.2">
      <c r="A543" s="2">
        <f ca="1">IFERROR(__xludf.DUMMYFUNCTION("""COMPUTED_VALUE"""),45841.9986111111)</f>
        <v>45841.998611111099</v>
      </c>
      <c r="B543" s="3">
        <v>14728</v>
      </c>
    </row>
    <row r="544" spans="1:2" x14ac:dyDescent="0.2">
      <c r="A544" s="2">
        <f ca="1">IFERROR(__xludf.DUMMYFUNCTION("""COMPUTED_VALUE"""),45842.9986111111)</f>
        <v>45842.998611111099</v>
      </c>
      <c r="B544" s="3">
        <v>16162.6</v>
      </c>
    </row>
    <row r="545" spans="1:2" x14ac:dyDescent="0.2">
      <c r="A545" s="2">
        <f ca="1">IFERROR(__xludf.DUMMYFUNCTION("""COMPUTED_VALUE"""),45843.9986111111)</f>
        <v>45843.998611111099</v>
      </c>
      <c r="B545" s="3">
        <v>16162.6</v>
      </c>
    </row>
    <row r="546" spans="1:2" x14ac:dyDescent="0.2">
      <c r="A546" s="2">
        <f ca="1">IFERROR(__xludf.DUMMYFUNCTION("""COMPUTED_VALUE"""),45844.9986111111)</f>
        <v>45844.998611111099</v>
      </c>
      <c r="B546" s="3">
        <v>16178</v>
      </c>
    </row>
    <row r="547" spans="1:2" x14ac:dyDescent="0.2">
      <c r="A547" s="2">
        <f ca="1">IFERROR(__xludf.DUMMYFUNCTION("""COMPUTED_VALUE"""),45845.9986111111)</f>
        <v>45845.998611111099</v>
      </c>
      <c r="B547" s="3">
        <v>16318.9</v>
      </c>
    </row>
    <row r="548" spans="1:2" x14ac:dyDescent="0.2">
      <c r="A548" s="2">
        <f ca="1">IFERROR(__xludf.DUMMYFUNCTION("""COMPUTED_VALUE"""),45846.9986111111)</f>
        <v>45846.998611111099</v>
      </c>
      <c r="B548" s="3">
        <v>16261</v>
      </c>
    </row>
    <row r="549" spans="1:2" x14ac:dyDescent="0.2">
      <c r="A549" s="2">
        <f ca="1">IFERROR(__xludf.DUMMYFUNCTION("""COMPUTED_VALUE"""),45847.9986111111)</f>
        <v>45847.998611111099</v>
      </c>
      <c r="B549" s="3">
        <v>16235</v>
      </c>
    </row>
    <row r="550" spans="1:2" x14ac:dyDescent="0.2">
      <c r="A550" s="2">
        <f ca="1">IFERROR(__xludf.DUMMYFUNCTION("""COMPUTED_VALUE"""),45848.9986111111)</f>
        <v>45848.998611111099</v>
      </c>
      <c r="B550" s="3">
        <v>16209.1</v>
      </c>
    </row>
    <row r="551" spans="1:2" x14ac:dyDescent="0.2">
      <c r="A551" s="2">
        <f ca="1">IFERROR(__xludf.DUMMYFUNCTION("""COMPUTED_VALUE"""),45849.9986111111)</f>
        <v>45849.998611111099</v>
      </c>
      <c r="B551" s="3">
        <v>16209.9</v>
      </c>
    </row>
    <row r="552" spans="1:2" x14ac:dyDescent="0.2">
      <c r="A552" s="2">
        <f ca="1">IFERROR(__xludf.DUMMYFUNCTION("""COMPUTED_VALUE"""),45850.9986111111)</f>
        <v>45850.998611111099</v>
      </c>
      <c r="B552" s="3">
        <v>16209.9</v>
      </c>
    </row>
    <row r="553" spans="1:2" x14ac:dyDescent="0.2">
      <c r="A553" s="2">
        <f ca="1">IFERROR(__xludf.DUMMYFUNCTION("""COMPUTED_VALUE"""),45851.9986111111)</f>
        <v>45851.998611111099</v>
      </c>
      <c r="B553" s="3">
        <v>16222</v>
      </c>
    </row>
    <row r="554" spans="1:2" x14ac:dyDescent="0.2">
      <c r="A554" s="2">
        <f ca="1">IFERROR(__xludf.DUMMYFUNCTION("""COMPUTED_VALUE"""),45852.9986111111)</f>
        <v>45852.998611111099</v>
      </c>
      <c r="B554" s="3">
        <v>16256.2</v>
      </c>
    </row>
    <row r="555" spans="1:2" x14ac:dyDescent="0.2">
      <c r="A555" s="2">
        <f ca="1">IFERROR(__xludf.DUMMYFUNCTION("""COMPUTED_VALUE"""),45853.9986111111)</f>
        <v>45853.998611111099</v>
      </c>
      <c r="B555" s="3">
        <v>16252.1</v>
      </c>
    </row>
    <row r="556" spans="1:2" x14ac:dyDescent="0.2">
      <c r="A556" s="2">
        <f ca="1">IFERROR(__xludf.DUMMYFUNCTION("""COMPUTED_VALUE"""),45854.9986111111)</f>
        <v>45854.998611111099</v>
      </c>
      <c r="B556" s="3">
        <v>16271.2</v>
      </c>
    </row>
    <row r="557" spans="1:2" x14ac:dyDescent="0.2">
      <c r="A557" s="2">
        <f ca="1">IFERROR(__xludf.DUMMYFUNCTION("""COMPUTED_VALUE"""),45855.9986111111)</f>
        <v>45855.998611111099</v>
      </c>
      <c r="B557" s="3">
        <v>16329.7</v>
      </c>
    </row>
    <row r="558" spans="1:2" x14ac:dyDescent="0.2">
      <c r="A558" s="2">
        <f ca="1">IFERROR(__xludf.DUMMYFUNCTION("""COMPUTED_VALUE"""),45856.9986111111)</f>
        <v>45856.998611111099</v>
      </c>
      <c r="B558" s="3">
        <v>16318.5</v>
      </c>
    </row>
    <row r="559" spans="1:2" x14ac:dyDescent="0.2">
      <c r="A559" s="2">
        <f ca="1">IFERROR(__xludf.DUMMYFUNCTION("""COMPUTED_VALUE"""),45857.9986111111)</f>
        <v>45857.998611111099</v>
      </c>
      <c r="B559" s="3">
        <v>16318.5</v>
      </c>
    </row>
    <row r="560" spans="1:2" x14ac:dyDescent="0.2">
      <c r="A560" s="2">
        <f ca="1">IFERROR(__xludf.DUMMYFUNCTION("""COMPUTED_VALUE"""),45858.9986111111)</f>
        <v>45858.998611111099</v>
      </c>
      <c r="B560" s="3">
        <v>16321</v>
      </c>
    </row>
    <row r="561" spans="1:2" x14ac:dyDescent="0.2">
      <c r="A561" s="2">
        <f ca="1">IFERROR(__xludf.DUMMYFUNCTION("""COMPUTED_VALUE"""),45859.9986111111)</f>
        <v>45859.998611111099</v>
      </c>
      <c r="B561" s="3">
        <v>16329.5</v>
      </c>
    </row>
    <row r="562" spans="1:2" x14ac:dyDescent="0.2">
      <c r="A562" s="2">
        <f ca="1">IFERROR(__xludf.DUMMYFUNCTION("""COMPUTED_VALUE"""),45860.9986111111)</f>
        <v>45860.998611111099</v>
      </c>
      <c r="B562" s="3">
        <v>16245.3</v>
      </c>
    </row>
    <row r="563" spans="1:2" x14ac:dyDescent="0.2">
      <c r="A563" s="2">
        <f ca="1">IFERROR(__xludf.DUMMYFUNCTION("""COMPUTED_VALUE"""),45861.9986111111)</f>
        <v>45861.998611111099</v>
      </c>
      <c r="B563" s="3">
        <v>16266.1</v>
      </c>
    </row>
    <row r="564" spans="1:2" x14ac:dyDescent="0.2">
      <c r="A564" s="2">
        <f ca="1">IFERROR(__xludf.DUMMYFUNCTION("""COMPUTED_VALUE"""),45862.9986111111)</f>
        <v>45862.998611111099</v>
      </c>
      <c r="B564" s="3">
        <v>16307</v>
      </c>
    </row>
    <row r="565" spans="1:2" x14ac:dyDescent="0.2">
      <c r="A565" s="2">
        <f ca="1">IFERROR(__xludf.DUMMYFUNCTION("""COMPUTED_VALUE"""),45863.9986111111)</f>
        <v>45863.998611111099</v>
      </c>
      <c r="B565" s="3">
        <v>16340.1</v>
      </c>
    </row>
    <row r="566" spans="1:2" x14ac:dyDescent="0.2">
      <c r="A566" s="2">
        <f ca="1">IFERROR(__xludf.DUMMYFUNCTION("""COMPUTED_VALUE"""),45864.9986111111)</f>
        <v>45864.998611111099</v>
      </c>
      <c r="B566" s="3">
        <v>16340.1</v>
      </c>
    </row>
    <row r="567" spans="1:2" x14ac:dyDescent="0.2">
      <c r="A567" s="2">
        <f ca="1">IFERROR(__xludf.DUMMYFUNCTION("""COMPUTED_VALUE"""),45865.9986111111)</f>
        <v>45865.998611111099</v>
      </c>
      <c r="B567" s="3">
        <v>16353</v>
      </c>
    </row>
    <row r="568" spans="1:2" x14ac:dyDescent="0.2">
      <c r="A568" s="2">
        <f ca="1">IFERROR(__xludf.DUMMYFUNCTION("""COMPUTED_VALUE"""),45866.9986111111)</f>
        <v>45866.998611111099</v>
      </c>
      <c r="B568" s="3">
        <v>16398.8</v>
      </c>
    </row>
    <row r="569" spans="1:2" x14ac:dyDescent="0.2">
      <c r="A569" s="2">
        <f ca="1">IFERROR(__xludf.DUMMYFUNCTION("""COMPUTED_VALUE"""),45867.9986111111)</f>
        <v>45867.998611111099</v>
      </c>
      <c r="B569" s="3">
        <v>16367.9</v>
      </c>
    </row>
    <row r="570" spans="1:2" x14ac:dyDescent="0.2">
      <c r="A570" s="2">
        <f ca="1">IFERROR(__xludf.DUMMYFUNCTION("""COMPUTED_VALUE"""),45868.9986111111)</f>
        <v>45868.998611111099</v>
      </c>
      <c r="B570" s="3">
        <v>16426.8</v>
      </c>
    </row>
    <row r="571" spans="1:2" x14ac:dyDescent="0.2">
      <c r="A571" s="2">
        <f ca="1">IFERROR(__xludf.DUMMYFUNCTION("""COMPUTED_VALUE"""),45869.9986111111)</f>
        <v>45869.998611111099</v>
      </c>
      <c r="B571" s="3">
        <v>16483</v>
      </c>
    </row>
    <row r="572" spans="1:2" x14ac:dyDescent="0.2">
      <c r="A572" s="2">
        <f ca="1">IFERROR(__xludf.DUMMYFUNCTION("""COMPUTED_VALUE"""),45870.9986111111)</f>
        <v>45870.998611111099</v>
      </c>
      <c r="B572" s="3">
        <v>16358.2</v>
      </c>
    </row>
    <row r="573" spans="1:2" x14ac:dyDescent="0.2">
      <c r="A573" s="2">
        <f ca="1">IFERROR(__xludf.DUMMYFUNCTION("""COMPUTED_VALUE"""),45871.9986111111)</f>
        <v>45871.998611111099</v>
      </c>
      <c r="B573" s="3">
        <v>16358.2</v>
      </c>
    </row>
    <row r="574" spans="1:2" x14ac:dyDescent="0.2">
      <c r="A574" s="2">
        <f ca="1">IFERROR(__xludf.DUMMYFUNCTION("""COMPUTED_VALUE"""),45872.9986111111)</f>
        <v>45872.998611111099</v>
      </c>
      <c r="B574" s="3">
        <v>16483</v>
      </c>
    </row>
    <row r="575" spans="1:2" x14ac:dyDescent="0.2">
      <c r="A575" s="2">
        <f ca="1">IFERROR(__xludf.DUMMYFUNCTION("""COMPUTED_VALUE"""),45873.9986111111)</f>
        <v>45873.998611111099</v>
      </c>
      <c r="B575" s="3">
        <v>16362</v>
      </c>
    </row>
    <row r="576" spans="1:2" x14ac:dyDescent="0.2">
      <c r="A576" s="2">
        <f ca="1">IFERROR(__xludf.DUMMYFUNCTION("""COMPUTED_VALUE"""),45874.9986111111)</f>
        <v>45874.998611111099</v>
      </c>
      <c r="B576" s="3">
        <v>16377.5</v>
      </c>
    </row>
    <row r="577" spans="1:2" x14ac:dyDescent="0.2">
      <c r="A577" s="2">
        <f ca="1">IFERROR(__xludf.DUMMYFUNCTION("""COMPUTED_VALUE"""),45875.9986111111)</f>
        <v>45875.998611111099</v>
      </c>
      <c r="B577" s="3">
        <v>16334.7</v>
      </c>
    </row>
    <row r="578" spans="1:2" x14ac:dyDescent="0.2">
      <c r="A578" s="2">
        <f ca="1">IFERROR(__xludf.DUMMYFUNCTION("""COMPUTED_VALUE"""),45876.9986111111)</f>
        <v>45876.998611111099</v>
      </c>
      <c r="B578" s="3">
        <v>16300</v>
      </c>
    </row>
    <row r="579" spans="1:2" x14ac:dyDescent="0.2">
      <c r="A579" s="2">
        <f ca="1">IFERROR(__xludf.DUMMYFUNCTION("""COMPUTED_VALUE"""),45877.9986111111)</f>
        <v>45877.998611111099</v>
      </c>
      <c r="B579" s="3">
        <v>16236.6</v>
      </c>
    </row>
    <row r="580" spans="1:2" x14ac:dyDescent="0.2">
      <c r="A580" s="2">
        <f ca="1">IFERROR(__xludf.DUMMYFUNCTION("""COMPUTED_VALUE"""),45878.9986111111)</f>
        <v>45878.998611111099</v>
      </c>
      <c r="B580" s="3">
        <v>16236.6</v>
      </c>
    </row>
    <row r="581" spans="1:2" x14ac:dyDescent="0.2">
      <c r="A581" s="2">
        <f ca="1">IFERROR(__xludf.DUMMYFUNCTION("""COMPUTED_VALUE"""),45879.9986111111)</f>
        <v>45879.998611111099</v>
      </c>
      <c r="B581" s="3">
        <v>16249</v>
      </c>
    </row>
    <row r="582" spans="1:2" x14ac:dyDescent="0.2">
      <c r="A582" s="2">
        <f ca="1">IFERROR(__xludf.DUMMYFUNCTION("""COMPUTED_VALUE"""),45880.9986111111)</f>
        <v>45880.998611111099</v>
      </c>
      <c r="B582" s="3">
        <v>16298</v>
      </c>
    </row>
    <row r="583" spans="1:2" x14ac:dyDescent="0.2">
      <c r="A583" s="2">
        <f ca="1">IFERROR(__xludf.DUMMYFUNCTION("""COMPUTED_VALUE"""),45881.9986111111)</f>
        <v>45881.998611111099</v>
      </c>
      <c r="B583" s="3">
        <v>16248.2</v>
      </c>
    </row>
    <row r="584" spans="1:2" x14ac:dyDescent="0.2">
      <c r="A584" s="2">
        <f ca="1">IFERROR(__xludf.DUMMYFUNCTION("""COMPUTED_VALUE"""),45882.9986111111)</f>
        <v>45882.998611111099</v>
      </c>
      <c r="B584" s="3">
        <v>16109</v>
      </c>
    </row>
    <row r="585" spans="1:2" x14ac:dyDescent="0.2">
      <c r="A585" s="2">
        <f ca="1">IFERROR(__xludf.DUMMYFUNCTION("""COMPUTED_VALUE"""),45883.9986111111)</f>
        <v>45883.998611111099</v>
      </c>
      <c r="B585" s="3">
        <v>16169</v>
      </c>
    </row>
    <row r="586" spans="1:2" x14ac:dyDescent="0.2">
      <c r="A586" s="2">
        <f ca="1">IFERROR(__xludf.DUMMYFUNCTION("""COMPUTED_VALUE"""),45884.9986111111)</f>
        <v>45884.998611111099</v>
      </c>
      <c r="B586" s="3">
        <v>16182.7</v>
      </c>
    </row>
    <row r="587" spans="1:2" x14ac:dyDescent="0.2">
      <c r="A587" s="2">
        <f ca="1">IFERROR(__xludf.DUMMYFUNCTION("""COMPUTED_VALUE"""),45885.9986111111)</f>
        <v>45885.998611111099</v>
      </c>
      <c r="B587" s="3">
        <v>16182.7</v>
      </c>
    </row>
    <row r="588" spans="1:2" x14ac:dyDescent="0.2">
      <c r="A588" s="2">
        <f ca="1">IFERROR(__xludf.DUMMYFUNCTION("""COMPUTED_VALUE"""),45886.9986111111)</f>
        <v>45886.998611111099</v>
      </c>
      <c r="B588" s="3">
        <v>16196</v>
      </c>
    </row>
    <row r="589" spans="1:2" x14ac:dyDescent="0.2">
      <c r="A589" s="2">
        <f ca="1">IFERROR(__xludf.DUMMYFUNCTION("""COMPUTED_VALUE"""),45887.9986111111)</f>
        <v>45887.998611111099</v>
      </c>
      <c r="B589" s="3">
        <v>16205.4</v>
      </c>
    </row>
    <row r="590" spans="1:2" x14ac:dyDescent="0.2">
      <c r="A590" s="2">
        <f ca="1">IFERROR(__xludf.DUMMYFUNCTION("""COMPUTED_VALUE"""),45888.9986111111)</f>
        <v>45888.998611111099</v>
      </c>
      <c r="B590" s="3">
        <v>16275.2</v>
      </c>
    </row>
    <row r="591" spans="1:2" x14ac:dyDescent="0.2">
      <c r="A591" s="2">
        <f ca="1">IFERROR(__xludf.DUMMYFUNCTION("""COMPUTED_VALUE"""),45889.9986111111)</f>
        <v>45889.998611111099</v>
      </c>
      <c r="B591" s="3">
        <v>16263.6</v>
      </c>
    </row>
    <row r="592" spans="1:2" x14ac:dyDescent="0.2">
      <c r="A592" s="2">
        <f ca="1">IFERROR(__xludf.DUMMYFUNCTION("""COMPUTED_VALUE"""),45890.9986111111)</f>
        <v>45890.998611111099</v>
      </c>
      <c r="B592" s="3">
        <v>16339.7</v>
      </c>
    </row>
    <row r="593" spans="1:2" x14ac:dyDescent="0.2">
      <c r="A593" s="2">
        <f ca="1">IFERROR(__xludf.DUMMYFUNCTION("""COMPUTED_VALUE"""),45891.9986111111)</f>
        <v>45891.998611111099</v>
      </c>
      <c r="B593" s="3">
        <v>16214.5</v>
      </c>
    </row>
    <row r="594" spans="1:2" x14ac:dyDescent="0.2">
      <c r="A594" s="2">
        <f ca="1">IFERROR(__xludf.DUMMYFUNCTION("""COMPUTED_VALUE"""),45893.9986111111)</f>
        <v>45893.998611111099</v>
      </c>
      <c r="B594" s="3">
        <v>16227</v>
      </c>
    </row>
    <row r="595" spans="1:2" x14ac:dyDescent="0.2">
      <c r="A595" s="2">
        <f ca="1">IFERROR(__xludf.DUMMYFUNCTION("""COMPUTED_VALUE"""),45894.9986111111)</f>
        <v>45894.998611111099</v>
      </c>
      <c r="B595" s="3">
        <v>16267</v>
      </c>
    </row>
    <row r="596" spans="1:2" x14ac:dyDescent="0.2">
      <c r="A596" s="2">
        <f ca="1">IFERROR(__xludf.DUMMYFUNCTION("""COMPUTED_VALUE"""),45895.9986111111)</f>
        <v>45895.998611111099</v>
      </c>
      <c r="B596" s="3">
        <v>16299.2</v>
      </c>
    </row>
    <row r="597" spans="1:2" x14ac:dyDescent="0.2">
      <c r="A597" s="2">
        <f ca="1">IFERROR(__xludf.DUMMYFUNCTION("""COMPUTED_VALUE"""),45896.9986111111)</f>
        <v>45896.998611111099</v>
      </c>
      <c r="B597" s="3">
        <v>16314</v>
      </c>
    </row>
    <row r="598" spans="1:2" x14ac:dyDescent="0.2">
      <c r="A598" s="2">
        <f ca="1">IFERROR(__xludf.DUMMYFUNCTION("""COMPUTED_VALUE"""),45897.9986111111)</f>
        <v>45897.998611111099</v>
      </c>
      <c r="B598" s="3">
        <v>16344.3</v>
      </c>
    </row>
    <row r="599" spans="1:2" x14ac:dyDescent="0.2">
      <c r="A599" s="2">
        <f ca="1">IFERROR(__xludf.DUMMYFUNCTION("""COMPUTED_VALUE"""),45898.9986111111)</f>
        <v>45898.998611111099</v>
      </c>
      <c r="B599" s="3">
        <v>16409</v>
      </c>
    </row>
    <row r="600" spans="1:2" x14ac:dyDescent="0.2">
      <c r="A600" s="2">
        <f ca="1">IFERROR(__xludf.DUMMYFUNCTION("""COMPUTED_VALUE"""),45899.9986111111)</f>
        <v>45899.998611111099</v>
      </c>
      <c r="B600" s="3">
        <v>16409</v>
      </c>
    </row>
    <row r="601" spans="1:2" x14ac:dyDescent="0.2">
      <c r="A601" s="2">
        <f ca="1">IFERROR(__xludf.DUMMYFUNCTION("""COMPUTED_VALUE"""),45900.9986111111)</f>
        <v>45900.998611111099</v>
      </c>
      <c r="B601" s="3">
        <v>16409</v>
      </c>
    </row>
    <row r="602" spans="1:2" x14ac:dyDescent="0.2">
      <c r="A602" s="2">
        <f ca="1">IFERROR(__xludf.DUMMYFUNCTION("""COMPUTED_VALUE"""),45901.9986111111)</f>
        <v>45901.998611111099</v>
      </c>
      <c r="B602" s="3">
        <v>16405.2</v>
      </c>
    </row>
    <row r="603" spans="1:2" x14ac:dyDescent="0.2">
      <c r="A603" s="2">
        <f ca="1">IFERROR(__xludf.DUMMYFUNCTION("""COMPUTED_VALUE"""),45902.9986111111)</f>
        <v>45902.998611111099</v>
      </c>
      <c r="B603" s="3">
        <v>16443.900000000001</v>
      </c>
    </row>
    <row r="604" spans="1:2" x14ac:dyDescent="0.2">
      <c r="A604" s="2">
        <f ca="1">IFERROR(__xludf.DUMMYFUNCTION("""COMPUTED_VALUE"""),45903.9986111111)</f>
        <v>45903.998611111099</v>
      </c>
      <c r="B604" s="3">
        <v>16463</v>
      </c>
    </row>
    <row r="605" spans="1:2" x14ac:dyDescent="0.2">
      <c r="A605" s="2">
        <f ca="1">IFERROR(__xludf.DUMMYFUNCTION("""COMPUTED_VALUE"""),45904.9986111111)</f>
        <v>45904.998611111099</v>
      </c>
      <c r="B605" s="3">
        <v>16452.099999999999</v>
      </c>
    </row>
    <row r="606" spans="1:2" x14ac:dyDescent="0.2">
      <c r="A606" s="2">
        <f ca="1">IFERROR(__xludf.DUMMYFUNCTION("""COMPUTED_VALUE"""),45905.9986111111)</f>
        <v>45905.998611111099</v>
      </c>
      <c r="B606" s="3">
        <v>16346.2</v>
      </c>
    </row>
    <row r="607" spans="1:2" x14ac:dyDescent="0.2">
      <c r="A607" s="2">
        <f ca="1">IFERROR(__xludf.DUMMYFUNCTION("""COMPUTED_VALUE"""),45906.9986111111)</f>
        <v>45906.998611111099</v>
      </c>
      <c r="B607" s="3">
        <v>16346.2</v>
      </c>
    </row>
    <row r="608" spans="1:2" x14ac:dyDescent="0.2">
      <c r="A608" s="2">
        <f ca="1">IFERROR(__xludf.DUMMYFUNCTION("""COMPUTED_VALUE"""),45907.9986111111)</f>
        <v>45907.998611111099</v>
      </c>
      <c r="B608" s="3">
        <v>16392</v>
      </c>
    </row>
    <row r="609" spans="1:2" x14ac:dyDescent="0.2">
      <c r="A609" s="2">
        <f ca="1">IFERROR(__xludf.DUMMYFUNCTION("""COMPUTED_VALUE"""),45908.9986111111)</f>
        <v>45908.998611111099</v>
      </c>
      <c r="B609" s="3">
        <v>16446.099999999999</v>
      </c>
    </row>
    <row r="610" spans="1:2" x14ac:dyDescent="0.2">
      <c r="A610" s="2">
        <f ca="1">IFERROR(__xludf.DUMMYFUNCTION("""COMPUTED_VALUE"""),45909.9986111111)</f>
        <v>45909.998611111099</v>
      </c>
      <c r="B610" s="3">
        <v>16449.900000000001</v>
      </c>
    </row>
    <row r="611" spans="1:2" x14ac:dyDescent="0.2">
      <c r="A611" s="2">
        <f ca="1">IFERROR(__xludf.DUMMYFUNCTION("""COMPUTED_VALUE"""),45910.9986111111)</f>
        <v>45910.998611111099</v>
      </c>
      <c r="B611" s="3">
        <v>16439</v>
      </c>
    </row>
    <row r="612" spans="1:2" x14ac:dyDescent="0.2">
      <c r="A612" s="2">
        <f ca="1">IFERROR(__xludf.DUMMYFUNCTION("""COMPUTED_VALUE"""),45911.9986111111)</f>
        <v>45911.998611111099</v>
      </c>
      <c r="B612" s="3">
        <v>16413.599999999999</v>
      </c>
    </row>
    <row r="613" spans="1:2" x14ac:dyDescent="0.2">
      <c r="A613" s="2">
        <f ca="1">IFERROR(__xludf.DUMMYFUNCTION("""COMPUTED_VALUE"""),45912.9986111111)</f>
        <v>45912.998611111099</v>
      </c>
      <c r="B613" s="3">
        <v>16388.400000000001</v>
      </c>
    </row>
    <row r="614" spans="1:2" x14ac:dyDescent="0.2">
      <c r="A614" s="2">
        <f ca="1">IFERROR(__xludf.DUMMYFUNCTION("""COMPUTED_VALUE"""),45913.9986111111)</f>
        <v>45913.998611111099</v>
      </c>
      <c r="B614" s="3">
        <v>16388.400000000001</v>
      </c>
    </row>
    <row r="615" spans="1:2" x14ac:dyDescent="0.2">
      <c r="A615" s="2">
        <f ca="1">IFERROR(__xludf.DUMMYFUNCTION("""COMPUTED_VALUE"""),45914.9986111111)</f>
        <v>45914.998611111099</v>
      </c>
      <c r="B615" s="3">
        <v>16401</v>
      </c>
    </row>
    <row r="616" spans="1:2" x14ac:dyDescent="0.2">
      <c r="A616" s="2">
        <f ca="1">IFERROR(__xludf.DUMMYFUNCTION("""COMPUTED_VALUE"""),45915.9986111111)</f>
        <v>45915.998611111099</v>
      </c>
      <c r="B616" s="3">
        <v>16364.6</v>
      </c>
    </row>
    <row r="617" spans="1:2" x14ac:dyDescent="0.2">
      <c r="A617" s="2">
        <f ca="1">IFERROR(__xludf.DUMMYFUNCTION("""COMPUTED_VALUE"""),45916.9986111111)</f>
        <v>45916.998611111099</v>
      </c>
      <c r="B617" s="3">
        <v>16398.099999999999</v>
      </c>
    </row>
    <row r="618" spans="1:2" x14ac:dyDescent="0.2">
      <c r="A618" s="2">
        <f ca="1">IFERROR(__xludf.DUMMYFUNCTION("""COMPUTED_VALUE"""),45917.9986111111)</f>
        <v>45917.998611111099</v>
      </c>
      <c r="B618" s="3">
        <v>16418.599999999999</v>
      </c>
    </row>
    <row r="619" spans="1:2" x14ac:dyDescent="0.2">
      <c r="A619" s="2">
        <f ca="1">IFERROR(__xludf.DUMMYFUNCTION("""COMPUTED_VALUE"""),45918.9986111111)</f>
        <v>45918.998611111099</v>
      </c>
      <c r="B619" s="3">
        <v>16569.099999999999</v>
      </c>
    </row>
    <row r="620" spans="1:2" x14ac:dyDescent="0.2">
      <c r="A620" s="2">
        <f ca="1">IFERROR(__xludf.DUMMYFUNCTION("""COMPUTED_VALUE"""),45919.9986111111)</f>
        <v>45919.998611111099</v>
      </c>
      <c r="B620" s="3">
        <v>16634</v>
      </c>
    </row>
    <row r="621" spans="1:2" x14ac:dyDescent="0.2">
      <c r="A621" s="2">
        <f ca="1">IFERROR(__xludf.DUMMYFUNCTION("""COMPUTED_VALUE"""),45920.9986111111)</f>
        <v>45920.998611111099</v>
      </c>
      <c r="B621" s="3">
        <v>16634</v>
      </c>
    </row>
    <row r="622" spans="1:2" x14ac:dyDescent="0.2">
      <c r="A622" s="2">
        <f ca="1">IFERROR(__xludf.DUMMYFUNCTION("""COMPUTED_VALUE"""),45921.9986111111)</f>
        <v>45921.998611111099</v>
      </c>
      <c r="B622" s="3">
        <v>16637</v>
      </c>
    </row>
    <row r="623" spans="1:2" x14ac:dyDescent="0.2">
      <c r="A623" s="2">
        <f ca="1">IFERROR(__xludf.DUMMYFUNCTION("""COMPUTED_VALUE"""),45922.9986111111)</f>
        <v>45922.998611111099</v>
      </c>
      <c r="B623" s="3">
        <v>16582</v>
      </c>
    </row>
    <row r="624" spans="1:2" x14ac:dyDescent="0.2">
      <c r="A624" s="2">
        <f ca="1">IFERROR(__xludf.DUMMYFUNCTION("""COMPUTED_VALUE"""),45923.9986111111)</f>
        <v>45923.998611111099</v>
      </c>
      <c r="B624" s="3">
        <v>16633</v>
      </c>
    </row>
    <row r="625" spans="1:2" x14ac:dyDescent="0.2">
      <c r="A625" s="2">
        <f ca="1">IFERROR(__xludf.DUMMYFUNCTION("""COMPUTED_VALUE"""),45924.9986111111)</f>
        <v>45924.998611111099</v>
      </c>
      <c r="B625" s="3">
        <v>16695.099999999999</v>
      </c>
    </row>
    <row r="626" spans="1:2" x14ac:dyDescent="0.2">
      <c r="A626" s="2">
        <f ca="1">IFERROR(__xludf.DUMMYFUNCTION("""COMPUTED_VALUE"""),45926.9986111111)</f>
        <v>45926.998611111099</v>
      </c>
      <c r="B626" s="3">
        <v>16671</v>
      </c>
    </row>
    <row r="627" spans="1:2" x14ac:dyDescent="0.2">
      <c r="A627" s="2">
        <f ca="1">IFERROR(__xludf.DUMMYFUNCTION("""COMPUTED_VALUE"""),45927.9986111111)</f>
        <v>45927.998611111099</v>
      </c>
      <c r="B627" s="3">
        <v>16671</v>
      </c>
    </row>
    <row r="628" spans="1:2" x14ac:dyDescent="0.2">
      <c r="A628" s="2">
        <f ca="1">IFERROR(__xludf.DUMMYFUNCTION("""COMPUTED_VALUE"""),45928.9986111111)</f>
        <v>45928.998611111099</v>
      </c>
      <c r="B628" s="3">
        <v>16723</v>
      </c>
    </row>
    <row r="629" spans="1:2" x14ac:dyDescent="0.2">
      <c r="A629" s="2">
        <f ca="1">IFERROR(__xludf.DUMMYFUNCTION("""COMPUTED_VALUE"""),45929.9986111111)</f>
        <v>45929.998611111099</v>
      </c>
      <c r="B629" s="3">
        <v>16628</v>
      </c>
    </row>
    <row r="630" spans="1:2" x14ac:dyDescent="0.2">
      <c r="A630" s="2">
        <f ca="1">IFERROR(__xludf.DUMMYFUNCTION("""COMPUTED_VALUE"""),45930.9986111111)</f>
        <v>45930.998611111099</v>
      </c>
      <c r="B630" s="3">
        <v>16683</v>
      </c>
    </row>
    <row r="631" spans="1:2" x14ac:dyDescent="0.2">
      <c r="A631" s="2">
        <f ca="1">IFERROR(__xludf.DUMMYFUNCTION("""COMPUTED_VALUE"""),45931.9986111111)</f>
        <v>45931.998611111099</v>
      </c>
      <c r="B631" s="3">
        <v>16644.099999999999</v>
      </c>
    </row>
    <row r="632" spans="1:2" x14ac:dyDescent="0.2">
      <c r="A632" s="2">
        <f ca="1">IFERROR(__xludf.DUMMYFUNCTION("""COMPUTED_VALUE"""),45932.9986111111)</f>
        <v>45932.998611111099</v>
      </c>
      <c r="B632" s="3">
        <v>16601.5</v>
      </c>
    </row>
    <row r="633" spans="1:2" x14ac:dyDescent="0.2">
      <c r="A633" s="2">
        <f ca="1">IFERROR(__xludf.DUMMYFUNCTION("""COMPUTED_VALUE"""),45933.9986111111)</f>
        <v>45933.998611111099</v>
      </c>
      <c r="B633" s="3">
        <v>16552.3</v>
      </c>
    </row>
    <row r="634" spans="1:2" x14ac:dyDescent="0.2">
      <c r="A634" s="2">
        <f ca="1">IFERROR(__xludf.DUMMYFUNCTION("""COMPUTED_VALUE"""),45934.9986111111)</f>
        <v>45934.998611111099</v>
      </c>
      <c r="B634" s="3">
        <v>16552.3</v>
      </c>
    </row>
    <row r="635" spans="1:2" x14ac:dyDescent="0.2">
      <c r="A635" s="2">
        <f ca="1">IFERROR(__xludf.DUMMYFUNCTION("""COMPUTED_VALUE"""),45935.9986111111)</f>
        <v>45935.998611111099</v>
      </c>
      <c r="B635" s="3">
        <v>16558</v>
      </c>
    </row>
    <row r="636" spans="1:2" x14ac:dyDescent="0.2">
      <c r="A636" s="2">
        <f ca="1">IFERROR(__xludf.DUMMYFUNCTION("""COMPUTED_VALUE"""),45936.9986111111)</f>
        <v>45936.998611111099</v>
      </c>
      <c r="B636" s="3">
        <v>16596.5</v>
      </c>
    </row>
    <row r="637" spans="1:2" x14ac:dyDescent="0.2">
      <c r="A637" s="2">
        <f ca="1">IFERROR(__xludf.DUMMYFUNCTION("""COMPUTED_VALUE"""),45937.9986111111)</f>
        <v>45937.998611111099</v>
      </c>
      <c r="B637" s="3">
        <v>16587</v>
      </c>
    </row>
    <row r="638" spans="1:2" x14ac:dyDescent="0.2">
      <c r="A638" s="2">
        <f ca="1">IFERROR(__xludf.DUMMYFUNCTION("""COMPUTED_VALUE"""),45938.9986111111)</f>
        <v>45938.998611111099</v>
      </c>
      <c r="B638" s="3">
        <v>16556</v>
      </c>
    </row>
    <row r="639" spans="1:2" x14ac:dyDescent="0.2">
      <c r="A639" s="2">
        <f ca="1">IFERROR(__xludf.DUMMYFUNCTION("""COMPUTED_VALUE"""),45939.9986111111)</f>
        <v>45939.998611111099</v>
      </c>
      <c r="B639" s="3">
        <v>16577.7</v>
      </c>
    </row>
    <row r="640" spans="1:2" x14ac:dyDescent="0.2">
      <c r="A640" s="2">
        <f ca="1">IFERROR(__xludf.DUMMYFUNCTION("""COMPUTED_VALUE"""),45940.9986111111)</f>
        <v>45940.998611111099</v>
      </c>
      <c r="B640" s="3">
        <v>16598.099999999999</v>
      </c>
    </row>
    <row r="641" spans="1:2" x14ac:dyDescent="0.2">
      <c r="A641" s="2">
        <f ca="1">IFERROR(__xludf.DUMMYFUNCTION("""COMPUTED_VALUE"""),45941.9986111111)</f>
        <v>45941.998611111099</v>
      </c>
      <c r="B641" s="3">
        <v>16598.099999999999</v>
      </c>
    </row>
    <row r="642" spans="1:2" x14ac:dyDescent="0.2">
      <c r="A642" s="2">
        <f ca="1">IFERROR(__xludf.DUMMYFUNCTION("""COMPUTED_VALUE"""),45942.9986111111)</f>
        <v>45942.998611111099</v>
      </c>
      <c r="B642" s="3">
        <v>16598</v>
      </c>
    </row>
    <row r="643" spans="1:2" x14ac:dyDescent="0.2">
      <c r="A643" s="2">
        <f ca="1">IFERROR(__xludf.DUMMYFUNCTION("""COMPUTED_VALUE"""),45943.9986111111)</f>
        <v>45943.998611111099</v>
      </c>
      <c r="B643" s="3">
        <v>16548</v>
      </c>
    </row>
    <row r="644" spans="1:2" x14ac:dyDescent="0.2">
      <c r="A644" s="2">
        <f ca="1">IFERROR(__xludf.DUMMYFUNCTION("""COMPUTED_VALUE"""),45944.9986111111)</f>
        <v>45944.998611111099</v>
      </c>
      <c r="B644" s="3">
        <v>16585.900000000001</v>
      </c>
    </row>
    <row r="645" spans="1:2" x14ac:dyDescent="0.2">
      <c r="A645" s="2">
        <f ca="1">IFERROR(__xludf.DUMMYFUNCTION("""COMPUTED_VALUE"""),45945.9986111111)</f>
        <v>45945.998611111099</v>
      </c>
      <c r="B645" s="3">
        <v>16575</v>
      </c>
    </row>
    <row r="646" spans="1:2" x14ac:dyDescent="0.2">
      <c r="A646" s="2">
        <f ca="1">IFERROR(__xludf.DUMMYFUNCTION("""COMPUTED_VALUE"""),45946.9986111111)</f>
        <v>45946.998611111099</v>
      </c>
      <c r="B646" s="3">
        <v>16561.900000000001</v>
      </c>
    </row>
    <row r="647" spans="1:2" x14ac:dyDescent="0.2">
      <c r="A647" s="2">
        <f ca="1">IFERROR(__xludf.DUMMYFUNCTION("""COMPUTED_VALUE"""),45947.9986111111)</f>
        <v>45947.998611111099</v>
      </c>
      <c r="B647" s="3">
        <v>16565.400000000001</v>
      </c>
    </row>
    <row r="648" spans="1:2" x14ac:dyDescent="0.2">
      <c r="A648" s="2">
        <f ca="1">IFERROR(__xludf.DUMMYFUNCTION("""COMPUTED_VALUE"""),45948.9986111111)</f>
        <v>45948.998611111099</v>
      </c>
      <c r="B648" s="3">
        <v>16565.400000000001</v>
      </c>
    </row>
    <row r="649" spans="1:2" x14ac:dyDescent="0.2">
      <c r="A649" s="2">
        <f ca="1">IFERROR(__xludf.DUMMYFUNCTION("""COMPUTED_VALUE"""),45949.9986111111)</f>
        <v>45949.998611111099</v>
      </c>
      <c r="B649" s="3">
        <v>16566</v>
      </c>
    </row>
    <row r="650" spans="1:2" x14ac:dyDescent="0.2">
      <c r="A650" s="2">
        <f ca="1">IFERROR(__xludf.DUMMYFUNCTION("""COMPUTED_VALUE"""),45950.9986111111)</f>
        <v>45950.998611111099</v>
      </c>
      <c r="B650" s="3">
        <v>16542</v>
      </c>
    </row>
    <row r="651" spans="1:2" x14ac:dyDescent="0.2">
      <c r="A651" s="2">
        <f ca="1">IFERROR(__xludf.DUMMYFUNCTION("""COMPUTED_VALUE"""),45951.9986111111)</f>
        <v>45951.998611111099</v>
      </c>
      <c r="B651" s="3">
        <v>16598.900000000001</v>
      </c>
    </row>
    <row r="652" spans="1:2" x14ac:dyDescent="0.2">
      <c r="A652" s="2">
        <f ca="1">IFERROR(__xludf.DUMMYFUNCTION("""COMPUTED_VALUE"""),45952.9986111111)</f>
        <v>45952.998611111099</v>
      </c>
      <c r="B652" s="3">
        <v>16596.599999999999</v>
      </c>
    </row>
    <row r="653" spans="1:2" x14ac:dyDescent="0.2">
      <c r="A653" s="2">
        <f ca="1">IFERROR(__xludf.DUMMYFUNCTION("""COMPUTED_VALUE"""),45953.9986111111)</f>
        <v>45953.998611111099</v>
      </c>
      <c r="B653" s="3">
        <v>16593.8</v>
      </c>
    </row>
    <row r="654" spans="1:2" x14ac:dyDescent="0.2">
      <c r="A654" s="2">
        <f ca="1">IFERROR(__xludf.DUMMYFUNCTION("""COMPUTED_VALUE"""),45954.9986111111)</f>
        <v>45954.998611111099</v>
      </c>
      <c r="B654" s="3">
        <v>16597.8</v>
      </c>
    </row>
    <row r="655" spans="1:2" x14ac:dyDescent="0.2">
      <c r="A655" s="2">
        <f ca="1">IFERROR(__xludf.DUMMYFUNCTION("""COMPUTED_VALUE"""),45955.9986111111)</f>
        <v>45955.998611111099</v>
      </c>
      <c r="B655" s="3">
        <v>16597.8</v>
      </c>
    </row>
    <row r="656" spans="1:2" x14ac:dyDescent="0.2">
      <c r="A656" s="2">
        <f ca="1">IFERROR(__xludf.DUMMYFUNCTION("""COMPUTED_VALUE"""),45956.9986111111)</f>
        <v>45956.998611111099</v>
      </c>
      <c r="B656" s="3">
        <v>16597.8</v>
      </c>
    </row>
    <row r="657" spans="1:2" x14ac:dyDescent="0.2">
      <c r="A657" s="2">
        <f ca="1">IFERROR(__xludf.DUMMYFUNCTION("""COMPUTED_VALUE"""),45957.9986111111)</f>
        <v>45957.998611111099</v>
      </c>
      <c r="B657" s="3">
        <v>16158.2</v>
      </c>
    </row>
    <row r="658" spans="1:2" x14ac:dyDescent="0.2">
      <c r="A658" s="2">
        <f ca="1">IFERROR(__xludf.DUMMYFUNCTION("""COMPUTED_VALUE"""),45958.9986111111)</f>
        <v>45958.998611111099</v>
      </c>
      <c r="B658" s="3">
        <v>15833.9</v>
      </c>
    </row>
    <row r="659" spans="1:2" x14ac:dyDescent="0.2">
      <c r="A659" s="2">
        <f ca="1">IFERROR(__xludf.DUMMYFUNCTION("""COMPUTED_VALUE"""),45959.9986111111)</f>
        <v>45959.998611111099</v>
      </c>
      <c r="B659" s="3">
        <v>16562</v>
      </c>
    </row>
    <row r="660" spans="1:2" x14ac:dyDescent="0.2">
      <c r="A660" s="2">
        <f ca="1">IFERROR(__xludf.DUMMYFUNCTION("""COMPUTED_VALUE"""),45960.9986111111)</f>
        <v>45960.998611111099</v>
      </c>
      <c r="B660" s="3">
        <v>15935</v>
      </c>
    </row>
    <row r="661" spans="1:2" x14ac:dyDescent="0.2">
      <c r="A661" s="2">
        <f ca="1">IFERROR(__xludf.DUMMYFUNCTION("""COMPUTED_VALUE"""),45961.9986111111)</f>
        <v>45961.998611111099</v>
      </c>
      <c r="B661" s="3">
        <v>16630</v>
      </c>
    </row>
    <row r="662" spans="1:2" x14ac:dyDescent="0.2">
      <c r="A662" s="2">
        <f ca="1">IFERROR(__xludf.DUMMYFUNCTION("""COMPUTED_VALUE"""),45962.9986111111)</f>
        <v>45962.998611111099</v>
      </c>
      <c r="B662" s="3">
        <v>16630</v>
      </c>
    </row>
    <row r="663" spans="1:2" x14ac:dyDescent="0.2">
      <c r="A663" s="2">
        <f ca="1">IFERROR(__xludf.DUMMYFUNCTION("""COMPUTED_VALUE"""),45963.9986111111)</f>
        <v>45963.998611111099</v>
      </c>
      <c r="B663" s="3">
        <v>16630</v>
      </c>
    </row>
    <row r="664" spans="1:2" x14ac:dyDescent="0.2">
      <c r="A664" s="2">
        <f ca="1">IFERROR(__xludf.DUMMYFUNCTION("""COMPUTED_VALUE"""),45964.9986111111)</f>
        <v>45964.998611111099</v>
      </c>
      <c r="B664" s="3">
        <v>16640.900000000001</v>
      </c>
    </row>
    <row r="665" spans="1:2" x14ac:dyDescent="0.2">
      <c r="A665" s="2">
        <f ca="1">IFERROR(__xludf.DUMMYFUNCTION("""COMPUTED_VALUE"""),45965.9986111111)</f>
        <v>45965.998611111099</v>
      </c>
      <c r="B665" s="3">
        <v>16707</v>
      </c>
    </row>
    <row r="666" spans="1:2" x14ac:dyDescent="0.2">
      <c r="A666" s="2">
        <f ca="1">IFERROR(__xludf.DUMMYFUNCTION("""COMPUTED_VALUE"""),45966.9986111111)</f>
        <v>45966.998611111099</v>
      </c>
      <c r="B666" s="3">
        <v>16669</v>
      </c>
    </row>
    <row r="667" spans="1:2" x14ac:dyDescent="0.2">
      <c r="A667" s="2">
        <f ca="1">IFERROR(__xludf.DUMMYFUNCTION("""COMPUTED_VALUE"""),45967.9986111111)</f>
        <v>45967.998611111099</v>
      </c>
      <c r="B667" s="3">
        <v>16694.099999999999</v>
      </c>
    </row>
    <row r="668" spans="1:2" x14ac:dyDescent="0.2">
      <c r="A668" s="2">
        <f ca="1">IFERROR(__xludf.DUMMYFUNCTION("""COMPUTED_VALUE"""),45968.9986111111)</f>
        <v>45968.998611111099</v>
      </c>
      <c r="B668" s="3">
        <v>16653</v>
      </c>
    </row>
    <row r="669" spans="1:2" x14ac:dyDescent="0.2">
      <c r="A669" s="2">
        <f ca="1">IFERROR(__xludf.DUMMYFUNCTION("""COMPUTED_VALUE"""),45969.9986111111)</f>
        <v>45969.998611111099</v>
      </c>
      <c r="B669" s="3">
        <v>16653</v>
      </c>
    </row>
    <row r="670" spans="1:2" x14ac:dyDescent="0.2">
      <c r="A670" s="2">
        <f ca="1">IFERROR(__xludf.DUMMYFUNCTION("""COMPUTED_VALUE"""),45970.9986111111)</f>
        <v>45970.998611111099</v>
      </c>
      <c r="B670" s="3">
        <v>16653</v>
      </c>
    </row>
    <row r="671" spans="1:2" x14ac:dyDescent="0.2">
      <c r="A671" s="2">
        <f ca="1">IFERROR(__xludf.DUMMYFUNCTION("""COMPUTED_VALUE"""),45971.9986111111)</f>
        <v>45971.998611111099</v>
      </c>
      <c r="B671" s="3">
        <v>16690</v>
      </c>
    </row>
    <row r="672" spans="1:2" x14ac:dyDescent="0.2">
      <c r="A672" s="2">
        <f ca="1">IFERROR(__xludf.DUMMYFUNCTION("""COMPUTED_VALUE"""),45972.9986111111)</f>
        <v>45972.998611111099</v>
      </c>
      <c r="B672" s="3">
        <v>16694.900000000001</v>
      </c>
    </row>
    <row r="673" spans="1:2" x14ac:dyDescent="0.2">
      <c r="A673" s="2">
        <f ca="1">IFERROR(__xludf.DUMMYFUNCTION("""COMPUTED_VALUE"""),45973.9986111111)</f>
        <v>45973.998611111099</v>
      </c>
      <c r="B673" s="3">
        <v>16729</v>
      </c>
    </row>
    <row r="674" spans="1:2" x14ac:dyDescent="0.2">
      <c r="A674" s="2">
        <f ca="1">IFERROR(__xludf.DUMMYFUNCTION("""COMPUTED_VALUE"""),45974.9986111111)</f>
        <v>45974.998611111099</v>
      </c>
      <c r="B674" s="3">
        <v>16719</v>
      </c>
    </row>
    <row r="675" spans="1:2" x14ac:dyDescent="0.2">
      <c r="A675" s="2">
        <f ca="1">IFERROR(__xludf.DUMMYFUNCTION("""COMPUTED_VALUE"""),45975.9986111111)</f>
        <v>45975.998611111099</v>
      </c>
      <c r="B675" s="3">
        <v>16679.5</v>
      </c>
    </row>
    <row r="676" spans="1:2" x14ac:dyDescent="0.2">
      <c r="A676" s="2">
        <f ca="1">IFERROR(__xludf.DUMMYFUNCTION("""COMPUTED_VALUE"""),45976.9986111111)</f>
        <v>45976.998611111099</v>
      </c>
      <c r="B676" s="3">
        <v>16679.5</v>
      </c>
    </row>
    <row r="677" spans="1:2" x14ac:dyDescent="0.2">
      <c r="A677" s="2">
        <f ca="1">IFERROR(__xludf.DUMMYFUNCTION("""COMPUTED_VALUE"""),45978.9986111111)</f>
        <v>45978.998611111099</v>
      </c>
      <c r="B677" s="3">
        <v>16738.900000000001</v>
      </c>
    </row>
    <row r="678" spans="1:2" x14ac:dyDescent="0.2">
      <c r="A678" s="2">
        <f ca="1">IFERROR(__xludf.DUMMYFUNCTION("""COMPUTED_VALUE"""),45979.9986111111)</f>
        <v>45979.998611111099</v>
      </c>
      <c r="B678" s="3">
        <v>16727.7</v>
      </c>
    </row>
    <row r="679" spans="1:2" x14ac:dyDescent="0.2">
      <c r="A679" s="2">
        <f ca="1">IFERROR(__xludf.DUMMYFUNCTION("""COMPUTED_VALUE"""),45980.9986111111)</f>
        <v>45980.998611111099</v>
      </c>
      <c r="B679" s="3">
        <v>16686.7</v>
      </c>
    </row>
    <row r="680" spans="1:2" x14ac:dyDescent="0.2">
      <c r="A680" s="2">
        <f ca="1">IFERROR(__xludf.DUMMYFUNCTION("""COMPUTED_VALUE"""),45981.9986111111)</f>
        <v>45981.998611111099</v>
      </c>
      <c r="B680" s="3">
        <v>16731</v>
      </c>
    </row>
    <row r="681" spans="1:2" x14ac:dyDescent="0.2">
      <c r="A681" s="2">
        <f ca="1">IFERROR(__xludf.DUMMYFUNCTION("""COMPUTED_VALUE"""),45982.9986111111)</f>
        <v>45982.998611111099</v>
      </c>
      <c r="B681" s="3">
        <v>16639</v>
      </c>
    </row>
    <row r="682" spans="1:2" x14ac:dyDescent="0.2">
      <c r="A682" s="2">
        <f ca="1">IFERROR(__xludf.DUMMYFUNCTION("""COMPUTED_VALUE"""),45983.9986111111)</f>
        <v>45983.998611111099</v>
      </c>
      <c r="B682" s="3">
        <v>16639</v>
      </c>
    </row>
    <row r="683" spans="1:2" x14ac:dyDescent="0.2">
      <c r="A683" s="2">
        <f ca="1">IFERROR(__xludf.DUMMYFUNCTION("""COMPUTED_VALUE"""),45984.9986111111)</f>
        <v>45984.998611111099</v>
      </c>
      <c r="B683" s="3">
        <v>16639</v>
      </c>
    </row>
    <row r="684" spans="1:2" x14ac:dyDescent="0.2">
      <c r="A684" s="2">
        <f ca="1">IFERROR(__xludf.DUMMYFUNCTION("""COMPUTED_VALUE"""),45985.9986111111)</f>
        <v>45985.998611111099</v>
      </c>
      <c r="B684" s="3">
        <v>16645</v>
      </c>
    </row>
    <row r="685" spans="1:2" x14ac:dyDescent="0.2">
      <c r="A685" s="2">
        <f ca="1">IFERROR(__xludf.DUMMYFUNCTION("""COMPUTED_VALUE"""),45986.9986111111)</f>
        <v>45986.998611111099</v>
      </c>
      <c r="B685" s="3">
        <v>16633.5</v>
      </c>
    </row>
    <row r="686" spans="1:2" x14ac:dyDescent="0.2">
      <c r="A686" s="2">
        <f ca="1">IFERROR(__xludf.DUMMYFUNCTION("""COMPUTED_VALUE"""),45987.9986111111)</f>
        <v>45987.998611111099</v>
      </c>
      <c r="B686" s="3">
        <v>16614.7</v>
      </c>
    </row>
    <row r="687" spans="1:2" x14ac:dyDescent="0.2">
      <c r="A687" s="2">
        <f ca="1">IFERROR(__xludf.DUMMYFUNCTION("""COMPUTED_VALUE"""),45988.9986111111)</f>
        <v>45988.998611111099</v>
      </c>
      <c r="B687" s="3">
        <v>16603.900000000001</v>
      </c>
    </row>
    <row r="688" spans="1:2" x14ac:dyDescent="0.2">
      <c r="A688" s="2">
        <f ca="1">IFERROR(__xludf.DUMMYFUNCTION("""COMPUTED_VALUE"""),45989.9986111111)</f>
        <v>45989.998611111099</v>
      </c>
      <c r="B688" s="3">
        <v>16635</v>
      </c>
    </row>
    <row r="689" spans="1:2" x14ac:dyDescent="0.2">
      <c r="A689" s="2">
        <f ca="1">IFERROR(__xludf.DUMMYFUNCTION("""COMPUTED_VALUE"""),45990.9986111111)</f>
        <v>45990.998611111099</v>
      </c>
      <c r="B689" s="3">
        <v>16635</v>
      </c>
    </row>
    <row r="690" spans="1:2" x14ac:dyDescent="0.2">
      <c r="A690" s="2">
        <f ca="1">IFERROR(__xludf.DUMMYFUNCTION("""COMPUTED_VALUE"""),45991.9986111111)</f>
        <v>45991.998611111099</v>
      </c>
      <c r="B690" s="3">
        <v>16635</v>
      </c>
    </row>
    <row r="691" spans="1:2" x14ac:dyDescent="0.2">
      <c r="A691" s="2">
        <f ca="1">IFERROR(__xludf.DUMMYFUNCTION("""COMPUTED_VALUE"""),45992.9986111111)</f>
        <v>45992.998611111099</v>
      </c>
      <c r="B691" s="3">
        <v>16609</v>
      </c>
    </row>
    <row r="692" spans="1:2" x14ac:dyDescent="0.2">
      <c r="A692" s="2">
        <f ca="1">IFERROR(__xludf.DUMMYFUNCTION("""COMPUTED_VALUE"""),45993.9986111111)</f>
        <v>45993.998611111099</v>
      </c>
      <c r="B692" s="3">
        <v>16609.900000000001</v>
      </c>
    </row>
    <row r="693" spans="1:2" x14ac:dyDescent="0.2">
      <c r="A693" s="2">
        <f ca="1">IFERROR(__xludf.DUMMYFUNCTION("""COMPUTED_VALUE"""),45994.9986111111)</f>
        <v>45994.998611111099</v>
      </c>
      <c r="B693" s="3">
        <v>16594</v>
      </c>
    </row>
    <row r="694" spans="1:2" x14ac:dyDescent="0.2">
      <c r="A694" s="2">
        <f ca="1">IFERROR(__xludf.DUMMYFUNCTION("""COMPUTED_VALUE"""),45995.9986111111)</f>
        <v>45995.998611111099</v>
      </c>
      <c r="B694" s="3">
        <v>16654.400000000001</v>
      </c>
    </row>
    <row r="695" spans="1:2" x14ac:dyDescent="0.2">
      <c r="A695" s="2">
        <f ca="1">IFERROR(__xludf.DUMMYFUNCTION("""COMPUTED_VALUE"""),45996.9986111111)</f>
        <v>45996.998611111099</v>
      </c>
      <c r="B695" s="3">
        <v>16683</v>
      </c>
    </row>
    <row r="696" spans="1:2" x14ac:dyDescent="0.2">
      <c r="A696" s="2">
        <f ca="1">IFERROR(__xludf.DUMMYFUNCTION("""COMPUTED_VALUE"""),45997.9986111111)</f>
        <v>45997.998611111099</v>
      </c>
      <c r="B696" s="3">
        <v>16683</v>
      </c>
    </row>
    <row r="697" spans="1:2" x14ac:dyDescent="0.2">
      <c r="A697" s="2">
        <f ca="1">IFERROR(__xludf.DUMMYFUNCTION("""COMPUTED_VALUE"""),45998.9986111111)</f>
        <v>45998.998611111099</v>
      </c>
      <c r="B697" s="3">
        <v>16683</v>
      </c>
    </row>
    <row r="698" spans="1:2" x14ac:dyDescent="0.2">
      <c r="A698" s="2">
        <f ca="1">IFERROR(__xludf.DUMMYFUNCTION("""COMPUTED_VALUE"""),45999.9986111111)</f>
        <v>45999.998611111099</v>
      </c>
      <c r="B698" s="3">
        <v>16686</v>
      </c>
    </row>
    <row r="699" spans="1:2" x14ac:dyDescent="0.2">
      <c r="A699" s="2">
        <f ca="1">IFERROR(__xludf.DUMMYFUNCTION("""COMPUTED_VALUE"""),46000.9986111111)</f>
        <v>46000.998611111099</v>
      </c>
      <c r="B699" s="3">
        <v>16662</v>
      </c>
    </row>
    <row r="700" spans="1:2" x14ac:dyDescent="0.2">
      <c r="A700" s="2">
        <f ca="1">IFERROR(__xludf.DUMMYFUNCTION("""COMPUTED_VALUE"""),46001.9986111111)</f>
        <v>46001.998611111099</v>
      </c>
      <c r="B700" s="3">
        <v>16639</v>
      </c>
    </row>
    <row r="701" spans="1:2" x14ac:dyDescent="0.2">
      <c r="A701" s="2">
        <f ca="1">IFERROR(__xludf.DUMMYFUNCTION("""COMPUTED_VALUE"""),46002.9986111111)</f>
        <v>46002.998611111099</v>
      </c>
      <c r="B701" s="3">
        <v>16649</v>
      </c>
    </row>
    <row r="702" spans="1:2" x14ac:dyDescent="0.2">
      <c r="A702" s="2">
        <f ca="1">IFERROR(__xludf.DUMMYFUNCTION("""COMPUTED_VALUE"""),46003.9986111111)</f>
        <v>46003.998611111099</v>
      </c>
      <c r="B702" s="3">
        <v>16623.099999999999</v>
      </c>
    </row>
    <row r="703" spans="1:2" x14ac:dyDescent="0.2">
      <c r="A703" s="2">
        <f ca="1">IFERROR(__xludf.DUMMYFUNCTION("""COMPUTED_VALUE"""),46004.9986111111)</f>
        <v>46004.998611111099</v>
      </c>
      <c r="B703" s="3">
        <v>16623.099999999999</v>
      </c>
    </row>
    <row r="704" spans="1:2" x14ac:dyDescent="0.2">
      <c r="A704" s="2">
        <f ca="1">IFERROR(__xludf.DUMMYFUNCTION("""COMPUTED_VALUE"""),46005.9986111111)</f>
        <v>46005.998611111099</v>
      </c>
      <c r="B704" s="3">
        <v>16623.099999999999</v>
      </c>
    </row>
    <row r="705" spans="1:2" x14ac:dyDescent="0.2">
      <c r="A705" s="2">
        <f ca="1">IFERROR(__xludf.DUMMYFUNCTION("""COMPUTED_VALUE"""),46006.9986111111)</f>
        <v>46006.998611111099</v>
      </c>
      <c r="B705" s="3">
        <v>16645.8</v>
      </c>
    </row>
    <row r="706" spans="1:2" x14ac:dyDescent="0.2">
      <c r="A706" s="2">
        <f ca="1">IFERROR(__xludf.DUMMYFUNCTION("""COMPUTED_VALUE"""),46007.9986111111)</f>
        <v>46007.998611111099</v>
      </c>
      <c r="B706" s="3">
        <v>16644.599999999999</v>
      </c>
    </row>
    <row r="707" spans="1:2" x14ac:dyDescent="0.2">
      <c r="A707" s="2">
        <f ca="1">IFERROR(__xludf.DUMMYFUNCTION("""COMPUTED_VALUE"""),46008.9986111111)</f>
        <v>46008.998611111099</v>
      </c>
      <c r="B707" s="3">
        <v>16657</v>
      </c>
    </row>
    <row r="708" spans="1:2" x14ac:dyDescent="0.2">
      <c r="A708" s="2">
        <f ca="1">IFERROR(__xludf.DUMMYFUNCTION("""COMPUTED_VALUE"""),46009.9986111111)</f>
        <v>46009.998611111099</v>
      </c>
      <c r="B708" s="3">
        <v>16685.2</v>
      </c>
    </row>
    <row r="709" spans="1:2" x14ac:dyDescent="0.2">
      <c r="A709" s="2">
        <f ca="1">IFERROR(__xludf.DUMMYFUNCTION("""COMPUTED_VALUE"""),46010.9986111111)</f>
        <v>46010.998611111099</v>
      </c>
      <c r="B709" s="3">
        <v>16678.5</v>
      </c>
    </row>
    <row r="710" spans="1:2" x14ac:dyDescent="0.2">
      <c r="A710" s="2">
        <f ca="1">IFERROR(__xludf.DUMMYFUNCTION("""COMPUTED_VALUE"""),46011.9986111111)</f>
        <v>46011.998611111099</v>
      </c>
      <c r="B710" s="3">
        <v>16678.5</v>
      </c>
    </row>
    <row r="711" spans="1:2" x14ac:dyDescent="0.2">
      <c r="A711" s="2">
        <f ca="1">IFERROR(__xludf.DUMMYFUNCTION("""COMPUTED_VALUE"""),46012.9986111111)</f>
        <v>46012.998611111099</v>
      </c>
      <c r="B711" s="3">
        <v>16678.5</v>
      </c>
    </row>
    <row r="712" spans="1:2" x14ac:dyDescent="0.2">
      <c r="A712" s="2">
        <f ca="1">IFERROR(__xludf.DUMMYFUNCTION("""COMPUTED_VALUE"""),46013.9986111111)</f>
        <v>46013.998611111099</v>
      </c>
      <c r="B712" s="3">
        <v>16756.400000000001</v>
      </c>
    </row>
    <row r="713" spans="1:2" x14ac:dyDescent="0.2">
      <c r="A713" s="2">
        <f ca="1">IFERROR(__xludf.DUMMYFUNCTION("""COMPUTED_VALUE"""),46014.9986111111)</f>
        <v>46014.998611111099</v>
      </c>
      <c r="B713" s="3">
        <v>16735</v>
      </c>
    </row>
    <row r="714" spans="1:2" x14ac:dyDescent="0.2">
      <c r="A714" s="2">
        <f ca="1">IFERROR(__xludf.DUMMYFUNCTION("""COMPUTED_VALUE"""),46015.9986111111)</f>
        <v>46015.998611111099</v>
      </c>
      <c r="B714" s="3">
        <v>16697.3</v>
      </c>
    </row>
    <row r="715" spans="1:2" x14ac:dyDescent="0.2">
      <c r="A715" s="2">
        <f ca="1">IFERROR(__xludf.DUMMYFUNCTION("""COMPUTED_VALUE"""),46016.9986111111)</f>
        <v>46016.998611111099</v>
      </c>
      <c r="B715" s="3">
        <v>16753.099999999999</v>
      </c>
    </row>
    <row r="716" spans="1:2" x14ac:dyDescent="0.2">
      <c r="A716" s="2">
        <f ca="1">IFERROR(__xludf.DUMMYFUNCTION("""COMPUTED_VALUE"""),46017.9986111111)</f>
        <v>46017.998611111099</v>
      </c>
      <c r="B716" s="3">
        <v>16741.099999999999</v>
      </c>
    </row>
    <row r="717" spans="1:2" x14ac:dyDescent="0.2">
      <c r="A717" s="2">
        <f ca="1">IFERROR(__xludf.DUMMYFUNCTION("""COMPUTED_VALUE"""),46018.9986111111)</f>
        <v>46018.998611111099</v>
      </c>
      <c r="B717" s="3">
        <v>16741.099999999999</v>
      </c>
    </row>
    <row r="718" spans="1:2" x14ac:dyDescent="0.2">
      <c r="A718" s="2">
        <f ca="1">IFERROR(__xludf.DUMMYFUNCTION("""COMPUTED_VALUE"""),46019.9986111111)</f>
        <v>46019.998611111099</v>
      </c>
      <c r="B718" s="3">
        <v>16741.099999999999</v>
      </c>
    </row>
    <row r="719" spans="1:2" x14ac:dyDescent="0.2">
      <c r="A719" s="2">
        <f ca="1">IFERROR(__xludf.DUMMYFUNCTION("""COMPUTED_VALUE"""),46020.9986111111)</f>
        <v>46020.998611111099</v>
      </c>
      <c r="B719" s="3">
        <v>16770</v>
      </c>
    </row>
    <row r="720" spans="1:2" x14ac:dyDescent="0.2">
      <c r="A720" s="2">
        <f ca="1">IFERROR(__xludf.DUMMYFUNCTION("""COMPUTED_VALUE"""),46021.9986111111)</f>
        <v>46021.998611111099</v>
      </c>
      <c r="B720" s="3">
        <v>16709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B472"/>
  <sheetViews>
    <sheetView topLeftCell="A454" workbookViewId="0">
      <selection sqref="A1:B472"/>
    </sheetView>
  </sheetViews>
  <sheetFormatPr defaultColWidth="12.5703125" defaultRowHeight="15.75" customHeight="1" x14ac:dyDescent="0.2"/>
  <cols>
    <col min="1" max="1" width="18.140625" bestFit="1" customWidth="1"/>
  </cols>
  <sheetData>
    <row r="1" spans="1:2" x14ac:dyDescent="0.2">
      <c r="A1" s="1" t="s">
        <v>40</v>
      </c>
      <c r="B1" s="1" t="s">
        <v>44</v>
      </c>
    </row>
    <row r="2" spans="1:2" x14ac:dyDescent="0.2">
      <c r="A2" s="2">
        <f ca="1">IFERROR(__xludf.DUMMYFUNCTION("""COMPUTED_VALUE"""),45293.6666666666)</f>
        <v>45293.666666666599</v>
      </c>
      <c r="B2" s="3">
        <v>7323.59</v>
      </c>
    </row>
    <row r="3" spans="1:2" x14ac:dyDescent="0.2">
      <c r="A3" s="2">
        <f ca="1">IFERROR(__xludf.DUMMYFUNCTION("""COMPUTED_VALUE"""),45294.6666666666)</f>
        <v>45294.666666666599</v>
      </c>
      <c r="B3" s="3">
        <v>7279.09</v>
      </c>
    </row>
    <row r="4" spans="1:2" x14ac:dyDescent="0.2">
      <c r="A4" s="2">
        <f ca="1">IFERROR(__xludf.DUMMYFUNCTION("""COMPUTED_VALUE"""),45295.6666666666)</f>
        <v>45295.666666666599</v>
      </c>
      <c r="B4" s="3">
        <v>7359.76</v>
      </c>
    </row>
    <row r="5" spans="1:2" x14ac:dyDescent="0.2">
      <c r="A5" s="2">
        <f ca="1">IFERROR(__xludf.DUMMYFUNCTION("""COMPUTED_VALUE"""),45296.6666666666)</f>
        <v>45296.666666666599</v>
      </c>
      <c r="B5" s="3">
        <v>7350.62</v>
      </c>
    </row>
    <row r="6" spans="1:2" x14ac:dyDescent="0.2">
      <c r="A6" s="2">
        <f ca="1">IFERROR(__xludf.DUMMYFUNCTION("""COMPUTED_VALUE"""),45299.6666666666)</f>
        <v>45299.666666666599</v>
      </c>
      <c r="B6" s="3">
        <v>7283.58</v>
      </c>
    </row>
    <row r="7" spans="1:2" x14ac:dyDescent="0.2">
      <c r="A7" s="2">
        <f ca="1">IFERROR(__xludf.DUMMYFUNCTION("""COMPUTED_VALUE"""),45300.6666666666)</f>
        <v>45300.666666666599</v>
      </c>
      <c r="B7" s="3">
        <v>7200.2</v>
      </c>
    </row>
    <row r="8" spans="1:2" x14ac:dyDescent="0.2">
      <c r="A8" s="2">
        <f ca="1">IFERROR(__xludf.DUMMYFUNCTION("""COMPUTED_VALUE"""),45301.6666666666)</f>
        <v>45301.666666666599</v>
      </c>
      <c r="B8" s="3">
        <v>7227.3</v>
      </c>
    </row>
    <row r="9" spans="1:2" x14ac:dyDescent="0.2">
      <c r="A9" s="2">
        <f ca="1">IFERROR(__xludf.DUMMYFUNCTION("""COMPUTED_VALUE"""),45302.6666666666)</f>
        <v>45302.666666666599</v>
      </c>
      <c r="B9" s="3">
        <v>7219.96</v>
      </c>
    </row>
    <row r="10" spans="1:2" x14ac:dyDescent="0.2">
      <c r="A10" s="2">
        <f ca="1">IFERROR(__xludf.DUMMYFUNCTION("""COMPUTED_VALUE"""),45303.6666666666)</f>
        <v>45303.666666666599</v>
      </c>
      <c r="B10" s="3">
        <v>7241.14</v>
      </c>
    </row>
    <row r="11" spans="1:2" x14ac:dyDescent="0.2">
      <c r="A11" s="2">
        <f ca="1">IFERROR(__xludf.DUMMYFUNCTION("""COMPUTED_VALUE"""),45306.6666666666)</f>
        <v>45306.666666666599</v>
      </c>
      <c r="B11" s="3">
        <v>7224</v>
      </c>
    </row>
    <row r="12" spans="1:2" x14ac:dyDescent="0.2">
      <c r="A12" s="2">
        <f ca="1">IFERROR(__xludf.DUMMYFUNCTION("""COMPUTED_VALUE"""),45307.6666666666)</f>
        <v>45307.666666666599</v>
      </c>
      <c r="B12" s="3">
        <v>7242.79</v>
      </c>
    </row>
    <row r="13" spans="1:2" x14ac:dyDescent="0.2">
      <c r="A13" s="2">
        <f ca="1">IFERROR(__xludf.DUMMYFUNCTION("""COMPUTED_VALUE"""),45308.6666666666)</f>
        <v>45308.666666666599</v>
      </c>
      <c r="B13" s="3">
        <v>7200.64</v>
      </c>
    </row>
    <row r="14" spans="1:2" x14ac:dyDescent="0.2">
      <c r="A14" s="2">
        <f ca="1">IFERROR(__xludf.DUMMYFUNCTION("""COMPUTED_VALUE"""),45309.6666666666)</f>
        <v>45309.666666666599</v>
      </c>
      <c r="B14" s="3">
        <v>7252.97</v>
      </c>
    </row>
    <row r="15" spans="1:2" x14ac:dyDescent="0.2">
      <c r="A15" s="2">
        <f ca="1">IFERROR(__xludf.DUMMYFUNCTION("""COMPUTED_VALUE"""),45310.6666666666)</f>
        <v>45310.666666666599</v>
      </c>
      <c r="B15" s="3">
        <v>7227.4</v>
      </c>
    </row>
    <row r="16" spans="1:2" x14ac:dyDescent="0.2">
      <c r="A16" s="2">
        <f ca="1">IFERROR(__xludf.DUMMYFUNCTION("""COMPUTED_VALUE"""),45313.6666666666)</f>
        <v>45313.666666666599</v>
      </c>
      <c r="B16" s="3">
        <v>7247.93</v>
      </c>
    </row>
    <row r="17" spans="1:2" x14ac:dyDescent="0.2">
      <c r="A17" s="2">
        <f ca="1">IFERROR(__xludf.DUMMYFUNCTION("""COMPUTED_VALUE"""),45314.6666666666)</f>
        <v>45314.666666666599</v>
      </c>
      <c r="B17" s="3">
        <v>7256.23</v>
      </c>
    </row>
    <row r="18" spans="1:2" x14ac:dyDescent="0.2">
      <c r="A18" s="2">
        <f ca="1">IFERROR(__xludf.DUMMYFUNCTION("""COMPUTED_VALUE"""),45315.6666666666)</f>
        <v>45315.666666666599</v>
      </c>
      <c r="B18" s="3">
        <v>7227.82</v>
      </c>
    </row>
    <row r="19" spans="1:2" x14ac:dyDescent="0.2">
      <c r="A19" s="2">
        <f ca="1">IFERROR(__xludf.DUMMYFUNCTION("""COMPUTED_VALUE"""),45316.6666666666)</f>
        <v>45316.666666666599</v>
      </c>
      <c r="B19" s="3">
        <v>7178.04</v>
      </c>
    </row>
    <row r="20" spans="1:2" x14ac:dyDescent="0.2">
      <c r="A20" s="2">
        <f ca="1">IFERROR(__xludf.DUMMYFUNCTION("""COMPUTED_VALUE"""),45317.6666666666)</f>
        <v>45317.666666666599</v>
      </c>
      <c r="B20" s="3">
        <v>7137.09</v>
      </c>
    </row>
    <row r="21" spans="1:2" x14ac:dyDescent="0.2">
      <c r="A21" s="2">
        <f ca="1">IFERROR(__xludf.DUMMYFUNCTION("""COMPUTED_VALUE"""),45320.6666666666)</f>
        <v>45320.666666666599</v>
      </c>
      <c r="B21" s="3">
        <v>7157.18</v>
      </c>
    </row>
    <row r="22" spans="1:2" x14ac:dyDescent="0.2">
      <c r="A22" s="2">
        <f ca="1">IFERROR(__xludf.DUMMYFUNCTION("""COMPUTED_VALUE"""),45321.6666666666)</f>
        <v>45321.666666666599</v>
      </c>
      <c r="B22" s="3">
        <v>7192.22</v>
      </c>
    </row>
    <row r="23" spans="1:2" x14ac:dyDescent="0.2">
      <c r="A23" s="2">
        <f ca="1">IFERROR(__xludf.DUMMYFUNCTION("""COMPUTED_VALUE"""),45322.6666666666)</f>
        <v>45322.666666666599</v>
      </c>
      <c r="B23" s="3">
        <v>7207.94</v>
      </c>
    </row>
    <row r="24" spans="1:2" x14ac:dyDescent="0.2">
      <c r="A24" s="2">
        <f ca="1">IFERROR(__xludf.DUMMYFUNCTION("""COMPUTED_VALUE"""),45323.6666666666)</f>
        <v>45323.666666666599</v>
      </c>
      <c r="B24" s="3">
        <v>7201.7</v>
      </c>
    </row>
    <row r="25" spans="1:2" x14ac:dyDescent="0.2">
      <c r="A25" s="2">
        <f ca="1">IFERROR(__xludf.DUMMYFUNCTION("""COMPUTED_VALUE"""),45324.6666666666)</f>
        <v>45324.666666666599</v>
      </c>
      <c r="B25" s="3">
        <v>7238.79</v>
      </c>
    </row>
    <row r="26" spans="1:2" x14ac:dyDescent="0.2">
      <c r="A26" s="2">
        <f ca="1">IFERROR(__xludf.DUMMYFUNCTION("""COMPUTED_VALUE"""),45327.6666666666)</f>
        <v>45327.666666666599</v>
      </c>
      <c r="B26" s="3">
        <v>7198.62</v>
      </c>
    </row>
    <row r="27" spans="1:2" x14ac:dyDescent="0.2">
      <c r="A27" s="2">
        <f ca="1">IFERROR(__xludf.DUMMYFUNCTION("""COMPUTED_VALUE"""),45328.6666666666)</f>
        <v>45328.666666666599</v>
      </c>
      <c r="B27" s="3">
        <v>7247.41</v>
      </c>
    </row>
    <row r="28" spans="1:2" x14ac:dyDescent="0.2">
      <c r="A28" s="2">
        <f ca="1">IFERROR(__xludf.DUMMYFUNCTION("""COMPUTED_VALUE"""),45329.6666666666)</f>
        <v>45329.666666666599</v>
      </c>
      <c r="B28" s="3">
        <v>7235.15</v>
      </c>
    </row>
    <row r="29" spans="1:2" x14ac:dyDescent="0.2">
      <c r="A29" s="2">
        <f ca="1">IFERROR(__xludf.DUMMYFUNCTION("""COMPUTED_VALUE"""),45334.6666666666)</f>
        <v>45334.666666666599</v>
      </c>
      <c r="B29" s="3">
        <v>7297.67</v>
      </c>
    </row>
    <row r="30" spans="1:2" x14ac:dyDescent="0.2">
      <c r="A30" s="2">
        <f ca="1">IFERROR(__xludf.DUMMYFUNCTION("""COMPUTED_VALUE"""),45335.6666666666)</f>
        <v>45335.666666666599</v>
      </c>
      <c r="B30" s="3">
        <v>7209.74</v>
      </c>
    </row>
    <row r="31" spans="1:2" x14ac:dyDescent="0.2">
      <c r="A31" s="2">
        <f ca="1">IFERROR(__xludf.DUMMYFUNCTION("""COMPUTED_VALUE"""),45337.6666666666)</f>
        <v>45337.666666666599</v>
      </c>
      <c r="B31" s="3">
        <v>7303.28</v>
      </c>
    </row>
    <row r="32" spans="1:2" x14ac:dyDescent="0.2">
      <c r="A32" s="2">
        <f ca="1">IFERROR(__xludf.DUMMYFUNCTION("""COMPUTED_VALUE"""),45338.6666666666)</f>
        <v>45338.666666666599</v>
      </c>
      <c r="B32" s="3">
        <v>7335.55</v>
      </c>
    </row>
    <row r="33" spans="1:2" x14ac:dyDescent="0.2">
      <c r="A33" s="2">
        <f ca="1">IFERROR(__xludf.DUMMYFUNCTION("""COMPUTED_VALUE"""),45341.6666666666)</f>
        <v>45341.666666666599</v>
      </c>
      <c r="B33" s="3">
        <v>7296.7</v>
      </c>
    </row>
    <row r="34" spans="1:2" x14ac:dyDescent="0.2">
      <c r="A34" s="2">
        <f ca="1">IFERROR(__xludf.DUMMYFUNCTION("""COMPUTED_VALUE"""),45342.6666666666)</f>
        <v>45342.666666666599</v>
      </c>
      <c r="B34" s="3">
        <v>7352.6</v>
      </c>
    </row>
    <row r="35" spans="1:2" x14ac:dyDescent="0.2">
      <c r="A35" s="2">
        <f ca="1">IFERROR(__xludf.DUMMYFUNCTION("""COMPUTED_VALUE"""),45343.6666666666)</f>
        <v>45343.666666666599</v>
      </c>
      <c r="B35" s="3">
        <v>7349.02</v>
      </c>
    </row>
    <row r="36" spans="1:2" x14ac:dyDescent="0.2">
      <c r="A36" s="2">
        <f ca="1">IFERROR(__xludf.DUMMYFUNCTION("""COMPUTED_VALUE"""),45344.6666666666)</f>
        <v>45344.666666666599</v>
      </c>
      <c r="B36" s="3">
        <v>7339.64</v>
      </c>
    </row>
    <row r="37" spans="1:2" x14ac:dyDescent="0.2">
      <c r="A37" s="2">
        <f ca="1">IFERROR(__xludf.DUMMYFUNCTION("""COMPUTED_VALUE"""),45345.6666666666)</f>
        <v>45345.666666666599</v>
      </c>
      <c r="B37" s="3">
        <v>7295.1</v>
      </c>
    </row>
    <row r="38" spans="1:2" x14ac:dyDescent="0.2">
      <c r="A38" s="2">
        <f ca="1">IFERROR(__xludf.DUMMYFUNCTION("""COMPUTED_VALUE"""),45348.6666666666)</f>
        <v>45348.666666666599</v>
      </c>
      <c r="B38" s="3">
        <v>7283.82</v>
      </c>
    </row>
    <row r="39" spans="1:2" x14ac:dyDescent="0.2">
      <c r="A39" s="2">
        <f ca="1">IFERROR(__xludf.DUMMYFUNCTION("""COMPUTED_VALUE"""),45349.6666666666)</f>
        <v>45349.666666666599</v>
      </c>
      <c r="B39" s="3">
        <v>7285.32</v>
      </c>
    </row>
    <row r="40" spans="1:2" x14ac:dyDescent="0.2">
      <c r="A40" s="2">
        <f ca="1">IFERROR(__xludf.DUMMYFUNCTION("""COMPUTED_VALUE"""),45350.6666666666)</f>
        <v>45350.666666666599</v>
      </c>
      <c r="B40" s="3">
        <v>7328.64</v>
      </c>
    </row>
    <row r="41" spans="1:2" x14ac:dyDescent="0.2">
      <c r="A41" s="2">
        <f ca="1">IFERROR(__xludf.DUMMYFUNCTION("""COMPUTED_VALUE"""),45351.6666666666)</f>
        <v>45351.666666666599</v>
      </c>
      <c r="B41" s="3">
        <v>7316.11</v>
      </c>
    </row>
    <row r="42" spans="1:2" x14ac:dyDescent="0.2">
      <c r="A42" s="2">
        <f ca="1">IFERROR(__xludf.DUMMYFUNCTION("""COMPUTED_VALUE"""),45352.6666666666)</f>
        <v>45352.666666666599</v>
      </c>
      <c r="B42" s="3">
        <v>7311.91</v>
      </c>
    </row>
    <row r="43" spans="1:2" x14ac:dyDescent="0.2">
      <c r="A43" s="2">
        <f ca="1">IFERROR(__xludf.DUMMYFUNCTION("""COMPUTED_VALUE"""),45355.6666666666)</f>
        <v>45355.666666666599</v>
      </c>
      <c r="B43" s="3">
        <v>7276.75</v>
      </c>
    </row>
    <row r="44" spans="1:2" x14ac:dyDescent="0.2">
      <c r="A44" s="2">
        <f ca="1">IFERROR(__xludf.DUMMYFUNCTION("""COMPUTED_VALUE"""),45356.6666666666)</f>
        <v>45356.666666666599</v>
      </c>
      <c r="B44" s="3">
        <v>7247.46</v>
      </c>
    </row>
    <row r="45" spans="1:2" x14ac:dyDescent="0.2">
      <c r="A45" s="2">
        <f ca="1">IFERROR(__xludf.DUMMYFUNCTION("""COMPUTED_VALUE"""),45357.6666666666)</f>
        <v>45357.666666666599</v>
      </c>
      <c r="B45" s="3">
        <v>7329.8</v>
      </c>
    </row>
    <row r="46" spans="1:2" x14ac:dyDescent="0.2">
      <c r="A46" s="2">
        <f ca="1">IFERROR(__xludf.DUMMYFUNCTION("""COMPUTED_VALUE"""),45358.6666666666)</f>
        <v>45358.666666666599</v>
      </c>
      <c r="B46" s="3">
        <v>7373.96</v>
      </c>
    </row>
    <row r="47" spans="1:2" x14ac:dyDescent="0.2">
      <c r="A47" s="2">
        <f ca="1">IFERROR(__xludf.DUMMYFUNCTION("""COMPUTED_VALUE"""),45359.6666666666)</f>
        <v>45359.666666666599</v>
      </c>
      <c r="B47" s="3">
        <v>7381.91</v>
      </c>
    </row>
    <row r="48" spans="1:2" x14ac:dyDescent="0.2">
      <c r="A48" s="2">
        <f ca="1">IFERROR(__xludf.DUMMYFUNCTION("""COMPUTED_VALUE"""),45364.6666666666)</f>
        <v>45364.666666666599</v>
      </c>
      <c r="B48" s="3">
        <v>7421.21</v>
      </c>
    </row>
    <row r="49" spans="1:2" x14ac:dyDescent="0.2">
      <c r="A49" s="2">
        <f ca="1">IFERROR(__xludf.DUMMYFUNCTION("""COMPUTED_VALUE"""),45365.6666666666)</f>
        <v>45365.666666666599</v>
      </c>
      <c r="B49" s="3">
        <v>7433.32</v>
      </c>
    </row>
    <row r="50" spans="1:2" x14ac:dyDescent="0.2">
      <c r="A50" s="2">
        <f ca="1">IFERROR(__xludf.DUMMYFUNCTION("""COMPUTED_VALUE"""),45366.6666666666)</f>
        <v>45366.666666666599</v>
      </c>
      <c r="B50" s="3">
        <v>7328.05</v>
      </c>
    </row>
    <row r="51" spans="1:2" x14ac:dyDescent="0.2">
      <c r="A51" s="2">
        <f ca="1">IFERROR(__xludf.DUMMYFUNCTION("""COMPUTED_VALUE"""),45369.6666666666)</f>
        <v>45369.666666666599</v>
      </c>
      <c r="B51" s="3">
        <v>7302.45</v>
      </c>
    </row>
    <row r="52" spans="1:2" x14ac:dyDescent="0.2">
      <c r="A52" s="2">
        <f ca="1">IFERROR(__xludf.DUMMYFUNCTION("""COMPUTED_VALUE"""),45370.6666666666)</f>
        <v>45370.666666666599</v>
      </c>
      <c r="B52" s="3">
        <v>7336.75</v>
      </c>
    </row>
    <row r="53" spans="1:2" x14ac:dyDescent="0.2">
      <c r="A53" s="2">
        <f ca="1">IFERROR(__xludf.DUMMYFUNCTION("""COMPUTED_VALUE"""),45371.6666666666)</f>
        <v>45371.666666666599</v>
      </c>
      <c r="B53" s="3">
        <v>7331.13</v>
      </c>
    </row>
    <row r="54" spans="1:2" x14ac:dyDescent="0.2">
      <c r="A54" s="2">
        <f ca="1">IFERROR(__xludf.DUMMYFUNCTION("""COMPUTED_VALUE"""),45372.6666666666)</f>
        <v>45372.666666666599</v>
      </c>
      <c r="B54" s="3">
        <v>7338.35</v>
      </c>
    </row>
    <row r="55" spans="1:2" x14ac:dyDescent="0.2">
      <c r="A55" s="2">
        <f ca="1">IFERROR(__xludf.DUMMYFUNCTION("""COMPUTED_VALUE"""),45373.6666666666)</f>
        <v>45373.666666666599</v>
      </c>
      <c r="B55" s="3">
        <v>7350.15</v>
      </c>
    </row>
    <row r="56" spans="1:2" x14ac:dyDescent="0.2">
      <c r="A56" s="2">
        <f ca="1">IFERROR(__xludf.DUMMYFUNCTION("""COMPUTED_VALUE"""),45378.6666666666)</f>
        <v>45378.666666666599</v>
      </c>
      <c r="B56" s="3">
        <v>7310.09</v>
      </c>
    </row>
    <row r="57" spans="1:2" x14ac:dyDescent="0.2">
      <c r="A57" s="2">
        <f ca="1">IFERROR(__xludf.DUMMYFUNCTION("""COMPUTED_VALUE"""),45379.6666666666)</f>
        <v>45379.666666666599</v>
      </c>
      <c r="B57" s="3">
        <v>7288.81</v>
      </c>
    </row>
    <row r="58" spans="1:2" x14ac:dyDescent="0.2">
      <c r="A58" s="2">
        <f ca="1">IFERROR(__xludf.DUMMYFUNCTION("""COMPUTED_VALUE"""),45383.6666666666)</f>
        <v>45383.666666666599</v>
      </c>
      <c r="B58" s="3">
        <v>7205.06</v>
      </c>
    </row>
    <row r="59" spans="1:2" x14ac:dyDescent="0.2">
      <c r="A59" s="2">
        <f ca="1">IFERROR(__xludf.DUMMYFUNCTION("""COMPUTED_VALUE"""),45384.6666666666)</f>
        <v>45384.666666666599</v>
      </c>
      <c r="B59" s="3">
        <v>7236.98</v>
      </c>
    </row>
    <row r="60" spans="1:2" x14ac:dyDescent="0.2">
      <c r="A60" s="2">
        <f ca="1">IFERROR(__xludf.DUMMYFUNCTION("""COMPUTED_VALUE"""),45385.6666666666)</f>
        <v>45385.666666666599</v>
      </c>
      <c r="B60" s="3">
        <v>7166.84</v>
      </c>
    </row>
    <row r="61" spans="1:2" x14ac:dyDescent="0.2">
      <c r="A61" s="2">
        <f ca="1">IFERROR(__xludf.DUMMYFUNCTION("""COMPUTED_VALUE"""),45386.6666666666)</f>
        <v>45386.666666666599</v>
      </c>
      <c r="B61" s="3">
        <v>7254.4</v>
      </c>
    </row>
    <row r="62" spans="1:2" x14ac:dyDescent="0.2">
      <c r="A62" s="2">
        <f ca="1">IFERROR(__xludf.DUMMYFUNCTION("""COMPUTED_VALUE"""),45387.6666666666)</f>
        <v>45387.666666666599</v>
      </c>
      <c r="B62" s="3">
        <v>7286.88</v>
      </c>
    </row>
    <row r="63" spans="1:2" x14ac:dyDescent="0.2">
      <c r="A63" s="2">
        <f ca="1">IFERROR(__xludf.DUMMYFUNCTION("""COMPUTED_VALUE"""),45398.6666666666)</f>
        <v>45398.666666666599</v>
      </c>
      <c r="B63" s="3">
        <v>7164.81</v>
      </c>
    </row>
    <row r="64" spans="1:2" x14ac:dyDescent="0.2">
      <c r="A64" s="2">
        <f ca="1">IFERROR(__xludf.DUMMYFUNCTION("""COMPUTED_VALUE"""),45399.6666666666)</f>
        <v>45399.666666666599</v>
      </c>
      <c r="B64" s="3">
        <v>7130.84</v>
      </c>
    </row>
    <row r="65" spans="1:2" x14ac:dyDescent="0.2">
      <c r="A65" s="2">
        <f ca="1">IFERROR(__xludf.DUMMYFUNCTION("""COMPUTED_VALUE"""),45400.6666666666)</f>
        <v>45400.666666666599</v>
      </c>
      <c r="B65" s="3">
        <v>7166.81</v>
      </c>
    </row>
    <row r="66" spans="1:2" x14ac:dyDescent="0.2">
      <c r="A66" s="2">
        <f ca="1">IFERROR(__xludf.DUMMYFUNCTION("""COMPUTED_VALUE"""),45401.6666666666)</f>
        <v>45401.666666666599</v>
      </c>
      <c r="B66" s="3">
        <v>7087.32</v>
      </c>
    </row>
    <row r="67" spans="1:2" x14ac:dyDescent="0.2">
      <c r="A67" s="2">
        <f ca="1">IFERROR(__xludf.DUMMYFUNCTION("""COMPUTED_VALUE"""),45404.6666666666)</f>
        <v>45404.666666666599</v>
      </c>
      <c r="B67" s="3">
        <v>7073.82</v>
      </c>
    </row>
    <row r="68" spans="1:2" x14ac:dyDescent="0.2">
      <c r="A68" s="2">
        <f ca="1">IFERROR(__xludf.DUMMYFUNCTION("""COMPUTED_VALUE"""),45405.6666666666)</f>
        <v>45405.666666666599</v>
      </c>
      <c r="B68" s="3">
        <v>7110.81</v>
      </c>
    </row>
    <row r="69" spans="1:2" x14ac:dyDescent="0.2">
      <c r="A69" s="2">
        <f ca="1">IFERROR(__xludf.DUMMYFUNCTION("""COMPUTED_VALUE"""),45406.6666666666)</f>
        <v>45406.666666666599</v>
      </c>
      <c r="B69" s="3">
        <v>7174.53</v>
      </c>
    </row>
    <row r="70" spans="1:2" x14ac:dyDescent="0.2">
      <c r="A70" s="2">
        <f ca="1">IFERROR(__xludf.DUMMYFUNCTION("""COMPUTED_VALUE"""),45407.6666666666)</f>
        <v>45407.666666666599</v>
      </c>
      <c r="B70" s="3">
        <v>7155.29</v>
      </c>
    </row>
    <row r="71" spans="1:2" x14ac:dyDescent="0.2">
      <c r="A71" s="2">
        <f ca="1">IFERROR(__xludf.DUMMYFUNCTION("""COMPUTED_VALUE"""),45408.6666666666)</f>
        <v>45408.666666666599</v>
      </c>
      <c r="B71" s="3">
        <v>7036.08</v>
      </c>
    </row>
    <row r="72" spans="1:2" x14ac:dyDescent="0.2">
      <c r="A72" s="2">
        <f ca="1">IFERROR(__xludf.DUMMYFUNCTION("""COMPUTED_VALUE"""),45411.6666666666)</f>
        <v>45411.666666666599</v>
      </c>
      <c r="B72" s="3">
        <v>7155.78</v>
      </c>
    </row>
    <row r="73" spans="1:2" x14ac:dyDescent="0.2">
      <c r="A73" s="2">
        <f ca="1">IFERROR(__xludf.DUMMYFUNCTION("""COMPUTED_VALUE"""),45412.6666666666)</f>
        <v>45412.666666666599</v>
      </c>
      <c r="B73" s="3">
        <v>7234.2</v>
      </c>
    </row>
    <row r="74" spans="1:2" x14ac:dyDescent="0.2">
      <c r="A74" s="2">
        <f ca="1">IFERROR(__xludf.DUMMYFUNCTION("""COMPUTED_VALUE"""),45414.6666666666)</f>
        <v>45414.666666666599</v>
      </c>
      <c r="B74" s="3">
        <v>7117.43</v>
      </c>
    </row>
    <row r="75" spans="1:2" x14ac:dyDescent="0.2">
      <c r="A75" s="2">
        <f ca="1">IFERROR(__xludf.DUMMYFUNCTION("""COMPUTED_VALUE"""),45415.6666666666)</f>
        <v>45415.666666666599</v>
      </c>
      <c r="B75" s="3">
        <v>7134.72</v>
      </c>
    </row>
    <row r="76" spans="1:2" x14ac:dyDescent="0.2">
      <c r="A76" s="2">
        <f ca="1">IFERROR(__xludf.DUMMYFUNCTION("""COMPUTED_VALUE"""),45418.6666666666)</f>
        <v>45418.666666666599</v>
      </c>
      <c r="B76" s="3">
        <v>7135.89</v>
      </c>
    </row>
    <row r="77" spans="1:2" x14ac:dyDescent="0.2">
      <c r="A77" s="2">
        <f ca="1">IFERROR(__xludf.DUMMYFUNCTION("""COMPUTED_VALUE"""),45419.6666666666)</f>
        <v>45419.666666666599</v>
      </c>
      <c r="B77" s="3">
        <v>7123.61</v>
      </c>
    </row>
    <row r="78" spans="1:2" x14ac:dyDescent="0.2">
      <c r="A78" s="2">
        <f ca="1">IFERROR(__xludf.DUMMYFUNCTION("""COMPUTED_VALUE"""),45420.6666666666)</f>
        <v>45420.666666666599</v>
      </c>
      <c r="B78" s="3">
        <v>7088.8</v>
      </c>
    </row>
    <row r="79" spans="1:2" x14ac:dyDescent="0.2">
      <c r="A79" s="2">
        <f ca="1">IFERROR(__xludf.DUMMYFUNCTION("""COMPUTED_VALUE"""),45425.6666666666)</f>
        <v>45425.666666666599</v>
      </c>
      <c r="B79" s="3">
        <v>7099.26</v>
      </c>
    </row>
    <row r="80" spans="1:2" x14ac:dyDescent="0.2">
      <c r="A80" s="2">
        <f ca="1">IFERROR(__xludf.DUMMYFUNCTION("""COMPUTED_VALUE"""),45426.6666666666)</f>
        <v>45426.666666666599</v>
      </c>
      <c r="B80" s="3">
        <v>7083.76</v>
      </c>
    </row>
    <row r="81" spans="1:2" x14ac:dyDescent="0.2">
      <c r="A81" s="2">
        <f ca="1">IFERROR(__xludf.DUMMYFUNCTION("""COMPUTED_VALUE"""),45427.6666666666)</f>
        <v>45427.666666666599</v>
      </c>
      <c r="B81" s="3">
        <v>7179.83</v>
      </c>
    </row>
    <row r="82" spans="1:2" x14ac:dyDescent="0.2">
      <c r="A82" s="2">
        <f ca="1">IFERROR(__xludf.DUMMYFUNCTION("""COMPUTED_VALUE"""),45428.6666666666)</f>
        <v>45428.666666666599</v>
      </c>
      <c r="B82" s="3">
        <v>7246.7</v>
      </c>
    </row>
    <row r="83" spans="1:2" x14ac:dyDescent="0.2">
      <c r="A83" s="2">
        <f ca="1">IFERROR(__xludf.DUMMYFUNCTION("""COMPUTED_VALUE"""),45429.6666666666)</f>
        <v>45429.666666666599</v>
      </c>
      <c r="B83" s="3">
        <v>7317.24</v>
      </c>
    </row>
    <row r="84" spans="1:2" x14ac:dyDescent="0.2">
      <c r="A84" s="2">
        <f ca="1">IFERROR(__xludf.DUMMYFUNCTION("""COMPUTED_VALUE"""),45432.6666666666)</f>
        <v>45432.666666666599</v>
      </c>
      <c r="B84" s="3">
        <v>7266.69</v>
      </c>
    </row>
    <row r="85" spans="1:2" x14ac:dyDescent="0.2">
      <c r="A85" s="2">
        <f ca="1">IFERROR(__xludf.DUMMYFUNCTION("""COMPUTED_VALUE"""),45433.6666666666)</f>
        <v>45433.666666666599</v>
      </c>
      <c r="B85" s="3">
        <v>7186.04</v>
      </c>
    </row>
    <row r="86" spans="1:2" x14ac:dyDescent="0.2">
      <c r="A86" s="2">
        <f ca="1">IFERROR(__xludf.DUMMYFUNCTION("""COMPUTED_VALUE"""),45434.6666666666)</f>
        <v>45434.666666666599</v>
      </c>
      <c r="B86" s="3">
        <v>7222.38</v>
      </c>
    </row>
    <row r="87" spans="1:2" x14ac:dyDescent="0.2">
      <c r="A87" s="2">
        <f ca="1">IFERROR(__xludf.DUMMYFUNCTION("""COMPUTED_VALUE"""),45439.6666666666)</f>
        <v>45439.666666666599</v>
      </c>
      <c r="B87" s="3">
        <v>7176.42</v>
      </c>
    </row>
    <row r="88" spans="1:2" x14ac:dyDescent="0.2">
      <c r="A88" s="2">
        <f ca="1">IFERROR(__xludf.DUMMYFUNCTION("""COMPUTED_VALUE"""),45440.6666666666)</f>
        <v>45440.666666666599</v>
      </c>
      <c r="B88" s="3">
        <v>7253.63</v>
      </c>
    </row>
    <row r="89" spans="1:2" x14ac:dyDescent="0.2">
      <c r="A89" s="2">
        <f ca="1">IFERROR(__xludf.DUMMYFUNCTION("""COMPUTED_VALUE"""),45441.6666666666)</f>
        <v>45441.666666666599</v>
      </c>
      <c r="B89" s="3">
        <v>7140.23</v>
      </c>
    </row>
    <row r="90" spans="1:2" x14ac:dyDescent="0.2">
      <c r="A90" s="2">
        <f ca="1">IFERROR(__xludf.DUMMYFUNCTION("""COMPUTED_VALUE"""),45442.6666666666)</f>
        <v>45442.666666666599</v>
      </c>
      <c r="B90" s="3">
        <v>7034.14</v>
      </c>
    </row>
    <row r="91" spans="1:2" x14ac:dyDescent="0.2">
      <c r="A91" s="2">
        <f ca="1">IFERROR(__xludf.DUMMYFUNCTION("""COMPUTED_VALUE"""),45443.6666666666)</f>
        <v>45443.666666666599</v>
      </c>
      <c r="B91" s="3">
        <v>6970.74</v>
      </c>
    </row>
    <row r="92" spans="1:2" x14ac:dyDescent="0.2">
      <c r="A92" s="2">
        <f ca="1">IFERROR(__xludf.DUMMYFUNCTION("""COMPUTED_VALUE"""),45446.6666666666)</f>
        <v>45446.666666666599</v>
      </c>
      <c r="B92" s="3">
        <v>7036.19</v>
      </c>
    </row>
    <row r="93" spans="1:2" x14ac:dyDescent="0.2">
      <c r="A93" s="2">
        <f ca="1">IFERROR(__xludf.DUMMYFUNCTION("""COMPUTED_VALUE"""),45447.6666666666)</f>
        <v>45447.666666666599</v>
      </c>
      <c r="B93" s="3">
        <v>7099.31</v>
      </c>
    </row>
    <row r="94" spans="1:2" x14ac:dyDescent="0.2">
      <c r="A94" s="2">
        <f ca="1">IFERROR(__xludf.DUMMYFUNCTION("""COMPUTED_VALUE"""),45448.6666666666)</f>
        <v>45448.666666666599</v>
      </c>
      <c r="B94" s="3">
        <v>6947.67</v>
      </c>
    </row>
    <row r="95" spans="1:2" x14ac:dyDescent="0.2">
      <c r="A95" s="2">
        <f ca="1">IFERROR(__xludf.DUMMYFUNCTION("""COMPUTED_VALUE"""),45449.6666666666)</f>
        <v>45449.666666666599</v>
      </c>
      <c r="B95" s="3">
        <v>6974.9</v>
      </c>
    </row>
    <row r="96" spans="1:2" x14ac:dyDescent="0.2">
      <c r="A96" s="2">
        <f ca="1">IFERROR(__xludf.DUMMYFUNCTION("""COMPUTED_VALUE"""),45450.6666666666)</f>
        <v>45450.666666666599</v>
      </c>
      <c r="B96" s="3">
        <v>6897.95</v>
      </c>
    </row>
    <row r="97" spans="1:2" x14ac:dyDescent="0.2">
      <c r="A97" s="2">
        <f ca="1">IFERROR(__xludf.DUMMYFUNCTION("""COMPUTED_VALUE"""),45453.6666666666)</f>
        <v>45453.666666666599</v>
      </c>
      <c r="B97" s="3">
        <v>6921.55</v>
      </c>
    </row>
    <row r="98" spans="1:2" x14ac:dyDescent="0.2">
      <c r="A98" s="2">
        <f ca="1">IFERROR(__xludf.DUMMYFUNCTION("""COMPUTED_VALUE"""),45454.6666666666)</f>
        <v>45454.666666666599</v>
      </c>
      <c r="B98" s="3">
        <v>6855.69</v>
      </c>
    </row>
    <row r="99" spans="1:2" x14ac:dyDescent="0.2">
      <c r="A99" s="2">
        <f ca="1">IFERROR(__xludf.DUMMYFUNCTION("""COMPUTED_VALUE"""),45455.6666666666)</f>
        <v>45455.666666666599</v>
      </c>
      <c r="B99" s="3">
        <v>6850.1</v>
      </c>
    </row>
    <row r="100" spans="1:2" x14ac:dyDescent="0.2">
      <c r="A100" s="2">
        <f ca="1">IFERROR(__xludf.DUMMYFUNCTION("""COMPUTED_VALUE"""),45456.6666666666)</f>
        <v>45456.666666666599</v>
      </c>
      <c r="B100" s="3">
        <v>6831.56</v>
      </c>
    </row>
    <row r="101" spans="1:2" x14ac:dyDescent="0.2">
      <c r="A101" s="2">
        <f ca="1">IFERROR(__xludf.DUMMYFUNCTION("""COMPUTED_VALUE"""),45457.6666666666)</f>
        <v>45457.666666666599</v>
      </c>
      <c r="B101" s="3">
        <v>6734.83</v>
      </c>
    </row>
    <row r="102" spans="1:2" x14ac:dyDescent="0.2">
      <c r="A102" s="2">
        <f ca="1">IFERROR(__xludf.DUMMYFUNCTION("""COMPUTED_VALUE"""),45462.6666666666)</f>
        <v>45462.666666666599</v>
      </c>
      <c r="B102" s="3">
        <v>6726.92</v>
      </c>
    </row>
    <row r="103" spans="1:2" x14ac:dyDescent="0.2">
      <c r="A103" s="2">
        <f ca="1">IFERROR(__xludf.DUMMYFUNCTION("""COMPUTED_VALUE"""),45463.6666666666)</f>
        <v>45463.666666666599</v>
      </c>
      <c r="B103" s="3">
        <v>6819.32</v>
      </c>
    </row>
    <row r="104" spans="1:2" x14ac:dyDescent="0.2">
      <c r="A104" s="2">
        <f ca="1">IFERROR(__xludf.DUMMYFUNCTION("""COMPUTED_VALUE"""),45464.6666666666)</f>
        <v>45464.666666666599</v>
      </c>
      <c r="B104" s="3">
        <v>6879.98</v>
      </c>
    </row>
    <row r="105" spans="1:2" x14ac:dyDescent="0.2">
      <c r="A105" s="2">
        <f ca="1">IFERROR(__xludf.DUMMYFUNCTION("""COMPUTED_VALUE"""),45467.6666666666)</f>
        <v>45467.666666666599</v>
      </c>
      <c r="B105" s="3">
        <v>6889.17</v>
      </c>
    </row>
    <row r="106" spans="1:2" x14ac:dyDescent="0.2">
      <c r="A106" s="2">
        <f ca="1">IFERROR(__xludf.DUMMYFUNCTION("""COMPUTED_VALUE"""),45468.6666666666)</f>
        <v>45468.666666666599</v>
      </c>
      <c r="B106" s="3">
        <v>6882.7</v>
      </c>
    </row>
    <row r="107" spans="1:2" x14ac:dyDescent="0.2">
      <c r="A107" s="2">
        <f ca="1">IFERROR(__xludf.DUMMYFUNCTION("""COMPUTED_VALUE"""),45469.6666666666)</f>
        <v>45469.666666666599</v>
      </c>
      <c r="B107" s="3">
        <v>6905.64</v>
      </c>
    </row>
    <row r="108" spans="1:2" x14ac:dyDescent="0.2">
      <c r="A108" s="2">
        <f ca="1">IFERROR(__xludf.DUMMYFUNCTION("""COMPUTED_VALUE"""),45470.6666666666)</f>
        <v>45470.666666666599</v>
      </c>
      <c r="B108" s="3">
        <v>6967.95</v>
      </c>
    </row>
    <row r="109" spans="1:2" x14ac:dyDescent="0.2">
      <c r="A109" s="2">
        <f ca="1">IFERROR(__xludf.DUMMYFUNCTION("""COMPUTED_VALUE"""),45471.6666666666)</f>
        <v>45471.666666666599</v>
      </c>
      <c r="B109" s="3">
        <v>7063.58</v>
      </c>
    </row>
    <row r="110" spans="1:2" x14ac:dyDescent="0.2">
      <c r="A110" s="2">
        <f ca="1">IFERROR(__xludf.DUMMYFUNCTION("""COMPUTED_VALUE"""),45474.6666666666)</f>
        <v>45474.666666666599</v>
      </c>
      <c r="B110" s="3">
        <v>7139.63</v>
      </c>
    </row>
    <row r="111" spans="1:2" x14ac:dyDescent="0.2">
      <c r="A111" s="2">
        <f ca="1">IFERROR(__xludf.DUMMYFUNCTION("""COMPUTED_VALUE"""),45475.6666666666)</f>
        <v>45475.666666666599</v>
      </c>
      <c r="B111" s="3">
        <v>7125.14</v>
      </c>
    </row>
    <row r="112" spans="1:2" x14ac:dyDescent="0.2">
      <c r="A112" s="2">
        <f ca="1">IFERROR(__xludf.DUMMYFUNCTION("""COMPUTED_VALUE"""),45476.6666666666)</f>
        <v>45476.666666666599</v>
      </c>
      <c r="B112" s="3">
        <v>7196.76</v>
      </c>
    </row>
    <row r="113" spans="1:2" x14ac:dyDescent="0.2">
      <c r="A113" s="2">
        <f ca="1">IFERROR(__xludf.DUMMYFUNCTION("""COMPUTED_VALUE"""),45477.6666666666)</f>
        <v>45477.666666666599</v>
      </c>
      <c r="B113" s="3">
        <v>7220.89</v>
      </c>
    </row>
    <row r="114" spans="1:2" x14ac:dyDescent="0.2">
      <c r="A114" s="2">
        <f ca="1">IFERROR(__xludf.DUMMYFUNCTION("""COMPUTED_VALUE"""),45478.6666666666)</f>
        <v>45478.666666666599</v>
      </c>
      <c r="B114" s="3">
        <v>7253.37</v>
      </c>
    </row>
    <row r="115" spans="1:2" x14ac:dyDescent="0.2">
      <c r="A115" s="2">
        <f ca="1">IFERROR(__xludf.DUMMYFUNCTION("""COMPUTED_VALUE"""),45481.6666666666)</f>
        <v>45481.666666666599</v>
      </c>
      <c r="B115" s="3">
        <v>7250.98</v>
      </c>
    </row>
    <row r="116" spans="1:2" x14ac:dyDescent="0.2">
      <c r="A116" s="2">
        <f ca="1">IFERROR(__xludf.DUMMYFUNCTION("""COMPUTED_VALUE"""),45482.6666666666)</f>
        <v>45482.666666666599</v>
      </c>
      <c r="B116" s="3">
        <v>7269.8</v>
      </c>
    </row>
    <row r="117" spans="1:2" x14ac:dyDescent="0.2">
      <c r="A117" s="2">
        <f ca="1">IFERROR(__xludf.DUMMYFUNCTION("""COMPUTED_VALUE"""),45483.6666666666)</f>
        <v>45483.666666666599</v>
      </c>
      <c r="B117" s="3">
        <v>7287.04</v>
      </c>
    </row>
    <row r="118" spans="1:2" x14ac:dyDescent="0.2">
      <c r="A118" s="2">
        <f ca="1">IFERROR(__xludf.DUMMYFUNCTION("""COMPUTED_VALUE"""),45484.6666666666)</f>
        <v>45484.666666666599</v>
      </c>
      <c r="B118" s="3">
        <v>7300.41</v>
      </c>
    </row>
    <row r="119" spans="1:2" x14ac:dyDescent="0.2">
      <c r="A119" s="2">
        <f ca="1">IFERROR(__xludf.DUMMYFUNCTION("""COMPUTED_VALUE"""),45485.6666666666)</f>
        <v>45485.666666666599</v>
      </c>
      <c r="B119" s="3">
        <v>7327.58</v>
      </c>
    </row>
    <row r="120" spans="1:2" x14ac:dyDescent="0.2">
      <c r="A120" s="2">
        <f ca="1">IFERROR(__xludf.DUMMYFUNCTION("""COMPUTED_VALUE"""),45488.6666666666)</f>
        <v>45488.666666666599</v>
      </c>
      <c r="B120" s="3">
        <v>7278.86</v>
      </c>
    </row>
    <row r="121" spans="1:2" x14ac:dyDescent="0.2">
      <c r="A121" s="2">
        <f ca="1">IFERROR(__xludf.DUMMYFUNCTION("""COMPUTED_VALUE"""),45489.6666666666)</f>
        <v>45489.666666666599</v>
      </c>
      <c r="B121" s="3">
        <v>7224.29</v>
      </c>
    </row>
    <row r="122" spans="1:2" x14ac:dyDescent="0.2">
      <c r="A122" s="2">
        <f ca="1">IFERROR(__xludf.DUMMYFUNCTION("""COMPUTED_VALUE"""),45490.6666666666)</f>
        <v>45490.666666666599</v>
      </c>
      <c r="B122" s="3">
        <v>7224.22</v>
      </c>
    </row>
    <row r="123" spans="1:2" x14ac:dyDescent="0.2">
      <c r="A123" s="2">
        <f ca="1">IFERROR(__xludf.DUMMYFUNCTION("""COMPUTED_VALUE"""),45491.6666666666)</f>
        <v>45491.666666666599</v>
      </c>
      <c r="B123" s="3">
        <v>7321.07</v>
      </c>
    </row>
    <row r="124" spans="1:2" x14ac:dyDescent="0.2">
      <c r="A124" s="2">
        <f ca="1">IFERROR(__xludf.DUMMYFUNCTION("""COMPUTED_VALUE"""),45492.6666666666)</f>
        <v>45492.666666666599</v>
      </c>
      <c r="B124" s="3">
        <v>7294.5</v>
      </c>
    </row>
    <row r="125" spans="1:2" x14ac:dyDescent="0.2">
      <c r="A125" s="2">
        <f ca="1">IFERROR(__xludf.DUMMYFUNCTION("""COMPUTED_VALUE"""),45495.6666666666)</f>
        <v>45495.666666666599</v>
      </c>
      <c r="B125" s="3">
        <v>7321.98</v>
      </c>
    </row>
    <row r="126" spans="1:2" x14ac:dyDescent="0.2">
      <c r="A126" s="2">
        <f ca="1">IFERROR(__xludf.DUMMYFUNCTION("""COMPUTED_VALUE"""),45496.6666666666)</f>
        <v>45496.666666666599</v>
      </c>
      <c r="B126" s="3">
        <v>7313.86</v>
      </c>
    </row>
    <row r="127" spans="1:2" x14ac:dyDescent="0.2">
      <c r="A127" s="2">
        <f ca="1">IFERROR(__xludf.DUMMYFUNCTION("""COMPUTED_VALUE"""),45497.6666666666)</f>
        <v>45497.666666666599</v>
      </c>
      <c r="B127" s="3">
        <v>7262.76</v>
      </c>
    </row>
    <row r="128" spans="1:2" x14ac:dyDescent="0.2">
      <c r="A128" s="2">
        <f ca="1">IFERROR(__xludf.DUMMYFUNCTION("""COMPUTED_VALUE"""),45498.6666666666)</f>
        <v>45498.666666666599</v>
      </c>
      <c r="B128" s="3">
        <v>7240.28</v>
      </c>
    </row>
    <row r="129" spans="1:2" x14ac:dyDescent="0.2">
      <c r="A129" s="2">
        <f ca="1">IFERROR(__xludf.DUMMYFUNCTION("""COMPUTED_VALUE"""),45499.6666666666)</f>
        <v>45499.666666666599</v>
      </c>
      <c r="B129" s="3">
        <v>7288.17</v>
      </c>
    </row>
    <row r="130" spans="1:2" x14ac:dyDescent="0.2">
      <c r="A130" s="2">
        <f ca="1">IFERROR(__xludf.DUMMYFUNCTION("""COMPUTED_VALUE"""),45502.6666666666)</f>
        <v>45502.666666666599</v>
      </c>
      <c r="B130" s="3">
        <v>7288.9</v>
      </c>
    </row>
    <row r="131" spans="1:2" x14ac:dyDescent="0.2">
      <c r="A131" s="2">
        <f ca="1">IFERROR(__xludf.DUMMYFUNCTION("""COMPUTED_VALUE"""),45503.6666666666)</f>
        <v>45503.666666666599</v>
      </c>
      <c r="B131" s="3">
        <v>7241.86</v>
      </c>
    </row>
    <row r="132" spans="1:2" x14ac:dyDescent="0.2">
      <c r="A132" s="2">
        <f ca="1">IFERROR(__xludf.DUMMYFUNCTION("""COMPUTED_VALUE"""),45504.6666666666)</f>
        <v>45504.666666666599</v>
      </c>
      <c r="B132" s="3">
        <v>7255.76</v>
      </c>
    </row>
    <row r="133" spans="1:2" x14ac:dyDescent="0.2">
      <c r="A133" s="2">
        <f ca="1">IFERROR(__xludf.DUMMYFUNCTION("""COMPUTED_VALUE"""),45505.6666666666)</f>
        <v>45505.666666666599</v>
      </c>
      <c r="B133" s="3">
        <v>7325.99</v>
      </c>
    </row>
    <row r="134" spans="1:2" x14ac:dyDescent="0.2">
      <c r="A134" s="2">
        <f ca="1">IFERROR(__xludf.DUMMYFUNCTION("""COMPUTED_VALUE"""),45506.6666666666)</f>
        <v>45506.666666666599</v>
      </c>
      <c r="B134" s="3">
        <v>7308.12</v>
      </c>
    </row>
    <row r="135" spans="1:2" x14ac:dyDescent="0.2">
      <c r="A135" s="2">
        <f ca="1">IFERROR(__xludf.DUMMYFUNCTION("""COMPUTED_VALUE"""),45509.6666666666)</f>
        <v>45509.666666666599</v>
      </c>
      <c r="B135" s="3">
        <v>7059.65</v>
      </c>
    </row>
    <row r="136" spans="1:2" x14ac:dyDescent="0.2">
      <c r="A136" s="2">
        <f ca="1">IFERROR(__xludf.DUMMYFUNCTION("""COMPUTED_VALUE"""),45510.6666666666)</f>
        <v>45510.666666666599</v>
      </c>
      <c r="B136" s="3">
        <v>7129.22</v>
      </c>
    </row>
    <row r="137" spans="1:2" x14ac:dyDescent="0.2">
      <c r="A137" s="2">
        <f ca="1">IFERROR(__xludf.DUMMYFUNCTION("""COMPUTED_VALUE"""),45511.6666666666)</f>
        <v>45511.666666666599</v>
      </c>
      <c r="B137" s="3">
        <v>7212.13</v>
      </c>
    </row>
    <row r="138" spans="1:2" x14ac:dyDescent="0.2">
      <c r="A138" s="2">
        <f ca="1">IFERROR(__xludf.DUMMYFUNCTION("""COMPUTED_VALUE"""),45512.6666666666)</f>
        <v>45512.666666666599</v>
      </c>
      <c r="B138" s="3">
        <v>7195.12</v>
      </c>
    </row>
    <row r="139" spans="1:2" x14ac:dyDescent="0.2">
      <c r="A139" s="2">
        <f ca="1">IFERROR(__xludf.DUMMYFUNCTION("""COMPUTED_VALUE"""),45513.6666666666)</f>
        <v>45513.666666666599</v>
      </c>
      <c r="B139" s="3">
        <v>7257</v>
      </c>
    </row>
    <row r="140" spans="1:2" x14ac:dyDescent="0.2">
      <c r="A140" s="2">
        <f ca="1">IFERROR(__xludf.DUMMYFUNCTION("""COMPUTED_VALUE"""),45516.6666666666)</f>
        <v>45516.666666666599</v>
      </c>
      <c r="B140" s="3">
        <v>7297.63</v>
      </c>
    </row>
    <row r="141" spans="1:2" x14ac:dyDescent="0.2">
      <c r="A141" s="2">
        <f ca="1">IFERROR(__xludf.DUMMYFUNCTION("""COMPUTED_VALUE"""),45517.6666666666)</f>
        <v>45517.666666666599</v>
      </c>
      <c r="B141" s="3">
        <v>7356.64</v>
      </c>
    </row>
    <row r="142" spans="1:2" x14ac:dyDescent="0.2">
      <c r="A142" s="2">
        <f ca="1">IFERROR(__xludf.DUMMYFUNCTION("""COMPUTED_VALUE"""),45518.6666666666)</f>
        <v>45518.666666666599</v>
      </c>
      <c r="B142" s="3">
        <v>7436.04</v>
      </c>
    </row>
    <row r="143" spans="1:2" x14ac:dyDescent="0.2">
      <c r="A143" s="2">
        <f ca="1">IFERROR(__xludf.DUMMYFUNCTION("""COMPUTED_VALUE"""),45519.6666666666)</f>
        <v>45519.666666666599</v>
      </c>
      <c r="B143" s="3">
        <v>7409.5</v>
      </c>
    </row>
    <row r="144" spans="1:2" x14ac:dyDescent="0.2">
      <c r="A144" s="2">
        <f ca="1">IFERROR(__xludf.DUMMYFUNCTION("""COMPUTED_VALUE"""),45520.6666666666)</f>
        <v>45520.666666666599</v>
      </c>
      <c r="B144" s="3">
        <v>7432.09</v>
      </c>
    </row>
    <row r="145" spans="1:2" x14ac:dyDescent="0.2">
      <c r="A145" s="2">
        <f ca="1">IFERROR(__xludf.DUMMYFUNCTION("""COMPUTED_VALUE"""),45523.6666666666)</f>
        <v>45523.666666666599</v>
      </c>
      <c r="B145" s="3">
        <v>7466.83</v>
      </c>
    </row>
    <row r="146" spans="1:2" x14ac:dyDescent="0.2">
      <c r="A146" s="2">
        <f ca="1">IFERROR(__xludf.DUMMYFUNCTION("""COMPUTED_VALUE"""),45524.6666666666)</f>
        <v>45524.666666666599</v>
      </c>
      <c r="B146" s="3">
        <v>7533.99</v>
      </c>
    </row>
    <row r="147" spans="1:2" x14ac:dyDescent="0.2">
      <c r="A147" s="2">
        <f ca="1">IFERROR(__xludf.DUMMYFUNCTION("""COMPUTED_VALUE"""),45525.6666666666)</f>
        <v>45525.666666666599</v>
      </c>
      <c r="B147" s="3">
        <v>7554.59</v>
      </c>
    </row>
    <row r="148" spans="1:2" x14ac:dyDescent="0.2">
      <c r="A148" s="2">
        <f ca="1">IFERROR(__xludf.DUMMYFUNCTION("""COMPUTED_VALUE"""),45526.6666666666)</f>
        <v>45526.666666666599</v>
      </c>
      <c r="B148" s="3">
        <v>7488.68</v>
      </c>
    </row>
    <row r="149" spans="1:2" x14ac:dyDescent="0.2">
      <c r="A149" s="2">
        <f ca="1">IFERROR(__xludf.DUMMYFUNCTION("""COMPUTED_VALUE"""),45527.6666666666)</f>
        <v>45527.666666666599</v>
      </c>
      <c r="B149" s="3">
        <v>7544.3</v>
      </c>
    </row>
    <row r="150" spans="1:2" x14ac:dyDescent="0.2">
      <c r="A150" s="2">
        <f ca="1">IFERROR(__xludf.DUMMYFUNCTION("""COMPUTED_VALUE"""),45530.6666666666)</f>
        <v>45530.666666666599</v>
      </c>
      <c r="B150" s="3">
        <v>7606.2</v>
      </c>
    </row>
    <row r="151" spans="1:2" x14ac:dyDescent="0.2">
      <c r="A151" s="2">
        <f ca="1">IFERROR(__xludf.DUMMYFUNCTION("""COMPUTED_VALUE"""),45531.6666666666)</f>
        <v>45531.666666666599</v>
      </c>
      <c r="B151" s="3">
        <v>7597.88</v>
      </c>
    </row>
    <row r="152" spans="1:2" x14ac:dyDescent="0.2">
      <c r="A152" s="2">
        <f ca="1">IFERROR(__xludf.DUMMYFUNCTION("""COMPUTED_VALUE"""),45532.6666666666)</f>
        <v>45532.666666666599</v>
      </c>
      <c r="B152" s="3">
        <v>7658.88</v>
      </c>
    </row>
    <row r="153" spans="1:2" x14ac:dyDescent="0.2">
      <c r="A153" s="2">
        <f ca="1">IFERROR(__xludf.DUMMYFUNCTION("""COMPUTED_VALUE"""),45533.6666666666)</f>
        <v>45533.666666666599</v>
      </c>
      <c r="B153" s="3">
        <v>7627.6</v>
      </c>
    </row>
    <row r="154" spans="1:2" x14ac:dyDescent="0.2">
      <c r="A154" s="2">
        <f ca="1">IFERROR(__xludf.DUMMYFUNCTION("""COMPUTED_VALUE"""),45534.6666666666)</f>
        <v>45534.666666666599</v>
      </c>
      <c r="B154" s="3">
        <v>7670.73</v>
      </c>
    </row>
    <row r="155" spans="1:2" x14ac:dyDescent="0.2">
      <c r="A155" s="2">
        <f ca="1">IFERROR(__xludf.DUMMYFUNCTION("""COMPUTED_VALUE"""),45537.6666666666)</f>
        <v>45537.666666666599</v>
      </c>
      <c r="B155" s="3">
        <v>7694.53</v>
      </c>
    </row>
    <row r="156" spans="1:2" x14ac:dyDescent="0.2">
      <c r="A156" s="2">
        <f ca="1">IFERROR(__xludf.DUMMYFUNCTION("""COMPUTED_VALUE"""),45538.6666666666)</f>
        <v>45538.666666666599</v>
      </c>
      <c r="B156" s="3">
        <v>7616.52</v>
      </c>
    </row>
    <row r="157" spans="1:2" x14ac:dyDescent="0.2">
      <c r="A157" s="2">
        <f ca="1">IFERROR(__xludf.DUMMYFUNCTION("""COMPUTED_VALUE"""),45539.6666666666)</f>
        <v>45539.666666666599</v>
      </c>
      <c r="B157" s="3">
        <v>7672.9</v>
      </c>
    </row>
    <row r="158" spans="1:2" x14ac:dyDescent="0.2">
      <c r="A158" s="2">
        <f ca="1">IFERROR(__xludf.DUMMYFUNCTION("""COMPUTED_VALUE"""),45540.6666666666)</f>
        <v>45540.666666666599</v>
      </c>
      <c r="B158" s="3">
        <v>7681.04</v>
      </c>
    </row>
    <row r="159" spans="1:2" x14ac:dyDescent="0.2">
      <c r="A159" s="2">
        <f ca="1">IFERROR(__xludf.DUMMYFUNCTION("""COMPUTED_VALUE"""),45541.6666666666)</f>
        <v>45541.666666666599</v>
      </c>
      <c r="B159" s="3">
        <v>7721.85</v>
      </c>
    </row>
    <row r="160" spans="1:2" x14ac:dyDescent="0.2">
      <c r="A160" s="2">
        <f ca="1">IFERROR(__xludf.DUMMYFUNCTION("""COMPUTED_VALUE"""),45544.6666666666)</f>
        <v>45544.666666666599</v>
      </c>
      <c r="B160" s="3">
        <v>7702.74</v>
      </c>
    </row>
    <row r="161" spans="1:2" x14ac:dyDescent="0.2">
      <c r="A161" s="2">
        <f ca="1">IFERROR(__xludf.DUMMYFUNCTION("""COMPUTED_VALUE"""),45545.6666666666)</f>
        <v>45545.666666666599</v>
      </c>
      <c r="B161" s="3">
        <v>7761.39</v>
      </c>
    </row>
    <row r="162" spans="1:2" x14ac:dyDescent="0.2">
      <c r="A162" s="2">
        <f ca="1">IFERROR(__xludf.DUMMYFUNCTION("""COMPUTED_VALUE"""),45546.6666666666)</f>
        <v>45546.666666666599</v>
      </c>
      <c r="B162" s="3">
        <v>7760.96</v>
      </c>
    </row>
    <row r="163" spans="1:2" x14ac:dyDescent="0.2">
      <c r="A163" s="2">
        <f ca="1">IFERROR(__xludf.DUMMYFUNCTION("""COMPUTED_VALUE"""),45547.6666666666)</f>
        <v>45547.666666666599</v>
      </c>
      <c r="B163" s="3">
        <v>7798.15</v>
      </c>
    </row>
    <row r="164" spans="1:2" x14ac:dyDescent="0.2">
      <c r="A164" s="2">
        <f ca="1">IFERROR(__xludf.DUMMYFUNCTION("""COMPUTED_VALUE"""),45548.6666666666)</f>
        <v>45548.666666666599</v>
      </c>
      <c r="B164" s="3">
        <v>7812.13</v>
      </c>
    </row>
    <row r="165" spans="1:2" x14ac:dyDescent="0.2">
      <c r="A165" s="2">
        <f ca="1">IFERROR(__xludf.DUMMYFUNCTION("""COMPUTED_VALUE"""),45552.6666666666)</f>
        <v>45552.666666666599</v>
      </c>
      <c r="B165" s="3">
        <v>7831.78</v>
      </c>
    </row>
    <row r="166" spans="1:2" x14ac:dyDescent="0.2">
      <c r="A166" s="2">
        <f ca="1">IFERROR(__xludf.DUMMYFUNCTION("""COMPUTED_VALUE"""),45553.6666666666)</f>
        <v>45553.666666666599</v>
      </c>
      <c r="B166" s="3">
        <v>7829.14</v>
      </c>
    </row>
    <row r="167" spans="1:2" x14ac:dyDescent="0.2">
      <c r="A167" s="2">
        <f ca="1">IFERROR(__xludf.DUMMYFUNCTION("""COMPUTED_VALUE"""),45554.6666666666)</f>
        <v>45554.666666666599</v>
      </c>
      <c r="B167" s="3">
        <v>7905.39</v>
      </c>
    </row>
    <row r="168" spans="1:2" x14ac:dyDescent="0.2">
      <c r="A168" s="2">
        <f ca="1">IFERROR(__xludf.DUMMYFUNCTION("""COMPUTED_VALUE"""),45555.6666666666)</f>
        <v>45555.666666666599</v>
      </c>
      <c r="B168" s="3">
        <v>7743</v>
      </c>
    </row>
    <row r="169" spans="1:2" x14ac:dyDescent="0.2">
      <c r="A169" s="2">
        <f ca="1">IFERROR(__xludf.DUMMYFUNCTION("""COMPUTED_VALUE"""),45558.6666666666)</f>
        <v>45558.666666666599</v>
      </c>
      <c r="B169" s="3">
        <v>7775.73</v>
      </c>
    </row>
    <row r="170" spans="1:2" x14ac:dyDescent="0.2">
      <c r="A170" s="2">
        <f ca="1">IFERROR(__xludf.DUMMYFUNCTION("""COMPUTED_VALUE"""),45559.6666666666)</f>
        <v>45559.666666666599</v>
      </c>
      <c r="B170" s="3">
        <v>7778.49</v>
      </c>
    </row>
    <row r="171" spans="1:2" x14ac:dyDescent="0.2">
      <c r="A171" s="2">
        <f ca="1">IFERROR(__xludf.DUMMYFUNCTION("""COMPUTED_VALUE"""),45560.6666666666)</f>
        <v>45560.666666666599</v>
      </c>
      <c r="B171" s="3">
        <v>7740.9</v>
      </c>
    </row>
    <row r="172" spans="1:2" x14ac:dyDescent="0.2">
      <c r="A172" s="2">
        <f ca="1">IFERROR(__xludf.DUMMYFUNCTION("""COMPUTED_VALUE"""),45561.6666666666)</f>
        <v>45561.666666666599</v>
      </c>
      <c r="B172" s="3">
        <v>7744.52</v>
      </c>
    </row>
    <row r="173" spans="1:2" x14ac:dyDescent="0.2">
      <c r="A173" s="2">
        <f ca="1">IFERROR(__xludf.DUMMYFUNCTION("""COMPUTED_VALUE"""),45562.6666666666)</f>
        <v>45562.666666666599</v>
      </c>
      <c r="B173" s="3">
        <v>7696.92</v>
      </c>
    </row>
    <row r="174" spans="1:2" x14ac:dyDescent="0.2">
      <c r="A174" s="2">
        <f ca="1">IFERROR(__xludf.DUMMYFUNCTION("""COMPUTED_VALUE"""),45565.6666666666)</f>
        <v>45565.666666666599</v>
      </c>
      <c r="B174" s="3">
        <v>7527.93</v>
      </c>
    </row>
    <row r="175" spans="1:2" x14ac:dyDescent="0.2">
      <c r="A175" s="2">
        <f ca="1">IFERROR(__xludf.DUMMYFUNCTION("""COMPUTED_VALUE"""),45566.6666666666)</f>
        <v>45566.666666666599</v>
      </c>
      <c r="B175" s="3">
        <v>7642.13</v>
      </c>
    </row>
    <row r="176" spans="1:2" x14ac:dyDescent="0.2">
      <c r="A176" s="2">
        <f ca="1">IFERROR(__xludf.DUMMYFUNCTION("""COMPUTED_VALUE"""),45567.6666666666)</f>
        <v>45567.666666666599</v>
      </c>
      <c r="B176" s="3">
        <v>7563.26</v>
      </c>
    </row>
    <row r="177" spans="1:2" x14ac:dyDescent="0.2">
      <c r="A177" s="2">
        <f ca="1">IFERROR(__xludf.DUMMYFUNCTION("""COMPUTED_VALUE"""),45568.6666666666)</f>
        <v>45568.666666666599</v>
      </c>
      <c r="B177" s="3">
        <v>7543.83</v>
      </c>
    </row>
    <row r="178" spans="1:2" x14ac:dyDescent="0.2">
      <c r="A178" s="2">
        <f ca="1">IFERROR(__xludf.DUMMYFUNCTION("""COMPUTED_VALUE"""),45569.6666666666)</f>
        <v>45569.666666666599</v>
      </c>
      <c r="B178" s="3">
        <v>7496.09</v>
      </c>
    </row>
    <row r="179" spans="1:2" x14ac:dyDescent="0.2">
      <c r="A179" s="2">
        <f ca="1">IFERROR(__xludf.DUMMYFUNCTION("""COMPUTED_VALUE"""),45572.6666666666)</f>
        <v>45572.666666666599</v>
      </c>
      <c r="B179" s="3">
        <v>7504.14</v>
      </c>
    </row>
    <row r="180" spans="1:2" x14ac:dyDescent="0.2">
      <c r="A180" s="2">
        <f ca="1">IFERROR(__xludf.DUMMYFUNCTION("""COMPUTED_VALUE"""),45573.6666666666)</f>
        <v>45573.666666666599</v>
      </c>
      <c r="B180" s="3">
        <v>7557.14</v>
      </c>
    </row>
    <row r="181" spans="1:2" x14ac:dyDescent="0.2">
      <c r="A181" s="2">
        <f ca="1">IFERROR(__xludf.DUMMYFUNCTION("""COMPUTED_VALUE"""),45574.6666666666)</f>
        <v>45574.666666666599</v>
      </c>
      <c r="B181" s="3">
        <v>7501.29</v>
      </c>
    </row>
    <row r="182" spans="1:2" x14ac:dyDescent="0.2">
      <c r="A182" s="2">
        <f ca="1">IFERROR(__xludf.DUMMYFUNCTION("""COMPUTED_VALUE"""),45575.6666666666)</f>
        <v>45575.666666666599</v>
      </c>
      <c r="B182" s="3">
        <v>7480.08</v>
      </c>
    </row>
    <row r="183" spans="1:2" x14ac:dyDescent="0.2">
      <c r="A183" s="2">
        <f ca="1">IFERROR(__xludf.DUMMYFUNCTION("""COMPUTED_VALUE"""),45576.6666666666)</f>
        <v>45576.666666666599</v>
      </c>
      <c r="B183" s="3">
        <v>7520.6</v>
      </c>
    </row>
    <row r="184" spans="1:2" x14ac:dyDescent="0.2">
      <c r="A184" s="2">
        <f ca="1">IFERROR(__xludf.DUMMYFUNCTION("""COMPUTED_VALUE"""),45579.6666666666)</f>
        <v>45579.666666666599</v>
      </c>
      <c r="B184" s="3">
        <v>7559.66</v>
      </c>
    </row>
    <row r="185" spans="1:2" x14ac:dyDescent="0.2">
      <c r="A185" s="2">
        <f ca="1">IFERROR(__xludf.DUMMYFUNCTION("""COMPUTED_VALUE"""),45580.6666666666)</f>
        <v>45580.666666666599</v>
      </c>
      <c r="B185" s="3">
        <v>7626.95</v>
      </c>
    </row>
    <row r="186" spans="1:2" x14ac:dyDescent="0.2">
      <c r="A186" s="2">
        <f ca="1">IFERROR(__xludf.DUMMYFUNCTION("""COMPUTED_VALUE"""),45581.6666666666)</f>
        <v>45581.666666666599</v>
      </c>
      <c r="B186" s="3">
        <v>7648.94</v>
      </c>
    </row>
    <row r="187" spans="1:2" x14ac:dyDescent="0.2">
      <c r="A187" s="2">
        <f ca="1">IFERROR(__xludf.DUMMYFUNCTION("""COMPUTED_VALUE"""),45582.6666666666)</f>
        <v>45582.666666666599</v>
      </c>
      <c r="B187" s="3">
        <v>7735.04</v>
      </c>
    </row>
    <row r="188" spans="1:2" x14ac:dyDescent="0.2">
      <c r="A188" s="2">
        <f ca="1">IFERROR(__xludf.DUMMYFUNCTION("""COMPUTED_VALUE"""),45583.6666666666)</f>
        <v>45583.666666666599</v>
      </c>
      <c r="B188" s="3">
        <v>7760.06</v>
      </c>
    </row>
    <row r="189" spans="1:2" x14ac:dyDescent="0.2">
      <c r="A189" s="2">
        <f ca="1">IFERROR(__xludf.DUMMYFUNCTION("""COMPUTED_VALUE"""),45586.6666666666)</f>
        <v>45586.666666666599</v>
      </c>
      <c r="B189" s="3">
        <v>7772.6</v>
      </c>
    </row>
    <row r="190" spans="1:2" x14ac:dyDescent="0.2">
      <c r="A190" s="2">
        <f ca="1">IFERROR(__xludf.DUMMYFUNCTION("""COMPUTED_VALUE"""),45587.6666666666)</f>
        <v>45587.666666666599</v>
      </c>
      <c r="B190" s="3">
        <v>7788.98</v>
      </c>
    </row>
    <row r="191" spans="1:2" x14ac:dyDescent="0.2">
      <c r="A191" s="2">
        <f ca="1">IFERROR(__xludf.DUMMYFUNCTION("""COMPUTED_VALUE"""),45588.6666666666)</f>
        <v>45588.666666666599</v>
      </c>
      <c r="B191" s="3">
        <v>7787.57</v>
      </c>
    </row>
    <row r="192" spans="1:2" x14ac:dyDescent="0.2">
      <c r="A192" s="2">
        <f ca="1">IFERROR(__xludf.DUMMYFUNCTION("""COMPUTED_VALUE"""),45589.6666666666)</f>
        <v>45589.666666666599</v>
      </c>
      <c r="B192" s="3">
        <v>7716.55</v>
      </c>
    </row>
    <row r="193" spans="1:2" x14ac:dyDescent="0.2">
      <c r="A193" s="2">
        <f ca="1">IFERROR(__xludf.DUMMYFUNCTION("""COMPUTED_VALUE"""),45590.6666666666)</f>
        <v>45590.666666666599</v>
      </c>
      <c r="B193" s="3">
        <v>7694.66</v>
      </c>
    </row>
    <row r="194" spans="1:2" x14ac:dyDescent="0.2">
      <c r="A194" s="2">
        <f ca="1">IFERROR(__xludf.DUMMYFUNCTION("""COMPUTED_VALUE"""),45593.6666666666)</f>
        <v>45593.666666666599</v>
      </c>
      <c r="B194" s="3">
        <v>7634.63</v>
      </c>
    </row>
    <row r="195" spans="1:2" x14ac:dyDescent="0.2">
      <c r="A195" s="2">
        <f ca="1">IFERROR(__xludf.DUMMYFUNCTION("""COMPUTED_VALUE"""),45594.6666666666)</f>
        <v>45594.666666666599</v>
      </c>
      <c r="B195" s="3">
        <v>7606.6</v>
      </c>
    </row>
    <row r="196" spans="1:2" x14ac:dyDescent="0.2">
      <c r="A196" s="2">
        <f ca="1">IFERROR(__xludf.DUMMYFUNCTION("""COMPUTED_VALUE"""),45595.6666666666)</f>
        <v>45595.666666666599</v>
      </c>
      <c r="B196" s="3">
        <v>7569.85</v>
      </c>
    </row>
    <row r="197" spans="1:2" x14ac:dyDescent="0.2">
      <c r="A197" s="2">
        <f ca="1">IFERROR(__xludf.DUMMYFUNCTION("""COMPUTED_VALUE"""),45596.6666666666)</f>
        <v>45596.666666666599</v>
      </c>
      <c r="B197" s="3">
        <v>7574.02</v>
      </c>
    </row>
    <row r="198" spans="1:2" x14ac:dyDescent="0.2">
      <c r="A198" s="2">
        <f ca="1">IFERROR(__xludf.DUMMYFUNCTION("""COMPUTED_VALUE"""),45597.6666666666)</f>
        <v>45597.666666666599</v>
      </c>
      <c r="B198" s="3">
        <v>7505.26</v>
      </c>
    </row>
    <row r="199" spans="1:2" x14ac:dyDescent="0.2">
      <c r="A199" s="2">
        <f ca="1">IFERROR(__xludf.DUMMYFUNCTION("""COMPUTED_VALUE"""),45600.6666666666)</f>
        <v>45600.666666666599</v>
      </c>
      <c r="B199" s="3">
        <v>7479.5</v>
      </c>
    </row>
    <row r="200" spans="1:2" x14ac:dyDescent="0.2">
      <c r="A200" s="2">
        <f ca="1">IFERROR(__xludf.DUMMYFUNCTION("""COMPUTED_VALUE"""),45601.6666666666)</f>
        <v>45601.666666666599</v>
      </c>
      <c r="B200" s="3">
        <v>7491.93</v>
      </c>
    </row>
    <row r="201" spans="1:2" x14ac:dyDescent="0.2">
      <c r="A201" s="2">
        <f ca="1">IFERROR(__xludf.DUMMYFUNCTION("""COMPUTED_VALUE"""),45602.6666666666)</f>
        <v>45602.666666666599</v>
      </c>
      <c r="B201" s="3">
        <v>7383.87</v>
      </c>
    </row>
    <row r="202" spans="1:2" x14ac:dyDescent="0.2">
      <c r="A202" s="2">
        <f ca="1">IFERROR(__xludf.DUMMYFUNCTION("""COMPUTED_VALUE"""),45603.6666666666)</f>
        <v>45603.666666666599</v>
      </c>
      <c r="B202" s="3">
        <v>7243.86</v>
      </c>
    </row>
    <row r="203" spans="1:2" x14ac:dyDescent="0.2">
      <c r="A203" s="2">
        <f ca="1">IFERROR(__xludf.DUMMYFUNCTION("""COMPUTED_VALUE"""),45604.6666666666)</f>
        <v>45604.666666666599</v>
      </c>
      <c r="B203" s="3">
        <v>7287.19</v>
      </c>
    </row>
    <row r="204" spans="1:2" x14ac:dyDescent="0.2">
      <c r="A204" s="2">
        <f ca="1">IFERROR(__xludf.DUMMYFUNCTION("""COMPUTED_VALUE"""),45607.6666666666)</f>
        <v>45607.666666666599</v>
      </c>
      <c r="B204" s="3">
        <v>7266.46</v>
      </c>
    </row>
    <row r="205" spans="1:2" x14ac:dyDescent="0.2">
      <c r="A205" s="2">
        <f ca="1">IFERROR(__xludf.DUMMYFUNCTION("""COMPUTED_VALUE"""),45608.6666666666)</f>
        <v>45608.666666666599</v>
      </c>
      <c r="B205" s="3">
        <v>7321.99</v>
      </c>
    </row>
    <row r="206" spans="1:2" x14ac:dyDescent="0.2">
      <c r="A206" s="2">
        <f ca="1">IFERROR(__xludf.DUMMYFUNCTION("""COMPUTED_VALUE"""),45609.6666666666)</f>
        <v>45609.666666666599</v>
      </c>
      <c r="B206" s="3">
        <v>7308.67</v>
      </c>
    </row>
    <row r="207" spans="1:2" x14ac:dyDescent="0.2">
      <c r="A207" s="2">
        <f ca="1">IFERROR(__xludf.DUMMYFUNCTION("""COMPUTED_VALUE"""),45610.6666666666)</f>
        <v>45610.666666666599</v>
      </c>
      <c r="B207" s="3">
        <v>7214.56</v>
      </c>
    </row>
    <row r="208" spans="1:2" x14ac:dyDescent="0.2">
      <c r="A208" s="2">
        <f ca="1">IFERROR(__xludf.DUMMYFUNCTION("""COMPUTED_VALUE"""),45611.6666666666)</f>
        <v>45611.666666666599</v>
      </c>
      <c r="B208" s="3">
        <v>7161.26</v>
      </c>
    </row>
    <row r="209" spans="1:2" x14ac:dyDescent="0.2">
      <c r="A209" s="2">
        <f ca="1">IFERROR(__xludf.DUMMYFUNCTION("""COMPUTED_VALUE"""),45614.6666666666)</f>
        <v>45614.666666666599</v>
      </c>
      <c r="B209" s="3">
        <v>7134.28</v>
      </c>
    </row>
    <row r="210" spans="1:2" x14ac:dyDescent="0.2">
      <c r="A210" s="2">
        <f ca="1">IFERROR(__xludf.DUMMYFUNCTION("""COMPUTED_VALUE"""),45615.6666666666)</f>
        <v>45615.666666666599</v>
      </c>
      <c r="B210" s="3">
        <v>7195.72</v>
      </c>
    </row>
    <row r="211" spans="1:2" x14ac:dyDescent="0.2">
      <c r="A211" s="2">
        <f ca="1">IFERROR(__xludf.DUMMYFUNCTION("""COMPUTED_VALUE"""),45616.6666666666)</f>
        <v>45616.666666666599</v>
      </c>
      <c r="B211" s="3">
        <v>7180.34</v>
      </c>
    </row>
    <row r="212" spans="1:2" x14ac:dyDescent="0.2">
      <c r="A212" s="2">
        <f ca="1">IFERROR(__xludf.DUMMYFUNCTION("""COMPUTED_VALUE"""),45617.6666666666)</f>
        <v>45617.666666666599</v>
      </c>
      <c r="B212" s="3">
        <v>7140.91</v>
      </c>
    </row>
    <row r="213" spans="1:2" x14ac:dyDescent="0.2">
      <c r="A213" s="2">
        <f ca="1">IFERROR(__xludf.DUMMYFUNCTION("""COMPUTED_VALUE"""),45618.6666666666)</f>
        <v>45618.666666666599</v>
      </c>
      <c r="B213" s="3">
        <v>7195.57</v>
      </c>
    </row>
    <row r="214" spans="1:2" x14ac:dyDescent="0.2">
      <c r="A214" s="2">
        <f ca="1">IFERROR(__xludf.DUMMYFUNCTION("""COMPUTED_VALUE"""),45621.6666666666)</f>
        <v>45621.666666666599</v>
      </c>
      <c r="B214" s="3">
        <v>7314.11</v>
      </c>
    </row>
    <row r="215" spans="1:2" x14ac:dyDescent="0.2">
      <c r="A215" s="2">
        <f ca="1">IFERROR(__xludf.DUMMYFUNCTION("""COMPUTED_VALUE"""),45622.6666666666)</f>
        <v>45622.666666666599</v>
      </c>
      <c r="B215" s="3">
        <v>7245.89</v>
      </c>
    </row>
    <row r="216" spans="1:2" x14ac:dyDescent="0.2">
      <c r="A216" s="2">
        <f ca="1">IFERROR(__xludf.DUMMYFUNCTION("""COMPUTED_VALUE"""),45624.6666666666)</f>
        <v>45624.666666666599</v>
      </c>
      <c r="B216" s="3">
        <v>7200.16</v>
      </c>
    </row>
    <row r="217" spans="1:2" x14ac:dyDescent="0.2">
      <c r="A217" s="2">
        <f ca="1">IFERROR(__xludf.DUMMYFUNCTION("""COMPUTED_VALUE"""),45625.6666666666)</f>
        <v>45625.666666666599</v>
      </c>
      <c r="B217" s="3">
        <v>7114.27</v>
      </c>
    </row>
    <row r="218" spans="1:2" x14ac:dyDescent="0.2">
      <c r="A218" s="2">
        <f ca="1">IFERROR(__xludf.DUMMYFUNCTION("""COMPUTED_VALUE"""),45628.6666666666)</f>
        <v>45628.666666666599</v>
      </c>
      <c r="B218" s="3">
        <v>7046.99</v>
      </c>
    </row>
    <row r="219" spans="1:2" x14ac:dyDescent="0.2">
      <c r="A219" s="2">
        <f ca="1">IFERROR(__xludf.DUMMYFUNCTION("""COMPUTED_VALUE"""),45629.6666666666)</f>
        <v>45629.666666666599</v>
      </c>
      <c r="B219" s="3">
        <v>7196.02</v>
      </c>
    </row>
    <row r="220" spans="1:2" x14ac:dyDescent="0.2">
      <c r="A220" s="2">
        <f ca="1">IFERROR(__xludf.DUMMYFUNCTION("""COMPUTED_VALUE"""),45630.6666666666)</f>
        <v>45630.666666666599</v>
      </c>
      <c r="B220" s="3">
        <v>7326.76</v>
      </c>
    </row>
    <row r="221" spans="1:2" x14ac:dyDescent="0.2">
      <c r="A221" s="2">
        <f ca="1">IFERROR(__xludf.DUMMYFUNCTION("""COMPUTED_VALUE"""),45631.6666666666)</f>
        <v>45631.666666666599</v>
      </c>
      <c r="B221" s="3">
        <v>7313.31</v>
      </c>
    </row>
    <row r="222" spans="1:2" x14ac:dyDescent="0.2">
      <c r="A222" s="2">
        <f ca="1">IFERROR(__xludf.DUMMYFUNCTION("""COMPUTED_VALUE"""),45632.6666666666)</f>
        <v>45632.666666666599</v>
      </c>
      <c r="B222" s="3">
        <v>7382.79</v>
      </c>
    </row>
    <row r="223" spans="1:2" x14ac:dyDescent="0.2">
      <c r="A223" s="2">
        <f ca="1">IFERROR(__xludf.DUMMYFUNCTION("""COMPUTED_VALUE"""),45635.6666666666)</f>
        <v>45635.666666666599</v>
      </c>
      <c r="B223" s="3">
        <v>7437.73</v>
      </c>
    </row>
    <row r="224" spans="1:2" x14ac:dyDescent="0.2">
      <c r="A224" s="2">
        <f ca="1">IFERROR(__xludf.DUMMYFUNCTION("""COMPUTED_VALUE"""),45636.6666666666)</f>
        <v>45636.666666666599</v>
      </c>
      <c r="B224" s="3">
        <v>7453.29</v>
      </c>
    </row>
    <row r="225" spans="1:2" x14ac:dyDescent="0.2">
      <c r="A225" s="2">
        <f ca="1">IFERROR(__xludf.DUMMYFUNCTION("""COMPUTED_VALUE"""),45637.6666666666)</f>
        <v>45637.666666666599</v>
      </c>
      <c r="B225" s="3">
        <v>7464.75</v>
      </c>
    </row>
    <row r="226" spans="1:2" x14ac:dyDescent="0.2">
      <c r="A226" s="2">
        <f ca="1">IFERROR(__xludf.DUMMYFUNCTION("""COMPUTED_VALUE"""),45638.6666666666)</f>
        <v>45638.666666666599</v>
      </c>
      <c r="B226" s="3">
        <v>7394.24</v>
      </c>
    </row>
    <row r="227" spans="1:2" x14ac:dyDescent="0.2">
      <c r="A227" s="2">
        <f ca="1">IFERROR(__xludf.DUMMYFUNCTION("""COMPUTED_VALUE"""),45639.6666666666)</f>
        <v>45639.666666666599</v>
      </c>
      <c r="B227" s="3">
        <v>7324.79</v>
      </c>
    </row>
    <row r="228" spans="1:2" x14ac:dyDescent="0.2">
      <c r="A228" s="2">
        <f ca="1">IFERROR(__xludf.DUMMYFUNCTION("""COMPUTED_VALUE"""),45642.6666666666)</f>
        <v>45642.666666666599</v>
      </c>
      <c r="B228" s="3">
        <v>7258.63</v>
      </c>
    </row>
    <row r="229" spans="1:2" x14ac:dyDescent="0.2">
      <c r="A229" s="2">
        <f ca="1">IFERROR(__xludf.DUMMYFUNCTION("""COMPUTED_VALUE"""),45643.6666666666)</f>
        <v>45643.666666666599</v>
      </c>
      <c r="B229" s="3">
        <v>7157.73</v>
      </c>
    </row>
    <row r="230" spans="1:2" x14ac:dyDescent="0.2">
      <c r="A230" s="2">
        <f ca="1">IFERROR(__xludf.DUMMYFUNCTION("""COMPUTED_VALUE"""),45644.6666666666)</f>
        <v>45644.666666666599</v>
      </c>
      <c r="B230" s="3">
        <v>7107.88</v>
      </c>
    </row>
    <row r="231" spans="1:2" x14ac:dyDescent="0.2">
      <c r="A231" s="2">
        <f ca="1">IFERROR(__xludf.DUMMYFUNCTION("""COMPUTED_VALUE"""),45645.6666666666)</f>
        <v>45645.666666666599</v>
      </c>
      <c r="B231" s="3">
        <v>6977.24</v>
      </c>
    </row>
    <row r="232" spans="1:2" x14ac:dyDescent="0.2">
      <c r="A232" s="2">
        <f ca="1">IFERROR(__xludf.DUMMYFUNCTION("""COMPUTED_VALUE"""),45646.6666666666)</f>
        <v>45646.666666666599</v>
      </c>
      <c r="B232" s="3">
        <v>6983.87</v>
      </c>
    </row>
    <row r="233" spans="1:2" x14ac:dyDescent="0.2">
      <c r="A233" s="2">
        <f ca="1">IFERROR(__xludf.DUMMYFUNCTION("""COMPUTED_VALUE"""),45649.6666666666)</f>
        <v>45649.666666666599</v>
      </c>
      <c r="B233" s="3">
        <v>7096.45</v>
      </c>
    </row>
    <row r="234" spans="1:2" x14ac:dyDescent="0.2">
      <c r="A234" s="2">
        <f ca="1">IFERROR(__xludf.DUMMYFUNCTION("""COMPUTED_VALUE"""),45650.6666666666)</f>
        <v>45650.666666666599</v>
      </c>
      <c r="B234" s="3">
        <v>7065.75</v>
      </c>
    </row>
    <row r="235" spans="1:2" x14ac:dyDescent="0.2">
      <c r="A235" s="2">
        <f ca="1">IFERROR(__xludf.DUMMYFUNCTION("""COMPUTED_VALUE"""),45653.6666666666)</f>
        <v>45653.666666666599</v>
      </c>
      <c r="B235" s="3">
        <v>7036.57</v>
      </c>
    </row>
    <row r="236" spans="1:2" x14ac:dyDescent="0.2">
      <c r="A236" s="2">
        <f ca="1">IFERROR(__xludf.DUMMYFUNCTION("""COMPUTED_VALUE"""),45656.6666666666)</f>
        <v>45656.666666666599</v>
      </c>
      <c r="B236" s="3">
        <v>7079.91</v>
      </c>
    </row>
    <row r="237" spans="1:2" x14ac:dyDescent="0.2">
      <c r="A237" s="2">
        <f ca="1">IFERROR(__xludf.DUMMYFUNCTION("""COMPUTED_VALUE"""),45659.6666666666)</f>
        <v>45659.666666666599</v>
      </c>
      <c r="B237" s="3">
        <v>7163.21</v>
      </c>
    </row>
    <row r="238" spans="1:2" x14ac:dyDescent="0.2">
      <c r="A238" s="2">
        <f ca="1">IFERROR(__xludf.DUMMYFUNCTION("""COMPUTED_VALUE"""),45660.6666666666)</f>
        <v>45660.666666666599</v>
      </c>
      <c r="B238" s="3">
        <v>7164.43</v>
      </c>
    </row>
    <row r="239" spans="1:2" x14ac:dyDescent="0.2">
      <c r="A239" s="2">
        <f ca="1">IFERROR(__xludf.DUMMYFUNCTION("""COMPUTED_VALUE"""),45663.6666666666)</f>
        <v>45663.666666666599</v>
      </c>
      <c r="B239" s="3">
        <v>7080.47</v>
      </c>
    </row>
    <row r="240" spans="1:2" x14ac:dyDescent="0.2">
      <c r="A240" s="2">
        <f ca="1">IFERROR(__xludf.DUMMYFUNCTION("""COMPUTED_VALUE"""),45664.6666666666)</f>
        <v>45664.666666666599</v>
      </c>
      <c r="B240" s="3">
        <v>7083.28</v>
      </c>
    </row>
    <row r="241" spans="1:2" x14ac:dyDescent="0.2">
      <c r="A241" s="2">
        <f ca="1">IFERROR(__xludf.DUMMYFUNCTION("""COMPUTED_VALUE"""),45665.6666666666)</f>
        <v>45665.666666666599</v>
      </c>
      <c r="B241" s="3">
        <v>7080.35</v>
      </c>
    </row>
    <row r="242" spans="1:2" x14ac:dyDescent="0.2">
      <c r="A242" s="2">
        <f ca="1">IFERROR(__xludf.DUMMYFUNCTION("""COMPUTED_VALUE"""),45666.6666666666)</f>
        <v>45666.666666666599</v>
      </c>
      <c r="B242" s="3">
        <v>7064.59</v>
      </c>
    </row>
    <row r="243" spans="1:2" x14ac:dyDescent="0.2">
      <c r="A243" s="2">
        <f ca="1">IFERROR(__xludf.DUMMYFUNCTION("""COMPUTED_VALUE"""),45667.6666666666)</f>
        <v>45667.666666666599</v>
      </c>
      <c r="B243" s="3">
        <v>7088.87</v>
      </c>
    </row>
    <row r="244" spans="1:2" x14ac:dyDescent="0.2">
      <c r="A244" s="2">
        <f ca="1">IFERROR(__xludf.DUMMYFUNCTION("""COMPUTED_VALUE"""),45670.6666666666)</f>
        <v>45670.666666666599</v>
      </c>
      <c r="B244" s="3">
        <v>7016.88</v>
      </c>
    </row>
    <row r="245" spans="1:2" x14ac:dyDescent="0.2">
      <c r="A245" s="2">
        <f ca="1">IFERROR(__xludf.DUMMYFUNCTION("""COMPUTED_VALUE"""),45671.6666666666)</f>
        <v>45671.666666666599</v>
      </c>
      <c r="B245" s="3">
        <v>6956.67</v>
      </c>
    </row>
    <row r="246" spans="1:2" x14ac:dyDescent="0.2">
      <c r="A246" s="2">
        <f ca="1">IFERROR(__xludf.DUMMYFUNCTION("""COMPUTED_VALUE"""),45672.6666666666)</f>
        <v>45672.666666666599</v>
      </c>
      <c r="B246" s="3">
        <v>7079.56</v>
      </c>
    </row>
    <row r="247" spans="1:2" x14ac:dyDescent="0.2">
      <c r="A247" s="2">
        <f ca="1">IFERROR(__xludf.DUMMYFUNCTION("""COMPUTED_VALUE"""),45673.6666666666)</f>
        <v>45673.666666666599</v>
      </c>
      <c r="B247" s="3">
        <v>7107.52</v>
      </c>
    </row>
    <row r="248" spans="1:2" x14ac:dyDescent="0.2">
      <c r="A248" s="2">
        <f ca="1">IFERROR(__xludf.DUMMYFUNCTION("""COMPUTED_VALUE"""),45674.6666666666)</f>
        <v>45674.666666666599</v>
      </c>
      <c r="B248" s="3">
        <v>7154.66</v>
      </c>
    </row>
    <row r="249" spans="1:2" x14ac:dyDescent="0.2">
      <c r="A249" s="2">
        <f ca="1">IFERROR(__xludf.DUMMYFUNCTION("""COMPUTED_VALUE"""),45677.6666666666)</f>
        <v>45677.666666666599</v>
      </c>
      <c r="B249" s="3">
        <v>7170.74</v>
      </c>
    </row>
    <row r="250" spans="1:2" x14ac:dyDescent="0.2">
      <c r="A250" s="2">
        <f ca="1">IFERROR(__xludf.DUMMYFUNCTION("""COMPUTED_VALUE"""),45678.6666666666)</f>
        <v>45678.666666666599</v>
      </c>
      <c r="B250" s="3">
        <v>7181.82</v>
      </c>
    </row>
    <row r="251" spans="1:2" x14ac:dyDescent="0.2">
      <c r="A251" s="2">
        <f ca="1">IFERROR(__xludf.DUMMYFUNCTION("""COMPUTED_VALUE"""),45679.6666666666)</f>
        <v>45679.666666666599</v>
      </c>
      <c r="B251" s="3">
        <v>7257.13</v>
      </c>
    </row>
    <row r="252" spans="1:2" x14ac:dyDescent="0.2">
      <c r="A252" s="2">
        <f ca="1">IFERROR(__xludf.DUMMYFUNCTION("""COMPUTED_VALUE"""),45680.6666666666)</f>
        <v>45680.666666666599</v>
      </c>
      <c r="B252" s="3">
        <v>7232.64</v>
      </c>
    </row>
    <row r="253" spans="1:2" x14ac:dyDescent="0.2">
      <c r="A253" s="2">
        <f ca="1">IFERROR(__xludf.DUMMYFUNCTION("""COMPUTED_VALUE"""),45681.6666666666)</f>
        <v>45681.666666666599</v>
      </c>
      <c r="B253" s="3">
        <v>7166.06</v>
      </c>
    </row>
    <row r="254" spans="1:2" x14ac:dyDescent="0.2">
      <c r="A254" s="2">
        <f ca="1">IFERROR(__xludf.DUMMYFUNCTION("""COMPUTED_VALUE"""),45687.6666666666)</f>
        <v>45687.666666666599</v>
      </c>
      <c r="B254" s="3">
        <v>7073.48</v>
      </c>
    </row>
    <row r="255" spans="1:2" x14ac:dyDescent="0.2">
      <c r="A255" s="2">
        <f ca="1">IFERROR(__xludf.DUMMYFUNCTION("""COMPUTED_VALUE"""),45688.6666666666)</f>
        <v>45688.666666666599</v>
      </c>
      <c r="B255" s="3">
        <v>7109.2</v>
      </c>
    </row>
    <row r="256" spans="1:2" x14ac:dyDescent="0.2">
      <c r="A256" s="2">
        <f ca="1">IFERROR(__xludf.DUMMYFUNCTION("""COMPUTED_VALUE"""),45691.6666666666)</f>
        <v>45691.666666666599</v>
      </c>
      <c r="B256" s="3">
        <v>7030.06</v>
      </c>
    </row>
    <row r="257" spans="1:2" x14ac:dyDescent="0.2">
      <c r="A257" s="2">
        <f ca="1">IFERROR(__xludf.DUMMYFUNCTION("""COMPUTED_VALUE"""),45692.6666666666)</f>
        <v>45692.666666666599</v>
      </c>
      <c r="B257" s="3">
        <v>7073.46</v>
      </c>
    </row>
    <row r="258" spans="1:2" x14ac:dyDescent="0.2">
      <c r="A258" s="2">
        <f ca="1">IFERROR(__xludf.DUMMYFUNCTION("""COMPUTED_VALUE"""),45693.6666666666)</f>
        <v>45693.666666666599</v>
      </c>
      <c r="B258" s="3">
        <v>7024.23</v>
      </c>
    </row>
    <row r="259" spans="1:2" x14ac:dyDescent="0.2">
      <c r="A259" s="2">
        <f ca="1">IFERROR(__xludf.DUMMYFUNCTION("""COMPUTED_VALUE"""),45694.6666666666)</f>
        <v>45694.666666666599</v>
      </c>
      <c r="B259" s="3">
        <v>6875.54</v>
      </c>
    </row>
    <row r="260" spans="1:2" x14ac:dyDescent="0.2">
      <c r="A260" s="2">
        <f ca="1">IFERROR(__xludf.DUMMYFUNCTION("""COMPUTED_VALUE"""),45695.6666666666)</f>
        <v>45695.666666666599</v>
      </c>
      <c r="B260" s="3">
        <v>6742.58</v>
      </c>
    </row>
    <row r="261" spans="1:2" x14ac:dyDescent="0.2">
      <c r="A261" s="2">
        <f ca="1">IFERROR(__xludf.DUMMYFUNCTION("""COMPUTED_VALUE"""),45698.6666666666)</f>
        <v>45698.666666666599</v>
      </c>
      <c r="B261" s="3">
        <v>6648.14</v>
      </c>
    </row>
    <row r="262" spans="1:2" x14ac:dyDescent="0.2">
      <c r="A262" s="2">
        <f ca="1">IFERROR(__xludf.DUMMYFUNCTION("""COMPUTED_VALUE"""),45699.6666666666)</f>
        <v>45699.666666666599</v>
      </c>
      <c r="B262" s="3">
        <v>6531.99</v>
      </c>
    </row>
    <row r="263" spans="1:2" x14ac:dyDescent="0.2">
      <c r="A263" s="2">
        <f ca="1">IFERROR(__xludf.DUMMYFUNCTION("""COMPUTED_VALUE"""),45700.6666666666)</f>
        <v>45700.666666666599</v>
      </c>
      <c r="B263" s="3">
        <v>6645.78</v>
      </c>
    </row>
    <row r="264" spans="1:2" x14ac:dyDescent="0.2">
      <c r="A264" s="2">
        <f ca="1">IFERROR(__xludf.DUMMYFUNCTION("""COMPUTED_VALUE"""),45701.6666666666)</f>
        <v>45701.666666666599</v>
      </c>
      <c r="B264" s="3">
        <v>6613.57</v>
      </c>
    </row>
    <row r="265" spans="1:2" x14ac:dyDescent="0.2">
      <c r="A265" s="2">
        <f ca="1">IFERROR(__xludf.DUMMYFUNCTION("""COMPUTED_VALUE"""),45702.6666666666)</f>
        <v>45702.666666666599</v>
      </c>
      <c r="B265" s="3">
        <v>6638.46</v>
      </c>
    </row>
    <row r="266" spans="1:2" x14ac:dyDescent="0.2">
      <c r="A266" s="2">
        <f ca="1">IFERROR(__xludf.DUMMYFUNCTION("""COMPUTED_VALUE"""),45705.6666666666)</f>
        <v>45705.666666666599</v>
      </c>
      <c r="B266" s="3">
        <v>6830.88</v>
      </c>
    </row>
    <row r="267" spans="1:2" x14ac:dyDescent="0.2">
      <c r="A267" s="2">
        <f ca="1">IFERROR(__xludf.DUMMYFUNCTION("""COMPUTED_VALUE"""),45706.6666666666)</f>
        <v>45706.666666666599</v>
      </c>
      <c r="B267" s="3">
        <v>6873.55</v>
      </c>
    </row>
    <row r="268" spans="1:2" x14ac:dyDescent="0.2">
      <c r="A268" s="2">
        <f ca="1">IFERROR(__xludf.DUMMYFUNCTION("""COMPUTED_VALUE"""),45707.6666666666)</f>
        <v>45707.666666666599</v>
      </c>
      <c r="B268" s="3">
        <v>6794.87</v>
      </c>
    </row>
    <row r="269" spans="1:2" x14ac:dyDescent="0.2">
      <c r="A269" s="2">
        <f ca="1">IFERROR(__xludf.DUMMYFUNCTION("""COMPUTED_VALUE"""),45708.6666666666)</f>
        <v>45708.666666666599</v>
      </c>
      <c r="B269" s="3">
        <v>6788.04</v>
      </c>
    </row>
    <row r="270" spans="1:2" x14ac:dyDescent="0.2">
      <c r="A270" s="2">
        <f ca="1">IFERROR(__xludf.DUMMYFUNCTION("""COMPUTED_VALUE"""),45709.6666666666)</f>
        <v>45709.666666666599</v>
      </c>
      <c r="B270" s="3">
        <v>6803</v>
      </c>
    </row>
    <row r="271" spans="1:2" x14ac:dyDescent="0.2">
      <c r="A271" s="2">
        <f ca="1">IFERROR(__xludf.DUMMYFUNCTION("""COMPUTED_VALUE"""),45712.6666666666)</f>
        <v>45712.666666666599</v>
      </c>
      <c r="B271" s="3">
        <v>6749.6</v>
      </c>
    </row>
    <row r="272" spans="1:2" x14ac:dyDescent="0.2">
      <c r="A272" s="2">
        <f ca="1">IFERROR(__xludf.DUMMYFUNCTION("""COMPUTED_VALUE"""),45713.6666666666)</f>
        <v>45713.666666666599</v>
      </c>
      <c r="B272" s="3">
        <v>6587.09</v>
      </c>
    </row>
    <row r="273" spans="1:2" x14ac:dyDescent="0.2">
      <c r="A273" s="2">
        <f ca="1">IFERROR(__xludf.DUMMYFUNCTION("""COMPUTED_VALUE"""),45714.6666666666)</f>
        <v>45714.666666666599</v>
      </c>
      <c r="B273" s="3">
        <v>6606.18</v>
      </c>
    </row>
    <row r="274" spans="1:2" x14ac:dyDescent="0.2">
      <c r="A274" s="2">
        <f ca="1">IFERROR(__xludf.DUMMYFUNCTION("""COMPUTED_VALUE"""),45715.6666666666)</f>
        <v>45715.666666666599</v>
      </c>
      <c r="B274" s="3">
        <v>6485.45</v>
      </c>
    </row>
    <row r="275" spans="1:2" x14ac:dyDescent="0.2">
      <c r="A275" s="2">
        <f ca="1">IFERROR(__xludf.DUMMYFUNCTION("""COMPUTED_VALUE"""),45716.6666666666)</f>
        <v>45716.666666666599</v>
      </c>
      <c r="B275" s="3">
        <v>6270.6</v>
      </c>
    </row>
    <row r="276" spans="1:2" x14ac:dyDescent="0.2">
      <c r="A276" s="2">
        <f ca="1">IFERROR(__xludf.DUMMYFUNCTION("""COMPUTED_VALUE"""),45719.6666666666)</f>
        <v>45719.666666666599</v>
      </c>
      <c r="B276" s="3">
        <v>6519.66</v>
      </c>
    </row>
    <row r="277" spans="1:2" x14ac:dyDescent="0.2">
      <c r="A277" s="2">
        <f ca="1">IFERROR(__xludf.DUMMYFUNCTION("""COMPUTED_VALUE"""),45720.6666666666)</f>
        <v>45720.666666666599</v>
      </c>
      <c r="B277" s="3">
        <v>6380.4</v>
      </c>
    </row>
    <row r="278" spans="1:2" x14ac:dyDescent="0.2">
      <c r="A278" s="2">
        <f ca="1">IFERROR(__xludf.DUMMYFUNCTION("""COMPUTED_VALUE"""),45721.6666666666)</f>
        <v>45721.666666666599</v>
      </c>
      <c r="B278" s="3">
        <v>6531.4</v>
      </c>
    </row>
    <row r="279" spans="1:2" x14ac:dyDescent="0.2">
      <c r="A279" s="2">
        <f ca="1">IFERROR(__xludf.DUMMYFUNCTION("""COMPUTED_VALUE"""),45722.6666666666)</f>
        <v>45722.666666666599</v>
      </c>
      <c r="B279" s="3">
        <v>6617.85</v>
      </c>
    </row>
    <row r="280" spans="1:2" x14ac:dyDescent="0.2">
      <c r="A280" s="2">
        <f ca="1">IFERROR(__xludf.DUMMYFUNCTION("""COMPUTED_VALUE"""),45723.6666666666)</f>
        <v>45723.666666666599</v>
      </c>
      <c r="B280" s="3">
        <v>6636</v>
      </c>
    </row>
    <row r="281" spans="1:2" x14ac:dyDescent="0.2">
      <c r="A281" s="2">
        <f ca="1">IFERROR(__xludf.DUMMYFUNCTION("""COMPUTED_VALUE"""),45726.6666666666)</f>
        <v>45726.666666666599</v>
      </c>
      <c r="B281" s="3">
        <v>6598.21</v>
      </c>
    </row>
    <row r="282" spans="1:2" x14ac:dyDescent="0.2">
      <c r="A282" s="2">
        <f ca="1">IFERROR(__xludf.DUMMYFUNCTION("""COMPUTED_VALUE"""),45727.6666666666)</f>
        <v>45727.666666666599</v>
      </c>
      <c r="B282" s="3">
        <v>6545.85</v>
      </c>
    </row>
    <row r="283" spans="1:2" x14ac:dyDescent="0.2">
      <c r="A283" s="2">
        <f ca="1">IFERROR(__xludf.DUMMYFUNCTION("""COMPUTED_VALUE"""),45728.6666666666)</f>
        <v>45728.666666666599</v>
      </c>
      <c r="B283" s="3">
        <v>6665.05</v>
      </c>
    </row>
    <row r="284" spans="1:2" x14ac:dyDescent="0.2">
      <c r="A284" s="2">
        <f ca="1">IFERROR(__xludf.DUMMYFUNCTION("""COMPUTED_VALUE"""),45729.6666666666)</f>
        <v>45729.666666666599</v>
      </c>
      <c r="B284" s="3">
        <v>6647.42</v>
      </c>
    </row>
    <row r="285" spans="1:2" x14ac:dyDescent="0.2">
      <c r="A285" s="2">
        <f ca="1">IFERROR(__xludf.DUMMYFUNCTION("""COMPUTED_VALUE"""),45730.6666666666)</f>
        <v>45730.666666666599</v>
      </c>
      <c r="B285" s="3">
        <v>6515.63</v>
      </c>
    </row>
    <row r="286" spans="1:2" x14ac:dyDescent="0.2">
      <c r="A286" s="2">
        <f ca="1">IFERROR(__xludf.DUMMYFUNCTION("""COMPUTED_VALUE"""),45733.6666666666)</f>
        <v>45733.666666666599</v>
      </c>
      <c r="B286" s="3">
        <v>6471.95</v>
      </c>
    </row>
    <row r="287" spans="1:2" x14ac:dyDescent="0.2">
      <c r="A287" s="2">
        <f ca="1">IFERROR(__xludf.DUMMYFUNCTION("""COMPUTED_VALUE"""),45734.6666666666)</f>
        <v>45734.666666666599</v>
      </c>
      <c r="B287" s="3">
        <v>6223.39</v>
      </c>
    </row>
    <row r="288" spans="1:2" x14ac:dyDescent="0.2">
      <c r="A288" s="2">
        <f ca="1">IFERROR(__xludf.DUMMYFUNCTION("""COMPUTED_VALUE"""),45735.6666666666)</f>
        <v>45735.666666666599</v>
      </c>
      <c r="B288" s="3">
        <v>6311.66</v>
      </c>
    </row>
    <row r="289" spans="1:2" x14ac:dyDescent="0.2">
      <c r="A289" s="2">
        <f ca="1">IFERROR(__xludf.DUMMYFUNCTION("""COMPUTED_VALUE"""),45736.6666666666)</f>
        <v>45736.666666666599</v>
      </c>
      <c r="B289" s="3">
        <v>6381.67</v>
      </c>
    </row>
    <row r="290" spans="1:2" x14ac:dyDescent="0.2">
      <c r="A290" s="2">
        <f ca="1">IFERROR(__xludf.DUMMYFUNCTION("""COMPUTED_VALUE"""),45737.6666666666)</f>
        <v>45737.666666666599</v>
      </c>
      <c r="B290" s="3">
        <v>6258.18</v>
      </c>
    </row>
    <row r="291" spans="1:2" x14ac:dyDescent="0.2">
      <c r="A291" s="2">
        <f ca="1">IFERROR(__xludf.DUMMYFUNCTION("""COMPUTED_VALUE"""),45740.6666666666)</f>
        <v>45740.666666666599</v>
      </c>
      <c r="B291" s="3">
        <v>6161.22</v>
      </c>
    </row>
    <row r="292" spans="1:2" x14ac:dyDescent="0.2">
      <c r="A292" s="2">
        <f ca="1">IFERROR(__xludf.DUMMYFUNCTION("""COMPUTED_VALUE"""),45741.6666666666)</f>
        <v>45741.666666666599</v>
      </c>
      <c r="B292" s="3">
        <v>6235.62</v>
      </c>
    </row>
    <row r="293" spans="1:2" x14ac:dyDescent="0.2">
      <c r="A293" s="2">
        <f ca="1">IFERROR(__xludf.DUMMYFUNCTION("""COMPUTED_VALUE"""),45742.6666666666)</f>
        <v>45742.666666666599</v>
      </c>
      <c r="B293" s="3">
        <v>6472.36</v>
      </c>
    </row>
    <row r="294" spans="1:2" x14ac:dyDescent="0.2">
      <c r="A294" s="2">
        <f ca="1">IFERROR(__xludf.DUMMYFUNCTION("""COMPUTED_VALUE"""),45743.6666666666)</f>
        <v>45743.666666666599</v>
      </c>
      <c r="B294" s="3">
        <v>6510.62</v>
      </c>
    </row>
    <row r="295" spans="1:2" x14ac:dyDescent="0.2">
      <c r="A295" s="2">
        <f ca="1">IFERROR(__xludf.DUMMYFUNCTION("""COMPUTED_VALUE"""),45755.6666666666)</f>
        <v>45755.666666666599</v>
      </c>
      <c r="B295" s="3">
        <v>5996.14</v>
      </c>
    </row>
    <row r="296" spans="1:2" x14ac:dyDescent="0.2">
      <c r="A296" s="2">
        <f ca="1">IFERROR(__xludf.DUMMYFUNCTION("""COMPUTED_VALUE"""),45756.6666666666)</f>
        <v>45756.666666666599</v>
      </c>
      <c r="B296" s="3">
        <v>5967.99</v>
      </c>
    </row>
    <row r="297" spans="1:2" x14ac:dyDescent="0.2">
      <c r="A297" s="2">
        <f ca="1">IFERROR(__xludf.DUMMYFUNCTION("""COMPUTED_VALUE"""),45757.6666666666)</f>
        <v>45757.666666666599</v>
      </c>
      <c r="B297" s="3">
        <v>6254.02</v>
      </c>
    </row>
    <row r="298" spans="1:2" x14ac:dyDescent="0.2">
      <c r="A298" s="2">
        <f ca="1">IFERROR(__xludf.DUMMYFUNCTION("""COMPUTED_VALUE"""),45758.6666666666)</f>
        <v>45758.666666666599</v>
      </c>
      <c r="B298" s="3">
        <v>6262.23</v>
      </c>
    </row>
    <row r="299" spans="1:2" x14ac:dyDescent="0.2">
      <c r="A299" s="2">
        <f ca="1">IFERROR(__xludf.DUMMYFUNCTION("""COMPUTED_VALUE"""),45761.6666666666)</f>
        <v>45761.666666666599</v>
      </c>
      <c r="B299" s="3">
        <v>6368.52</v>
      </c>
    </row>
    <row r="300" spans="1:2" x14ac:dyDescent="0.2">
      <c r="A300" s="2">
        <f ca="1">IFERROR(__xludf.DUMMYFUNCTION("""COMPUTED_VALUE"""),45762.6666666666)</f>
        <v>45762.666666666599</v>
      </c>
      <c r="B300" s="3">
        <v>6441.68</v>
      </c>
    </row>
    <row r="301" spans="1:2" x14ac:dyDescent="0.2">
      <c r="A301" s="2">
        <f ca="1">IFERROR(__xludf.DUMMYFUNCTION("""COMPUTED_VALUE"""),45763.6666666666)</f>
        <v>45763.666666666599</v>
      </c>
      <c r="B301" s="3">
        <v>6400.05</v>
      </c>
    </row>
    <row r="302" spans="1:2" x14ac:dyDescent="0.2">
      <c r="A302" s="2">
        <f ca="1">IFERROR(__xludf.DUMMYFUNCTION("""COMPUTED_VALUE"""),45764.6666666666)</f>
        <v>45764.666666666599</v>
      </c>
      <c r="B302" s="3">
        <v>6438.27</v>
      </c>
    </row>
    <row r="303" spans="1:2" x14ac:dyDescent="0.2">
      <c r="A303" s="2">
        <f ca="1">IFERROR(__xludf.DUMMYFUNCTION("""COMPUTED_VALUE"""),45768.6666666666)</f>
        <v>45768.666666666599</v>
      </c>
      <c r="B303" s="3">
        <v>6445.97</v>
      </c>
    </row>
    <row r="304" spans="1:2" x14ac:dyDescent="0.2">
      <c r="A304" s="2">
        <f ca="1">IFERROR(__xludf.DUMMYFUNCTION("""COMPUTED_VALUE"""),45769.6666666666)</f>
        <v>45769.666666666599</v>
      </c>
      <c r="B304" s="3">
        <v>6538.27</v>
      </c>
    </row>
    <row r="305" spans="1:2" x14ac:dyDescent="0.2">
      <c r="A305" s="2">
        <f ca="1">IFERROR(__xludf.DUMMYFUNCTION("""COMPUTED_VALUE"""),45770.6666666666)</f>
        <v>45770.666666666599</v>
      </c>
      <c r="B305" s="3">
        <v>6634.38</v>
      </c>
    </row>
    <row r="306" spans="1:2" x14ac:dyDescent="0.2">
      <c r="A306" s="2">
        <f ca="1">IFERROR(__xludf.DUMMYFUNCTION("""COMPUTED_VALUE"""),45771.6666666666)</f>
        <v>45771.666666666599</v>
      </c>
      <c r="B306" s="3">
        <v>6613.48</v>
      </c>
    </row>
    <row r="307" spans="1:2" x14ac:dyDescent="0.2">
      <c r="A307" s="2">
        <f ca="1">IFERROR(__xludf.DUMMYFUNCTION("""COMPUTED_VALUE"""),45772.6666666666)</f>
        <v>45772.666666666599</v>
      </c>
      <c r="B307" s="3">
        <v>6678.92</v>
      </c>
    </row>
    <row r="308" spans="1:2" x14ac:dyDescent="0.2">
      <c r="A308" s="2">
        <f ca="1">IFERROR(__xludf.DUMMYFUNCTION("""COMPUTED_VALUE"""),45775.6666666666)</f>
        <v>45775.666666666599</v>
      </c>
      <c r="B308" s="3">
        <v>6722.97</v>
      </c>
    </row>
    <row r="309" spans="1:2" x14ac:dyDescent="0.2">
      <c r="A309" s="2">
        <f ca="1">IFERROR(__xludf.DUMMYFUNCTION("""COMPUTED_VALUE"""),45776.6666666666)</f>
        <v>45776.666666666599</v>
      </c>
      <c r="B309" s="3">
        <v>6749.08</v>
      </c>
    </row>
    <row r="310" spans="1:2" x14ac:dyDescent="0.2">
      <c r="A310" s="2">
        <f ca="1">IFERROR(__xludf.DUMMYFUNCTION("""COMPUTED_VALUE"""),45777.6666666666)</f>
        <v>45777.666666666599</v>
      </c>
      <c r="B310" s="3">
        <v>6766.8</v>
      </c>
    </row>
    <row r="311" spans="1:2" x14ac:dyDescent="0.2">
      <c r="A311" s="2">
        <f ca="1">IFERROR(__xludf.DUMMYFUNCTION("""COMPUTED_VALUE"""),45779.6666666666)</f>
        <v>45779.666666666599</v>
      </c>
      <c r="B311" s="3">
        <v>6815.73</v>
      </c>
    </row>
    <row r="312" spans="1:2" x14ac:dyDescent="0.2">
      <c r="A312" s="2">
        <f ca="1">IFERROR(__xludf.DUMMYFUNCTION("""COMPUTED_VALUE"""),45782.6666666666)</f>
        <v>45782.666666666599</v>
      </c>
      <c r="B312" s="3">
        <v>6831.95</v>
      </c>
    </row>
    <row r="313" spans="1:2" x14ac:dyDescent="0.2">
      <c r="A313" s="2">
        <f ca="1">IFERROR(__xludf.DUMMYFUNCTION("""COMPUTED_VALUE"""),45783.6666666666)</f>
        <v>45783.666666666599</v>
      </c>
      <c r="B313" s="3">
        <v>6898.2</v>
      </c>
    </row>
    <row r="314" spans="1:2" x14ac:dyDescent="0.2">
      <c r="A314" s="2">
        <f ca="1">IFERROR(__xludf.DUMMYFUNCTION("""COMPUTED_VALUE"""),45784.6666666666)</f>
        <v>45784.666666666599</v>
      </c>
      <c r="B314" s="3">
        <v>6926.23</v>
      </c>
    </row>
    <row r="315" spans="1:2" x14ac:dyDescent="0.2">
      <c r="A315" s="2">
        <f ca="1">IFERROR(__xludf.DUMMYFUNCTION("""COMPUTED_VALUE"""),45785.6666666666)</f>
        <v>45785.666666666599</v>
      </c>
      <c r="B315" s="3">
        <v>6827.75</v>
      </c>
    </row>
    <row r="316" spans="1:2" x14ac:dyDescent="0.2">
      <c r="A316" s="2">
        <f ca="1">IFERROR(__xludf.DUMMYFUNCTION("""COMPUTED_VALUE"""),45786.6666666666)</f>
        <v>45786.666666666599</v>
      </c>
      <c r="B316" s="3">
        <v>6832.8</v>
      </c>
    </row>
    <row r="317" spans="1:2" x14ac:dyDescent="0.2">
      <c r="A317" s="2">
        <f ca="1">IFERROR(__xludf.DUMMYFUNCTION("""COMPUTED_VALUE"""),45791.6666666666)</f>
        <v>45791.666666666599</v>
      </c>
      <c r="B317" s="3">
        <v>6979.88</v>
      </c>
    </row>
    <row r="318" spans="1:2" x14ac:dyDescent="0.2">
      <c r="A318" s="2">
        <f ca="1">IFERROR(__xludf.DUMMYFUNCTION("""COMPUTED_VALUE"""),45792.6666666666)</f>
        <v>45792.666666666599</v>
      </c>
      <c r="B318" s="3">
        <v>7040.16</v>
      </c>
    </row>
    <row r="319" spans="1:2" x14ac:dyDescent="0.2">
      <c r="A319" s="2">
        <f ca="1">IFERROR(__xludf.DUMMYFUNCTION("""COMPUTED_VALUE"""),45793.6666666666)</f>
        <v>45793.666666666599</v>
      </c>
      <c r="B319" s="3">
        <v>7106.53</v>
      </c>
    </row>
    <row r="320" spans="1:2" x14ac:dyDescent="0.2">
      <c r="A320" s="2">
        <f ca="1">IFERROR(__xludf.DUMMYFUNCTION("""COMPUTED_VALUE"""),45796.6666666666)</f>
        <v>45796.666666666599</v>
      </c>
      <c r="B320" s="3">
        <v>7141.09</v>
      </c>
    </row>
    <row r="321" spans="1:2" x14ac:dyDescent="0.2">
      <c r="A321" s="2">
        <f ca="1">IFERROR(__xludf.DUMMYFUNCTION("""COMPUTED_VALUE"""),45797.6666666666)</f>
        <v>45797.666666666599</v>
      </c>
      <c r="B321" s="3">
        <v>7094.6</v>
      </c>
    </row>
    <row r="322" spans="1:2" x14ac:dyDescent="0.2">
      <c r="A322" s="2">
        <f ca="1">IFERROR(__xludf.DUMMYFUNCTION("""COMPUTED_VALUE"""),45798.6666666666)</f>
        <v>45798.666666666599</v>
      </c>
      <c r="B322" s="3">
        <v>7142.46</v>
      </c>
    </row>
    <row r="323" spans="1:2" x14ac:dyDescent="0.2">
      <c r="A323" s="2">
        <f ca="1">IFERROR(__xludf.DUMMYFUNCTION("""COMPUTED_VALUE"""),45799.6666666666)</f>
        <v>45799.666666666599</v>
      </c>
      <c r="B323" s="3">
        <v>7166.98</v>
      </c>
    </row>
    <row r="324" spans="1:2" x14ac:dyDescent="0.2">
      <c r="A324" s="2">
        <f ca="1">IFERROR(__xludf.DUMMYFUNCTION("""COMPUTED_VALUE"""),45800.6666666666)</f>
        <v>45800.666666666599</v>
      </c>
      <c r="B324" s="3">
        <v>7214.16</v>
      </c>
    </row>
    <row r="325" spans="1:2" x14ac:dyDescent="0.2">
      <c r="A325" s="2">
        <f ca="1">IFERROR(__xludf.DUMMYFUNCTION("""COMPUTED_VALUE"""),45803.6666666666)</f>
        <v>45803.666666666599</v>
      </c>
      <c r="B325" s="3">
        <v>7188.35</v>
      </c>
    </row>
    <row r="326" spans="1:2" x14ac:dyDescent="0.2">
      <c r="A326" s="2">
        <f ca="1">IFERROR(__xludf.DUMMYFUNCTION("""COMPUTED_VALUE"""),45804.6666666666)</f>
        <v>45804.666666666599</v>
      </c>
      <c r="B326" s="3">
        <v>7198.97</v>
      </c>
    </row>
    <row r="327" spans="1:2" x14ac:dyDescent="0.2">
      <c r="A327" s="2">
        <f ca="1">IFERROR(__xludf.DUMMYFUNCTION("""COMPUTED_VALUE"""),45805.6666666666)</f>
        <v>45805.666666666599</v>
      </c>
      <c r="B327" s="3">
        <v>7175.82</v>
      </c>
    </row>
    <row r="328" spans="1:2" x14ac:dyDescent="0.2">
      <c r="A328" s="2">
        <f ca="1">IFERROR(__xludf.DUMMYFUNCTION("""COMPUTED_VALUE"""),45810.6666666666)</f>
        <v>45810.666666666599</v>
      </c>
      <c r="B328" s="3">
        <v>7065.07</v>
      </c>
    </row>
    <row r="329" spans="1:2" x14ac:dyDescent="0.2">
      <c r="A329" s="2">
        <f ca="1">IFERROR(__xludf.DUMMYFUNCTION("""COMPUTED_VALUE"""),45811.6666666666)</f>
        <v>45811.666666666599</v>
      </c>
      <c r="B329" s="3">
        <v>7044.82</v>
      </c>
    </row>
    <row r="330" spans="1:2" x14ac:dyDescent="0.2">
      <c r="A330" s="2">
        <f ca="1">IFERROR(__xludf.DUMMYFUNCTION("""COMPUTED_VALUE"""),45812.6666666666)</f>
        <v>45812.666666666599</v>
      </c>
      <c r="B330" s="3">
        <v>7069.04</v>
      </c>
    </row>
    <row r="331" spans="1:2" x14ac:dyDescent="0.2">
      <c r="A331" s="2">
        <f ca="1">IFERROR(__xludf.DUMMYFUNCTION("""COMPUTED_VALUE"""),45813.6666666666)</f>
        <v>45813.666666666599</v>
      </c>
      <c r="B331" s="3">
        <v>7113.43</v>
      </c>
    </row>
    <row r="332" spans="1:2" x14ac:dyDescent="0.2">
      <c r="A332" s="2">
        <f ca="1">IFERROR(__xludf.DUMMYFUNCTION("""COMPUTED_VALUE"""),45818.6666666666)</f>
        <v>45818.666666666599</v>
      </c>
      <c r="B332" s="3">
        <v>7230.75</v>
      </c>
    </row>
    <row r="333" spans="1:2" x14ac:dyDescent="0.2">
      <c r="A333" s="2">
        <f ca="1">IFERROR(__xludf.DUMMYFUNCTION("""COMPUTED_VALUE"""),45819.6666666666)</f>
        <v>45819.666666666599</v>
      </c>
      <c r="B333" s="3">
        <v>7222.46</v>
      </c>
    </row>
    <row r="334" spans="1:2" x14ac:dyDescent="0.2">
      <c r="A334" s="2">
        <f ca="1">IFERROR(__xludf.DUMMYFUNCTION("""COMPUTED_VALUE"""),45820.6666666666)</f>
        <v>45820.666666666599</v>
      </c>
      <c r="B334" s="3">
        <v>7204.37</v>
      </c>
    </row>
    <row r="335" spans="1:2" x14ac:dyDescent="0.2">
      <c r="A335" s="2">
        <f ca="1">IFERROR(__xludf.DUMMYFUNCTION("""COMPUTED_VALUE"""),45821.6666666666)</f>
        <v>45821.666666666599</v>
      </c>
      <c r="B335" s="3">
        <v>7166.07</v>
      </c>
    </row>
    <row r="336" spans="1:2" x14ac:dyDescent="0.2">
      <c r="A336" s="2">
        <f ca="1">IFERROR(__xludf.DUMMYFUNCTION("""COMPUTED_VALUE"""),45824.6666666666)</f>
        <v>45824.666666666599</v>
      </c>
      <c r="B336" s="3">
        <v>7117.59</v>
      </c>
    </row>
    <row r="337" spans="1:2" x14ac:dyDescent="0.2">
      <c r="A337" s="2">
        <f ca="1">IFERROR(__xludf.DUMMYFUNCTION("""COMPUTED_VALUE"""),45825.6666666666)</f>
        <v>45825.666666666599</v>
      </c>
      <c r="B337" s="3">
        <v>7155.85</v>
      </c>
    </row>
    <row r="338" spans="1:2" x14ac:dyDescent="0.2">
      <c r="A338" s="2">
        <f ca="1">IFERROR(__xludf.DUMMYFUNCTION("""COMPUTED_VALUE"""),45826.6666666666)</f>
        <v>45826.666666666599</v>
      </c>
      <c r="B338" s="3">
        <v>7107.79</v>
      </c>
    </row>
    <row r="339" spans="1:2" x14ac:dyDescent="0.2">
      <c r="A339" s="2">
        <f ca="1">IFERROR(__xludf.DUMMYFUNCTION("""COMPUTED_VALUE"""),45827.6666666666)</f>
        <v>45827.666666666599</v>
      </c>
      <c r="B339" s="3">
        <v>6968.64</v>
      </c>
    </row>
    <row r="340" spans="1:2" x14ac:dyDescent="0.2">
      <c r="A340" s="2">
        <f ca="1">IFERROR(__xludf.DUMMYFUNCTION("""COMPUTED_VALUE"""),45828.6666666666)</f>
        <v>45828.666666666599</v>
      </c>
      <c r="B340" s="3">
        <v>6907.14</v>
      </c>
    </row>
    <row r="341" spans="1:2" x14ac:dyDescent="0.2">
      <c r="A341" s="2">
        <f ca="1">IFERROR(__xludf.DUMMYFUNCTION("""COMPUTED_VALUE"""),45831.6666666666)</f>
        <v>45831.666666666599</v>
      </c>
      <c r="B341" s="3">
        <v>6787.14</v>
      </c>
    </row>
    <row r="342" spans="1:2" x14ac:dyDescent="0.2">
      <c r="A342" s="2">
        <f ca="1">IFERROR(__xludf.DUMMYFUNCTION("""COMPUTED_VALUE"""),45832.6666666666)</f>
        <v>45832.666666666599</v>
      </c>
      <c r="B342" s="3">
        <v>6869.17</v>
      </c>
    </row>
    <row r="343" spans="1:2" x14ac:dyDescent="0.2">
      <c r="A343" s="2">
        <f ca="1">IFERROR(__xludf.DUMMYFUNCTION("""COMPUTED_VALUE"""),45833.6666666666)</f>
        <v>45833.666666666599</v>
      </c>
      <c r="B343" s="3">
        <v>6832.14</v>
      </c>
    </row>
    <row r="344" spans="1:2" x14ac:dyDescent="0.2">
      <c r="A344" s="2">
        <f ca="1">IFERROR(__xludf.DUMMYFUNCTION("""COMPUTED_VALUE"""),45834.6666666666)</f>
        <v>45834.666666666599</v>
      </c>
      <c r="B344" s="3">
        <v>6897.4</v>
      </c>
    </row>
    <row r="345" spans="1:2" x14ac:dyDescent="0.2">
      <c r="A345" s="2">
        <f ca="1">IFERROR(__xludf.DUMMYFUNCTION("""COMPUTED_VALUE"""),45838.6666666666)</f>
        <v>45838.666666666599</v>
      </c>
      <c r="B345" s="3">
        <v>6927.68</v>
      </c>
    </row>
    <row r="346" spans="1:2" x14ac:dyDescent="0.2">
      <c r="A346" s="2">
        <f ca="1">IFERROR(__xludf.DUMMYFUNCTION("""COMPUTED_VALUE"""),45839.6666666666)</f>
        <v>45839.666666666599</v>
      </c>
      <c r="B346" s="3">
        <v>6915.36</v>
      </c>
    </row>
    <row r="347" spans="1:2" x14ac:dyDescent="0.2">
      <c r="A347" s="2">
        <f ca="1">IFERROR(__xludf.DUMMYFUNCTION("""COMPUTED_VALUE"""),45840.6666666666)</f>
        <v>45840.666666666599</v>
      </c>
      <c r="B347" s="3">
        <v>6881.25</v>
      </c>
    </row>
    <row r="348" spans="1:2" x14ac:dyDescent="0.2">
      <c r="A348" s="2">
        <f ca="1">IFERROR(__xludf.DUMMYFUNCTION("""COMPUTED_VALUE"""),45841.6666666666)</f>
        <v>45841.666666666599</v>
      </c>
      <c r="B348" s="3">
        <v>6878.05</v>
      </c>
    </row>
    <row r="349" spans="1:2" x14ac:dyDescent="0.2">
      <c r="A349" s="2">
        <f ca="1">IFERROR(__xludf.DUMMYFUNCTION("""COMPUTED_VALUE"""),45842.6666666666)</f>
        <v>45842.666666666599</v>
      </c>
      <c r="B349" s="3">
        <v>6865.19</v>
      </c>
    </row>
    <row r="350" spans="1:2" x14ac:dyDescent="0.2">
      <c r="A350" s="2">
        <f ca="1">IFERROR(__xludf.DUMMYFUNCTION("""COMPUTED_VALUE"""),45845.6666666666)</f>
        <v>45845.666666666599</v>
      </c>
      <c r="B350" s="3">
        <v>6900.93</v>
      </c>
    </row>
    <row r="351" spans="1:2" x14ac:dyDescent="0.2">
      <c r="A351" s="2">
        <f ca="1">IFERROR(__xludf.DUMMYFUNCTION("""COMPUTED_VALUE"""),45846.6666666666)</f>
        <v>45846.666666666599</v>
      </c>
      <c r="B351" s="3">
        <v>6904.39</v>
      </c>
    </row>
    <row r="352" spans="1:2" x14ac:dyDescent="0.2">
      <c r="A352" s="2">
        <f ca="1">IFERROR(__xludf.DUMMYFUNCTION("""COMPUTED_VALUE"""),45847.6666666666)</f>
        <v>45847.666666666599</v>
      </c>
      <c r="B352" s="3">
        <v>6943.92</v>
      </c>
    </row>
    <row r="353" spans="1:2" x14ac:dyDescent="0.2">
      <c r="A353" s="2">
        <f ca="1">IFERROR(__xludf.DUMMYFUNCTION("""COMPUTED_VALUE"""),45848.6666666666)</f>
        <v>45848.666666666599</v>
      </c>
      <c r="B353" s="3">
        <v>7005.37</v>
      </c>
    </row>
    <row r="354" spans="1:2" x14ac:dyDescent="0.2">
      <c r="A354" s="2">
        <f ca="1">IFERROR(__xludf.DUMMYFUNCTION("""COMPUTED_VALUE"""),45849.6666666666)</f>
        <v>45849.666666666599</v>
      </c>
      <c r="B354" s="3">
        <v>7047.44</v>
      </c>
    </row>
    <row r="355" spans="1:2" x14ac:dyDescent="0.2">
      <c r="A355" s="2">
        <f ca="1">IFERROR(__xludf.DUMMYFUNCTION("""COMPUTED_VALUE"""),45852.6666666666)</f>
        <v>45852.666666666599</v>
      </c>
      <c r="B355" s="3">
        <v>7097.15</v>
      </c>
    </row>
    <row r="356" spans="1:2" x14ac:dyDescent="0.2">
      <c r="A356" s="2">
        <f ca="1">IFERROR(__xludf.DUMMYFUNCTION("""COMPUTED_VALUE"""),45853.6666666666)</f>
        <v>45853.666666666599</v>
      </c>
      <c r="B356" s="3">
        <v>7140.47</v>
      </c>
    </row>
    <row r="357" spans="1:2" x14ac:dyDescent="0.2">
      <c r="A357" s="2">
        <f ca="1">IFERROR(__xludf.DUMMYFUNCTION("""COMPUTED_VALUE"""),45854.6666666666)</f>
        <v>45854.666666666599</v>
      </c>
      <c r="B357" s="3">
        <v>7192.02</v>
      </c>
    </row>
    <row r="358" spans="1:2" x14ac:dyDescent="0.2">
      <c r="A358" s="2">
        <f ca="1">IFERROR(__xludf.DUMMYFUNCTION("""COMPUTED_VALUE"""),45855.6666666666)</f>
        <v>45855.666666666599</v>
      </c>
      <c r="B358" s="3">
        <v>7287.02</v>
      </c>
    </row>
    <row r="359" spans="1:2" x14ac:dyDescent="0.2">
      <c r="A359" s="2">
        <f ca="1">IFERROR(__xludf.DUMMYFUNCTION("""COMPUTED_VALUE"""),45856.6666666666)</f>
        <v>45856.666666666599</v>
      </c>
      <c r="B359" s="3">
        <v>7311.92</v>
      </c>
    </row>
    <row r="360" spans="1:2" x14ac:dyDescent="0.2">
      <c r="A360" s="2">
        <f ca="1">IFERROR(__xludf.DUMMYFUNCTION("""COMPUTED_VALUE"""),45859.6666666666)</f>
        <v>45859.666666666599</v>
      </c>
      <c r="B360" s="3">
        <v>7398.19</v>
      </c>
    </row>
    <row r="361" spans="1:2" x14ac:dyDescent="0.2">
      <c r="A361" s="2">
        <f ca="1">IFERROR(__xludf.DUMMYFUNCTION("""COMPUTED_VALUE"""),45860.6666666666)</f>
        <v>45860.666666666599</v>
      </c>
      <c r="B361" s="3">
        <v>7344.74</v>
      </c>
    </row>
    <row r="362" spans="1:2" x14ac:dyDescent="0.2">
      <c r="A362" s="2">
        <f ca="1">IFERROR(__xludf.DUMMYFUNCTION("""COMPUTED_VALUE"""),45861.6666666666)</f>
        <v>45861.666666666599</v>
      </c>
      <c r="B362" s="3">
        <v>7469.23</v>
      </c>
    </row>
    <row r="363" spans="1:2" x14ac:dyDescent="0.2">
      <c r="A363" s="2">
        <f ca="1">IFERROR(__xludf.DUMMYFUNCTION("""COMPUTED_VALUE"""),45862.6666666666)</f>
        <v>45862.666666666599</v>
      </c>
      <c r="B363" s="3">
        <v>7530.9</v>
      </c>
    </row>
    <row r="364" spans="1:2" x14ac:dyDescent="0.2">
      <c r="A364" s="2">
        <f ca="1">IFERROR(__xludf.DUMMYFUNCTION("""COMPUTED_VALUE"""),45863.6666666666)</f>
        <v>45863.666666666599</v>
      </c>
      <c r="B364" s="3">
        <v>7543.5</v>
      </c>
    </row>
    <row r="365" spans="1:2" x14ac:dyDescent="0.2">
      <c r="A365" s="2">
        <f ca="1">IFERROR(__xludf.DUMMYFUNCTION("""COMPUTED_VALUE"""),45866.6666666666)</f>
        <v>45866.666666666599</v>
      </c>
      <c r="B365" s="3">
        <v>7614.77</v>
      </c>
    </row>
    <row r="366" spans="1:2" x14ac:dyDescent="0.2">
      <c r="A366" s="2">
        <f ca="1">IFERROR(__xludf.DUMMYFUNCTION("""COMPUTED_VALUE"""),45867.6666666666)</f>
        <v>45867.666666666599</v>
      </c>
      <c r="B366" s="3">
        <v>7617.91</v>
      </c>
    </row>
    <row r="367" spans="1:2" x14ac:dyDescent="0.2">
      <c r="A367" s="2">
        <f ca="1">IFERROR(__xludf.DUMMYFUNCTION("""COMPUTED_VALUE"""),45868.6666666666)</f>
        <v>45868.666666666599</v>
      </c>
      <c r="B367" s="3">
        <v>7549.89</v>
      </c>
    </row>
    <row r="368" spans="1:2" x14ac:dyDescent="0.2">
      <c r="A368" s="2">
        <f ca="1">IFERROR(__xludf.DUMMYFUNCTION("""COMPUTED_VALUE"""),45869.6666666666)</f>
        <v>45869.666666666599</v>
      </c>
      <c r="B368" s="3">
        <v>7484.34</v>
      </c>
    </row>
    <row r="369" spans="1:2" x14ac:dyDescent="0.2">
      <c r="A369" s="2">
        <f ca="1">IFERROR(__xludf.DUMMYFUNCTION("""COMPUTED_VALUE"""),45870.6666666666)</f>
        <v>45870.666666666599</v>
      </c>
      <c r="B369" s="3">
        <v>7537.77</v>
      </c>
    </row>
    <row r="370" spans="1:2" x14ac:dyDescent="0.2">
      <c r="A370" s="2">
        <f ca="1">IFERROR(__xludf.DUMMYFUNCTION("""COMPUTED_VALUE"""),45873.6666666666)</f>
        <v>45873.666666666599</v>
      </c>
      <c r="B370" s="3">
        <v>7464.65</v>
      </c>
    </row>
    <row r="371" spans="1:2" x14ac:dyDescent="0.2">
      <c r="A371" s="2">
        <f ca="1">IFERROR(__xludf.DUMMYFUNCTION("""COMPUTED_VALUE"""),45874.6666666666)</f>
        <v>45874.666666666599</v>
      </c>
      <c r="B371" s="3">
        <v>7515.19</v>
      </c>
    </row>
    <row r="372" spans="1:2" x14ac:dyDescent="0.2">
      <c r="A372" s="2">
        <f ca="1">IFERROR(__xludf.DUMMYFUNCTION("""COMPUTED_VALUE"""),45875.6666666666)</f>
        <v>45875.666666666599</v>
      </c>
      <c r="B372" s="3">
        <v>7503.75</v>
      </c>
    </row>
    <row r="373" spans="1:2" x14ac:dyDescent="0.2">
      <c r="A373" s="2">
        <f ca="1">IFERROR(__xludf.DUMMYFUNCTION("""COMPUTED_VALUE"""),45876.6666666666)</f>
        <v>45876.666666666599</v>
      </c>
      <c r="B373" s="3">
        <v>7490.18</v>
      </c>
    </row>
    <row r="374" spans="1:2" x14ac:dyDescent="0.2">
      <c r="A374" s="2">
        <f ca="1">IFERROR(__xludf.DUMMYFUNCTION("""COMPUTED_VALUE"""),45877.6666666666)</f>
        <v>45877.666666666599</v>
      </c>
      <c r="B374" s="3">
        <v>7533.39</v>
      </c>
    </row>
    <row r="375" spans="1:2" x14ac:dyDescent="0.2">
      <c r="A375" s="2">
        <f ca="1">IFERROR(__xludf.DUMMYFUNCTION("""COMPUTED_VALUE"""),45880.6666666666)</f>
        <v>45880.666666666599</v>
      </c>
      <c r="B375" s="3">
        <v>7605.93</v>
      </c>
    </row>
    <row r="376" spans="1:2" x14ac:dyDescent="0.2">
      <c r="A376" s="2">
        <f ca="1">IFERROR(__xludf.DUMMYFUNCTION("""COMPUTED_VALUE"""),45881.6666666666)</f>
        <v>45881.666666666599</v>
      </c>
      <c r="B376" s="3">
        <v>7791.7</v>
      </c>
    </row>
    <row r="377" spans="1:2" x14ac:dyDescent="0.2">
      <c r="A377" s="2">
        <f ca="1">IFERROR(__xludf.DUMMYFUNCTION("""COMPUTED_VALUE"""),45882.6666666666)</f>
        <v>45882.666666666599</v>
      </c>
      <c r="B377" s="3">
        <v>7892.91</v>
      </c>
    </row>
    <row r="378" spans="1:2" x14ac:dyDescent="0.2">
      <c r="A378" s="2">
        <f ca="1">IFERROR(__xludf.DUMMYFUNCTION("""COMPUTED_VALUE"""),45883.6666666666)</f>
        <v>45883.666666666599</v>
      </c>
      <c r="B378" s="3">
        <v>7931.25</v>
      </c>
    </row>
    <row r="379" spans="1:2" x14ac:dyDescent="0.2">
      <c r="A379" s="2">
        <f ca="1">IFERROR(__xludf.DUMMYFUNCTION("""COMPUTED_VALUE"""),45884.6666666666)</f>
        <v>45884.666666666599</v>
      </c>
      <c r="B379" s="3">
        <v>7898.38</v>
      </c>
    </row>
    <row r="380" spans="1:2" x14ac:dyDescent="0.2">
      <c r="A380" s="2">
        <f ca="1">IFERROR(__xludf.DUMMYFUNCTION("""COMPUTED_VALUE"""),45888.6666666666)</f>
        <v>45888.666666666599</v>
      </c>
      <c r="B380" s="3">
        <v>7862.95</v>
      </c>
    </row>
    <row r="381" spans="1:2" x14ac:dyDescent="0.2">
      <c r="A381" s="2">
        <f ca="1">IFERROR(__xludf.DUMMYFUNCTION("""COMPUTED_VALUE"""),45889.6666666666)</f>
        <v>45889.666666666599</v>
      </c>
      <c r="B381" s="3">
        <v>7943.83</v>
      </c>
    </row>
    <row r="382" spans="1:2" x14ac:dyDescent="0.2">
      <c r="A382" s="2">
        <f ca="1">IFERROR(__xludf.DUMMYFUNCTION("""COMPUTED_VALUE"""),45890.6666666666)</f>
        <v>45890.666666666599</v>
      </c>
      <c r="B382" s="3">
        <v>7890.72</v>
      </c>
    </row>
    <row r="383" spans="1:2" x14ac:dyDescent="0.2">
      <c r="A383" s="2">
        <f ca="1">IFERROR(__xludf.DUMMYFUNCTION("""COMPUTED_VALUE"""),45891.6666666666)</f>
        <v>45891.666666666599</v>
      </c>
      <c r="B383" s="3">
        <v>7858.85</v>
      </c>
    </row>
    <row r="384" spans="1:2" x14ac:dyDescent="0.2">
      <c r="A384" s="2">
        <f ca="1">IFERROR(__xludf.DUMMYFUNCTION("""COMPUTED_VALUE"""),45894.6666666666)</f>
        <v>45894.666666666599</v>
      </c>
      <c r="B384" s="3">
        <v>7926.91</v>
      </c>
    </row>
    <row r="385" spans="1:2" x14ac:dyDescent="0.2">
      <c r="A385" s="2">
        <f ca="1">IFERROR(__xludf.DUMMYFUNCTION("""COMPUTED_VALUE"""),45895.6666666666)</f>
        <v>45895.666666666599</v>
      </c>
      <c r="B385" s="3">
        <v>7905.76</v>
      </c>
    </row>
    <row r="386" spans="1:2" x14ac:dyDescent="0.2">
      <c r="A386" s="2">
        <f ca="1">IFERROR(__xludf.DUMMYFUNCTION("""COMPUTED_VALUE"""),45896.6666666666)</f>
        <v>45896.666666666599</v>
      </c>
      <c r="B386" s="3">
        <v>7936.18</v>
      </c>
    </row>
    <row r="387" spans="1:2" x14ac:dyDescent="0.2">
      <c r="A387" s="2">
        <f ca="1">IFERROR(__xludf.DUMMYFUNCTION("""COMPUTED_VALUE"""),45897.6666666666)</f>
        <v>45897.666666666599</v>
      </c>
      <c r="B387" s="3">
        <v>7952.09</v>
      </c>
    </row>
    <row r="388" spans="1:2" x14ac:dyDescent="0.2">
      <c r="A388" s="2">
        <f ca="1">IFERROR(__xludf.DUMMYFUNCTION("""COMPUTED_VALUE"""),45898.6666666666)</f>
        <v>45898.666666666599</v>
      </c>
      <c r="B388" s="3">
        <v>7830.49</v>
      </c>
    </row>
    <row r="389" spans="1:2" x14ac:dyDescent="0.2">
      <c r="A389" s="2">
        <f ca="1">IFERROR(__xludf.DUMMYFUNCTION("""COMPUTED_VALUE"""),45901.6666666666)</f>
        <v>45901.666666666599</v>
      </c>
      <c r="B389" s="3">
        <v>7736.07</v>
      </c>
    </row>
    <row r="390" spans="1:2" x14ac:dyDescent="0.2">
      <c r="A390" s="2">
        <f ca="1">IFERROR(__xludf.DUMMYFUNCTION("""COMPUTED_VALUE"""),45902.6666666666)</f>
        <v>45902.666666666599</v>
      </c>
      <c r="B390" s="3">
        <v>7801.59</v>
      </c>
    </row>
    <row r="391" spans="1:2" x14ac:dyDescent="0.2">
      <c r="A391" s="2">
        <f ca="1">IFERROR(__xludf.DUMMYFUNCTION("""COMPUTED_VALUE"""),45903.6666666666)</f>
        <v>45903.666666666599</v>
      </c>
      <c r="B391" s="3">
        <v>7885.86</v>
      </c>
    </row>
    <row r="392" spans="1:2" x14ac:dyDescent="0.2">
      <c r="A392" s="2">
        <f ca="1">IFERROR(__xludf.DUMMYFUNCTION("""COMPUTED_VALUE"""),45904.6666666666)</f>
        <v>45904.666666666599</v>
      </c>
      <c r="B392" s="3">
        <v>7867.35</v>
      </c>
    </row>
    <row r="393" spans="1:2" x14ac:dyDescent="0.2">
      <c r="A393" s="2">
        <f ca="1">IFERROR(__xludf.DUMMYFUNCTION("""COMPUTED_VALUE"""),45908.6666666666)</f>
        <v>45908.666666666599</v>
      </c>
      <c r="B393" s="3">
        <v>7766.85</v>
      </c>
    </row>
    <row r="394" spans="1:2" x14ac:dyDescent="0.2">
      <c r="A394" s="2">
        <f ca="1">IFERROR(__xludf.DUMMYFUNCTION("""COMPUTED_VALUE"""),45909.6666666666)</f>
        <v>45909.666666666599</v>
      </c>
      <c r="B394" s="3">
        <v>7628.61</v>
      </c>
    </row>
    <row r="395" spans="1:2" x14ac:dyDescent="0.2">
      <c r="A395" s="2">
        <f ca="1">IFERROR(__xludf.DUMMYFUNCTION("""COMPUTED_VALUE"""),45910.6666666666)</f>
        <v>45910.666666666599</v>
      </c>
      <c r="B395" s="3">
        <v>7699.01</v>
      </c>
    </row>
    <row r="396" spans="1:2" x14ac:dyDescent="0.2">
      <c r="A396" s="2">
        <f ca="1">IFERROR(__xludf.DUMMYFUNCTION("""COMPUTED_VALUE"""),45911.6666666666)</f>
        <v>45911.666666666599</v>
      </c>
      <c r="B396" s="3">
        <v>7747.91</v>
      </c>
    </row>
    <row r="397" spans="1:2" x14ac:dyDescent="0.2">
      <c r="A397" s="2">
        <f ca="1">IFERROR(__xludf.DUMMYFUNCTION("""COMPUTED_VALUE"""),45912.6666666666)</f>
        <v>45912.666666666599</v>
      </c>
      <c r="B397" s="3">
        <v>7854.06</v>
      </c>
    </row>
    <row r="398" spans="1:2" x14ac:dyDescent="0.2">
      <c r="A398" s="2">
        <f ca="1">IFERROR(__xludf.DUMMYFUNCTION("""COMPUTED_VALUE"""),45915.6666666666)</f>
        <v>45915.666666666599</v>
      </c>
      <c r="B398" s="3">
        <v>7937.12</v>
      </c>
    </row>
    <row r="399" spans="1:2" x14ac:dyDescent="0.2">
      <c r="A399" s="2">
        <f ca="1">IFERROR(__xludf.DUMMYFUNCTION("""COMPUTED_VALUE"""),45916.6666666666)</f>
        <v>45916.666666666599</v>
      </c>
      <c r="B399" s="3">
        <v>7957.7</v>
      </c>
    </row>
    <row r="400" spans="1:2" x14ac:dyDescent="0.2">
      <c r="A400" s="2">
        <f ca="1">IFERROR(__xludf.DUMMYFUNCTION("""COMPUTED_VALUE"""),45917.6666666666)</f>
        <v>45917.666666666599</v>
      </c>
      <c r="B400" s="3">
        <v>8025.18</v>
      </c>
    </row>
    <row r="401" spans="1:2" x14ac:dyDescent="0.2">
      <c r="A401" s="2">
        <f ca="1">IFERROR(__xludf.DUMMYFUNCTION("""COMPUTED_VALUE"""),45918.6666666666)</f>
        <v>45918.666666666599</v>
      </c>
      <c r="B401" s="3">
        <v>8008.43</v>
      </c>
    </row>
    <row r="402" spans="1:2" x14ac:dyDescent="0.2">
      <c r="A402" s="2">
        <f ca="1">IFERROR(__xludf.DUMMYFUNCTION("""COMPUTED_VALUE"""),45919.6666666666)</f>
        <v>45919.666666666599</v>
      </c>
      <c r="B402" s="3">
        <v>8051.12</v>
      </c>
    </row>
    <row r="403" spans="1:2" x14ac:dyDescent="0.2">
      <c r="A403" s="2">
        <f ca="1">IFERROR(__xludf.DUMMYFUNCTION("""COMPUTED_VALUE"""),45922.6666666666)</f>
        <v>45922.666666666599</v>
      </c>
      <c r="B403" s="3">
        <v>8040.04</v>
      </c>
    </row>
    <row r="404" spans="1:2" x14ac:dyDescent="0.2">
      <c r="A404" s="2">
        <f ca="1">IFERROR(__xludf.DUMMYFUNCTION("""COMPUTED_VALUE"""),45923.6666666666)</f>
        <v>45923.666666666599</v>
      </c>
      <c r="B404" s="3">
        <v>8125.2</v>
      </c>
    </row>
    <row r="405" spans="1:2" x14ac:dyDescent="0.2">
      <c r="A405" s="2">
        <f ca="1">IFERROR(__xludf.DUMMYFUNCTION("""COMPUTED_VALUE"""),45924.6666666666)</f>
        <v>45924.666666666599</v>
      </c>
      <c r="B405" s="3">
        <v>8126.56</v>
      </c>
    </row>
    <row r="406" spans="1:2" x14ac:dyDescent="0.2">
      <c r="A406" s="2">
        <f ca="1">IFERROR(__xludf.DUMMYFUNCTION("""COMPUTED_VALUE"""),45925.6666666666)</f>
        <v>45925.666666666599</v>
      </c>
      <c r="B406" s="3">
        <v>8040.67</v>
      </c>
    </row>
    <row r="407" spans="1:2" x14ac:dyDescent="0.2">
      <c r="A407" s="2">
        <f ca="1">IFERROR(__xludf.DUMMYFUNCTION("""COMPUTED_VALUE"""),45926.6666666666)</f>
        <v>45926.666666666599</v>
      </c>
      <c r="B407" s="3">
        <v>8099.33</v>
      </c>
    </row>
    <row r="408" spans="1:2" x14ac:dyDescent="0.2">
      <c r="A408" s="2">
        <f ca="1">IFERROR(__xludf.DUMMYFUNCTION("""COMPUTED_VALUE"""),45929.6666666666)</f>
        <v>45929.666666666599</v>
      </c>
      <c r="B408" s="3">
        <v>8123.25</v>
      </c>
    </row>
    <row r="409" spans="1:2" x14ac:dyDescent="0.2">
      <c r="A409" s="2">
        <f ca="1">IFERROR(__xludf.DUMMYFUNCTION("""COMPUTED_VALUE"""),45930.6666666666)</f>
        <v>45930.666666666599</v>
      </c>
      <c r="B409" s="3">
        <v>8061.06</v>
      </c>
    </row>
    <row r="410" spans="1:2" x14ac:dyDescent="0.2">
      <c r="A410" s="2">
        <f ca="1">IFERROR(__xludf.DUMMYFUNCTION("""COMPUTED_VALUE"""),45931.6666666666)</f>
        <v>45931.666666666599</v>
      </c>
      <c r="B410" s="3">
        <v>8043.82</v>
      </c>
    </row>
    <row r="411" spans="1:2" x14ac:dyDescent="0.2">
      <c r="A411" s="2">
        <f ca="1">IFERROR(__xludf.DUMMYFUNCTION("""COMPUTED_VALUE"""),45932.6666666666)</f>
        <v>45932.666666666599</v>
      </c>
      <c r="B411" s="3">
        <v>8071.08</v>
      </c>
    </row>
    <row r="412" spans="1:2" x14ac:dyDescent="0.2">
      <c r="A412" s="2">
        <f ca="1">IFERROR(__xludf.DUMMYFUNCTION("""COMPUTED_VALUE"""),45933.6666666666)</f>
        <v>45933.666666666599</v>
      </c>
      <c r="B412" s="3">
        <v>8118.3</v>
      </c>
    </row>
    <row r="413" spans="1:2" x14ac:dyDescent="0.2">
      <c r="A413" s="2">
        <f ca="1">IFERROR(__xludf.DUMMYFUNCTION("""COMPUTED_VALUE"""),45936.6666666666)</f>
        <v>45936.666666666599</v>
      </c>
      <c r="B413" s="3">
        <v>8139.89</v>
      </c>
    </row>
    <row r="414" spans="1:2" x14ac:dyDescent="0.2">
      <c r="A414" s="2">
        <f ca="1">IFERROR(__xludf.DUMMYFUNCTION("""COMPUTED_VALUE"""),45937.6666666666)</f>
        <v>45937.666666666599</v>
      </c>
      <c r="B414" s="3">
        <v>8169.28</v>
      </c>
    </row>
    <row r="415" spans="1:2" x14ac:dyDescent="0.2">
      <c r="A415" s="2">
        <f ca="1">IFERROR(__xludf.DUMMYFUNCTION("""COMPUTED_VALUE"""),45938.6666666666)</f>
        <v>45938.666666666599</v>
      </c>
      <c r="B415" s="3">
        <v>8166.03</v>
      </c>
    </row>
    <row r="416" spans="1:2" x14ac:dyDescent="0.2">
      <c r="A416" s="2">
        <f ca="1">IFERROR(__xludf.DUMMYFUNCTION("""COMPUTED_VALUE"""),45939.6666666666)</f>
        <v>45939.666666666599</v>
      </c>
      <c r="B416" s="3">
        <v>8250.94</v>
      </c>
    </row>
    <row r="417" spans="1:2" x14ac:dyDescent="0.2">
      <c r="A417" s="2">
        <f ca="1">IFERROR(__xludf.DUMMYFUNCTION("""COMPUTED_VALUE"""),45940.6666666666)</f>
        <v>45940.666666666599</v>
      </c>
      <c r="B417" s="3">
        <v>8257.86</v>
      </c>
    </row>
    <row r="418" spans="1:2" x14ac:dyDescent="0.2">
      <c r="A418" s="2">
        <f ca="1">IFERROR(__xludf.DUMMYFUNCTION("""COMPUTED_VALUE"""),45943.6666666666)</f>
        <v>45943.666666666599</v>
      </c>
      <c r="B418" s="3">
        <v>8227.2000000000007</v>
      </c>
    </row>
    <row r="419" spans="1:2" x14ac:dyDescent="0.2">
      <c r="A419" s="2">
        <f ca="1">IFERROR(__xludf.DUMMYFUNCTION("""COMPUTED_VALUE"""),45944.6666666666)</f>
        <v>45944.666666666599</v>
      </c>
      <c r="B419" s="3">
        <v>8066.52</v>
      </c>
    </row>
    <row r="420" spans="1:2" x14ac:dyDescent="0.2">
      <c r="A420" s="2">
        <f ca="1">IFERROR(__xludf.DUMMYFUNCTION("""COMPUTED_VALUE"""),45945.6666666666)</f>
        <v>45945.666666666599</v>
      </c>
      <c r="B420" s="3">
        <v>8051.18</v>
      </c>
    </row>
    <row r="421" spans="1:2" x14ac:dyDescent="0.2">
      <c r="A421" s="2">
        <f ca="1">IFERROR(__xludf.DUMMYFUNCTION("""COMPUTED_VALUE"""),45946.6666666666)</f>
        <v>45946.666666666599</v>
      </c>
      <c r="B421" s="3">
        <v>8124.76</v>
      </c>
    </row>
    <row r="422" spans="1:2" x14ac:dyDescent="0.2">
      <c r="A422" s="2">
        <f ca="1">IFERROR(__xludf.DUMMYFUNCTION("""COMPUTED_VALUE"""),45947.6666666666)</f>
        <v>45947.666666666599</v>
      </c>
      <c r="B422" s="3">
        <v>7915.66</v>
      </c>
    </row>
    <row r="423" spans="1:2" x14ac:dyDescent="0.2">
      <c r="A423" s="2">
        <f ca="1">IFERROR(__xludf.DUMMYFUNCTION("""COMPUTED_VALUE"""),45950.6666666666)</f>
        <v>45950.666666666599</v>
      </c>
      <c r="B423" s="3">
        <v>8088.98</v>
      </c>
    </row>
    <row r="424" spans="1:2" x14ac:dyDescent="0.2">
      <c r="A424" s="2">
        <f ca="1">IFERROR(__xludf.DUMMYFUNCTION("""COMPUTED_VALUE"""),45951.6666666666)</f>
        <v>45951.666666666599</v>
      </c>
      <c r="B424" s="3">
        <v>8238.08</v>
      </c>
    </row>
    <row r="425" spans="1:2" x14ac:dyDescent="0.2">
      <c r="A425" s="2">
        <f ca="1">IFERROR(__xludf.DUMMYFUNCTION("""COMPUTED_VALUE"""),45952.6666666666)</f>
        <v>45952.666666666599</v>
      </c>
      <c r="B425" s="3">
        <v>8152.55</v>
      </c>
    </row>
    <row r="426" spans="1:2" x14ac:dyDescent="0.2">
      <c r="A426" s="2">
        <f ca="1">IFERROR(__xludf.DUMMYFUNCTION("""COMPUTED_VALUE"""),45953.6666666666)</f>
        <v>45953.666666666599</v>
      </c>
      <c r="B426" s="3">
        <v>8274.35</v>
      </c>
    </row>
    <row r="427" spans="1:2" x14ac:dyDescent="0.2">
      <c r="A427" s="2">
        <f ca="1">IFERROR(__xludf.DUMMYFUNCTION("""COMPUTED_VALUE"""),45954.6666666666)</f>
        <v>45954.666666666599</v>
      </c>
      <c r="B427" s="3">
        <v>8271.7199999999993</v>
      </c>
    </row>
    <row r="428" spans="1:2" x14ac:dyDescent="0.2">
      <c r="A428" s="2">
        <f ca="1">IFERROR(__xludf.DUMMYFUNCTION("""COMPUTED_VALUE"""),45957.6666666666)</f>
        <v>45957.666666666599</v>
      </c>
      <c r="B428" s="3">
        <v>8117.15</v>
      </c>
    </row>
    <row r="429" spans="1:2" x14ac:dyDescent="0.2">
      <c r="A429" s="2">
        <f ca="1">IFERROR(__xludf.DUMMYFUNCTION("""COMPUTED_VALUE"""),45958.6666666666)</f>
        <v>45958.666666666599</v>
      </c>
      <c r="B429" s="3">
        <v>8092.63</v>
      </c>
    </row>
    <row r="430" spans="1:2" x14ac:dyDescent="0.2">
      <c r="A430" s="2">
        <f ca="1">IFERROR(__xludf.DUMMYFUNCTION("""COMPUTED_VALUE"""),45959.6666666666)</f>
        <v>45959.666666666599</v>
      </c>
      <c r="B430" s="3">
        <v>8166.22</v>
      </c>
    </row>
    <row r="431" spans="1:2" x14ac:dyDescent="0.2">
      <c r="A431" s="2">
        <f ca="1">IFERROR(__xludf.DUMMYFUNCTION("""COMPUTED_VALUE"""),45960.6666666666)</f>
        <v>45960.666666666599</v>
      </c>
      <c r="B431" s="3">
        <v>8184.06</v>
      </c>
    </row>
    <row r="432" spans="1:2" x14ac:dyDescent="0.2">
      <c r="A432" s="2">
        <f ca="1">IFERROR(__xludf.DUMMYFUNCTION("""COMPUTED_VALUE"""),45961.6666666666)</f>
        <v>45961.666666666599</v>
      </c>
      <c r="B432" s="3">
        <v>8163.88</v>
      </c>
    </row>
    <row r="433" spans="1:2" x14ac:dyDescent="0.2">
      <c r="A433" s="2">
        <f ca="1">IFERROR(__xludf.DUMMYFUNCTION("""COMPUTED_VALUE"""),45964.6666666666)</f>
        <v>45964.666666666599</v>
      </c>
      <c r="B433" s="3">
        <v>8275.08</v>
      </c>
    </row>
    <row r="434" spans="1:2" x14ac:dyDescent="0.2">
      <c r="A434" s="2">
        <f ca="1">IFERROR(__xludf.DUMMYFUNCTION("""COMPUTED_VALUE"""),45965.6666666666)</f>
        <v>45965.666666666599</v>
      </c>
      <c r="B434" s="3">
        <v>8241.91</v>
      </c>
    </row>
    <row r="435" spans="1:2" x14ac:dyDescent="0.2">
      <c r="A435" s="2">
        <f ca="1">IFERROR(__xludf.DUMMYFUNCTION("""COMPUTED_VALUE"""),45966.6666666666)</f>
        <v>45966.666666666599</v>
      </c>
      <c r="B435" s="3">
        <v>8318.5300000000007</v>
      </c>
    </row>
    <row r="436" spans="1:2" x14ac:dyDescent="0.2">
      <c r="A436" s="2">
        <f ca="1">IFERROR(__xludf.DUMMYFUNCTION("""COMPUTED_VALUE"""),45967.6666666666)</f>
        <v>45967.666666666599</v>
      </c>
      <c r="B436" s="3">
        <v>8337.06</v>
      </c>
    </row>
    <row r="437" spans="1:2" x14ac:dyDescent="0.2">
      <c r="A437" s="2">
        <f ca="1">IFERROR(__xludf.DUMMYFUNCTION("""COMPUTED_VALUE"""),45968.6666666666)</f>
        <v>45968.666666666599</v>
      </c>
      <c r="B437" s="3">
        <v>8394.59</v>
      </c>
    </row>
    <row r="438" spans="1:2" x14ac:dyDescent="0.2">
      <c r="A438" s="2">
        <f ca="1">IFERROR(__xludf.DUMMYFUNCTION("""COMPUTED_VALUE"""),45971.6666666666)</f>
        <v>45971.666666666599</v>
      </c>
      <c r="B438" s="3">
        <v>8391.24</v>
      </c>
    </row>
    <row r="439" spans="1:2" x14ac:dyDescent="0.2">
      <c r="A439" s="2">
        <f ca="1">IFERROR(__xludf.DUMMYFUNCTION("""COMPUTED_VALUE"""),45972.6666666666)</f>
        <v>45972.666666666599</v>
      </c>
      <c r="B439" s="3">
        <v>8366.52</v>
      </c>
    </row>
    <row r="440" spans="1:2" x14ac:dyDescent="0.2">
      <c r="A440" s="2">
        <f ca="1">IFERROR(__xludf.DUMMYFUNCTION("""COMPUTED_VALUE"""),45973.6666666666)</f>
        <v>45973.666666666599</v>
      </c>
      <c r="B440" s="3">
        <v>8388.57</v>
      </c>
    </row>
    <row r="441" spans="1:2" x14ac:dyDescent="0.2">
      <c r="A441" s="2">
        <f ca="1">IFERROR(__xludf.DUMMYFUNCTION("""COMPUTED_VALUE"""),45974.6666666666)</f>
        <v>45974.666666666599</v>
      </c>
      <c r="B441" s="3">
        <v>8372</v>
      </c>
    </row>
    <row r="442" spans="1:2" x14ac:dyDescent="0.2">
      <c r="A442" s="2">
        <f ca="1">IFERROR(__xludf.DUMMYFUNCTION("""COMPUTED_VALUE"""),45975.6666666666)</f>
        <v>45975.666666666599</v>
      </c>
      <c r="B442" s="3">
        <v>8370.44</v>
      </c>
    </row>
    <row r="443" spans="1:2" x14ac:dyDescent="0.2">
      <c r="A443" s="2">
        <f ca="1">IFERROR(__xludf.DUMMYFUNCTION("""COMPUTED_VALUE"""),45978.6666666666)</f>
        <v>45978.666666666599</v>
      </c>
      <c r="B443" s="3">
        <v>8416.8799999999992</v>
      </c>
    </row>
    <row r="444" spans="1:2" x14ac:dyDescent="0.2">
      <c r="A444" s="2">
        <f ca="1">IFERROR(__xludf.DUMMYFUNCTION("""COMPUTED_VALUE"""),45979.6666666666)</f>
        <v>45979.666666666599</v>
      </c>
      <c r="B444" s="3">
        <v>8361.93</v>
      </c>
    </row>
    <row r="445" spans="1:2" x14ac:dyDescent="0.2">
      <c r="A445" s="2">
        <f ca="1">IFERROR(__xludf.DUMMYFUNCTION("""COMPUTED_VALUE"""),45980.6666666666)</f>
        <v>45980.666666666599</v>
      </c>
      <c r="B445" s="3">
        <v>8406.58</v>
      </c>
    </row>
    <row r="446" spans="1:2" x14ac:dyDescent="0.2">
      <c r="A446" s="2">
        <f ca="1">IFERROR(__xludf.DUMMYFUNCTION("""COMPUTED_VALUE"""),45981.6666666666)</f>
        <v>45981.666666666599</v>
      </c>
      <c r="B446" s="3">
        <v>8419.92</v>
      </c>
    </row>
    <row r="447" spans="1:2" x14ac:dyDescent="0.2">
      <c r="A447" s="2">
        <f ca="1">IFERROR(__xludf.DUMMYFUNCTION("""COMPUTED_VALUE"""),45982.6666666666)</f>
        <v>45982.666666666599</v>
      </c>
      <c r="B447" s="3">
        <v>8414.35</v>
      </c>
    </row>
    <row r="448" spans="1:2" x14ac:dyDescent="0.2">
      <c r="A448" s="2">
        <f ca="1">IFERROR(__xludf.DUMMYFUNCTION("""COMPUTED_VALUE"""),45985.6666666666)</f>
        <v>45985.666666666599</v>
      </c>
      <c r="B448" s="3">
        <v>8570.25</v>
      </c>
    </row>
    <row r="449" spans="1:2" x14ac:dyDescent="0.2">
      <c r="A449" s="2">
        <f ca="1">IFERROR(__xludf.DUMMYFUNCTION("""COMPUTED_VALUE"""),45986.6666666666)</f>
        <v>45986.666666666599</v>
      </c>
      <c r="B449" s="3">
        <v>8521.89</v>
      </c>
    </row>
    <row r="450" spans="1:2" x14ac:dyDescent="0.2">
      <c r="A450" s="2">
        <f ca="1">IFERROR(__xludf.DUMMYFUNCTION("""COMPUTED_VALUE"""),45987.6666666666)</f>
        <v>45987.666666666599</v>
      </c>
      <c r="B450" s="3">
        <v>8602.1299999999992</v>
      </c>
    </row>
    <row r="451" spans="1:2" x14ac:dyDescent="0.2">
      <c r="A451" s="2">
        <f ca="1">IFERROR(__xludf.DUMMYFUNCTION("""COMPUTED_VALUE"""),45988.6666666666)</f>
        <v>45988.666666666599</v>
      </c>
      <c r="B451" s="3">
        <v>8545.8700000000008</v>
      </c>
    </row>
    <row r="452" spans="1:2" x14ac:dyDescent="0.2">
      <c r="A452" s="2">
        <f ca="1">IFERROR(__xludf.DUMMYFUNCTION("""COMPUTED_VALUE"""),45989.6666666666)</f>
        <v>45989.666666666599</v>
      </c>
      <c r="B452" s="3">
        <v>8508.7099999999991</v>
      </c>
    </row>
    <row r="453" spans="1:2" x14ac:dyDescent="0.2">
      <c r="A453" s="2">
        <f ca="1">IFERROR(__xludf.DUMMYFUNCTION("""COMPUTED_VALUE"""),45992.6666666666)</f>
        <v>45992.666666666599</v>
      </c>
      <c r="B453" s="3">
        <v>8548.7900000000009</v>
      </c>
    </row>
    <row r="454" spans="1:2" x14ac:dyDescent="0.2">
      <c r="A454" s="2">
        <f ca="1">IFERROR(__xludf.DUMMYFUNCTION("""COMPUTED_VALUE"""),45993.6666666666)</f>
        <v>45993.666666666599</v>
      </c>
      <c r="B454" s="3">
        <v>8617.0400000000009</v>
      </c>
    </row>
    <row r="455" spans="1:2" x14ac:dyDescent="0.2">
      <c r="A455" s="2">
        <f ca="1">IFERROR(__xludf.DUMMYFUNCTION("""COMPUTED_VALUE"""),45994.6666666666)</f>
        <v>45994.666666666599</v>
      </c>
      <c r="B455" s="3">
        <v>8611.7900000000009</v>
      </c>
    </row>
    <row r="456" spans="1:2" x14ac:dyDescent="0.2">
      <c r="A456" s="2">
        <f ca="1">IFERROR(__xludf.DUMMYFUNCTION("""COMPUTED_VALUE"""),45995.6666666666)</f>
        <v>45995.666666666599</v>
      </c>
      <c r="B456" s="3">
        <v>8640.2000000000007</v>
      </c>
    </row>
    <row r="457" spans="1:2" x14ac:dyDescent="0.2">
      <c r="A457" s="2">
        <f ca="1">IFERROR(__xludf.DUMMYFUNCTION("""COMPUTED_VALUE"""),45996.6666666666)</f>
        <v>45996.666666666599</v>
      </c>
      <c r="B457" s="3">
        <v>8632.76</v>
      </c>
    </row>
    <row r="458" spans="1:2" x14ac:dyDescent="0.2">
      <c r="A458" s="2">
        <f ca="1">IFERROR(__xludf.DUMMYFUNCTION("""COMPUTED_VALUE"""),45999.6666666666)</f>
        <v>45999.666666666599</v>
      </c>
      <c r="B458" s="3">
        <v>8710.7000000000007</v>
      </c>
    </row>
    <row r="459" spans="1:2" x14ac:dyDescent="0.2">
      <c r="A459" s="2">
        <f ca="1">IFERROR(__xludf.DUMMYFUNCTION("""COMPUTED_VALUE"""),46000.6666666666)</f>
        <v>46000.666666666599</v>
      </c>
      <c r="B459" s="3">
        <v>8657.18</v>
      </c>
    </row>
    <row r="460" spans="1:2" x14ac:dyDescent="0.2">
      <c r="A460" s="2">
        <f ca="1">IFERROR(__xludf.DUMMYFUNCTION("""COMPUTED_VALUE"""),46001.6666666666)</f>
        <v>46001.666666666599</v>
      </c>
      <c r="B460" s="3">
        <v>8700.92</v>
      </c>
    </row>
    <row r="461" spans="1:2" x14ac:dyDescent="0.2">
      <c r="A461" s="2">
        <f ca="1">IFERROR(__xludf.DUMMYFUNCTION("""COMPUTED_VALUE"""),46002.6666666666)</f>
        <v>46002.666666666599</v>
      </c>
      <c r="B461" s="3">
        <v>8620.48</v>
      </c>
    </row>
    <row r="462" spans="1:2" x14ac:dyDescent="0.2">
      <c r="A462" s="2">
        <f ca="1">IFERROR(__xludf.DUMMYFUNCTION("""COMPUTED_VALUE"""),46003.6666666666)</f>
        <v>46003.666666666599</v>
      </c>
      <c r="B462" s="3">
        <v>8660.5</v>
      </c>
    </row>
    <row r="463" spans="1:2" x14ac:dyDescent="0.2">
      <c r="A463" s="2">
        <f ca="1">IFERROR(__xludf.DUMMYFUNCTION("""COMPUTED_VALUE"""),46006.6666666666)</f>
        <v>46006.666666666599</v>
      </c>
      <c r="B463" s="3">
        <v>8649.66</v>
      </c>
    </row>
    <row r="464" spans="1:2" x14ac:dyDescent="0.2">
      <c r="A464" s="2">
        <f ca="1">IFERROR(__xludf.DUMMYFUNCTION("""COMPUTED_VALUE"""),46007.6666666666)</f>
        <v>46007.666666666599</v>
      </c>
      <c r="B464" s="3">
        <v>8686.4699999999993</v>
      </c>
    </row>
    <row r="465" spans="1:2" x14ac:dyDescent="0.2">
      <c r="A465" s="2">
        <f ca="1">IFERROR(__xludf.DUMMYFUNCTION("""COMPUTED_VALUE"""),46008.6666666666)</f>
        <v>46008.666666666599</v>
      </c>
      <c r="B465" s="3">
        <v>8677.34</v>
      </c>
    </row>
    <row r="466" spans="1:2" x14ac:dyDescent="0.2">
      <c r="A466" s="2">
        <f ca="1">IFERROR(__xludf.DUMMYFUNCTION("""COMPUTED_VALUE"""),46009.6666666666)</f>
        <v>46009.666666666599</v>
      </c>
      <c r="B466" s="3">
        <v>8618.2000000000007</v>
      </c>
    </row>
    <row r="467" spans="1:2" x14ac:dyDescent="0.2">
      <c r="A467" s="2">
        <f ca="1">IFERROR(__xludf.DUMMYFUNCTION("""COMPUTED_VALUE"""),46010.6666666666)</f>
        <v>46010.666666666599</v>
      </c>
      <c r="B467" s="3">
        <v>8609.5499999999993</v>
      </c>
    </row>
    <row r="468" spans="1:2" x14ac:dyDescent="0.2">
      <c r="A468" s="2">
        <f ca="1">IFERROR(__xludf.DUMMYFUNCTION("""COMPUTED_VALUE"""),46013.6666666666)</f>
        <v>46013.666666666599</v>
      </c>
      <c r="B468" s="3">
        <v>8645.84</v>
      </c>
    </row>
    <row r="469" spans="1:2" x14ac:dyDescent="0.2">
      <c r="A469" s="2">
        <f ca="1">IFERROR(__xludf.DUMMYFUNCTION("""COMPUTED_VALUE"""),46014.6666666666)</f>
        <v>46014.666666666599</v>
      </c>
      <c r="B469" s="3">
        <v>8584.7800000000007</v>
      </c>
    </row>
    <row r="470" spans="1:2" x14ac:dyDescent="0.2">
      <c r="A470" s="2">
        <f ca="1">IFERROR(__xludf.DUMMYFUNCTION("""COMPUTED_VALUE"""),46015.6666666666)</f>
        <v>46015.666666666599</v>
      </c>
      <c r="B470" s="3">
        <v>8537.91</v>
      </c>
    </row>
    <row r="471" spans="1:2" x14ac:dyDescent="0.2">
      <c r="A471" s="2">
        <f ca="1">IFERROR(__xludf.DUMMYFUNCTION("""COMPUTED_VALUE"""),46020.6666666666)</f>
        <v>46020.666666666599</v>
      </c>
      <c r="B471" s="3">
        <v>8644.26</v>
      </c>
    </row>
    <row r="472" spans="1:2" x14ac:dyDescent="0.2">
      <c r="A472" s="2">
        <f ca="1">IFERROR(__xludf.DUMMYFUNCTION("""COMPUTED_VALUE"""),46021.6666666666)</f>
        <v>46021.666666666599</v>
      </c>
      <c r="B472" s="3">
        <v>8646.94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G9"/>
  <sheetViews>
    <sheetView zoomScale="145" zoomScaleNormal="145" workbookViewId="0">
      <selection sqref="A1:G9"/>
    </sheetView>
  </sheetViews>
  <sheetFormatPr defaultColWidth="12.5703125" defaultRowHeight="15.75" customHeight="1" x14ac:dyDescent="0.2"/>
  <cols>
    <col min="3" max="3" width="20.28515625" bestFit="1" customWidth="1"/>
  </cols>
  <sheetData>
    <row r="1" spans="1:7" x14ac:dyDescent="0.2">
      <c r="A1" s="21" t="s">
        <v>1</v>
      </c>
      <c r="B1" s="21" t="s">
        <v>2</v>
      </c>
      <c r="C1" s="21" t="s">
        <v>3</v>
      </c>
      <c r="D1" s="21" t="s">
        <v>4</v>
      </c>
      <c r="E1" s="21" t="s">
        <v>5</v>
      </c>
      <c r="F1" s="21" t="s">
        <v>6</v>
      </c>
      <c r="G1" s="21" t="s">
        <v>7</v>
      </c>
    </row>
    <row r="2" spans="1:7" x14ac:dyDescent="0.2">
      <c r="A2" s="21" t="s">
        <v>54</v>
      </c>
      <c r="B2" s="22">
        <v>2024</v>
      </c>
      <c r="C2" s="23" t="s">
        <v>52</v>
      </c>
      <c r="D2" s="21" t="s">
        <v>8</v>
      </c>
      <c r="E2" s="21" t="s">
        <v>9</v>
      </c>
      <c r="F2" s="21" t="s">
        <v>10</v>
      </c>
      <c r="G2" s="21" t="s">
        <v>11</v>
      </c>
    </row>
    <row r="3" spans="1:7" x14ac:dyDescent="0.2">
      <c r="A3" s="21" t="s">
        <v>54</v>
      </c>
      <c r="B3" s="22">
        <v>2025</v>
      </c>
      <c r="C3" s="24" t="s">
        <v>46</v>
      </c>
      <c r="D3" s="21" t="s">
        <v>12</v>
      </c>
      <c r="E3" s="21" t="s">
        <v>13</v>
      </c>
      <c r="F3" s="21" t="s">
        <v>14</v>
      </c>
      <c r="G3" s="21" t="s">
        <v>15</v>
      </c>
    </row>
    <row r="4" spans="1:7" x14ac:dyDescent="0.2">
      <c r="A4" s="21" t="s">
        <v>55</v>
      </c>
      <c r="B4" s="22">
        <v>2024</v>
      </c>
      <c r="C4" s="24" t="s">
        <v>47</v>
      </c>
      <c r="D4" s="21" t="s">
        <v>16</v>
      </c>
      <c r="E4" s="21" t="s">
        <v>17</v>
      </c>
      <c r="F4" s="21" t="s">
        <v>18</v>
      </c>
      <c r="G4" s="21" t="s">
        <v>19</v>
      </c>
    </row>
    <row r="5" spans="1:7" x14ac:dyDescent="0.2">
      <c r="A5" s="21" t="s">
        <v>55</v>
      </c>
      <c r="B5" s="22">
        <v>2025</v>
      </c>
      <c r="C5" s="24" t="s">
        <v>48</v>
      </c>
      <c r="D5" s="21" t="s">
        <v>20</v>
      </c>
      <c r="E5" s="21" t="s">
        <v>21</v>
      </c>
      <c r="F5" s="21" t="s">
        <v>22</v>
      </c>
      <c r="G5" s="21" t="s">
        <v>23</v>
      </c>
    </row>
    <row r="6" spans="1:7" x14ac:dyDescent="0.2">
      <c r="A6" s="21" t="s">
        <v>56</v>
      </c>
      <c r="B6" s="22">
        <v>2024</v>
      </c>
      <c r="C6" s="24" t="s">
        <v>49</v>
      </c>
      <c r="D6" s="21" t="s">
        <v>24</v>
      </c>
      <c r="E6" s="21" t="s">
        <v>25</v>
      </c>
      <c r="F6" s="21" t="s">
        <v>26</v>
      </c>
      <c r="G6" s="21" t="s">
        <v>27</v>
      </c>
    </row>
    <row r="7" spans="1:7" x14ac:dyDescent="0.2">
      <c r="A7" s="21" t="s">
        <v>56</v>
      </c>
      <c r="B7" s="22">
        <v>2025</v>
      </c>
      <c r="C7" s="24" t="s">
        <v>49</v>
      </c>
      <c r="D7" s="21" t="s">
        <v>28</v>
      </c>
      <c r="E7" s="21" t="s">
        <v>29</v>
      </c>
      <c r="F7" s="21" t="s">
        <v>30</v>
      </c>
      <c r="G7" s="21" t="s">
        <v>31</v>
      </c>
    </row>
    <row r="8" spans="1:7" x14ac:dyDescent="0.2">
      <c r="A8" s="21" t="s">
        <v>57</v>
      </c>
      <c r="B8" s="22">
        <v>2024</v>
      </c>
      <c r="C8" s="24" t="s">
        <v>50</v>
      </c>
      <c r="D8" s="21" t="s">
        <v>32</v>
      </c>
      <c r="E8" s="21" t="s">
        <v>33</v>
      </c>
      <c r="F8" s="21" t="s">
        <v>34</v>
      </c>
      <c r="G8" s="21" t="s">
        <v>35</v>
      </c>
    </row>
    <row r="9" spans="1:7" x14ac:dyDescent="0.2">
      <c r="A9" s="21" t="s">
        <v>57</v>
      </c>
      <c r="B9" s="22">
        <v>2025</v>
      </c>
      <c r="C9" s="24" t="s">
        <v>51</v>
      </c>
      <c r="D9" s="21" t="s">
        <v>36</v>
      </c>
      <c r="E9" s="21" t="s">
        <v>37</v>
      </c>
      <c r="F9" s="21" t="s">
        <v>38</v>
      </c>
      <c r="G9" s="21" t="s">
        <v>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45A14-BD60-43A9-9371-EB64C3B07133}">
  <dimension ref="A1:R1893"/>
  <sheetViews>
    <sheetView topLeftCell="A7" workbookViewId="0">
      <selection activeCell="L12" sqref="L12"/>
    </sheetView>
  </sheetViews>
  <sheetFormatPr defaultRowHeight="12.75" x14ac:dyDescent="0.2"/>
  <cols>
    <col min="1" max="2" width="18.5703125" customWidth="1"/>
    <col min="7" max="7" width="11" bestFit="1" customWidth="1"/>
  </cols>
  <sheetData>
    <row r="1" spans="1:18" x14ac:dyDescent="0.2">
      <c r="A1" s="1" t="s">
        <v>40</v>
      </c>
      <c r="B1" s="1" t="s">
        <v>1</v>
      </c>
      <c r="C1" s="17" t="s">
        <v>41</v>
      </c>
      <c r="D1" s="17" t="s">
        <v>42</v>
      </c>
      <c r="E1" s="17" t="s">
        <v>43</v>
      </c>
      <c r="F1" s="17" t="s">
        <v>44</v>
      </c>
      <c r="G1" s="17" t="s">
        <v>45</v>
      </c>
      <c r="H1" s="1" t="s">
        <v>0</v>
      </c>
      <c r="I1" s="7" t="s">
        <v>53</v>
      </c>
      <c r="L1" s="21" t="s">
        <v>1</v>
      </c>
      <c r="M1" s="21" t="s">
        <v>2</v>
      </c>
      <c r="N1" s="21" t="s">
        <v>3</v>
      </c>
      <c r="O1" s="21" t="s">
        <v>4</v>
      </c>
      <c r="P1" s="21" t="s">
        <v>5</v>
      </c>
      <c r="Q1" s="21" t="s">
        <v>6</v>
      </c>
      <c r="R1" s="21" t="s">
        <v>7</v>
      </c>
    </row>
    <row r="2" spans="1:18" x14ac:dyDescent="0.2">
      <c r="A2" s="2">
        <f ca="1">IFERROR(__xludf.DUMMYFUNCTION("""COMPUTED_VALUE"""),45293.6666666666)</f>
        <v>45293.666666666599</v>
      </c>
      <c r="B2" s="2" t="s">
        <v>55</v>
      </c>
      <c r="C2" s="19">
        <v>5650</v>
      </c>
      <c r="D2" s="19">
        <v>5675</v>
      </c>
      <c r="E2" s="19">
        <v>5625</v>
      </c>
      <c r="F2" s="19">
        <v>5675</v>
      </c>
      <c r="G2" s="19">
        <v>91143100</v>
      </c>
      <c r="H2" s="4">
        <v>0</v>
      </c>
      <c r="I2" s="4">
        <v>0</v>
      </c>
      <c r="L2" s="21" t="s">
        <v>54</v>
      </c>
      <c r="M2" s="22">
        <v>2024</v>
      </c>
      <c r="N2" s="23" t="s">
        <v>52</v>
      </c>
      <c r="O2" s="21" t="s">
        <v>8</v>
      </c>
      <c r="P2" s="21" t="s">
        <v>9</v>
      </c>
      <c r="Q2" s="21" t="s">
        <v>10</v>
      </c>
      <c r="R2" s="21" t="s">
        <v>11</v>
      </c>
    </row>
    <row r="3" spans="1:18" x14ac:dyDescent="0.2">
      <c r="A3" s="2">
        <f ca="1">IFERROR(__xludf.DUMMYFUNCTION("""COMPUTED_VALUE"""),45294.6666666666)</f>
        <v>45294.666666666599</v>
      </c>
      <c r="B3" s="2" t="s">
        <v>55</v>
      </c>
      <c r="C3" s="19">
        <v>5625</v>
      </c>
      <c r="D3" s="19">
        <v>5650</v>
      </c>
      <c r="E3" s="19">
        <v>5600</v>
      </c>
      <c r="F3" s="19">
        <v>5600</v>
      </c>
      <c r="G3" s="19">
        <v>83659700</v>
      </c>
      <c r="H3" s="4">
        <f>(F3-F2)/F2</f>
        <v>-1.3215859030837005E-2</v>
      </c>
      <c r="I3" s="4">
        <f>(F3-$F$2)/$F$2</f>
        <v>-1.3215859030837005E-2</v>
      </c>
      <c r="L3" s="21" t="s">
        <v>54</v>
      </c>
      <c r="M3" s="22">
        <v>2025</v>
      </c>
      <c r="N3" s="24" t="s">
        <v>46</v>
      </c>
      <c r="O3" s="21" t="s">
        <v>12</v>
      </c>
      <c r="P3" s="21" t="s">
        <v>13</v>
      </c>
      <c r="Q3" s="21" t="s">
        <v>14</v>
      </c>
      <c r="R3" s="21" t="s">
        <v>15</v>
      </c>
    </row>
    <row r="4" spans="1:18" x14ac:dyDescent="0.2">
      <c r="A4" s="2">
        <f ca="1">IFERROR(__xludf.DUMMYFUNCTION("""COMPUTED_VALUE"""),45295.6666666666)</f>
        <v>45295.666666666599</v>
      </c>
      <c r="B4" s="2" t="s">
        <v>55</v>
      </c>
      <c r="C4" s="19">
        <v>5600</v>
      </c>
      <c r="D4" s="19">
        <v>5700</v>
      </c>
      <c r="E4" s="19">
        <v>5575</v>
      </c>
      <c r="F4" s="19">
        <v>5700</v>
      </c>
      <c r="G4" s="19">
        <v>92683500</v>
      </c>
      <c r="H4" s="4">
        <f t="shared" ref="H4:H67" si="0">(F4-F3)/F3</f>
        <v>1.7857142857142856E-2</v>
      </c>
      <c r="I4" s="4">
        <f t="shared" ref="I4:I67" si="1">(F4-$F$2)/$F$2</f>
        <v>4.4052863436123352E-3</v>
      </c>
      <c r="L4" s="21" t="s">
        <v>55</v>
      </c>
      <c r="M4" s="22">
        <v>2024</v>
      </c>
      <c r="N4" s="24" t="s">
        <v>47</v>
      </c>
      <c r="O4" s="21" t="s">
        <v>16</v>
      </c>
      <c r="P4" s="21" t="s">
        <v>17</v>
      </c>
      <c r="Q4" s="21" t="s">
        <v>18</v>
      </c>
      <c r="R4" s="21" t="s">
        <v>19</v>
      </c>
    </row>
    <row r="5" spans="1:18" x14ac:dyDescent="0.2">
      <c r="A5" s="2">
        <f ca="1">IFERROR(__xludf.DUMMYFUNCTION("""COMPUTED_VALUE"""),45296.6666666666)</f>
        <v>45296.666666666599</v>
      </c>
      <c r="B5" s="2" t="s">
        <v>55</v>
      </c>
      <c r="C5" s="19">
        <v>5725</v>
      </c>
      <c r="D5" s="19">
        <v>5850</v>
      </c>
      <c r="E5" s="19">
        <v>5700</v>
      </c>
      <c r="F5" s="19">
        <v>5750</v>
      </c>
      <c r="G5" s="19">
        <v>134929600</v>
      </c>
      <c r="H5" s="4">
        <f t="shared" si="0"/>
        <v>8.771929824561403E-3</v>
      </c>
      <c r="I5" s="4">
        <f t="shared" si="1"/>
        <v>1.3215859030837005E-2</v>
      </c>
      <c r="L5" s="21" t="s">
        <v>55</v>
      </c>
      <c r="M5" s="22">
        <v>2025</v>
      </c>
      <c r="N5" s="24" t="s">
        <v>48</v>
      </c>
      <c r="O5" s="21" t="s">
        <v>20</v>
      </c>
      <c r="P5" s="21" t="s">
        <v>21</v>
      </c>
      <c r="Q5" s="21" t="s">
        <v>22</v>
      </c>
      <c r="R5" s="21" t="s">
        <v>23</v>
      </c>
    </row>
    <row r="6" spans="1:18" x14ac:dyDescent="0.2">
      <c r="A6" s="2">
        <f ca="1">IFERROR(__xludf.DUMMYFUNCTION("""COMPUTED_VALUE"""),45299.6666666666)</f>
        <v>45299.666666666599</v>
      </c>
      <c r="B6" s="2" t="s">
        <v>55</v>
      </c>
      <c r="C6" s="19">
        <v>5750</v>
      </c>
      <c r="D6" s="19">
        <v>5800</v>
      </c>
      <c r="E6" s="19">
        <v>5625</v>
      </c>
      <c r="F6" s="19">
        <v>5625</v>
      </c>
      <c r="G6" s="19">
        <v>152015000</v>
      </c>
      <c r="H6" s="4">
        <f t="shared" si="0"/>
        <v>-2.1739130434782608E-2</v>
      </c>
      <c r="I6" s="4">
        <f t="shared" si="1"/>
        <v>-8.8105726872246704E-3</v>
      </c>
      <c r="L6" s="21" t="s">
        <v>56</v>
      </c>
      <c r="M6" s="22">
        <v>2024</v>
      </c>
      <c r="N6" s="24" t="s">
        <v>49</v>
      </c>
      <c r="O6" s="21" t="s">
        <v>24</v>
      </c>
      <c r="P6" s="21" t="s">
        <v>25</v>
      </c>
      <c r="Q6" s="21" t="s">
        <v>26</v>
      </c>
      <c r="R6" s="21" t="s">
        <v>27</v>
      </c>
    </row>
    <row r="7" spans="1:18" x14ac:dyDescent="0.2">
      <c r="A7" s="2">
        <f ca="1">IFERROR(__xludf.DUMMYFUNCTION("""COMPUTED_VALUE"""),45300.6666666666)</f>
        <v>45300.666666666599</v>
      </c>
      <c r="B7" s="2" t="s">
        <v>55</v>
      </c>
      <c r="C7" s="19">
        <v>5625</v>
      </c>
      <c r="D7" s="19">
        <v>5700</v>
      </c>
      <c r="E7" s="19">
        <v>5625</v>
      </c>
      <c r="F7" s="19">
        <v>5700</v>
      </c>
      <c r="G7" s="19">
        <v>105666200</v>
      </c>
      <c r="H7" s="4">
        <f t="shared" si="0"/>
        <v>1.3333333333333334E-2</v>
      </c>
      <c r="I7" s="4">
        <f t="shared" si="1"/>
        <v>4.4052863436123352E-3</v>
      </c>
      <c r="L7" s="21" t="s">
        <v>56</v>
      </c>
      <c r="M7" s="22">
        <v>2025</v>
      </c>
      <c r="N7" s="24" t="s">
        <v>49</v>
      </c>
      <c r="O7" s="21" t="s">
        <v>28</v>
      </c>
      <c r="P7" s="21" t="s">
        <v>29</v>
      </c>
      <c r="Q7" s="21" t="s">
        <v>30</v>
      </c>
      <c r="R7" s="21" t="s">
        <v>31</v>
      </c>
    </row>
    <row r="8" spans="1:18" x14ac:dyDescent="0.2">
      <c r="A8" s="2">
        <f ca="1">IFERROR(__xludf.DUMMYFUNCTION("""COMPUTED_VALUE"""),45301.6666666666)</f>
        <v>45301.666666666599</v>
      </c>
      <c r="B8" s="2" t="s">
        <v>55</v>
      </c>
      <c r="C8" s="19">
        <v>5625</v>
      </c>
      <c r="D8" s="19">
        <v>5700</v>
      </c>
      <c r="E8" s="19">
        <v>5625</v>
      </c>
      <c r="F8" s="19">
        <v>5700</v>
      </c>
      <c r="G8" s="19">
        <v>82626400</v>
      </c>
      <c r="H8" s="4">
        <f t="shared" si="0"/>
        <v>0</v>
      </c>
      <c r="I8" s="4">
        <f t="shared" si="1"/>
        <v>4.4052863436123352E-3</v>
      </c>
      <c r="L8" s="21" t="s">
        <v>57</v>
      </c>
      <c r="M8" s="22">
        <v>2024</v>
      </c>
      <c r="N8" s="24" t="s">
        <v>50</v>
      </c>
      <c r="O8" s="21" t="s">
        <v>32</v>
      </c>
      <c r="P8" s="21" t="s">
        <v>33</v>
      </c>
      <c r="Q8" s="21" t="s">
        <v>34</v>
      </c>
      <c r="R8" s="21" t="s">
        <v>35</v>
      </c>
    </row>
    <row r="9" spans="1:18" x14ac:dyDescent="0.2">
      <c r="A9" s="2">
        <f ca="1">IFERROR(__xludf.DUMMYFUNCTION("""COMPUTED_VALUE"""),45302.6666666666)</f>
        <v>45302.666666666599</v>
      </c>
      <c r="B9" s="2" t="s">
        <v>55</v>
      </c>
      <c r="C9" s="19">
        <v>5750</v>
      </c>
      <c r="D9" s="19">
        <v>5800</v>
      </c>
      <c r="E9" s="19">
        <v>5700</v>
      </c>
      <c r="F9" s="19">
        <v>5750</v>
      </c>
      <c r="G9" s="19">
        <v>116804400</v>
      </c>
      <c r="H9" s="4">
        <f t="shared" si="0"/>
        <v>8.771929824561403E-3</v>
      </c>
      <c r="I9" s="4">
        <f t="shared" si="1"/>
        <v>1.3215859030837005E-2</v>
      </c>
      <c r="L9" s="21" t="s">
        <v>57</v>
      </c>
      <c r="M9" s="22">
        <v>2025</v>
      </c>
      <c r="N9" s="24" t="s">
        <v>51</v>
      </c>
      <c r="O9" s="21" t="s">
        <v>36</v>
      </c>
      <c r="P9" s="21" t="s">
        <v>37</v>
      </c>
      <c r="Q9" s="21" t="s">
        <v>38</v>
      </c>
      <c r="R9" s="21" t="s">
        <v>39</v>
      </c>
    </row>
    <row r="10" spans="1:18" x14ac:dyDescent="0.2">
      <c r="A10" s="2">
        <f ca="1">IFERROR(__xludf.DUMMYFUNCTION("""COMPUTED_VALUE"""),45303.6666666666)</f>
        <v>45303.666666666599</v>
      </c>
      <c r="B10" s="2" t="s">
        <v>55</v>
      </c>
      <c r="C10" s="19">
        <v>5800</v>
      </c>
      <c r="D10" s="19">
        <v>5850</v>
      </c>
      <c r="E10" s="19">
        <v>5775</v>
      </c>
      <c r="F10" s="19">
        <v>5850</v>
      </c>
      <c r="G10" s="19">
        <v>109715700</v>
      </c>
      <c r="H10" s="4">
        <f t="shared" si="0"/>
        <v>1.7391304347826087E-2</v>
      </c>
      <c r="I10" s="4">
        <f t="shared" si="1"/>
        <v>3.0837004405286344E-2</v>
      </c>
    </row>
    <row r="11" spans="1:18" x14ac:dyDescent="0.2">
      <c r="A11" s="2">
        <f ca="1">IFERROR(__xludf.DUMMYFUNCTION("""COMPUTED_VALUE"""),45306.6666666666)</f>
        <v>45306.666666666599</v>
      </c>
      <c r="B11" s="2" t="s">
        <v>55</v>
      </c>
      <c r="C11" s="19">
        <v>5850</v>
      </c>
      <c r="D11" s="19">
        <v>5900</v>
      </c>
      <c r="E11" s="19">
        <v>5775</v>
      </c>
      <c r="F11" s="19">
        <v>5825</v>
      </c>
      <c r="G11" s="19">
        <v>115126700</v>
      </c>
      <c r="H11" s="4">
        <f t="shared" si="0"/>
        <v>-4.2735042735042739E-3</v>
      </c>
      <c r="I11" s="4">
        <f t="shared" si="1"/>
        <v>2.643171806167401E-2</v>
      </c>
    </row>
    <row r="12" spans="1:18" x14ac:dyDescent="0.2">
      <c r="A12" s="2">
        <f ca="1">IFERROR(__xludf.DUMMYFUNCTION("""COMPUTED_VALUE"""),45307.6666666666)</f>
        <v>45307.666666666599</v>
      </c>
      <c r="B12" s="2" t="s">
        <v>55</v>
      </c>
      <c r="C12" s="19">
        <v>5825</v>
      </c>
      <c r="D12" s="19">
        <v>5875</v>
      </c>
      <c r="E12" s="19">
        <v>5775</v>
      </c>
      <c r="F12" s="19">
        <v>5825</v>
      </c>
      <c r="G12" s="19">
        <v>97074300</v>
      </c>
      <c r="H12" s="4">
        <f t="shared" si="0"/>
        <v>0</v>
      </c>
      <c r="I12" s="4">
        <f t="shared" si="1"/>
        <v>2.643171806167401E-2</v>
      </c>
    </row>
    <row r="13" spans="1:18" x14ac:dyDescent="0.2">
      <c r="A13" s="2">
        <f ca="1">IFERROR(__xludf.DUMMYFUNCTION("""COMPUTED_VALUE"""),45308.6666666666)</f>
        <v>45308.666666666599</v>
      </c>
      <c r="B13" s="2" t="s">
        <v>55</v>
      </c>
      <c r="C13" s="19">
        <v>5825</v>
      </c>
      <c r="D13" s="19">
        <v>5825</v>
      </c>
      <c r="E13" s="19">
        <v>5750</v>
      </c>
      <c r="F13" s="19">
        <v>5775</v>
      </c>
      <c r="G13" s="19">
        <v>107941600</v>
      </c>
      <c r="H13" s="4">
        <f t="shared" si="0"/>
        <v>-8.5836909871244635E-3</v>
      </c>
      <c r="I13" s="4">
        <f t="shared" si="1"/>
        <v>1.7621145374449341E-2</v>
      </c>
    </row>
    <row r="14" spans="1:18" x14ac:dyDescent="0.2">
      <c r="A14" s="2">
        <f ca="1">IFERROR(__xludf.DUMMYFUNCTION("""COMPUTED_VALUE"""),45309.6666666666)</f>
        <v>45309.666666666599</v>
      </c>
      <c r="B14" s="2" t="s">
        <v>55</v>
      </c>
      <c r="C14" s="19">
        <v>5800</v>
      </c>
      <c r="D14" s="19">
        <v>5800</v>
      </c>
      <c r="E14" s="19">
        <v>5700</v>
      </c>
      <c r="F14" s="19">
        <v>5750</v>
      </c>
      <c r="G14" s="19">
        <v>87259100</v>
      </c>
      <c r="H14" s="4">
        <f t="shared" si="0"/>
        <v>-4.329004329004329E-3</v>
      </c>
      <c r="I14" s="4">
        <f t="shared" si="1"/>
        <v>1.3215859030837005E-2</v>
      </c>
    </row>
    <row r="15" spans="1:18" x14ac:dyDescent="0.2">
      <c r="A15" s="2">
        <f ca="1">IFERROR(__xludf.DUMMYFUNCTION("""COMPUTED_VALUE"""),45310.6666666666)</f>
        <v>45310.666666666599</v>
      </c>
      <c r="B15" s="2" t="s">
        <v>55</v>
      </c>
      <c r="C15">
        <v>5750</v>
      </c>
      <c r="D15">
        <v>5800</v>
      </c>
      <c r="E15">
        <v>5700</v>
      </c>
      <c r="F15">
        <v>5800</v>
      </c>
      <c r="G15">
        <v>75370700</v>
      </c>
      <c r="H15" s="4">
        <f t="shared" si="0"/>
        <v>8.6956521739130436E-3</v>
      </c>
      <c r="I15" s="4">
        <f t="shared" si="1"/>
        <v>2.2026431718061675E-2</v>
      </c>
    </row>
    <row r="16" spans="1:18" x14ac:dyDescent="0.2">
      <c r="A16" s="2">
        <f ca="1">IFERROR(__xludf.DUMMYFUNCTION("""COMPUTED_VALUE"""),45313.6666666666)</f>
        <v>45313.666666666599</v>
      </c>
      <c r="B16" s="2" t="s">
        <v>55</v>
      </c>
      <c r="C16">
        <v>5775</v>
      </c>
      <c r="D16">
        <v>5800</v>
      </c>
      <c r="E16">
        <v>5700</v>
      </c>
      <c r="F16">
        <v>5775</v>
      </c>
      <c r="G16">
        <v>97545600</v>
      </c>
      <c r="H16" s="4">
        <f t="shared" si="0"/>
        <v>-4.3103448275862068E-3</v>
      </c>
      <c r="I16" s="4">
        <f t="shared" si="1"/>
        <v>1.7621145374449341E-2</v>
      </c>
    </row>
    <row r="17" spans="1:9" x14ac:dyDescent="0.2">
      <c r="A17" s="2">
        <f ca="1">IFERROR(__xludf.DUMMYFUNCTION("""COMPUTED_VALUE"""),45314.6666666666)</f>
        <v>45314.666666666599</v>
      </c>
      <c r="B17" s="2" t="s">
        <v>55</v>
      </c>
      <c r="C17">
        <v>5700</v>
      </c>
      <c r="D17">
        <v>5750</v>
      </c>
      <c r="E17">
        <v>5650</v>
      </c>
      <c r="F17">
        <v>5700</v>
      </c>
      <c r="G17">
        <v>122999700</v>
      </c>
      <c r="H17" s="4">
        <f t="shared" si="0"/>
        <v>-1.2987012987012988E-2</v>
      </c>
      <c r="I17" s="4">
        <f t="shared" si="1"/>
        <v>4.4052863436123352E-3</v>
      </c>
    </row>
    <row r="18" spans="1:9" x14ac:dyDescent="0.2">
      <c r="A18" s="2">
        <f ca="1">IFERROR(__xludf.DUMMYFUNCTION("""COMPUTED_VALUE"""),45315.6666666666)</f>
        <v>45315.666666666599</v>
      </c>
      <c r="B18" s="2" t="s">
        <v>55</v>
      </c>
      <c r="C18">
        <v>5675</v>
      </c>
      <c r="D18">
        <v>5700</v>
      </c>
      <c r="E18">
        <v>5575</v>
      </c>
      <c r="F18">
        <v>5650</v>
      </c>
      <c r="G18">
        <v>104225000</v>
      </c>
      <c r="H18" s="4">
        <f t="shared" si="0"/>
        <v>-8.771929824561403E-3</v>
      </c>
      <c r="I18" s="4">
        <f t="shared" si="1"/>
        <v>-4.4052863436123352E-3</v>
      </c>
    </row>
    <row r="19" spans="1:9" x14ac:dyDescent="0.2">
      <c r="A19" s="2">
        <f ca="1">IFERROR(__xludf.DUMMYFUNCTION("""COMPUTED_VALUE"""),45316.6666666666)</f>
        <v>45316.666666666599</v>
      </c>
      <c r="B19" s="2" t="s">
        <v>55</v>
      </c>
      <c r="C19">
        <v>5575</v>
      </c>
      <c r="D19">
        <v>5650</v>
      </c>
      <c r="E19">
        <v>5525</v>
      </c>
      <c r="F19">
        <v>5525</v>
      </c>
      <c r="G19">
        <v>120478800</v>
      </c>
      <c r="H19" s="4">
        <f t="shared" si="0"/>
        <v>-2.2123893805309734E-2</v>
      </c>
      <c r="I19" s="4">
        <f t="shared" si="1"/>
        <v>-2.643171806167401E-2</v>
      </c>
    </row>
    <row r="20" spans="1:9" x14ac:dyDescent="0.2">
      <c r="A20" s="2">
        <f ca="1">IFERROR(__xludf.DUMMYFUNCTION("""COMPUTED_VALUE"""),45317.6666666666)</f>
        <v>45317.666666666599</v>
      </c>
      <c r="B20" s="2" t="s">
        <v>55</v>
      </c>
      <c r="C20">
        <v>5450</v>
      </c>
      <c r="D20">
        <v>5475</v>
      </c>
      <c r="E20">
        <v>5400</v>
      </c>
      <c r="F20">
        <v>5425</v>
      </c>
      <c r="G20">
        <v>185244400</v>
      </c>
      <c r="H20" s="4">
        <f t="shared" si="0"/>
        <v>-1.8099547511312219E-2</v>
      </c>
      <c r="I20" s="4">
        <f t="shared" si="1"/>
        <v>-4.405286343612335E-2</v>
      </c>
    </row>
    <row r="21" spans="1:9" x14ac:dyDescent="0.2">
      <c r="A21" s="2">
        <f ca="1">IFERROR(__xludf.DUMMYFUNCTION("""COMPUTED_VALUE"""),45320.6666666666)</f>
        <v>45320.666666666599</v>
      </c>
      <c r="B21" s="2" t="s">
        <v>55</v>
      </c>
      <c r="C21">
        <v>5400</v>
      </c>
      <c r="D21">
        <v>5575</v>
      </c>
      <c r="E21">
        <v>5400</v>
      </c>
      <c r="F21">
        <v>5575</v>
      </c>
      <c r="G21">
        <v>145629600</v>
      </c>
      <c r="H21" s="4">
        <f t="shared" si="0"/>
        <v>2.7649769585253458E-2</v>
      </c>
      <c r="I21" s="4">
        <f t="shared" si="1"/>
        <v>-1.7621145374449341E-2</v>
      </c>
    </row>
    <row r="22" spans="1:9" x14ac:dyDescent="0.2">
      <c r="A22" s="2">
        <f ca="1">IFERROR(__xludf.DUMMYFUNCTION("""COMPUTED_VALUE"""),45321.6666666666)</f>
        <v>45321.666666666599</v>
      </c>
      <c r="B22" s="2" t="s">
        <v>55</v>
      </c>
      <c r="C22">
        <v>5525</v>
      </c>
      <c r="D22">
        <v>5650</v>
      </c>
      <c r="E22">
        <v>5475</v>
      </c>
      <c r="F22">
        <v>5625</v>
      </c>
      <c r="G22">
        <v>150513700</v>
      </c>
      <c r="H22" s="4">
        <f t="shared" si="0"/>
        <v>8.9686098654708519E-3</v>
      </c>
      <c r="I22" s="4">
        <f t="shared" si="1"/>
        <v>-8.8105726872246704E-3</v>
      </c>
    </row>
    <row r="23" spans="1:9" x14ac:dyDescent="0.2">
      <c r="A23" s="2">
        <f ca="1">IFERROR(__xludf.DUMMYFUNCTION("""COMPUTED_VALUE"""),45322.6666666666)</f>
        <v>45322.666666666599</v>
      </c>
      <c r="B23" s="2" t="s">
        <v>55</v>
      </c>
      <c r="C23">
        <v>5725</v>
      </c>
      <c r="D23">
        <v>5775</v>
      </c>
      <c r="E23">
        <v>5675</v>
      </c>
      <c r="F23">
        <v>5700</v>
      </c>
      <c r="G23">
        <v>245117200</v>
      </c>
      <c r="H23" s="4">
        <f t="shared" si="0"/>
        <v>1.3333333333333334E-2</v>
      </c>
      <c r="I23" s="4">
        <f t="shared" si="1"/>
        <v>4.4052863436123352E-3</v>
      </c>
    </row>
    <row r="24" spans="1:9" x14ac:dyDescent="0.2">
      <c r="A24" s="2">
        <f ca="1">IFERROR(__xludf.DUMMYFUNCTION("""COMPUTED_VALUE"""),45323.6666666666)</f>
        <v>45323.666666666599</v>
      </c>
      <c r="B24" s="2" t="s">
        <v>55</v>
      </c>
      <c r="C24">
        <v>5775</v>
      </c>
      <c r="D24">
        <v>5800</v>
      </c>
      <c r="E24">
        <v>5725</v>
      </c>
      <c r="F24">
        <v>5750</v>
      </c>
      <c r="G24">
        <v>156633900</v>
      </c>
      <c r="H24" s="4">
        <f t="shared" si="0"/>
        <v>8.771929824561403E-3</v>
      </c>
      <c r="I24" s="4">
        <f t="shared" si="1"/>
        <v>1.3215859030837005E-2</v>
      </c>
    </row>
    <row r="25" spans="1:9" x14ac:dyDescent="0.2">
      <c r="A25" s="2">
        <f ca="1">IFERROR(__xludf.DUMMYFUNCTION("""COMPUTED_VALUE"""),45324.6666666666)</f>
        <v>45324.666666666599</v>
      </c>
      <c r="B25" s="2" t="s">
        <v>55</v>
      </c>
      <c r="C25">
        <v>5800</v>
      </c>
      <c r="D25">
        <v>5850</v>
      </c>
      <c r="E25">
        <v>5750</v>
      </c>
      <c r="F25">
        <v>5850</v>
      </c>
      <c r="G25">
        <v>177209700</v>
      </c>
      <c r="H25" s="4">
        <f t="shared" si="0"/>
        <v>1.7391304347826087E-2</v>
      </c>
      <c r="I25" s="4">
        <f t="shared" si="1"/>
        <v>3.0837004405286344E-2</v>
      </c>
    </row>
    <row r="26" spans="1:9" x14ac:dyDescent="0.2">
      <c r="A26" s="2">
        <f ca="1">IFERROR(__xludf.DUMMYFUNCTION("""COMPUTED_VALUE"""),45327.6666666666)</f>
        <v>45327.666666666599</v>
      </c>
      <c r="B26" s="2" t="s">
        <v>55</v>
      </c>
      <c r="C26">
        <v>5800</v>
      </c>
      <c r="D26">
        <v>5825</v>
      </c>
      <c r="E26">
        <v>5750</v>
      </c>
      <c r="F26">
        <v>5775</v>
      </c>
      <c r="G26">
        <v>113760000</v>
      </c>
      <c r="H26" s="4">
        <f t="shared" si="0"/>
        <v>-1.282051282051282E-2</v>
      </c>
      <c r="I26" s="4">
        <f t="shared" si="1"/>
        <v>1.7621145374449341E-2</v>
      </c>
    </row>
    <row r="27" spans="1:9" x14ac:dyDescent="0.2">
      <c r="A27" s="2">
        <f ca="1">IFERROR(__xludf.DUMMYFUNCTION("""COMPUTED_VALUE"""),45328.6666666666)</f>
        <v>45328.666666666599</v>
      </c>
      <c r="B27" s="2" t="s">
        <v>55</v>
      </c>
      <c r="C27">
        <v>5900</v>
      </c>
      <c r="D27">
        <v>5900</v>
      </c>
      <c r="E27">
        <v>5800</v>
      </c>
      <c r="F27">
        <v>5825</v>
      </c>
      <c r="G27">
        <v>126704300</v>
      </c>
      <c r="H27" s="4">
        <f t="shared" si="0"/>
        <v>8.658008658008658E-3</v>
      </c>
      <c r="I27" s="4">
        <f t="shared" si="1"/>
        <v>2.643171806167401E-2</v>
      </c>
    </row>
    <row r="28" spans="1:9" x14ac:dyDescent="0.2">
      <c r="A28" s="2">
        <f ca="1">IFERROR(__xludf.DUMMYFUNCTION("""COMPUTED_VALUE"""),45329.6666666666)</f>
        <v>45329.666666666599</v>
      </c>
      <c r="B28" s="2" t="s">
        <v>55</v>
      </c>
      <c r="C28">
        <v>5850</v>
      </c>
      <c r="D28">
        <v>5900</v>
      </c>
      <c r="E28">
        <v>5825</v>
      </c>
      <c r="F28">
        <v>5850</v>
      </c>
      <c r="G28">
        <v>147005300</v>
      </c>
      <c r="H28" s="4">
        <f t="shared" si="0"/>
        <v>4.2918454935622317E-3</v>
      </c>
      <c r="I28" s="4">
        <f t="shared" si="1"/>
        <v>3.0837004405286344E-2</v>
      </c>
    </row>
    <row r="29" spans="1:9" x14ac:dyDescent="0.2">
      <c r="A29" s="2">
        <f ca="1">IFERROR(__xludf.DUMMYFUNCTION("""COMPUTED_VALUE"""),45334.6666666666)</f>
        <v>45334.666666666599</v>
      </c>
      <c r="B29" s="2" t="s">
        <v>55</v>
      </c>
      <c r="C29">
        <v>5875</v>
      </c>
      <c r="D29">
        <v>6025</v>
      </c>
      <c r="E29">
        <v>5850</v>
      </c>
      <c r="F29">
        <v>6025</v>
      </c>
      <c r="G29">
        <v>171514600</v>
      </c>
      <c r="H29" s="4">
        <f t="shared" si="0"/>
        <v>2.9914529914529916E-2</v>
      </c>
      <c r="I29" s="4">
        <f t="shared" si="1"/>
        <v>6.1674008810572688E-2</v>
      </c>
    </row>
    <row r="30" spans="1:9" x14ac:dyDescent="0.2">
      <c r="A30" s="2">
        <f ca="1">IFERROR(__xludf.DUMMYFUNCTION("""COMPUTED_VALUE"""),45335.6666666666)</f>
        <v>45335.666666666599</v>
      </c>
      <c r="B30" s="2" t="s">
        <v>55</v>
      </c>
      <c r="C30">
        <v>6050</v>
      </c>
      <c r="D30">
        <v>6050</v>
      </c>
      <c r="E30">
        <v>5950</v>
      </c>
      <c r="F30">
        <v>6000</v>
      </c>
      <c r="G30">
        <v>145852200</v>
      </c>
      <c r="H30" s="4">
        <f t="shared" si="0"/>
        <v>-4.1493775933609959E-3</v>
      </c>
      <c r="I30" s="4">
        <f t="shared" si="1"/>
        <v>5.7268722466960353E-2</v>
      </c>
    </row>
    <row r="31" spans="1:9" x14ac:dyDescent="0.2">
      <c r="A31" s="2">
        <f ca="1">IFERROR(__xludf.DUMMYFUNCTION("""COMPUTED_VALUE"""),45337.6666666666)</f>
        <v>45337.666666666599</v>
      </c>
      <c r="B31" s="2" t="s">
        <v>55</v>
      </c>
      <c r="C31">
        <v>6275</v>
      </c>
      <c r="D31">
        <v>6275</v>
      </c>
      <c r="E31">
        <v>6100</v>
      </c>
      <c r="F31">
        <v>6125</v>
      </c>
      <c r="G31">
        <v>308685100</v>
      </c>
      <c r="H31" s="4">
        <f t="shared" si="0"/>
        <v>2.0833333333333332E-2</v>
      </c>
      <c r="I31" s="4">
        <f t="shared" si="1"/>
        <v>7.9295154185022032E-2</v>
      </c>
    </row>
    <row r="32" spans="1:9" x14ac:dyDescent="0.2">
      <c r="A32" s="2">
        <f ca="1">IFERROR(__xludf.DUMMYFUNCTION("""COMPUTED_VALUE"""),45338.6666666666)</f>
        <v>45338.666666666599</v>
      </c>
      <c r="B32" s="2" t="s">
        <v>55</v>
      </c>
      <c r="C32">
        <v>6150</v>
      </c>
      <c r="D32">
        <v>6200</v>
      </c>
      <c r="E32">
        <v>6125</v>
      </c>
      <c r="F32">
        <v>6150</v>
      </c>
      <c r="G32">
        <v>130814400</v>
      </c>
      <c r="H32" s="4">
        <f t="shared" si="0"/>
        <v>4.0816326530612249E-3</v>
      </c>
      <c r="I32" s="4">
        <f t="shared" si="1"/>
        <v>8.3700440528634359E-2</v>
      </c>
    </row>
    <row r="33" spans="1:9" x14ac:dyDescent="0.2">
      <c r="A33" s="2">
        <f ca="1">IFERROR(__xludf.DUMMYFUNCTION("""COMPUTED_VALUE"""),45341.6666666666)</f>
        <v>45341.666666666599</v>
      </c>
      <c r="B33" s="2" t="s">
        <v>55</v>
      </c>
      <c r="C33">
        <v>6125</v>
      </c>
      <c r="D33">
        <v>6175</v>
      </c>
      <c r="E33">
        <v>6075</v>
      </c>
      <c r="F33">
        <v>6100</v>
      </c>
      <c r="G33">
        <v>111382900</v>
      </c>
      <c r="H33" s="4">
        <f t="shared" si="0"/>
        <v>-8.130081300813009E-3</v>
      </c>
      <c r="I33" s="4">
        <f t="shared" si="1"/>
        <v>7.4889867841409691E-2</v>
      </c>
    </row>
    <row r="34" spans="1:9" x14ac:dyDescent="0.2">
      <c r="A34" s="2">
        <f ca="1">IFERROR(__xludf.DUMMYFUNCTION("""COMPUTED_VALUE"""),45342.6666666666)</f>
        <v>45342.666666666599</v>
      </c>
      <c r="B34" s="2" t="s">
        <v>55</v>
      </c>
      <c r="C34">
        <v>6175</v>
      </c>
      <c r="D34">
        <v>6300</v>
      </c>
      <c r="E34">
        <v>6175</v>
      </c>
      <c r="F34">
        <v>6300</v>
      </c>
      <c r="G34">
        <v>160872600</v>
      </c>
      <c r="H34" s="4">
        <f t="shared" si="0"/>
        <v>3.2786885245901641E-2</v>
      </c>
      <c r="I34" s="4">
        <f t="shared" si="1"/>
        <v>0.11013215859030837</v>
      </c>
    </row>
    <row r="35" spans="1:9" x14ac:dyDescent="0.2">
      <c r="A35" s="2">
        <f ca="1">IFERROR(__xludf.DUMMYFUNCTION("""COMPUTED_VALUE"""),45343.6666666666)</f>
        <v>45343.666666666599</v>
      </c>
      <c r="B35" s="2" t="s">
        <v>55</v>
      </c>
      <c r="C35">
        <v>6325</v>
      </c>
      <c r="D35">
        <v>6375</v>
      </c>
      <c r="E35">
        <v>6225</v>
      </c>
      <c r="F35">
        <v>6300</v>
      </c>
      <c r="G35">
        <v>168423000</v>
      </c>
      <c r="H35" s="4">
        <f t="shared" si="0"/>
        <v>0</v>
      </c>
      <c r="I35" s="4">
        <f t="shared" si="1"/>
        <v>0.11013215859030837</v>
      </c>
    </row>
    <row r="36" spans="1:9" x14ac:dyDescent="0.2">
      <c r="A36" s="2">
        <f ca="1">IFERROR(__xludf.DUMMYFUNCTION("""COMPUTED_VALUE"""),45344.6666666666)</f>
        <v>45344.666666666599</v>
      </c>
      <c r="B36" s="2" t="s">
        <v>55</v>
      </c>
      <c r="C36">
        <v>6250</v>
      </c>
      <c r="D36">
        <v>6300</v>
      </c>
      <c r="E36">
        <v>6225</v>
      </c>
      <c r="F36">
        <v>6250</v>
      </c>
      <c r="G36">
        <v>100256000</v>
      </c>
      <c r="H36" s="4">
        <f t="shared" si="0"/>
        <v>-7.9365079365079361E-3</v>
      </c>
      <c r="I36" s="4">
        <f t="shared" si="1"/>
        <v>0.1013215859030837</v>
      </c>
    </row>
    <row r="37" spans="1:9" x14ac:dyDescent="0.2">
      <c r="A37" s="2">
        <f ca="1">IFERROR(__xludf.DUMMYFUNCTION("""COMPUTED_VALUE"""),45345.6666666666)</f>
        <v>45345.666666666599</v>
      </c>
      <c r="B37" s="2" t="s">
        <v>55</v>
      </c>
      <c r="C37">
        <v>6125</v>
      </c>
      <c r="D37">
        <v>6175</v>
      </c>
      <c r="E37">
        <v>6050</v>
      </c>
      <c r="F37">
        <v>6125</v>
      </c>
      <c r="G37">
        <v>148643000</v>
      </c>
      <c r="H37" s="4">
        <f t="shared" si="0"/>
        <v>-0.02</v>
      </c>
      <c r="I37" s="4">
        <f t="shared" si="1"/>
        <v>7.9295154185022032E-2</v>
      </c>
    </row>
    <row r="38" spans="1:9" x14ac:dyDescent="0.2">
      <c r="A38" s="2">
        <f ca="1">IFERROR(__xludf.DUMMYFUNCTION("""COMPUTED_VALUE"""),45348.6666666666)</f>
        <v>45348.666666666599</v>
      </c>
      <c r="B38" s="2" t="s">
        <v>55</v>
      </c>
      <c r="C38">
        <v>6100</v>
      </c>
      <c r="D38">
        <v>6200</v>
      </c>
      <c r="E38">
        <v>6075</v>
      </c>
      <c r="F38">
        <v>6175</v>
      </c>
      <c r="G38">
        <v>98920800</v>
      </c>
      <c r="H38" s="4">
        <f t="shared" si="0"/>
        <v>8.1632653061224497E-3</v>
      </c>
      <c r="I38" s="4">
        <f t="shared" si="1"/>
        <v>8.8105726872246701E-2</v>
      </c>
    </row>
    <row r="39" spans="1:9" x14ac:dyDescent="0.2">
      <c r="A39" s="2">
        <f ca="1">IFERROR(__xludf.DUMMYFUNCTION("""COMPUTED_VALUE"""),45349.6666666666)</f>
        <v>45349.666666666599</v>
      </c>
      <c r="B39" s="2" t="s">
        <v>55</v>
      </c>
      <c r="C39">
        <v>6125</v>
      </c>
      <c r="D39">
        <v>6200</v>
      </c>
      <c r="E39">
        <v>6125</v>
      </c>
      <c r="F39">
        <v>6125</v>
      </c>
      <c r="G39">
        <v>99187500</v>
      </c>
      <c r="H39" s="4">
        <f t="shared" si="0"/>
        <v>-8.0971659919028341E-3</v>
      </c>
      <c r="I39" s="4">
        <f t="shared" si="1"/>
        <v>7.9295154185022032E-2</v>
      </c>
    </row>
    <row r="40" spans="1:9" x14ac:dyDescent="0.2">
      <c r="A40" s="2">
        <f ca="1">IFERROR(__xludf.DUMMYFUNCTION("""COMPUTED_VALUE"""),45350.6666666666)</f>
        <v>45350.666666666599</v>
      </c>
      <c r="B40" s="2" t="s">
        <v>55</v>
      </c>
      <c r="C40">
        <v>6100</v>
      </c>
      <c r="D40">
        <v>6225</v>
      </c>
      <c r="E40">
        <v>6100</v>
      </c>
      <c r="F40">
        <v>6225</v>
      </c>
      <c r="G40">
        <v>97236700</v>
      </c>
      <c r="H40" s="4">
        <f t="shared" si="0"/>
        <v>1.6326530612244899E-2</v>
      </c>
      <c r="I40" s="4">
        <f t="shared" si="1"/>
        <v>9.6916299559471369E-2</v>
      </c>
    </row>
    <row r="41" spans="1:9" x14ac:dyDescent="0.2">
      <c r="A41" s="2">
        <f ca="1">IFERROR(__xludf.DUMMYFUNCTION("""COMPUTED_VALUE"""),45351.6666666666)</f>
        <v>45351.666666666599</v>
      </c>
      <c r="B41" s="2" t="s">
        <v>55</v>
      </c>
      <c r="C41">
        <v>6150</v>
      </c>
      <c r="D41">
        <v>6200</v>
      </c>
      <c r="E41">
        <v>6125</v>
      </c>
      <c r="F41">
        <v>6125</v>
      </c>
      <c r="G41">
        <v>173774600</v>
      </c>
      <c r="H41" s="4">
        <f t="shared" si="0"/>
        <v>-1.6064257028112448E-2</v>
      </c>
      <c r="I41" s="4">
        <f t="shared" si="1"/>
        <v>7.9295154185022032E-2</v>
      </c>
    </row>
    <row r="42" spans="1:9" x14ac:dyDescent="0.2">
      <c r="A42" s="2">
        <f ca="1">IFERROR(__xludf.DUMMYFUNCTION("""COMPUTED_VALUE"""),45352.6666666666)</f>
        <v>45352.666666666599</v>
      </c>
      <c r="B42" s="2" t="s">
        <v>55</v>
      </c>
      <c r="C42">
        <v>6175</v>
      </c>
      <c r="D42">
        <v>6175</v>
      </c>
      <c r="E42">
        <v>6075</v>
      </c>
      <c r="F42">
        <v>6125</v>
      </c>
      <c r="G42">
        <v>76286400</v>
      </c>
      <c r="H42" s="4">
        <f t="shared" si="0"/>
        <v>0</v>
      </c>
      <c r="I42" s="4">
        <f t="shared" si="1"/>
        <v>7.9295154185022032E-2</v>
      </c>
    </row>
    <row r="43" spans="1:9" x14ac:dyDescent="0.2">
      <c r="A43" s="2">
        <f ca="1">IFERROR(__xludf.DUMMYFUNCTION("""COMPUTED_VALUE"""),45355.6666666666)</f>
        <v>45355.666666666599</v>
      </c>
      <c r="B43" s="2" t="s">
        <v>55</v>
      </c>
      <c r="C43">
        <v>6125</v>
      </c>
      <c r="D43">
        <v>6125</v>
      </c>
      <c r="E43">
        <v>6050</v>
      </c>
      <c r="F43">
        <v>6050</v>
      </c>
      <c r="G43">
        <v>70354900</v>
      </c>
      <c r="H43" s="4">
        <f t="shared" si="0"/>
        <v>-1.2244897959183673E-2</v>
      </c>
      <c r="I43" s="4">
        <f t="shared" si="1"/>
        <v>6.6079295154185022E-2</v>
      </c>
    </row>
    <row r="44" spans="1:9" x14ac:dyDescent="0.2">
      <c r="A44" s="2">
        <f ca="1">IFERROR(__xludf.DUMMYFUNCTION("""COMPUTED_VALUE"""),45356.6666666666)</f>
        <v>45356.666666666599</v>
      </c>
      <c r="B44" s="2" t="s">
        <v>55</v>
      </c>
      <c r="C44">
        <v>6100</v>
      </c>
      <c r="D44">
        <v>6175</v>
      </c>
      <c r="E44">
        <v>6075</v>
      </c>
      <c r="F44">
        <v>6125</v>
      </c>
      <c r="G44">
        <v>115084600</v>
      </c>
      <c r="H44" s="4">
        <f t="shared" si="0"/>
        <v>1.2396694214876033E-2</v>
      </c>
      <c r="I44" s="4">
        <f t="shared" si="1"/>
        <v>7.9295154185022032E-2</v>
      </c>
    </row>
    <row r="45" spans="1:9" x14ac:dyDescent="0.2">
      <c r="A45" s="2">
        <f ca="1">IFERROR(__xludf.DUMMYFUNCTION("""COMPUTED_VALUE"""),45357.6666666666)</f>
        <v>45357.666666666599</v>
      </c>
      <c r="B45" s="2" t="s">
        <v>55</v>
      </c>
      <c r="C45">
        <v>6100</v>
      </c>
      <c r="D45">
        <v>6200</v>
      </c>
      <c r="E45">
        <v>6100</v>
      </c>
      <c r="F45">
        <v>6200</v>
      </c>
      <c r="G45">
        <v>84108800</v>
      </c>
      <c r="H45" s="4">
        <f t="shared" si="0"/>
        <v>1.2244897959183673E-2</v>
      </c>
      <c r="I45" s="4">
        <f t="shared" si="1"/>
        <v>9.2511013215859028E-2</v>
      </c>
    </row>
    <row r="46" spans="1:9" x14ac:dyDescent="0.2">
      <c r="A46" s="2">
        <f ca="1">IFERROR(__xludf.DUMMYFUNCTION("""COMPUTED_VALUE"""),45358.6666666666)</f>
        <v>45358.666666666599</v>
      </c>
      <c r="B46" s="2" t="s">
        <v>55</v>
      </c>
      <c r="C46">
        <v>6200</v>
      </c>
      <c r="D46">
        <v>6275</v>
      </c>
      <c r="E46">
        <v>6200</v>
      </c>
      <c r="F46">
        <v>6225</v>
      </c>
      <c r="G46">
        <v>117724700</v>
      </c>
      <c r="H46" s="4">
        <f t="shared" si="0"/>
        <v>4.0322580645161289E-3</v>
      </c>
      <c r="I46" s="4">
        <f t="shared" si="1"/>
        <v>9.6916299559471369E-2</v>
      </c>
    </row>
    <row r="47" spans="1:9" x14ac:dyDescent="0.2">
      <c r="A47" s="2">
        <f ca="1">IFERROR(__xludf.DUMMYFUNCTION("""COMPUTED_VALUE"""),45359.6666666666)</f>
        <v>45359.666666666599</v>
      </c>
      <c r="B47" s="2" t="s">
        <v>55</v>
      </c>
      <c r="C47">
        <v>6275</v>
      </c>
      <c r="D47">
        <v>6400</v>
      </c>
      <c r="E47">
        <v>6250</v>
      </c>
      <c r="F47">
        <v>6350</v>
      </c>
      <c r="G47">
        <v>163060000</v>
      </c>
      <c r="H47" s="4">
        <f t="shared" si="0"/>
        <v>2.0080321285140562E-2</v>
      </c>
      <c r="I47" s="4">
        <f t="shared" si="1"/>
        <v>0.11894273127753303</v>
      </c>
    </row>
    <row r="48" spans="1:9" x14ac:dyDescent="0.2">
      <c r="A48" s="2">
        <f ca="1">IFERROR(__xludf.DUMMYFUNCTION("""COMPUTED_VALUE"""),45364.6666666666)</f>
        <v>45364.666666666599</v>
      </c>
      <c r="B48" s="2" t="s">
        <v>55</v>
      </c>
      <c r="C48">
        <v>6350</v>
      </c>
      <c r="D48">
        <v>6450</v>
      </c>
      <c r="E48">
        <v>6350</v>
      </c>
      <c r="F48">
        <v>6400</v>
      </c>
      <c r="G48">
        <v>195173100</v>
      </c>
      <c r="H48" s="4">
        <f t="shared" si="0"/>
        <v>7.874015748031496E-3</v>
      </c>
      <c r="I48" s="4">
        <f t="shared" si="1"/>
        <v>0.1277533039647577</v>
      </c>
    </row>
    <row r="49" spans="1:9" x14ac:dyDescent="0.2">
      <c r="A49" s="2">
        <f ca="1">IFERROR(__xludf.DUMMYFUNCTION("""COMPUTED_VALUE"""),45365.6666666666)</f>
        <v>45365.666666666599</v>
      </c>
      <c r="B49" s="2" t="s">
        <v>55</v>
      </c>
      <c r="C49">
        <v>6175</v>
      </c>
      <c r="D49">
        <v>6200</v>
      </c>
      <c r="E49">
        <v>6050</v>
      </c>
      <c r="F49">
        <v>6150</v>
      </c>
      <c r="G49">
        <v>271254000</v>
      </c>
      <c r="H49" s="4">
        <f t="shared" si="0"/>
        <v>-3.90625E-2</v>
      </c>
      <c r="I49" s="4">
        <f t="shared" si="1"/>
        <v>8.3700440528634359E-2</v>
      </c>
    </row>
    <row r="50" spans="1:9" x14ac:dyDescent="0.2">
      <c r="A50" s="2">
        <f ca="1">IFERROR(__xludf.DUMMYFUNCTION("""COMPUTED_VALUE"""),45366.6666666666)</f>
        <v>45366.666666666599</v>
      </c>
      <c r="B50" s="2" t="s">
        <v>55</v>
      </c>
      <c r="C50">
        <v>6000</v>
      </c>
      <c r="D50">
        <v>6075</v>
      </c>
      <c r="E50">
        <v>5950</v>
      </c>
      <c r="F50">
        <v>5975</v>
      </c>
      <c r="G50">
        <v>305995800</v>
      </c>
      <c r="H50" s="4">
        <f t="shared" si="0"/>
        <v>-2.8455284552845527E-2</v>
      </c>
      <c r="I50" s="4">
        <f t="shared" si="1"/>
        <v>5.2863436123348019E-2</v>
      </c>
    </row>
    <row r="51" spans="1:9" x14ac:dyDescent="0.2">
      <c r="A51" s="2">
        <f ca="1">IFERROR(__xludf.DUMMYFUNCTION("""COMPUTED_VALUE"""),45369.6666666666)</f>
        <v>45369.666666666599</v>
      </c>
      <c r="B51" s="2" t="s">
        <v>55</v>
      </c>
      <c r="C51">
        <v>6000</v>
      </c>
      <c r="D51">
        <v>6100</v>
      </c>
      <c r="E51">
        <v>5975</v>
      </c>
      <c r="F51">
        <v>6000</v>
      </c>
      <c r="G51">
        <v>110564700</v>
      </c>
      <c r="H51" s="4">
        <f t="shared" si="0"/>
        <v>4.1841004184100415E-3</v>
      </c>
      <c r="I51" s="4">
        <f t="shared" si="1"/>
        <v>5.7268722466960353E-2</v>
      </c>
    </row>
    <row r="52" spans="1:9" x14ac:dyDescent="0.2">
      <c r="A52" s="2">
        <f ca="1">IFERROR(__xludf.DUMMYFUNCTION("""COMPUTED_VALUE"""),45370.6666666666)</f>
        <v>45370.666666666599</v>
      </c>
      <c r="B52" s="2" t="s">
        <v>55</v>
      </c>
      <c r="C52">
        <v>6000</v>
      </c>
      <c r="D52">
        <v>6050</v>
      </c>
      <c r="E52">
        <v>5975</v>
      </c>
      <c r="F52">
        <v>6000</v>
      </c>
      <c r="G52">
        <v>114338600</v>
      </c>
      <c r="H52" s="4">
        <f t="shared" si="0"/>
        <v>0</v>
      </c>
      <c r="I52" s="4">
        <f t="shared" si="1"/>
        <v>5.7268722466960353E-2</v>
      </c>
    </row>
    <row r="53" spans="1:9" x14ac:dyDescent="0.2">
      <c r="A53" s="2">
        <f ca="1">IFERROR(__xludf.DUMMYFUNCTION("""COMPUTED_VALUE"""),45371.6666666666)</f>
        <v>45371.666666666599</v>
      </c>
      <c r="B53" s="2" t="s">
        <v>55</v>
      </c>
      <c r="C53">
        <v>6000</v>
      </c>
      <c r="D53">
        <v>6100</v>
      </c>
      <c r="E53">
        <v>6000</v>
      </c>
      <c r="F53">
        <v>6100</v>
      </c>
      <c r="G53">
        <v>120885400</v>
      </c>
      <c r="H53" s="4">
        <f t="shared" si="0"/>
        <v>1.6666666666666666E-2</v>
      </c>
      <c r="I53" s="4">
        <f t="shared" si="1"/>
        <v>7.4889867841409691E-2</v>
      </c>
    </row>
    <row r="54" spans="1:9" x14ac:dyDescent="0.2">
      <c r="A54" s="2">
        <f ca="1">IFERROR(__xludf.DUMMYFUNCTION("""COMPUTED_VALUE"""),45372.6666666666)</f>
        <v>45372.666666666599</v>
      </c>
      <c r="B54" s="2" t="s">
        <v>55</v>
      </c>
      <c r="C54">
        <v>6175</v>
      </c>
      <c r="D54">
        <v>6200</v>
      </c>
      <c r="E54">
        <v>6100</v>
      </c>
      <c r="F54">
        <v>6100</v>
      </c>
      <c r="G54">
        <v>136020000</v>
      </c>
      <c r="H54" s="4">
        <f t="shared" si="0"/>
        <v>0</v>
      </c>
      <c r="I54" s="4">
        <f t="shared" si="1"/>
        <v>7.4889867841409691E-2</v>
      </c>
    </row>
    <row r="55" spans="1:9" x14ac:dyDescent="0.2">
      <c r="A55" s="2">
        <f ca="1">IFERROR(__xludf.DUMMYFUNCTION("""COMPUTED_VALUE"""),45373.6666666666)</f>
        <v>45373.666666666599</v>
      </c>
      <c r="B55" s="2" t="s">
        <v>55</v>
      </c>
      <c r="C55">
        <v>6050</v>
      </c>
      <c r="D55">
        <v>6125</v>
      </c>
      <c r="E55">
        <v>6050</v>
      </c>
      <c r="F55">
        <v>6125</v>
      </c>
      <c r="G55">
        <v>46529200</v>
      </c>
      <c r="H55" s="4">
        <f t="shared" si="0"/>
        <v>4.0983606557377051E-3</v>
      </c>
      <c r="I55" s="4">
        <f t="shared" si="1"/>
        <v>7.9295154185022032E-2</v>
      </c>
    </row>
    <row r="56" spans="1:9" x14ac:dyDescent="0.2">
      <c r="A56" s="2">
        <f ca="1">IFERROR(__xludf.DUMMYFUNCTION("""COMPUTED_VALUE"""),45376.6666666666)</f>
        <v>45376.666666666599</v>
      </c>
      <c r="B56" s="2" t="s">
        <v>55</v>
      </c>
      <c r="C56">
        <v>6250</v>
      </c>
      <c r="D56">
        <v>6250</v>
      </c>
      <c r="E56">
        <v>6125</v>
      </c>
      <c r="F56">
        <v>6250</v>
      </c>
      <c r="G56">
        <v>115729600</v>
      </c>
      <c r="H56" s="4">
        <f t="shared" si="0"/>
        <v>2.0408163265306121E-2</v>
      </c>
      <c r="I56" s="4">
        <f t="shared" si="1"/>
        <v>0.1013215859030837</v>
      </c>
    </row>
    <row r="57" spans="1:9" x14ac:dyDescent="0.2">
      <c r="A57" s="2">
        <f ca="1">IFERROR(__xludf.DUMMYFUNCTION("""COMPUTED_VALUE"""),45377.6666666666)</f>
        <v>45377.666666666599</v>
      </c>
      <c r="B57" s="2" t="s">
        <v>55</v>
      </c>
      <c r="C57">
        <v>6300</v>
      </c>
      <c r="D57">
        <v>6300</v>
      </c>
      <c r="E57">
        <v>6200</v>
      </c>
      <c r="F57">
        <v>6300</v>
      </c>
      <c r="G57">
        <v>120748400</v>
      </c>
      <c r="H57" s="4">
        <f t="shared" si="0"/>
        <v>8.0000000000000002E-3</v>
      </c>
      <c r="I57" s="4">
        <f t="shared" si="1"/>
        <v>0.11013215859030837</v>
      </c>
    </row>
    <row r="58" spans="1:9" x14ac:dyDescent="0.2">
      <c r="A58" s="2">
        <f ca="1">IFERROR(__xludf.DUMMYFUNCTION("""COMPUTED_VALUE"""),45378.6666666666)</f>
        <v>45378.666666666599</v>
      </c>
      <c r="B58" s="2" t="s">
        <v>55</v>
      </c>
      <c r="C58">
        <v>6300</v>
      </c>
      <c r="D58">
        <v>6325</v>
      </c>
      <c r="E58">
        <v>6225</v>
      </c>
      <c r="F58">
        <v>6250</v>
      </c>
      <c r="G58">
        <v>73308900</v>
      </c>
      <c r="H58" s="4">
        <f t="shared" si="0"/>
        <v>-7.9365079365079361E-3</v>
      </c>
      <c r="I58" s="4">
        <f t="shared" si="1"/>
        <v>0.1013215859030837</v>
      </c>
    </row>
    <row r="59" spans="1:9" x14ac:dyDescent="0.2">
      <c r="A59" s="2">
        <f ca="1">IFERROR(__xludf.DUMMYFUNCTION("""COMPUTED_VALUE"""),45379.6666666666)</f>
        <v>45379.666666666599</v>
      </c>
      <c r="B59" s="2" t="s">
        <v>55</v>
      </c>
      <c r="C59">
        <v>6100</v>
      </c>
      <c r="D59">
        <v>6200</v>
      </c>
      <c r="E59">
        <v>6025</v>
      </c>
      <c r="F59">
        <v>6050</v>
      </c>
      <c r="G59">
        <v>288926900</v>
      </c>
      <c r="H59" s="4">
        <f t="shared" si="0"/>
        <v>-3.2000000000000001E-2</v>
      </c>
      <c r="I59" s="4">
        <f t="shared" si="1"/>
        <v>6.6079295154185022E-2</v>
      </c>
    </row>
    <row r="60" spans="1:9" x14ac:dyDescent="0.2">
      <c r="A60" s="2">
        <f ca="1">IFERROR(__xludf.DUMMYFUNCTION("""COMPUTED_VALUE"""),45383.6666666666)</f>
        <v>45383.666666666599</v>
      </c>
      <c r="B60" s="2" t="s">
        <v>55</v>
      </c>
      <c r="C60">
        <v>6000</v>
      </c>
      <c r="D60">
        <v>6025</v>
      </c>
      <c r="E60">
        <v>5825</v>
      </c>
      <c r="F60">
        <v>5925</v>
      </c>
      <c r="G60">
        <v>217207800</v>
      </c>
      <c r="H60" s="4">
        <f t="shared" si="0"/>
        <v>-2.0661157024793389E-2</v>
      </c>
      <c r="I60" s="4">
        <f t="shared" si="1"/>
        <v>4.405286343612335E-2</v>
      </c>
    </row>
    <row r="61" spans="1:9" x14ac:dyDescent="0.2">
      <c r="A61" s="2">
        <f ca="1">IFERROR(__xludf.DUMMYFUNCTION("""COMPUTED_VALUE"""),45384.6666666666)</f>
        <v>45384.666666666599</v>
      </c>
      <c r="B61" s="2" t="s">
        <v>55</v>
      </c>
      <c r="C61">
        <v>5850</v>
      </c>
      <c r="D61">
        <v>5950</v>
      </c>
      <c r="E61">
        <v>5625</v>
      </c>
      <c r="F61">
        <v>5675</v>
      </c>
      <c r="G61">
        <v>412180900</v>
      </c>
      <c r="H61" s="4">
        <f t="shared" si="0"/>
        <v>-4.2194092827004218E-2</v>
      </c>
      <c r="I61" s="4">
        <f t="shared" si="1"/>
        <v>0</v>
      </c>
    </row>
    <row r="62" spans="1:9" x14ac:dyDescent="0.2">
      <c r="A62" s="2">
        <f ca="1">IFERROR(__xludf.DUMMYFUNCTION("""COMPUTED_VALUE"""),45385.6666666666)</f>
        <v>45385.666666666599</v>
      </c>
      <c r="B62" s="2" t="s">
        <v>55</v>
      </c>
      <c r="C62">
        <v>5575</v>
      </c>
      <c r="D62">
        <v>5675</v>
      </c>
      <c r="E62">
        <v>5525</v>
      </c>
      <c r="F62">
        <v>5625</v>
      </c>
      <c r="G62">
        <v>333518700</v>
      </c>
      <c r="H62" s="4">
        <f t="shared" si="0"/>
        <v>-8.8105726872246704E-3</v>
      </c>
      <c r="I62" s="4">
        <f t="shared" si="1"/>
        <v>-8.8105726872246704E-3</v>
      </c>
    </row>
    <row r="63" spans="1:9" x14ac:dyDescent="0.2">
      <c r="A63" s="2">
        <f ca="1">IFERROR(__xludf.DUMMYFUNCTION("""COMPUTED_VALUE"""),45386.6666666666)</f>
        <v>45386.666666666599</v>
      </c>
      <c r="B63" s="2" t="s">
        <v>55</v>
      </c>
      <c r="C63">
        <v>5650</v>
      </c>
      <c r="D63">
        <v>5750</v>
      </c>
      <c r="E63">
        <v>5650</v>
      </c>
      <c r="F63">
        <v>5700</v>
      </c>
      <c r="G63">
        <v>131936100</v>
      </c>
      <c r="H63" s="4">
        <f t="shared" si="0"/>
        <v>1.3333333333333334E-2</v>
      </c>
      <c r="I63" s="4">
        <f t="shared" si="1"/>
        <v>4.4052863436123352E-3</v>
      </c>
    </row>
    <row r="64" spans="1:9" x14ac:dyDescent="0.2">
      <c r="A64" s="2">
        <f ca="1">IFERROR(__xludf.DUMMYFUNCTION("""COMPUTED_VALUE"""),45387.6666666666)</f>
        <v>45387.666666666599</v>
      </c>
      <c r="B64" s="2" t="s">
        <v>55</v>
      </c>
      <c r="C64">
        <v>5625</v>
      </c>
      <c r="D64">
        <v>5700</v>
      </c>
      <c r="E64">
        <v>5625</v>
      </c>
      <c r="F64">
        <v>5650</v>
      </c>
      <c r="G64">
        <v>178817800</v>
      </c>
      <c r="H64" s="4">
        <f t="shared" si="0"/>
        <v>-8.771929824561403E-3</v>
      </c>
      <c r="I64" s="4">
        <f t="shared" si="1"/>
        <v>-4.4052863436123352E-3</v>
      </c>
    </row>
    <row r="65" spans="1:9" x14ac:dyDescent="0.2">
      <c r="A65" s="2">
        <f ca="1">IFERROR(__xludf.DUMMYFUNCTION("""COMPUTED_VALUE"""),45398.6666666666)</f>
        <v>45398.666666666599</v>
      </c>
      <c r="B65" s="2" t="s">
        <v>55</v>
      </c>
      <c r="C65">
        <v>5375</v>
      </c>
      <c r="D65">
        <v>5575</v>
      </c>
      <c r="E65">
        <v>5350</v>
      </c>
      <c r="F65">
        <v>5350</v>
      </c>
      <c r="G65">
        <v>600717500</v>
      </c>
      <c r="H65" s="4">
        <f t="shared" si="0"/>
        <v>-5.3097345132743362E-2</v>
      </c>
      <c r="I65" s="4">
        <f t="shared" si="1"/>
        <v>-5.7268722466960353E-2</v>
      </c>
    </row>
    <row r="66" spans="1:9" x14ac:dyDescent="0.2">
      <c r="A66" s="2">
        <f ca="1">IFERROR(__xludf.DUMMYFUNCTION("""COMPUTED_VALUE"""),45399.6666666666)</f>
        <v>45399.666666666599</v>
      </c>
      <c r="B66" s="2" t="s">
        <v>55</v>
      </c>
      <c r="C66">
        <v>5475</v>
      </c>
      <c r="D66">
        <v>5500</v>
      </c>
      <c r="E66">
        <v>5300</v>
      </c>
      <c r="F66">
        <v>5300</v>
      </c>
      <c r="G66">
        <v>244002000</v>
      </c>
      <c r="H66" s="4">
        <f t="shared" si="0"/>
        <v>-9.3457943925233638E-3</v>
      </c>
      <c r="I66" s="4">
        <f t="shared" si="1"/>
        <v>-6.6079295154185022E-2</v>
      </c>
    </row>
    <row r="67" spans="1:9" x14ac:dyDescent="0.2">
      <c r="A67" s="2">
        <f ca="1">IFERROR(__xludf.DUMMYFUNCTION("""COMPUTED_VALUE"""),45400.6666666666)</f>
        <v>45400.666666666599</v>
      </c>
      <c r="B67" s="2" t="s">
        <v>55</v>
      </c>
      <c r="C67">
        <v>5300</v>
      </c>
      <c r="D67">
        <v>5500</v>
      </c>
      <c r="E67">
        <v>5300</v>
      </c>
      <c r="F67">
        <v>5475</v>
      </c>
      <c r="G67">
        <v>247410700</v>
      </c>
      <c r="H67" s="4">
        <f t="shared" si="0"/>
        <v>3.3018867924528301E-2</v>
      </c>
      <c r="I67" s="4">
        <f t="shared" si="1"/>
        <v>-3.5242290748898682E-2</v>
      </c>
    </row>
    <row r="68" spans="1:9" x14ac:dyDescent="0.2">
      <c r="A68" s="2">
        <f ca="1">IFERROR(__xludf.DUMMYFUNCTION("""COMPUTED_VALUE"""),45401.6666666666)</f>
        <v>45401.666666666599</v>
      </c>
      <c r="B68" s="2" t="s">
        <v>55</v>
      </c>
      <c r="C68">
        <v>5350</v>
      </c>
      <c r="D68">
        <v>5375</v>
      </c>
      <c r="E68">
        <v>5250</v>
      </c>
      <c r="F68">
        <v>5275</v>
      </c>
      <c r="G68">
        <v>258211500</v>
      </c>
      <c r="H68" s="4">
        <f t="shared" ref="H68:H131" si="2">(F68-F67)/F67</f>
        <v>-3.6529680365296802E-2</v>
      </c>
      <c r="I68" s="4">
        <f t="shared" ref="I68:I131" si="3">(F68-$F$2)/$F$2</f>
        <v>-7.0484581497797363E-2</v>
      </c>
    </row>
    <row r="69" spans="1:9" x14ac:dyDescent="0.2">
      <c r="A69" s="2">
        <f ca="1">IFERROR(__xludf.DUMMYFUNCTION("""COMPUTED_VALUE"""),45404.6666666666)</f>
        <v>45404.666666666599</v>
      </c>
      <c r="B69" s="2" t="s">
        <v>55</v>
      </c>
      <c r="C69">
        <v>5200</v>
      </c>
      <c r="D69">
        <v>5325</v>
      </c>
      <c r="E69">
        <v>5150</v>
      </c>
      <c r="F69">
        <v>5300</v>
      </c>
      <c r="G69">
        <v>342282800</v>
      </c>
      <c r="H69" s="4">
        <f t="shared" si="2"/>
        <v>4.7393364928909956E-3</v>
      </c>
      <c r="I69" s="4">
        <f t="shared" si="3"/>
        <v>-6.6079295154185022E-2</v>
      </c>
    </row>
    <row r="70" spans="1:9" x14ac:dyDescent="0.2">
      <c r="A70" s="2">
        <f ca="1">IFERROR(__xludf.DUMMYFUNCTION("""COMPUTED_VALUE"""),45405.6666666666)</f>
        <v>45405.666666666599</v>
      </c>
      <c r="B70" s="2" t="s">
        <v>55</v>
      </c>
      <c r="C70">
        <v>5350</v>
      </c>
      <c r="D70">
        <v>5400</v>
      </c>
      <c r="E70">
        <v>5225</v>
      </c>
      <c r="F70">
        <v>5300</v>
      </c>
      <c r="G70">
        <v>281403100</v>
      </c>
      <c r="H70" s="4">
        <f t="shared" si="2"/>
        <v>0</v>
      </c>
      <c r="I70" s="4">
        <f t="shared" si="3"/>
        <v>-6.6079295154185022E-2</v>
      </c>
    </row>
    <row r="71" spans="1:9" x14ac:dyDescent="0.2">
      <c r="A71" s="2">
        <f ca="1">IFERROR(__xludf.DUMMYFUNCTION("""COMPUTED_VALUE"""),45406.6666666666)</f>
        <v>45406.666666666599</v>
      </c>
      <c r="B71" s="2" t="s">
        <v>55</v>
      </c>
      <c r="C71">
        <v>5250</v>
      </c>
      <c r="D71">
        <v>5350</v>
      </c>
      <c r="E71">
        <v>5150</v>
      </c>
      <c r="F71">
        <v>5225</v>
      </c>
      <c r="G71">
        <v>471241400</v>
      </c>
      <c r="H71" s="4">
        <f t="shared" si="2"/>
        <v>-1.4150943396226415E-2</v>
      </c>
      <c r="I71" s="4">
        <f t="shared" si="3"/>
        <v>-7.9295154185022032E-2</v>
      </c>
    </row>
    <row r="72" spans="1:9" x14ac:dyDescent="0.2">
      <c r="A72" s="2">
        <f ca="1">IFERROR(__xludf.DUMMYFUNCTION("""COMPUTED_VALUE"""),45407.6666666666)</f>
        <v>45407.666666666599</v>
      </c>
      <c r="B72" s="2" t="s">
        <v>55</v>
      </c>
      <c r="C72">
        <v>5125</v>
      </c>
      <c r="D72">
        <v>5200</v>
      </c>
      <c r="E72">
        <v>5050</v>
      </c>
      <c r="F72">
        <v>5150</v>
      </c>
      <c r="G72">
        <v>479170900</v>
      </c>
      <c r="H72" s="4">
        <f t="shared" si="2"/>
        <v>-1.4354066985645933E-2</v>
      </c>
      <c r="I72" s="4">
        <f t="shared" si="3"/>
        <v>-9.2511013215859028E-2</v>
      </c>
    </row>
    <row r="73" spans="1:9" x14ac:dyDescent="0.2">
      <c r="A73" s="2">
        <f ca="1">IFERROR(__xludf.DUMMYFUNCTION("""COMPUTED_VALUE"""),45408.6666666666)</f>
        <v>45408.666666666599</v>
      </c>
      <c r="B73" s="2" t="s">
        <v>55</v>
      </c>
      <c r="C73">
        <v>5050</v>
      </c>
      <c r="D73">
        <v>5100</v>
      </c>
      <c r="E73">
        <v>4830</v>
      </c>
      <c r="F73">
        <v>4830</v>
      </c>
      <c r="G73">
        <v>782589900</v>
      </c>
      <c r="H73" s="4">
        <f t="shared" si="2"/>
        <v>-6.2135922330097085E-2</v>
      </c>
      <c r="I73" s="4">
        <f t="shared" si="3"/>
        <v>-0.14889867841409693</v>
      </c>
    </row>
    <row r="74" spans="1:9" x14ac:dyDescent="0.2">
      <c r="A74" s="2">
        <f ca="1">IFERROR(__xludf.DUMMYFUNCTION("""COMPUTED_VALUE"""),45411.6666666666)</f>
        <v>45411.666666666599</v>
      </c>
      <c r="B74" s="2" t="s">
        <v>55</v>
      </c>
      <c r="C74">
        <v>4700</v>
      </c>
      <c r="D74">
        <v>4890</v>
      </c>
      <c r="E74">
        <v>4680</v>
      </c>
      <c r="F74">
        <v>4770</v>
      </c>
      <c r="G74">
        <v>700644800</v>
      </c>
      <c r="H74" s="4">
        <f t="shared" si="2"/>
        <v>-1.2422360248447204E-2</v>
      </c>
      <c r="I74" s="4">
        <f t="shared" si="3"/>
        <v>-0.15947136563876652</v>
      </c>
    </row>
    <row r="75" spans="1:9" x14ac:dyDescent="0.2">
      <c r="A75" s="2">
        <f ca="1">IFERROR(__xludf.DUMMYFUNCTION("""COMPUTED_VALUE"""),45412.6666666666)</f>
        <v>45412.666666666599</v>
      </c>
      <c r="B75" s="2" t="s">
        <v>55</v>
      </c>
      <c r="C75">
        <v>4850</v>
      </c>
      <c r="D75">
        <v>5050</v>
      </c>
      <c r="E75">
        <v>4820</v>
      </c>
      <c r="F75">
        <v>4940</v>
      </c>
      <c r="G75">
        <v>565609200</v>
      </c>
      <c r="H75" s="4">
        <f t="shared" si="2"/>
        <v>3.5639412997903561E-2</v>
      </c>
      <c r="I75" s="4">
        <f t="shared" si="3"/>
        <v>-0.12951541850220263</v>
      </c>
    </row>
    <row r="76" spans="1:9" x14ac:dyDescent="0.2">
      <c r="A76" s="2">
        <f ca="1">IFERROR(__xludf.DUMMYFUNCTION("""COMPUTED_VALUE"""),45414.6666666666)</f>
        <v>45414.666666666599</v>
      </c>
      <c r="B76" s="2" t="s">
        <v>55</v>
      </c>
      <c r="C76">
        <v>4910</v>
      </c>
      <c r="D76">
        <v>4920</v>
      </c>
      <c r="E76">
        <v>4700</v>
      </c>
      <c r="F76">
        <v>4760</v>
      </c>
      <c r="G76">
        <v>636922100</v>
      </c>
      <c r="H76" s="4">
        <f t="shared" si="2"/>
        <v>-3.643724696356275E-2</v>
      </c>
      <c r="I76" s="4">
        <f t="shared" si="3"/>
        <v>-0.16123348017621145</v>
      </c>
    </row>
    <row r="77" spans="1:9" x14ac:dyDescent="0.2">
      <c r="A77" s="2">
        <f ca="1">IFERROR(__xludf.DUMMYFUNCTION("""COMPUTED_VALUE"""),45415.6666666666)</f>
        <v>45415.666666666599</v>
      </c>
      <c r="B77" s="2" t="s">
        <v>55</v>
      </c>
      <c r="C77">
        <v>4760</v>
      </c>
      <c r="D77">
        <v>4830</v>
      </c>
      <c r="E77">
        <v>4710</v>
      </c>
      <c r="F77">
        <v>4750</v>
      </c>
      <c r="G77">
        <v>321697200</v>
      </c>
      <c r="H77" s="4">
        <f t="shared" si="2"/>
        <v>-2.1008403361344537E-3</v>
      </c>
      <c r="I77" s="4">
        <f t="shared" si="3"/>
        <v>-0.16299559471365638</v>
      </c>
    </row>
    <row r="78" spans="1:9" x14ac:dyDescent="0.2">
      <c r="A78" s="2">
        <f ca="1">IFERROR(__xludf.DUMMYFUNCTION("""COMPUTED_VALUE"""),45418.6666666666)</f>
        <v>45418.666666666599</v>
      </c>
      <c r="B78" s="2" t="s">
        <v>55</v>
      </c>
      <c r="C78">
        <v>4800</v>
      </c>
      <c r="D78">
        <v>4840</v>
      </c>
      <c r="E78">
        <v>4730</v>
      </c>
      <c r="F78">
        <v>4790</v>
      </c>
      <c r="G78">
        <v>262707400</v>
      </c>
      <c r="H78" s="4">
        <f t="shared" si="2"/>
        <v>8.4210526315789472E-3</v>
      </c>
      <c r="I78" s="4">
        <f t="shared" si="3"/>
        <v>-0.15594713656387665</v>
      </c>
    </row>
    <row r="79" spans="1:9" x14ac:dyDescent="0.2">
      <c r="A79" s="2">
        <f ca="1">IFERROR(__xludf.DUMMYFUNCTION("""COMPUTED_VALUE"""),45419.6666666666)</f>
        <v>45419.666666666599</v>
      </c>
      <c r="B79" s="2" t="s">
        <v>55</v>
      </c>
      <c r="C79">
        <v>4770</v>
      </c>
      <c r="D79">
        <v>4780</v>
      </c>
      <c r="E79">
        <v>4670</v>
      </c>
      <c r="F79">
        <v>4670</v>
      </c>
      <c r="G79">
        <v>304013600</v>
      </c>
      <c r="H79" s="4">
        <f t="shared" si="2"/>
        <v>-2.5052192066805846E-2</v>
      </c>
      <c r="I79" s="4">
        <f t="shared" si="3"/>
        <v>-0.17709251101321585</v>
      </c>
    </row>
    <row r="80" spans="1:9" x14ac:dyDescent="0.2">
      <c r="A80" s="2">
        <f ca="1">IFERROR(__xludf.DUMMYFUNCTION("""COMPUTED_VALUE"""),45420.6666666666)</f>
        <v>45420.666666666599</v>
      </c>
      <c r="B80" s="2" t="s">
        <v>55</v>
      </c>
      <c r="C80">
        <v>4650</v>
      </c>
      <c r="D80">
        <v>4740</v>
      </c>
      <c r="E80">
        <v>4570</v>
      </c>
      <c r="F80">
        <v>4680</v>
      </c>
      <c r="G80">
        <v>572275800</v>
      </c>
      <c r="H80" s="4">
        <f t="shared" si="2"/>
        <v>2.1413276231263384E-3</v>
      </c>
      <c r="I80" s="4">
        <f t="shared" si="3"/>
        <v>-0.17533039647577092</v>
      </c>
    </row>
    <row r="81" spans="1:9" x14ac:dyDescent="0.2">
      <c r="A81" s="2">
        <f ca="1">IFERROR(__xludf.DUMMYFUNCTION("""COMPUTED_VALUE"""),45425.6666666666)</f>
        <v>45425.666666666599</v>
      </c>
      <c r="B81" s="2" t="s">
        <v>55</v>
      </c>
      <c r="C81">
        <v>4650</v>
      </c>
      <c r="D81">
        <v>4700</v>
      </c>
      <c r="E81">
        <v>4630</v>
      </c>
      <c r="F81">
        <v>4680</v>
      </c>
      <c r="G81">
        <v>320067100</v>
      </c>
      <c r="H81" s="4">
        <f t="shared" si="2"/>
        <v>0</v>
      </c>
      <c r="I81" s="4">
        <f t="shared" si="3"/>
        <v>-0.17533039647577092</v>
      </c>
    </row>
    <row r="82" spans="1:9" x14ac:dyDescent="0.2">
      <c r="A82" s="2">
        <f ca="1">IFERROR(__xludf.DUMMYFUNCTION("""COMPUTED_VALUE"""),45426.6666666666)</f>
        <v>45426.666666666599</v>
      </c>
      <c r="B82" s="2" t="s">
        <v>55</v>
      </c>
      <c r="C82">
        <v>4720</v>
      </c>
      <c r="D82">
        <v>4810</v>
      </c>
      <c r="E82">
        <v>4700</v>
      </c>
      <c r="F82">
        <v>4730</v>
      </c>
      <c r="G82">
        <v>341458900</v>
      </c>
      <c r="H82" s="4">
        <f t="shared" si="2"/>
        <v>1.0683760683760684E-2</v>
      </c>
      <c r="I82" s="4">
        <f t="shared" si="3"/>
        <v>-0.16651982378854627</v>
      </c>
    </row>
    <row r="83" spans="1:9" x14ac:dyDescent="0.2">
      <c r="A83" s="2">
        <f ca="1">IFERROR(__xludf.DUMMYFUNCTION("""COMPUTED_VALUE"""),45427.6666666666)</f>
        <v>45427.666666666599</v>
      </c>
      <c r="B83" s="2" t="s">
        <v>55</v>
      </c>
      <c r="C83">
        <v>4780</v>
      </c>
      <c r="D83">
        <v>4870</v>
      </c>
      <c r="E83">
        <v>4760</v>
      </c>
      <c r="F83">
        <v>4820</v>
      </c>
      <c r="G83">
        <v>298990300</v>
      </c>
      <c r="H83" s="4">
        <f t="shared" si="2"/>
        <v>1.9027484143763214E-2</v>
      </c>
      <c r="I83" s="4">
        <f t="shared" si="3"/>
        <v>-0.15066079295154186</v>
      </c>
    </row>
    <row r="84" spans="1:9" x14ac:dyDescent="0.2">
      <c r="A84" s="2">
        <f ca="1">IFERROR(__xludf.DUMMYFUNCTION("""COMPUTED_VALUE"""),45428.6666666666)</f>
        <v>45428.666666666599</v>
      </c>
      <c r="B84" s="2" t="s">
        <v>55</v>
      </c>
      <c r="C84">
        <v>4930</v>
      </c>
      <c r="D84">
        <v>4960</v>
      </c>
      <c r="E84">
        <v>4840</v>
      </c>
      <c r="F84">
        <v>4840</v>
      </c>
      <c r="G84">
        <v>371295000</v>
      </c>
      <c r="H84" s="4">
        <f t="shared" si="2"/>
        <v>4.1493775933609959E-3</v>
      </c>
      <c r="I84" s="4">
        <f t="shared" si="3"/>
        <v>-0.14713656387665197</v>
      </c>
    </row>
    <row r="85" spans="1:9" x14ac:dyDescent="0.2">
      <c r="A85" s="2">
        <f ca="1">IFERROR(__xludf.DUMMYFUNCTION("""COMPUTED_VALUE"""),45429.6666666666)</f>
        <v>45429.666666666599</v>
      </c>
      <c r="B85" s="2" t="s">
        <v>55</v>
      </c>
      <c r="C85">
        <v>4840</v>
      </c>
      <c r="D85">
        <v>4960</v>
      </c>
      <c r="E85">
        <v>4820</v>
      </c>
      <c r="F85">
        <v>4920</v>
      </c>
      <c r="G85">
        <v>208991800</v>
      </c>
      <c r="H85" s="4">
        <f t="shared" si="2"/>
        <v>1.6528925619834711E-2</v>
      </c>
      <c r="I85" s="4">
        <f t="shared" si="3"/>
        <v>-0.13303964757709252</v>
      </c>
    </row>
    <row r="86" spans="1:9" x14ac:dyDescent="0.2">
      <c r="A86" s="2">
        <f ca="1">IFERROR(__xludf.DUMMYFUNCTION("""COMPUTED_VALUE"""),45432.6666666666)</f>
        <v>45432.666666666599</v>
      </c>
      <c r="B86" s="2" t="s">
        <v>55</v>
      </c>
      <c r="C86">
        <v>4990</v>
      </c>
      <c r="D86">
        <v>5050</v>
      </c>
      <c r="E86">
        <v>4820</v>
      </c>
      <c r="F86">
        <v>4820</v>
      </c>
      <c r="G86">
        <v>335150700</v>
      </c>
      <c r="H86" s="4">
        <f t="shared" si="2"/>
        <v>-2.032520325203252E-2</v>
      </c>
      <c r="I86" s="4">
        <f t="shared" si="3"/>
        <v>-0.15066079295154186</v>
      </c>
    </row>
    <row r="87" spans="1:9" x14ac:dyDescent="0.2">
      <c r="A87" s="2">
        <f ca="1">IFERROR(__xludf.DUMMYFUNCTION("""COMPUTED_VALUE"""),45433.6666666666)</f>
        <v>45433.666666666599</v>
      </c>
      <c r="B87" s="2" t="s">
        <v>55</v>
      </c>
      <c r="C87">
        <v>4810</v>
      </c>
      <c r="D87">
        <v>4870</v>
      </c>
      <c r="E87">
        <v>4680</v>
      </c>
      <c r="F87">
        <v>4680</v>
      </c>
      <c r="G87">
        <v>271568800</v>
      </c>
      <c r="H87" s="4">
        <f t="shared" si="2"/>
        <v>-2.9045643153526972E-2</v>
      </c>
      <c r="I87" s="4">
        <f t="shared" si="3"/>
        <v>-0.17533039647577092</v>
      </c>
    </row>
    <row r="88" spans="1:9" x14ac:dyDescent="0.2">
      <c r="A88" s="2">
        <f ca="1">IFERROR(__xludf.DUMMYFUNCTION("""COMPUTED_VALUE"""),45434.6666666666)</f>
        <v>45434.666666666599</v>
      </c>
      <c r="B88" s="2" t="s">
        <v>55</v>
      </c>
      <c r="C88">
        <v>4650</v>
      </c>
      <c r="D88">
        <v>4770</v>
      </c>
      <c r="E88">
        <v>4650</v>
      </c>
      <c r="F88">
        <v>4720</v>
      </c>
      <c r="G88">
        <v>215066000</v>
      </c>
      <c r="H88" s="4">
        <f t="shared" si="2"/>
        <v>8.5470085470085479E-3</v>
      </c>
      <c r="I88" s="4">
        <f t="shared" si="3"/>
        <v>-0.1682819383259912</v>
      </c>
    </row>
    <row r="89" spans="1:9" x14ac:dyDescent="0.2">
      <c r="A89" s="2">
        <f ca="1">IFERROR(__xludf.DUMMYFUNCTION("""COMPUTED_VALUE"""),45439.6666666666)</f>
        <v>45439.666666666599</v>
      </c>
      <c r="B89" s="2" t="s">
        <v>55</v>
      </c>
      <c r="C89">
        <v>4700</v>
      </c>
      <c r="D89">
        <v>4720</v>
      </c>
      <c r="E89">
        <v>4550</v>
      </c>
      <c r="F89">
        <v>4550</v>
      </c>
      <c r="G89">
        <v>363719300</v>
      </c>
      <c r="H89" s="4">
        <f t="shared" si="2"/>
        <v>-3.6016949152542374E-2</v>
      </c>
      <c r="I89" s="4">
        <f t="shared" si="3"/>
        <v>-0.19823788546255505</v>
      </c>
    </row>
    <row r="90" spans="1:9" x14ac:dyDescent="0.2">
      <c r="A90" s="2">
        <f ca="1">IFERROR(__xludf.DUMMYFUNCTION("""COMPUTED_VALUE"""),45440.6666666666)</f>
        <v>45440.666666666599</v>
      </c>
      <c r="B90" s="2" t="s">
        <v>55</v>
      </c>
      <c r="C90">
        <v>4580</v>
      </c>
      <c r="D90">
        <v>4630</v>
      </c>
      <c r="E90">
        <v>4520</v>
      </c>
      <c r="F90">
        <v>4530</v>
      </c>
      <c r="G90">
        <v>258070200</v>
      </c>
      <c r="H90" s="4">
        <f t="shared" si="2"/>
        <v>-4.3956043956043956E-3</v>
      </c>
      <c r="I90" s="4">
        <f t="shared" si="3"/>
        <v>-0.20176211453744494</v>
      </c>
    </row>
    <row r="91" spans="1:9" x14ac:dyDescent="0.2">
      <c r="A91" s="2">
        <f ca="1">IFERROR(__xludf.DUMMYFUNCTION("""COMPUTED_VALUE"""),45441.6666666666)</f>
        <v>45441.666666666599</v>
      </c>
      <c r="B91" s="2" t="s">
        <v>55</v>
      </c>
      <c r="C91">
        <v>4480</v>
      </c>
      <c r="D91">
        <v>4500</v>
      </c>
      <c r="E91">
        <v>4400</v>
      </c>
      <c r="F91">
        <v>4410</v>
      </c>
      <c r="G91">
        <v>465008500</v>
      </c>
      <c r="H91" s="4">
        <f t="shared" si="2"/>
        <v>-2.6490066225165563E-2</v>
      </c>
      <c r="I91" s="4">
        <f t="shared" si="3"/>
        <v>-0.22290748898678414</v>
      </c>
    </row>
    <row r="92" spans="1:9" x14ac:dyDescent="0.2">
      <c r="A92" s="2">
        <f ca="1">IFERROR(__xludf.DUMMYFUNCTION("""COMPUTED_VALUE"""),45442.6666666666)</f>
        <v>45442.666666666599</v>
      </c>
      <c r="B92" s="2" t="s">
        <v>55</v>
      </c>
      <c r="C92">
        <v>4400</v>
      </c>
      <c r="D92">
        <v>4480</v>
      </c>
      <c r="E92">
        <v>4310</v>
      </c>
      <c r="F92">
        <v>4380</v>
      </c>
      <c r="G92">
        <v>502927800</v>
      </c>
      <c r="H92" s="4">
        <f t="shared" si="2"/>
        <v>-6.8027210884353739E-3</v>
      </c>
      <c r="I92" s="4">
        <f t="shared" si="3"/>
        <v>-0.22819383259911893</v>
      </c>
    </row>
    <row r="93" spans="1:9" x14ac:dyDescent="0.2">
      <c r="A93" s="2">
        <f ca="1">IFERROR(__xludf.DUMMYFUNCTION("""COMPUTED_VALUE"""),45443.6666666666)</f>
        <v>45443.666666666599</v>
      </c>
      <c r="B93" s="2" t="s">
        <v>55</v>
      </c>
      <c r="C93">
        <v>4430</v>
      </c>
      <c r="D93">
        <v>4470</v>
      </c>
      <c r="E93">
        <v>4330</v>
      </c>
      <c r="F93">
        <v>4340</v>
      </c>
      <c r="G93">
        <v>655144100</v>
      </c>
      <c r="H93" s="4">
        <f t="shared" si="2"/>
        <v>-9.1324200913242004E-3</v>
      </c>
      <c r="I93" s="4">
        <f t="shared" si="3"/>
        <v>-0.23524229074889869</v>
      </c>
    </row>
    <row r="94" spans="1:9" x14ac:dyDescent="0.2">
      <c r="A94" s="2">
        <f ca="1">IFERROR(__xludf.DUMMYFUNCTION("""COMPUTED_VALUE"""),45446.6666666666)</f>
        <v>45446.666666666599</v>
      </c>
      <c r="B94" s="2" t="s">
        <v>55</v>
      </c>
      <c r="C94">
        <v>4430</v>
      </c>
      <c r="D94">
        <v>4560</v>
      </c>
      <c r="E94">
        <v>4400</v>
      </c>
      <c r="F94">
        <v>4530</v>
      </c>
      <c r="G94">
        <v>345770100</v>
      </c>
      <c r="H94" s="4">
        <f t="shared" si="2"/>
        <v>4.377880184331797E-2</v>
      </c>
      <c r="I94" s="4">
        <f t="shared" si="3"/>
        <v>-0.20176211453744494</v>
      </c>
    </row>
    <row r="95" spans="1:9" x14ac:dyDescent="0.2">
      <c r="A95" s="2">
        <f ca="1">IFERROR(__xludf.DUMMYFUNCTION("""COMPUTED_VALUE"""),45447.6666666666)</f>
        <v>45447.666666666599</v>
      </c>
      <c r="B95" s="2" t="s">
        <v>55</v>
      </c>
      <c r="C95">
        <v>4560</v>
      </c>
      <c r="D95">
        <v>4590</v>
      </c>
      <c r="E95">
        <v>4450</v>
      </c>
      <c r="F95">
        <v>4450</v>
      </c>
      <c r="G95">
        <v>332902200</v>
      </c>
      <c r="H95" s="4">
        <f t="shared" si="2"/>
        <v>-1.7660044150110375E-2</v>
      </c>
      <c r="I95" s="4">
        <f t="shared" si="3"/>
        <v>-0.21585903083700442</v>
      </c>
    </row>
    <row r="96" spans="1:9" x14ac:dyDescent="0.2">
      <c r="A96" s="2">
        <f ca="1">IFERROR(__xludf.DUMMYFUNCTION("""COMPUTED_VALUE"""),45448.6666666666)</f>
        <v>45448.666666666599</v>
      </c>
      <c r="B96" s="2" t="s">
        <v>55</v>
      </c>
      <c r="C96">
        <v>4500</v>
      </c>
      <c r="D96">
        <v>4500</v>
      </c>
      <c r="E96">
        <v>4400</v>
      </c>
      <c r="F96">
        <v>4400</v>
      </c>
      <c r="G96">
        <v>240788500</v>
      </c>
      <c r="H96" s="4">
        <f t="shared" si="2"/>
        <v>-1.1235955056179775E-2</v>
      </c>
      <c r="I96" s="4">
        <f t="shared" si="3"/>
        <v>-0.22466960352422907</v>
      </c>
    </row>
    <row r="97" spans="1:9" x14ac:dyDescent="0.2">
      <c r="A97" s="2">
        <f ca="1">IFERROR(__xludf.DUMMYFUNCTION("""COMPUTED_VALUE"""),45449.6666666666)</f>
        <v>45449.666666666599</v>
      </c>
      <c r="B97" s="2" t="s">
        <v>55</v>
      </c>
      <c r="C97">
        <v>4450</v>
      </c>
      <c r="D97">
        <v>4500</v>
      </c>
      <c r="E97">
        <v>4390</v>
      </c>
      <c r="F97">
        <v>4500</v>
      </c>
      <c r="G97">
        <v>281534200</v>
      </c>
      <c r="H97" s="4">
        <f t="shared" si="2"/>
        <v>2.2727272727272728E-2</v>
      </c>
      <c r="I97" s="4">
        <f t="shared" si="3"/>
        <v>-0.20704845814977973</v>
      </c>
    </row>
    <row r="98" spans="1:9" x14ac:dyDescent="0.2">
      <c r="A98" s="2">
        <f ca="1">IFERROR(__xludf.DUMMYFUNCTION("""COMPUTED_VALUE"""),45450.6666666666)</f>
        <v>45450.666666666599</v>
      </c>
      <c r="B98" s="2" t="s">
        <v>55</v>
      </c>
      <c r="C98">
        <v>4490</v>
      </c>
      <c r="D98">
        <v>4500</v>
      </c>
      <c r="E98">
        <v>4350</v>
      </c>
      <c r="F98">
        <v>4350</v>
      </c>
      <c r="G98">
        <v>375439600</v>
      </c>
      <c r="H98" s="4">
        <f t="shared" si="2"/>
        <v>-3.3333333333333333E-2</v>
      </c>
      <c r="I98" s="4">
        <f t="shared" si="3"/>
        <v>-0.23348017621145375</v>
      </c>
    </row>
    <row r="99" spans="1:9" x14ac:dyDescent="0.2">
      <c r="A99" s="2">
        <f ca="1">IFERROR(__xludf.DUMMYFUNCTION("""COMPUTED_VALUE"""),45453.6666666666)</f>
        <v>45453.666666666599</v>
      </c>
      <c r="B99" s="2" t="s">
        <v>55</v>
      </c>
      <c r="C99">
        <v>4350</v>
      </c>
      <c r="D99">
        <v>4430</v>
      </c>
      <c r="E99">
        <v>4320</v>
      </c>
      <c r="F99">
        <v>4400</v>
      </c>
      <c r="G99">
        <v>181387000</v>
      </c>
      <c r="H99" s="4">
        <f t="shared" si="2"/>
        <v>1.1494252873563218E-2</v>
      </c>
      <c r="I99" s="4">
        <f t="shared" si="3"/>
        <v>-0.22466960352422907</v>
      </c>
    </row>
    <row r="100" spans="1:9" x14ac:dyDescent="0.2">
      <c r="A100" s="2">
        <f ca="1">IFERROR(__xludf.DUMMYFUNCTION("""COMPUTED_VALUE"""),45454.6666666666)</f>
        <v>45454.666666666599</v>
      </c>
      <c r="B100" s="2" t="s">
        <v>55</v>
      </c>
      <c r="C100">
        <v>4380</v>
      </c>
      <c r="D100">
        <v>4440</v>
      </c>
      <c r="E100">
        <v>4340</v>
      </c>
      <c r="F100">
        <v>4340</v>
      </c>
      <c r="G100">
        <v>197854400</v>
      </c>
      <c r="H100" s="4">
        <f t="shared" si="2"/>
        <v>-1.3636363636363636E-2</v>
      </c>
      <c r="I100" s="4">
        <f t="shared" si="3"/>
        <v>-0.23524229074889869</v>
      </c>
    </row>
    <row r="101" spans="1:9" x14ac:dyDescent="0.2">
      <c r="A101" s="2">
        <f ca="1">IFERROR(__xludf.DUMMYFUNCTION("""COMPUTED_VALUE"""),45455.6666666666)</f>
        <v>45455.666666666599</v>
      </c>
      <c r="B101" s="2" t="s">
        <v>55</v>
      </c>
      <c r="C101">
        <v>4340</v>
      </c>
      <c r="D101">
        <v>4360</v>
      </c>
      <c r="E101">
        <v>4310</v>
      </c>
      <c r="F101">
        <v>4350</v>
      </c>
      <c r="G101">
        <v>187332500</v>
      </c>
      <c r="H101" s="4">
        <f t="shared" si="2"/>
        <v>2.304147465437788E-3</v>
      </c>
      <c r="I101" s="4">
        <f t="shared" si="3"/>
        <v>-0.23348017621145375</v>
      </c>
    </row>
    <row r="102" spans="1:9" x14ac:dyDescent="0.2">
      <c r="A102" s="2">
        <f ca="1">IFERROR(__xludf.DUMMYFUNCTION("""COMPUTED_VALUE"""),45456.6666666666)</f>
        <v>45456.666666666599</v>
      </c>
      <c r="B102" s="2" t="s">
        <v>55</v>
      </c>
      <c r="C102">
        <v>4400</v>
      </c>
      <c r="D102">
        <v>4420</v>
      </c>
      <c r="E102">
        <v>4300</v>
      </c>
      <c r="F102">
        <v>4310</v>
      </c>
      <c r="G102">
        <v>238349600</v>
      </c>
      <c r="H102" s="4">
        <f t="shared" si="2"/>
        <v>-9.1954022988505746E-3</v>
      </c>
      <c r="I102" s="4">
        <f t="shared" si="3"/>
        <v>-0.24052863436123348</v>
      </c>
    </row>
    <row r="103" spans="1:9" x14ac:dyDescent="0.2">
      <c r="A103" s="2">
        <f ca="1">IFERROR(__xludf.DUMMYFUNCTION("""COMPUTED_VALUE"""),45457.6666666666)</f>
        <v>45457.666666666599</v>
      </c>
      <c r="B103" s="2" t="s">
        <v>55</v>
      </c>
      <c r="C103">
        <v>4300</v>
      </c>
      <c r="D103">
        <v>4320</v>
      </c>
      <c r="E103">
        <v>4170</v>
      </c>
      <c r="F103">
        <v>4180</v>
      </c>
      <c r="G103">
        <v>358893200</v>
      </c>
      <c r="H103" s="4">
        <f t="shared" si="2"/>
        <v>-3.0162412993039442E-2</v>
      </c>
      <c r="I103" s="4">
        <f t="shared" si="3"/>
        <v>-0.26343612334801764</v>
      </c>
    </row>
    <row r="104" spans="1:9" x14ac:dyDescent="0.2">
      <c r="A104" s="2">
        <f ca="1">IFERROR(__xludf.DUMMYFUNCTION("""COMPUTED_VALUE"""),45462.6666666666)</f>
        <v>45462.666666666599</v>
      </c>
      <c r="B104" s="2" t="s">
        <v>55</v>
      </c>
      <c r="C104">
        <v>4100</v>
      </c>
      <c r="D104">
        <v>4240</v>
      </c>
      <c r="E104">
        <v>4090</v>
      </c>
      <c r="F104">
        <v>4100</v>
      </c>
      <c r="G104">
        <v>410338400</v>
      </c>
      <c r="H104" s="4">
        <f t="shared" si="2"/>
        <v>-1.9138755980861243E-2</v>
      </c>
      <c r="I104" s="4">
        <f t="shared" si="3"/>
        <v>-0.27753303964757708</v>
      </c>
    </row>
    <row r="105" spans="1:9" x14ac:dyDescent="0.2">
      <c r="A105" s="2">
        <f ca="1">IFERROR(__xludf.DUMMYFUNCTION("""COMPUTED_VALUE"""),45463.6666666666)</f>
        <v>45463.666666666599</v>
      </c>
      <c r="B105" s="2" t="s">
        <v>55</v>
      </c>
      <c r="C105">
        <v>4130</v>
      </c>
      <c r="D105">
        <v>4270</v>
      </c>
      <c r="E105">
        <v>4130</v>
      </c>
      <c r="F105">
        <v>4270</v>
      </c>
      <c r="G105">
        <v>387133400</v>
      </c>
      <c r="H105" s="4">
        <f t="shared" si="2"/>
        <v>4.1463414634146344E-2</v>
      </c>
      <c r="I105" s="4">
        <f t="shared" si="3"/>
        <v>-0.2475770925110132</v>
      </c>
    </row>
    <row r="106" spans="1:9" x14ac:dyDescent="0.2">
      <c r="A106" s="2">
        <f ca="1">IFERROR(__xludf.DUMMYFUNCTION("""COMPUTED_VALUE"""),45464.6666666666)</f>
        <v>45464.666666666599</v>
      </c>
      <c r="B106" s="2" t="s">
        <v>55</v>
      </c>
      <c r="C106">
        <v>4280</v>
      </c>
      <c r="D106">
        <v>4490</v>
      </c>
      <c r="E106">
        <v>4260</v>
      </c>
      <c r="F106">
        <v>4440</v>
      </c>
      <c r="G106">
        <v>532713300</v>
      </c>
      <c r="H106" s="4">
        <f t="shared" si="2"/>
        <v>3.9812646370023422E-2</v>
      </c>
      <c r="I106" s="4">
        <f t="shared" si="3"/>
        <v>-0.21762114537444935</v>
      </c>
    </row>
    <row r="107" spans="1:9" x14ac:dyDescent="0.2">
      <c r="A107" s="2">
        <f ca="1">IFERROR(__xludf.DUMMYFUNCTION("""COMPUTED_VALUE"""),45467.6666666666)</f>
        <v>45467.666666666599</v>
      </c>
      <c r="B107" s="2" t="s">
        <v>55</v>
      </c>
      <c r="C107">
        <v>4440</v>
      </c>
      <c r="D107">
        <v>4510</v>
      </c>
      <c r="E107">
        <v>4400</v>
      </c>
      <c r="F107">
        <v>4400</v>
      </c>
      <c r="G107">
        <v>303830800</v>
      </c>
      <c r="H107" s="4">
        <f t="shared" si="2"/>
        <v>-9.0090090090090089E-3</v>
      </c>
      <c r="I107" s="4">
        <f t="shared" si="3"/>
        <v>-0.22466960352422907</v>
      </c>
    </row>
    <row r="108" spans="1:9" x14ac:dyDescent="0.2">
      <c r="A108" s="2">
        <f ca="1">IFERROR(__xludf.DUMMYFUNCTION("""COMPUTED_VALUE"""),45468.6666666666)</f>
        <v>45468.666666666599</v>
      </c>
      <c r="B108" s="2" t="s">
        <v>55</v>
      </c>
      <c r="C108">
        <v>4320</v>
      </c>
      <c r="D108">
        <v>4400</v>
      </c>
      <c r="E108">
        <v>4280</v>
      </c>
      <c r="F108">
        <v>4380</v>
      </c>
      <c r="G108">
        <v>383572500</v>
      </c>
      <c r="H108" s="4">
        <f t="shared" si="2"/>
        <v>-4.5454545454545452E-3</v>
      </c>
      <c r="I108" s="4">
        <f t="shared" si="3"/>
        <v>-0.22819383259911893</v>
      </c>
    </row>
    <row r="109" spans="1:9" x14ac:dyDescent="0.2">
      <c r="A109" s="2">
        <f ca="1">IFERROR(__xludf.DUMMYFUNCTION("""COMPUTED_VALUE"""),45469.6666666666)</f>
        <v>45469.666666666599</v>
      </c>
      <c r="B109" s="2" t="s">
        <v>55</v>
      </c>
      <c r="C109">
        <v>4390</v>
      </c>
      <c r="D109">
        <v>4430</v>
      </c>
      <c r="E109">
        <v>4350</v>
      </c>
      <c r="F109">
        <v>4370</v>
      </c>
      <c r="G109">
        <v>150303400</v>
      </c>
      <c r="H109" s="4">
        <f t="shared" si="2"/>
        <v>-2.2831050228310501E-3</v>
      </c>
      <c r="I109" s="4">
        <f t="shared" si="3"/>
        <v>-0.22995594713656387</v>
      </c>
    </row>
    <row r="110" spans="1:9" x14ac:dyDescent="0.2">
      <c r="A110" s="2">
        <f ca="1">IFERROR(__xludf.DUMMYFUNCTION("""COMPUTED_VALUE"""),45470.6666666666)</f>
        <v>45470.666666666599</v>
      </c>
      <c r="B110" s="2" t="s">
        <v>55</v>
      </c>
      <c r="C110">
        <v>4410</v>
      </c>
      <c r="D110">
        <v>4500</v>
      </c>
      <c r="E110">
        <v>4380</v>
      </c>
      <c r="F110">
        <v>4460</v>
      </c>
      <c r="G110">
        <v>299430600</v>
      </c>
      <c r="H110" s="4">
        <f t="shared" si="2"/>
        <v>2.0594965675057208E-2</v>
      </c>
      <c r="I110" s="4">
        <f t="shared" si="3"/>
        <v>-0.21409691629955946</v>
      </c>
    </row>
    <row r="111" spans="1:9" x14ac:dyDescent="0.2">
      <c r="A111" s="2">
        <f ca="1">IFERROR(__xludf.DUMMYFUNCTION("""COMPUTED_VALUE"""),45471.6666666666)</f>
        <v>45471.666666666599</v>
      </c>
      <c r="B111" s="2" t="s">
        <v>55</v>
      </c>
      <c r="C111">
        <v>4590</v>
      </c>
      <c r="D111">
        <v>4640</v>
      </c>
      <c r="E111">
        <v>4580</v>
      </c>
      <c r="F111">
        <v>4600</v>
      </c>
      <c r="G111">
        <v>581319300</v>
      </c>
      <c r="H111" s="4">
        <f t="shared" si="2"/>
        <v>3.1390134529147982E-2</v>
      </c>
      <c r="I111" s="4">
        <f t="shared" si="3"/>
        <v>-0.1894273127753304</v>
      </c>
    </row>
    <row r="112" spans="1:9" x14ac:dyDescent="0.2">
      <c r="A112" s="2">
        <f ca="1">IFERROR(__xludf.DUMMYFUNCTION("""COMPUTED_VALUE"""),45474.6666666666)</f>
        <v>45474.666666666599</v>
      </c>
      <c r="B112" s="2" t="s">
        <v>55</v>
      </c>
      <c r="C112">
        <v>4630</v>
      </c>
      <c r="D112">
        <v>4670</v>
      </c>
      <c r="E112">
        <v>4560</v>
      </c>
      <c r="F112">
        <v>4630</v>
      </c>
      <c r="G112">
        <v>261421200</v>
      </c>
      <c r="H112" s="4">
        <f t="shared" si="2"/>
        <v>6.5217391304347823E-3</v>
      </c>
      <c r="I112" s="4">
        <f t="shared" si="3"/>
        <v>-0.1841409691629956</v>
      </c>
    </row>
    <row r="113" spans="1:9" x14ac:dyDescent="0.2">
      <c r="A113" s="2">
        <f ca="1">IFERROR(__xludf.DUMMYFUNCTION("""COMPUTED_VALUE"""),45475.6666666666)</f>
        <v>45475.666666666599</v>
      </c>
      <c r="B113" s="2" t="s">
        <v>55</v>
      </c>
      <c r="C113">
        <v>4610</v>
      </c>
      <c r="D113">
        <v>4630</v>
      </c>
      <c r="E113">
        <v>4570</v>
      </c>
      <c r="F113">
        <v>4570</v>
      </c>
      <c r="G113">
        <v>234403100</v>
      </c>
      <c r="H113" s="4">
        <f t="shared" si="2"/>
        <v>-1.2958963282937365E-2</v>
      </c>
      <c r="I113" s="4">
        <f t="shared" si="3"/>
        <v>-0.19471365638766519</v>
      </c>
    </row>
    <row r="114" spans="1:9" x14ac:dyDescent="0.2">
      <c r="A114" s="2">
        <f ca="1">IFERROR(__xludf.DUMMYFUNCTION("""COMPUTED_VALUE"""),45476.6666666666)</f>
        <v>45476.666666666599</v>
      </c>
      <c r="B114" s="2" t="s">
        <v>55</v>
      </c>
      <c r="C114">
        <v>4630</v>
      </c>
      <c r="D114">
        <v>4640</v>
      </c>
      <c r="E114">
        <v>4560</v>
      </c>
      <c r="F114">
        <v>4600</v>
      </c>
      <c r="G114">
        <v>176310400</v>
      </c>
      <c r="H114" s="4">
        <f t="shared" si="2"/>
        <v>6.5645514223194746E-3</v>
      </c>
      <c r="I114" s="4">
        <f t="shared" si="3"/>
        <v>-0.1894273127753304</v>
      </c>
    </row>
    <row r="115" spans="1:9" x14ac:dyDescent="0.2">
      <c r="A115" s="2">
        <f ca="1">IFERROR(__xludf.DUMMYFUNCTION("""COMPUTED_VALUE"""),45477.6666666666)</f>
        <v>45477.666666666599</v>
      </c>
      <c r="B115" s="2" t="s">
        <v>55</v>
      </c>
      <c r="C115">
        <v>4680</v>
      </c>
      <c r="D115">
        <v>4830</v>
      </c>
      <c r="E115">
        <v>4660</v>
      </c>
      <c r="F115">
        <v>4790</v>
      </c>
      <c r="G115">
        <v>422261500</v>
      </c>
      <c r="H115" s="4">
        <f t="shared" si="2"/>
        <v>4.1304347826086954E-2</v>
      </c>
      <c r="I115" s="4">
        <f t="shared" si="3"/>
        <v>-0.15594713656387665</v>
      </c>
    </row>
    <row r="116" spans="1:9" x14ac:dyDescent="0.2">
      <c r="A116" s="2">
        <f ca="1">IFERROR(__xludf.DUMMYFUNCTION("""COMPUTED_VALUE"""),45478.6666666666)</f>
        <v>45478.666666666599</v>
      </c>
      <c r="B116" s="2" t="s">
        <v>55</v>
      </c>
      <c r="C116">
        <v>4850</v>
      </c>
      <c r="D116">
        <v>4870</v>
      </c>
      <c r="E116">
        <v>4790</v>
      </c>
      <c r="F116">
        <v>4800</v>
      </c>
      <c r="G116">
        <v>218278000</v>
      </c>
      <c r="H116" s="4">
        <f t="shared" si="2"/>
        <v>2.0876826722338203E-3</v>
      </c>
      <c r="I116" s="4">
        <f t="shared" si="3"/>
        <v>-0.15418502202643172</v>
      </c>
    </row>
    <row r="117" spans="1:9" x14ac:dyDescent="0.2">
      <c r="A117" s="2">
        <f ca="1">IFERROR(__xludf.DUMMYFUNCTION("""COMPUTED_VALUE"""),45481.6666666666)</f>
        <v>45481.666666666599</v>
      </c>
      <c r="B117" s="2" t="s">
        <v>55</v>
      </c>
      <c r="C117">
        <v>4800</v>
      </c>
      <c r="D117">
        <v>4830</v>
      </c>
      <c r="E117">
        <v>4740</v>
      </c>
      <c r="F117">
        <v>4750</v>
      </c>
      <c r="G117">
        <v>222042100</v>
      </c>
      <c r="H117" s="4">
        <f t="shared" si="2"/>
        <v>-1.0416666666666666E-2</v>
      </c>
      <c r="I117" s="4">
        <f t="shared" si="3"/>
        <v>-0.16299559471365638</v>
      </c>
    </row>
    <row r="118" spans="1:9" x14ac:dyDescent="0.2">
      <c r="A118" s="2">
        <f ca="1">IFERROR(__xludf.DUMMYFUNCTION("""COMPUTED_VALUE"""),45482.6666666666)</f>
        <v>45482.666666666599</v>
      </c>
      <c r="B118" s="2" t="s">
        <v>55</v>
      </c>
      <c r="C118">
        <v>4780</v>
      </c>
      <c r="D118">
        <v>4930</v>
      </c>
      <c r="E118">
        <v>4750</v>
      </c>
      <c r="F118">
        <v>4870</v>
      </c>
      <c r="G118">
        <v>291320400</v>
      </c>
      <c r="H118" s="4">
        <f t="shared" si="2"/>
        <v>2.5263157894736842E-2</v>
      </c>
      <c r="I118" s="4">
        <f t="shared" si="3"/>
        <v>-0.14185022026431718</v>
      </c>
    </row>
    <row r="119" spans="1:9" x14ac:dyDescent="0.2">
      <c r="A119" s="2">
        <f ca="1">IFERROR(__xludf.DUMMYFUNCTION("""COMPUTED_VALUE"""),45483.6666666666)</f>
        <v>45483.666666666599</v>
      </c>
      <c r="B119" s="2" t="s">
        <v>55</v>
      </c>
      <c r="C119">
        <v>4870</v>
      </c>
      <c r="D119">
        <v>4920</v>
      </c>
      <c r="E119">
        <v>4840</v>
      </c>
      <c r="F119">
        <v>4850</v>
      </c>
      <c r="G119">
        <v>167619700</v>
      </c>
      <c r="H119" s="4">
        <f t="shared" si="2"/>
        <v>-4.1067761806981521E-3</v>
      </c>
      <c r="I119" s="4">
        <f t="shared" si="3"/>
        <v>-0.14537444933920704</v>
      </c>
    </row>
    <row r="120" spans="1:9" x14ac:dyDescent="0.2">
      <c r="A120" s="2">
        <f ca="1">IFERROR(__xludf.DUMMYFUNCTION("""COMPUTED_VALUE"""),45484.6666666666)</f>
        <v>45484.666666666599</v>
      </c>
      <c r="B120" s="2" t="s">
        <v>55</v>
      </c>
      <c r="C120">
        <v>4910</v>
      </c>
      <c r="D120">
        <v>4920</v>
      </c>
      <c r="E120">
        <v>4840</v>
      </c>
      <c r="F120">
        <v>4840</v>
      </c>
      <c r="G120">
        <v>170461300</v>
      </c>
      <c r="H120" s="4">
        <f t="shared" si="2"/>
        <v>-2.0618556701030928E-3</v>
      </c>
      <c r="I120" s="4">
        <f t="shared" si="3"/>
        <v>-0.14713656387665197</v>
      </c>
    </row>
    <row r="121" spans="1:9" x14ac:dyDescent="0.2">
      <c r="A121" s="2">
        <f ca="1">IFERROR(__xludf.DUMMYFUNCTION("""COMPUTED_VALUE"""),45485.6666666666)</f>
        <v>45485.666666666599</v>
      </c>
      <c r="B121" s="2" t="s">
        <v>55</v>
      </c>
      <c r="C121">
        <v>4970</v>
      </c>
      <c r="D121">
        <v>4980</v>
      </c>
      <c r="E121">
        <v>4880</v>
      </c>
      <c r="F121">
        <v>4900</v>
      </c>
      <c r="G121">
        <v>301125400</v>
      </c>
      <c r="H121" s="4">
        <f t="shared" si="2"/>
        <v>1.2396694214876033E-2</v>
      </c>
      <c r="I121" s="4">
        <f t="shared" si="3"/>
        <v>-0.13656387665198239</v>
      </c>
    </row>
    <row r="122" spans="1:9" x14ac:dyDescent="0.2">
      <c r="A122" s="2">
        <f ca="1">IFERROR(__xludf.DUMMYFUNCTION("""COMPUTED_VALUE"""),45488.6666666666)</f>
        <v>45488.666666666599</v>
      </c>
      <c r="B122" s="2" t="s">
        <v>55</v>
      </c>
      <c r="C122">
        <v>4920</v>
      </c>
      <c r="D122">
        <v>4930</v>
      </c>
      <c r="E122">
        <v>4810</v>
      </c>
      <c r="F122">
        <v>4820</v>
      </c>
      <c r="G122">
        <v>188713000</v>
      </c>
      <c r="H122" s="4">
        <f t="shared" si="2"/>
        <v>-1.6326530612244899E-2</v>
      </c>
      <c r="I122" s="4">
        <f t="shared" si="3"/>
        <v>-0.15066079295154186</v>
      </c>
    </row>
    <row r="123" spans="1:9" x14ac:dyDescent="0.2">
      <c r="A123" s="2">
        <f ca="1">IFERROR(__xludf.DUMMYFUNCTION("""COMPUTED_VALUE"""),45489.6666666666)</f>
        <v>45489.666666666599</v>
      </c>
      <c r="B123" s="2" t="s">
        <v>55</v>
      </c>
      <c r="C123">
        <v>4820</v>
      </c>
      <c r="D123">
        <v>4840</v>
      </c>
      <c r="E123">
        <v>4730</v>
      </c>
      <c r="F123">
        <v>4730</v>
      </c>
      <c r="G123">
        <v>189271400</v>
      </c>
      <c r="H123" s="4">
        <f t="shared" si="2"/>
        <v>-1.8672199170124481E-2</v>
      </c>
      <c r="I123" s="4">
        <f t="shared" si="3"/>
        <v>-0.16651982378854627</v>
      </c>
    </row>
    <row r="124" spans="1:9" x14ac:dyDescent="0.2">
      <c r="A124" s="2">
        <f ca="1">IFERROR(__xludf.DUMMYFUNCTION("""COMPUTED_VALUE"""),45490.6666666666)</f>
        <v>45490.666666666599</v>
      </c>
      <c r="B124" s="2" t="s">
        <v>55</v>
      </c>
      <c r="C124">
        <v>4750</v>
      </c>
      <c r="D124">
        <v>4810</v>
      </c>
      <c r="E124">
        <v>4720</v>
      </c>
      <c r="F124">
        <v>4760</v>
      </c>
      <c r="G124">
        <v>263325400</v>
      </c>
      <c r="H124" s="4">
        <f t="shared" si="2"/>
        <v>6.3424947145877377E-3</v>
      </c>
      <c r="I124" s="4">
        <f t="shared" si="3"/>
        <v>-0.16123348017621145</v>
      </c>
    </row>
    <row r="125" spans="1:9" x14ac:dyDescent="0.2">
      <c r="A125" s="2">
        <f ca="1">IFERROR(__xludf.DUMMYFUNCTION("""COMPUTED_VALUE"""),45491.6666666666)</f>
        <v>45491.666666666599</v>
      </c>
      <c r="B125" s="2" t="s">
        <v>55</v>
      </c>
      <c r="C125">
        <v>4760</v>
      </c>
      <c r="D125">
        <v>4890</v>
      </c>
      <c r="E125">
        <v>4750</v>
      </c>
      <c r="F125">
        <v>4890</v>
      </c>
      <c r="G125">
        <v>296614900</v>
      </c>
      <c r="H125" s="4">
        <f t="shared" si="2"/>
        <v>2.7310924369747899E-2</v>
      </c>
      <c r="I125" s="4">
        <f t="shared" si="3"/>
        <v>-0.13832599118942732</v>
      </c>
    </row>
    <row r="126" spans="1:9" x14ac:dyDescent="0.2">
      <c r="A126" s="2">
        <f ca="1">IFERROR(__xludf.DUMMYFUNCTION("""COMPUTED_VALUE"""),45492.6666666666)</f>
        <v>45492.666666666599</v>
      </c>
      <c r="B126" s="2" t="s">
        <v>55</v>
      </c>
      <c r="C126">
        <v>4870</v>
      </c>
      <c r="D126">
        <v>4910</v>
      </c>
      <c r="E126">
        <v>4850</v>
      </c>
      <c r="F126">
        <v>4900</v>
      </c>
      <c r="G126">
        <v>135104800</v>
      </c>
      <c r="H126" s="4">
        <f t="shared" si="2"/>
        <v>2.0449897750511249E-3</v>
      </c>
      <c r="I126" s="4">
        <f t="shared" si="3"/>
        <v>-0.13656387665198239</v>
      </c>
    </row>
    <row r="127" spans="1:9" x14ac:dyDescent="0.2">
      <c r="A127" s="2">
        <f ca="1">IFERROR(__xludf.DUMMYFUNCTION("""COMPUTED_VALUE"""),45495.6666666666)</f>
        <v>45495.666666666599</v>
      </c>
      <c r="B127" s="2" t="s">
        <v>55</v>
      </c>
      <c r="C127">
        <v>4920</v>
      </c>
      <c r="D127">
        <v>4940</v>
      </c>
      <c r="E127">
        <v>4880</v>
      </c>
      <c r="F127">
        <v>4910</v>
      </c>
      <c r="G127">
        <v>140128300</v>
      </c>
      <c r="H127" s="4">
        <f t="shared" si="2"/>
        <v>2.0408163265306124E-3</v>
      </c>
      <c r="I127" s="4">
        <f t="shared" si="3"/>
        <v>-0.13480176211453745</v>
      </c>
    </row>
    <row r="128" spans="1:9" x14ac:dyDescent="0.2">
      <c r="A128" s="2">
        <f ca="1">IFERROR(__xludf.DUMMYFUNCTION("""COMPUTED_VALUE"""),45496.6666666666)</f>
        <v>45496.666666666599</v>
      </c>
      <c r="B128" s="2" t="s">
        <v>55</v>
      </c>
      <c r="C128">
        <v>4900</v>
      </c>
      <c r="D128">
        <v>4910</v>
      </c>
      <c r="E128">
        <v>4780</v>
      </c>
      <c r="F128">
        <v>4790</v>
      </c>
      <c r="G128">
        <v>170919500</v>
      </c>
      <c r="H128" s="4">
        <f t="shared" si="2"/>
        <v>-2.4439918533604887E-2</v>
      </c>
      <c r="I128" s="4">
        <f t="shared" si="3"/>
        <v>-0.15594713656387665</v>
      </c>
    </row>
    <row r="129" spans="1:9" x14ac:dyDescent="0.2">
      <c r="A129" s="2">
        <f ca="1">IFERROR(__xludf.DUMMYFUNCTION("""COMPUTED_VALUE"""),45497.6666666666)</f>
        <v>45497.666666666599</v>
      </c>
      <c r="B129" s="2" t="s">
        <v>55</v>
      </c>
      <c r="C129">
        <v>4770</v>
      </c>
      <c r="D129">
        <v>4800</v>
      </c>
      <c r="E129">
        <v>4760</v>
      </c>
      <c r="F129">
        <v>4780</v>
      </c>
      <c r="G129">
        <v>116037600</v>
      </c>
      <c r="H129" s="4">
        <f t="shared" si="2"/>
        <v>-2.0876826722338203E-3</v>
      </c>
      <c r="I129" s="4">
        <f t="shared" si="3"/>
        <v>-0.15770925110132158</v>
      </c>
    </row>
    <row r="130" spans="1:9" x14ac:dyDescent="0.2">
      <c r="A130" s="2">
        <f ca="1">IFERROR(__xludf.DUMMYFUNCTION("""COMPUTED_VALUE"""),45498.6666666666)</f>
        <v>45498.666666666599</v>
      </c>
      <c r="B130" s="2" t="s">
        <v>55</v>
      </c>
      <c r="C130">
        <v>4760</v>
      </c>
      <c r="D130">
        <v>4760</v>
      </c>
      <c r="E130">
        <v>4660</v>
      </c>
      <c r="F130">
        <v>4700</v>
      </c>
      <c r="G130">
        <v>274397700</v>
      </c>
      <c r="H130" s="4">
        <f t="shared" si="2"/>
        <v>-1.6736401673640166E-2</v>
      </c>
      <c r="I130" s="4">
        <f t="shared" si="3"/>
        <v>-0.17180616740088106</v>
      </c>
    </row>
    <row r="131" spans="1:9" x14ac:dyDescent="0.2">
      <c r="A131" s="2">
        <f ca="1">IFERROR(__xludf.DUMMYFUNCTION("""COMPUTED_VALUE"""),45499.6666666666)</f>
        <v>45499.666666666599</v>
      </c>
      <c r="B131" s="2" t="s">
        <v>55</v>
      </c>
      <c r="C131">
        <v>4760</v>
      </c>
      <c r="D131">
        <v>4810</v>
      </c>
      <c r="E131">
        <v>4740</v>
      </c>
      <c r="F131">
        <v>4760</v>
      </c>
      <c r="G131">
        <v>192267300</v>
      </c>
      <c r="H131" s="4">
        <f t="shared" si="2"/>
        <v>1.276595744680851E-2</v>
      </c>
      <c r="I131" s="4">
        <f t="shared" si="3"/>
        <v>-0.16123348017621145</v>
      </c>
    </row>
    <row r="132" spans="1:9" x14ac:dyDescent="0.2">
      <c r="A132" s="2">
        <f ca="1">IFERROR(__xludf.DUMMYFUNCTION("""COMPUTED_VALUE"""),45502.6666666666)</f>
        <v>45502.666666666599</v>
      </c>
      <c r="B132" s="2" t="s">
        <v>55</v>
      </c>
      <c r="C132">
        <v>4800</v>
      </c>
      <c r="D132">
        <v>4800</v>
      </c>
      <c r="E132">
        <v>4760</v>
      </c>
      <c r="F132">
        <v>4780</v>
      </c>
      <c r="G132">
        <v>126109900</v>
      </c>
      <c r="H132" s="4">
        <f t="shared" ref="H132:H195" si="4">(F132-F131)/F131</f>
        <v>4.2016806722689074E-3</v>
      </c>
      <c r="I132" s="4">
        <f t="shared" ref="I132:I195" si="5">(F132-$F$2)/$F$2</f>
        <v>-0.15770925110132158</v>
      </c>
    </row>
    <row r="133" spans="1:9" x14ac:dyDescent="0.2">
      <c r="A133" s="2">
        <f ca="1">IFERROR(__xludf.DUMMYFUNCTION("""COMPUTED_VALUE"""),45503.6666666666)</f>
        <v>45503.666666666599</v>
      </c>
      <c r="B133" s="2" t="s">
        <v>55</v>
      </c>
      <c r="C133">
        <v>4720</v>
      </c>
      <c r="D133">
        <v>4740</v>
      </c>
      <c r="E133">
        <v>4670</v>
      </c>
      <c r="F133">
        <v>4670</v>
      </c>
      <c r="G133">
        <v>201835700</v>
      </c>
      <c r="H133" s="4">
        <f t="shared" si="4"/>
        <v>-2.3012552301255231E-2</v>
      </c>
      <c r="I133" s="4">
        <f t="shared" si="5"/>
        <v>-0.17709251101321585</v>
      </c>
    </row>
    <row r="134" spans="1:9" x14ac:dyDescent="0.2">
      <c r="A134" s="2">
        <f ca="1">IFERROR(__xludf.DUMMYFUNCTION("""COMPUTED_VALUE"""),45504.6666666666)</f>
        <v>45504.666666666599</v>
      </c>
      <c r="B134" s="2" t="s">
        <v>55</v>
      </c>
      <c r="C134">
        <v>4650</v>
      </c>
      <c r="D134">
        <v>4710</v>
      </c>
      <c r="E134">
        <v>4650</v>
      </c>
      <c r="F134">
        <v>4670</v>
      </c>
      <c r="G134">
        <v>168490300</v>
      </c>
      <c r="H134" s="4">
        <f t="shared" si="4"/>
        <v>0</v>
      </c>
      <c r="I134" s="4">
        <f t="shared" si="5"/>
        <v>-0.17709251101321585</v>
      </c>
    </row>
    <row r="135" spans="1:9" x14ac:dyDescent="0.2">
      <c r="A135" s="2">
        <f ca="1">IFERROR(__xludf.DUMMYFUNCTION("""COMPUTED_VALUE"""),45505.6666666666)</f>
        <v>45505.666666666599</v>
      </c>
      <c r="B135" s="2" t="s">
        <v>55</v>
      </c>
      <c r="C135">
        <v>4710</v>
      </c>
      <c r="D135">
        <v>4750</v>
      </c>
      <c r="E135">
        <v>4690</v>
      </c>
      <c r="F135">
        <v>4750</v>
      </c>
      <c r="G135">
        <v>169636700</v>
      </c>
      <c r="H135" s="4">
        <f t="shared" si="4"/>
        <v>1.7130620985010708E-2</v>
      </c>
      <c r="I135" s="4">
        <f t="shared" si="5"/>
        <v>-0.16299559471365638</v>
      </c>
    </row>
    <row r="136" spans="1:9" x14ac:dyDescent="0.2">
      <c r="A136" s="2">
        <f ca="1">IFERROR(__xludf.DUMMYFUNCTION("""COMPUTED_VALUE"""),45506.6666666666)</f>
        <v>45506.666666666599</v>
      </c>
      <c r="B136" s="2" t="s">
        <v>55</v>
      </c>
      <c r="C136">
        <v>4730</v>
      </c>
      <c r="D136">
        <v>4750</v>
      </c>
      <c r="E136">
        <v>4690</v>
      </c>
      <c r="F136">
        <v>4710</v>
      </c>
      <c r="G136">
        <v>113328400</v>
      </c>
      <c r="H136" s="4">
        <f t="shared" si="4"/>
        <v>-8.4210526315789472E-3</v>
      </c>
      <c r="I136" s="4">
        <f t="shared" si="5"/>
        <v>-0.17004405286343613</v>
      </c>
    </row>
    <row r="137" spans="1:9" x14ac:dyDescent="0.2">
      <c r="A137" s="2">
        <f ca="1">IFERROR(__xludf.DUMMYFUNCTION("""COMPUTED_VALUE"""),45509.6666666666)</f>
        <v>45509.666666666599</v>
      </c>
      <c r="B137" s="2" t="s">
        <v>55</v>
      </c>
      <c r="C137">
        <v>4660</v>
      </c>
      <c r="D137">
        <v>4670</v>
      </c>
      <c r="E137">
        <v>4510</v>
      </c>
      <c r="F137">
        <v>4530</v>
      </c>
      <c r="G137">
        <v>329430900</v>
      </c>
      <c r="H137" s="4">
        <f t="shared" si="4"/>
        <v>-3.8216560509554139E-2</v>
      </c>
      <c r="I137" s="4">
        <f t="shared" si="5"/>
        <v>-0.20176211453744494</v>
      </c>
    </row>
    <row r="138" spans="1:9" x14ac:dyDescent="0.2">
      <c r="A138" s="2">
        <f ca="1">IFERROR(__xludf.DUMMYFUNCTION("""COMPUTED_VALUE"""),45510.6666666666)</f>
        <v>45510.666666666599</v>
      </c>
      <c r="B138" s="2" t="s">
        <v>55</v>
      </c>
      <c r="C138">
        <v>4550</v>
      </c>
      <c r="D138">
        <v>4650</v>
      </c>
      <c r="E138">
        <v>4520</v>
      </c>
      <c r="F138">
        <v>4600</v>
      </c>
      <c r="G138">
        <v>238051800</v>
      </c>
      <c r="H138" s="4">
        <f t="shared" si="4"/>
        <v>1.5452538631346579E-2</v>
      </c>
      <c r="I138" s="4">
        <f t="shared" si="5"/>
        <v>-0.1894273127753304</v>
      </c>
    </row>
    <row r="139" spans="1:9" x14ac:dyDescent="0.2">
      <c r="A139" s="2">
        <f ca="1">IFERROR(__xludf.DUMMYFUNCTION("""COMPUTED_VALUE"""),45511.6666666666)</f>
        <v>45511.666666666599</v>
      </c>
      <c r="B139" s="2" t="s">
        <v>55</v>
      </c>
      <c r="C139">
        <v>4640</v>
      </c>
      <c r="D139">
        <v>4640</v>
      </c>
      <c r="E139">
        <v>4590</v>
      </c>
      <c r="F139">
        <v>4620</v>
      </c>
      <c r="G139">
        <v>125984100</v>
      </c>
      <c r="H139" s="4">
        <f t="shared" si="4"/>
        <v>4.3478260869565218E-3</v>
      </c>
      <c r="I139" s="4">
        <f t="shared" si="5"/>
        <v>-0.18590308370044054</v>
      </c>
    </row>
    <row r="140" spans="1:9" x14ac:dyDescent="0.2">
      <c r="A140" s="2">
        <f ca="1">IFERROR(__xludf.DUMMYFUNCTION("""COMPUTED_VALUE"""),45512.6666666666)</f>
        <v>45512.666666666599</v>
      </c>
      <c r="B140" s="2" t="s">
        <v>55</v>
      </c>
      <c r="C140">
        <v>4600</v>
      </c>
      <c r="D140">
        <v>4690</v>
      </c>
      <c r="E140">
        <v>4590</v>
      </c>
      <c r="F140">
        <v>4660</v>
      </c>
      <c r="G140">
        <v>131343400</v>
      </c>
      <c r="H140" s="4">
        <f t="shared" si="4"/>
        <v>8.658008658008658E-3</v>
      </c>
      <c r="I140" s="4">
        <f t="shared" si="5"/>
        <v>-0.17885462555066078</v>
      </c>
    </row>
    <row r="141" spans="1:9" x14ac:dyDescent="0.2">
      <c r="A141" s="2">
        <f ca="1">IFERROR(__xludf.DUMMYFUNCTION("""COMPUTED_VALUE"""),45513.6666666666)</f>
        <v>45513.666666666599</v>
      </c>
      <c r="B141" s="2" t="s">
        <v>55</v>
      </c>
      <c r="C141">
        <v>4700</v>
      </c>
      <c r="D141">
        <v>4730</v>
      </c>
      <c r="E141">
        <v>4670</v>
      </c>
      <c r="F141">
        <v>4670</v>
      </c>
      <c r="G141">
        <v>98730900</v>
      </c>
      <c r="H141" s="4">
        <f t="shared" si="4"/>
        <v>2.1459227467811159E-3</v>
      </c>
      <c r="I141" s="4">
        <f t="shared" si="5"/>
        <v>-0.17709251101321585</v>
      </c>
    </row>
    <row r="142" spans="1:9" x14ac:dyDescent="0.2">
      <c r="A142" s="2">
        <f ca="1">IFERROR(__xludf.DUMMYFUNCTION("""COMPUTED_VALUE"""),45516.6666666666)</f>
        <v>45516.666666666599</v>
      </c>
      <c r="B142" s="2" t="s">
        <v>55</v>
      </c>
      <c r="C142">
        <v>4720</v>
      </c>
      <c r="D142">
        <v>4720</v>
      </c>
      <c r="E142">
        <v>4650</v>
      </c>
      <c r="F142">
        <v>4680</v>
      </c>
      <c r="G142">
        <v>83552800</v>
      </c>
      <c r="H142" s="4">
        <f t="shared" si="4"/>
        <v>2.1413276231263384E-3</v>
      </c>
      <c r="I142" s="4">
        <f t="shared" si="5"/>
        <v>-0.17533039647577092</v>
      </c>
    </row>
    <row r="143" spans="1:9" x14ac:dyDescent="0.2">
      <c r="A143" s="2">
        <f ca="1">IFERROR(__xludf.DUMMYFUNCTION("""COMPUTED_VALUE"""),45517.6666666666)</f>
        <v>45517.666666666599</v>
      </c>
      <c r="B143" s="2" t="s">
        <v>55</v>
      </c>
      <c r="C143">
        <v>4700</v>
      </c>
      <c r="D143">
        <v>4750</v>
      </c>
      <c r="E143">
        <v>4690</v>
      </c>
      <c r="F143">
        <v>4720</v>
      </c>
      <c r="G143">
        <v>109533400</v>
      </c>
      <c r="H143" s="4">
        <f t="shared" si="4"/>
        <v>8.5470085470085479E-3</v>
      </c>
      <c r="I143" s="4">
        <f t="shared" si="5"/>
        <v>-0.1682819383259912</v>
      </c>
    </row>
    <row r="144" spans="1:9" x14ac:dyDescent="0.2">
      <c r="A144" s="2">
        <f ca="1">IFERROR(__xludf.DUMMYFUNCTION("""COMPUTED_VALUE"""),45518.6666666666)</f>
        <v>45518.666666666599</v>
      </c>
      <c r="B144" s="2" t="s">
        <v>55</v>
      </c>
      <c r="C144">
        <v>4770</v>
      </c>
      <c r="D144">
        <v>4840</v>
      </c>
      <c r="E144">
        <v>4760</v>
      </c>
      <c r="F144">
        <v>4820</v>
      </c>
      <c r="G144">
        <v>262716500</v>
      </c>
      <c r="H144" s="4">
        <f t="shared" si="4"/>
        <v>2.1186440677966101E-2</v>
      </c>
      <c r="I144" s="4">
        <f t="shared" si="5"/>
        <v>-0.15066079295154186</v>
      </c>
    </row>
    <row r="145" spans="1:9" x14ac:dyDescent="0.2">
      <c r="A145" s="2">
        <f ca="1">IFERROR(__xludf.DUMMYFUNCTION("""COMPUTED_VALUE"""),45519.6666666666)</f>
        <v>45519.666666666599</v>
      </c>
      <c r="B145" s="2" t="s">
        <v>55</v>
      </c>
      <c r="C145">
        <v>4850</v>
      </c>
      <c r="D145">
        <v>4870</v>
      </c>
      <c r="E145">
        <v>4790</v>
      </c>
      <c r="F145">
        <v>4830</v>
      </c>
      <c r="G145">
        <v>214394900</v>
      </c>
      <c r="H145" s="4">
        <f t="shared" si="4"/>
        <v>2.0746887966804979E-3</v>
      </c>
      <c r="I145" s="4">
        <f t="shared" si="5"/>
        <v>-0.14889867841409693</v>
      </c>
    </row>
    <row r="146" spans="1:9" x14ac:dyDescent="0.2">
      <c r="A146" s="2">
        <f ca="1">IFERROR(__xludf.DUMMYFUNCTION("""COMPUTED_VALUE"""),45520.6666666666)</f>
        <v>45520.666666666599</v>
      </c>
      <c r="B146" s="2" t="s">
        <v>55</v>
      </c>
      <c r="C146">
        <v>4850</v>
      </c>
      <c r="D146">
        <v>4870</v>
      </c>
      <c r="E146">
        <v>4830</v>
      </c>
      <c r="F146">
        <v>4830</v>
      </c>
      <c r="G146">
        <v>149701700</v>
      </c>
      <c r="H146" s="4">
        <f t="shared" si="4"/>
        <v>0</v>
      </c>
      <c r="I146" s="4">
        <f t="shared" si="5"/>
        <v>-0.14889867841409693</v>
      </c>
    </row>
    <row r="147" spans="1:9" x14ac:dyDescent="0.2">
      <c r="A147" s="2">
        <f ca="1">IFERROR(__xludf.DUMMYFUNCTION("""COMPUTED_VALUE"""),45523.6666666666)</f>
        <v>45523.666666666599</v>
      </c>
      <c r="B147" s="2" t="s">
        <v>55</v>
      </c>
      <c r="C147">
        <v>4820</v>
      </c>
      <c r="D147">
        <v>4820</v>
      </c>
      <c r="E147">
        <v>4750</v>
      </c>
      <c r="F147">
        <v>4820</v>
      </c>
      <c r="G147">
        <v>196203200</v>
      </c>
      <c r="H147" s="4">
        <f t="shared" si="4"/>
        <v>-2.070393374741201E-3</v>
      </c>
      <c r="I147" s="4">
        <f t="shared" si="5"/>
        <v>-0.15066079295154186</v>
      </c>
    </row>
    <row r="148" spans="1:9" x14ac:dyDescent="0.2">
      <c r="A148" s="2">
        <f ca="1">IFERROR(__xludf.DUMMYFUNCTION("""COMPUTED_VALUE"""),45524.6666666666)</f>
        <v>45524.666666666599</v>
      </c>
      <c r="B148" s="2" t="s">
        <v>55</v>
      </c>
      <c r="C148">
        <v>4860</v>
      </c>
      <c r="D148">
        <v>4950</v>
      </c>
      <c r="E148">
        <v>4840</v>
      </c>
      <c r="F148">
        <v>4950</v>
      </c>
      <c r="G148">
        <v>310085500</v>
      </c>
      <c r="H148" s="4">
        <f t="shared" si="4"/>
        <v>2.6970954356846474E-2</v>
      </c>
      <c r="I148" s="4">
        <f t="shared" si="5"/>
        <v>-0.1277533039647577</v>
      </c>
    </row>
    <row r="149" spans="1:9" x14ac:dyDescent="0.2">
      <c r="A149" s="2">
        <f ca="1">IFERROR(__xludf.DUMMYFUNCTION("""COMPUTED_VALUE"""),45525.6666666666)</f>
        <v>45525.666666666599</v>
      </c>
      <c r="B149" s="2" t="s">
        <v>55</v>
      </c>
      <c r="C149">
        <v>4990</v>
      </c>
      <c r="D149">
        <v>5100</v>
      </c>
      <c r="E149">
        <v>4980</v>
      </c>
      <c r="F149">
        <v>5100</v>
      </c>
      <c r="G149">
        <v>390307000</v>
      </c>
      <c r="H149" s="4">
        <f t="shared" si="4"/>
        <v>3.0303030303030304E-2</v>
      </c>
      <c r="I149" s="4">
        <f t="shared" si="5"/>
        <v>-0.1013215859030837</v>
      </c>
    </row>
    <row r="150" spans="1:9" x14ac:dyDescent="0.2">
      <c r="A150" s="2">
        <f ca="1">IFERROR(__xludf.DUMMYFUNCTION("""COMPUTED_VALUE"""),45526.6666666666)</f>
        <v>45526.666666666599</v>
      </c>
      <c r="B150" s="2" t="s">
        <v>55</v>
      </c>
      <c r="C150">
        <v>5125</v>
      </c>
      <c r="D150">
        <v>5150</v>
      </c>
      <c r="E150">
        <v>5025</v>
      </c>
      <c r="F150">
        <v>5050</v>
      </c>
      <c r="G150">
        <v>474043100</v>
      </c>
      <c r="H150" s="4">
        <f t="shared" si="4"/>
        <v>-9.8039215686274508E-3</v>
      </c>
      <c r="I150" s="4">
        <f t="shared" si="5"/>
        <v>-0.11013215859030837</v>
      </c>
    </row>
    <row r="151" spans="1:9" x14ac:dyDescent="0.2">
      <c r="A151" s="2">
        <f ca="1">IFERROR(__xludf.DUMMYFUNCTION("""COMPUTED_VALUE"""),45527.6666666666)</f>
        <v>45527.666666666599</v>
      </c>
      <c r="B151" s="2" t="s">
        <v>55</v>
      </c>
      <c r="C151">
        <v>5150</v>
      </c>
      <c r="D151">
        <v>5200</v>
      </c>
      <c r="E151">
        <v>5125</v>
      </c>
      <c r="F151">
        <v>5150</v>
      </c>
      <c r="G151">
        <v>217759300</v>
      </c>
      <c r="H151" s="4">
        <f t="shared" si="4"/>
        <v>1.9801980198019802E-2</v>
      </c>
      <c r="I151" s="4">
        <f t="shared" si="5"/>
        <v>-9.2511013215859028E-2</v>
      </c>
    </row>
    <row r="152" spans="1:9" x14ac:dyDescent="0.2">
      <c r="A152" s="2">
        <f ca="1">IFERROR(__xludf.DUMMYFUNCTION("""COMPUTED_VALUE"""),45530.6666666666)</f>
        <v>45530.666666666599</v>
      </c>
      <c r="B152" s="2" t="s">
        <v>55</v>
      </c>
      <c r="C152">
        <v>5200</v>
      </c>
      <c r="D152">
        <v>5325</v>
      </c>
      <c r="E152">
        <v>5200</v>
      </c>
      <c r="F152">
        <v>5300</v>
      </c>
      <c r="G152">
        <v>361169800</v>
      </c>
      <c r="H152" s="4">
        <f t="shared" si="4"/>
        <v>2.9126213592233011E-2</v>
      </c>
      <c r="I152" s="4">
        <f t="shared" si="5"/>
        <v>-6.6079295154185022E-2</v>
      </c>
    </row>
    <row r="153" spans="1:9" x14ac:dyDescent="0.2">
      <c r="A153" s="2">
        <f ca="1">IFERROR(__xludf.DUMMYFUNCTION("""COMPUTED_VALUE"""),45531.6666666666)</f>
        <v>45531.666666666599</v>
      </c>
      <c r="B153" s="2" t="s">
        <v>55</v>
      </c>
      <c r="C153">
        <v>5250</v>
      </c>
      <c r="D153">
        <v>5275</v>
      </c>
      <c r="E153">
        <v>5100</v>
      </c>
      <c r="F153">
        <v>5175</v>
      </c>
      <c r="G153">
        <v>271088700</v>
      </c>
      <c r="H153" s="4">
        <f t="shared" si="4"/>
        <v>-2.358490566037736E-2</v>
      </c>
      <c r="I153" s="4">
        <f t="shared" si="5"/>
        <v>-8.8105726872246701E-2</v>
      </c>
    </row>
    <row r="154" spans="1:9" x14ac:dyDescent="0.2">
      <c r="A154" s="2">
        <f ca="1">IFERROR(__xludf.DUMMYFUNCTION("""COMPUTED_VALUE"""),45532.6666666666)</f>
        <v>45532.666666666599</v>
      </c>
      <c r="B154" s="2" t="s">
        <v>55</v>
      </c>
      <c r="C154">
        <v>5100</v>
      </c>
      <c r="D154">
        <v>5175</v>
      </c>
      <c r="E154">
        <v>5025</v>
      </c>
      <c r="F154">
        <v>5150</v>
      </c>
      <c r="G154">
        <v>277561700</v>
      </c>
      <c r="H154" s="4">
        <f t="shared" si="4"/>
        <v>-4.830917874396135E-3</v>
      </c>
      <c r="I154" s="4">
        <f t="shared" si="5"/>
        <v>-9.2511013215859028E-2</v>
      </c>
    </row>
    <row r="155" spans="1:9" x14ac:dyDescent="0.2">
      <c r="A155" s="2">
        <f ca="1">IFERROR(__xludf.DUMMYFUNCTION("""COMPUTED_VALUE"""),45533.6666666666)</f>
        <v>45533.666666666599</v>
      </c>
      <c r="B155" s="2" t="s">
        <v>55</v>
      </c>
      <c r="C155">
        <v>5125</v>
      </c>
      <c r="D155">
        <v>5175</v>
      </c>
      <c r="E155">
        <v>5100</v>
      </c>
      <c r="F155">
        <v>5125</v>
      </c>
      <c r="G155">
        <v>160041900</v>
      </c>
      <c r="H155" s="4">
        <f t="shared" si="4"/>
        <v>-4.8543689320388345E-3</v>
      </c>
      <c r="I155" s="4">
        <f t="shared" si="5"/>
        <v>-9.6916299559471369E-2</v>
      </c>
    </row>
    <row r="156" spans="1:9" x14ac:dyDescent="0.2">
      <c r="A156" s="2">
        <f ca="1">IFERROR(__xludf.DUMMYFUNCTION("""COMPUTED_VALUE"""),45534.6666666666)</f>
        <v>45534.666666666599</v>
      </c>
      <c r="B156" s="2" t="s">
        <v>55</v>
      </c>
      <c r="C156">
        <v>5175</v>
      </c>
      <c r="D156">
        <v>5175</v>
      </c>
      <c r="E156">
        <v>5125</v>
      </c>
      <c r="F156">
        <v>5150</v>
      </c>
      <c r="G156">
        <v>275298000</v>
      </c>
      <c r="H156" s="4">
        <f t="shared" si="4"/>
        <v>4.8780487804878049E-3</v>
      </c>
      <c r="I156" s="4">
        <f t="shared" si="5"/>
        <v>-9.2511013215859028E-2</v>
      </c>
    </row>
    <row r="157" spans="1:9" x14ac:dyDescent="0.2">
      <c r="A157" s="2">
        <f ca="1">IFERROR(__xludf.DUMMYFUNCTION("""COMPUTED_VALUE"""),45537.6666666666)</f>
        <v>45537.666666666599</v>
      </c>
      <c r="B157" s="2" t="s">
        <v>55</v>
      </c>
      <c r="C157">
        <v>5150</v>
      </c>
      <c r="D157">
        <v>5225</v>
      </c>
      <c r="E157">
        <v>5150</v>
      </c>
      <c r="F157">
        <v>5175</v>
      </c>
      <c r="G157">
        <v>136717200</v>
      </c>
      <c r="H157" s="4">
        <f t="shared" si="4"/>
        <v>4.8543689320388345E-3</v>
      </c>
      <c r="I157" s="4">
        <f t="shared" si="5"/>
        <v>-8.8105726872246701E-2</v>
      </c>
    </row>
    <row r="158" spans="1:9" x14ac:dyDescent="0.2">
      <c r="A158" s="2">
        <f ca="1">IFERROR(__xludf.DUMMYFUNCTION("""COMPUTED_VALUE"""),45538.6666666666)</f>
        <v>45538.666666666599</v>
      </c>
      <c r="B158" s="2" t="s">
        <v>55</v>
      </c>
      <c r="C158">
        <v>5225</v>
      </c>
      <c r="D158">
        <v>5250</v>
      </c>
      <c r="E158">
        <v>5150</v>
      </c>
      <c r="F158">
        <v>5175</v>
      </c>
      <c r="G158">
        <v>166033900</v>
      </c>
      <c r="H158" s="4">
        <f t="shared" si="4"/>
        <v>0</v>
      </c>
      <c r="I158" s="4">
        <f t="shared" si="5"/>
        <v>-8.8105726872246701E-2</v>
      </c>
    </row>
    <row r="159" spans="1:9" x14ac:dyDescent="0.2">
      <c r="A159" s="2">
        <f ca="1">IFERROR(__xludf.DUMMYFUNCTION("""COMPUTED_VALUE"""),45539.6666666666)</f>
        <v>45539.666666666599</v>
      </c>
      <c r="B159" s="2" t="s">
        <v>55</v>
      </c>
      <c r="C159">
        <v>5100</v>
      </c>
      <c r="D159">
        <v>5175</v>
      </c>
      <c r="E159">
        <v>5100</v>
      </c>
      <c r="F159">
        <v>5100</v>
      </c>
      <c r="G159">
        <v>141890400</v>
      </c>
      <c r="H159" s="4">
        <f t="shared" si="4"/>
        <v>-1.4492753623188406E-2</v>
      </c>
      <c r="I159" s="4">
        <f t="shared" si="5"/>
        <v>-0.1013215859030837</v>
      </c>
    </row>
    <row r="160" spans="1:9" x14ac:dyDescent="0.2">
      <c r="A160" s="2">
        <f ca="1">IFERROR(__xludf.DUMMYFUNCTION("""COMPUTED_VALUE"""),45540.6666666666)</f>
        <v>45540.666666666599</v>
      </c>
      <c r="B160" s="2" t="s">
        <v>55</v>
      </c>
      <c r="C160">
        <v>5125</v>
      </c>
      <c r="D160">
        <v>5150</v>
      </c>
      <c r="E160">
        <v>5075</v>
      </c>
      <c r="F160">
        <v>5150</v>
      </c>
      <c r="G160">
        <v>166436800</v>
      </c>
      <c r="H160" s="4">
        <f t="shared" si="4"/>
        <v>9.8039215686274508E-3</v>
      </c>
      <c r="I160" s="4">
        <f t="shared" si="5"/>
        <v>-9.2511013215859028E-2</v>
      </c>
    </row>
    <row r="161" spans="1:9" x14ac:dyDescent="0.2">
      <c r="A161" s="2">
        <f ca="1">IFERROR(__xludf.DUMMYFUNCTION("""COMPUTED_VALUE"""),45541.6666666666)</f>
        <v>45541.666666666599</v>
      </c>
      <c r="B161" s="2" t="s">
        <v>55</v>
      </c>
      <c r="C161">
        <v>5200</v>
      </c>
      <c r="D161">
        <v>5250</v>
      </c>
      <c r="E161">
        <v>5150</v>
      </c>
      <c r="F161">
        <v>5225</v>
      </c>
      <c r="G161">
        <v>170520700</v>
      </c>
      <c r="H161" s="4">
        <f t="shared" si="4"/>
        <v>1.4563106796116505E-2</v>
      </c>
      <c r="I161" s="4">
        <f t="shared" si="5"/>
        <v>-7.9295154185022032E-2</v>
      </c>
    </row>
    <row r="162" spans="1:9" x14ac:dyDescent="0.2">
      <c r="A162" s="2">
        <f ca="1">IFERROR(__xludf.DUMMYFUNCTION("""COMPUTED_VALUE"""),45544.6666666666)</f>
        <v>45544.666666666599</v>
      </c>
      <c r="B162" s="2" t="s">
        <v>55</v>
      </c>
      <c r="C162">
        <v>5275</v>
      </c>
      <c r="D162">
        <v>5300</v>
      </c>
      <c r="E162">
        <v>5150</v>
      </c>
      <c r="F162">
        <v>5175</v>
      </c>
      <c r="G162">
        <v>201448700</v>
      </c>
      <c r="H162" s="4">
        <f t="shared" si="4"/>
        <v>-9.5693779904306216E-3</v>
      </c>
      <c r="I162" s="4">
        <f t="shared" si="5"/>
        <v>-8.8105726872246701E-2</v>
      </c>
    </row>
    <row r="163" spans="1:9" x14ac:dyDescent="0.2">
      <c r="A163" s="2">
        <f ca="1">IFERROR(__xludf.DUMMYFUNCTION("""COMPUTED_VALUE"""),45545.6666666666)</f>
        <v>45545.666666666599</v>
      </c>
      <c r="B163" s="2" t="s">
        <v>55</v>
      </c>
      <c r="C163">
        <v>5200</v>
      </c>
      <c r="D163">
        <v>5250</v>
      </c>
      <c r="E163">
        <v>5125</v>
      </c>
      <c r="F163">
        <v>5250</v>
      </c>
      <c r="G163">
        <v>202326400</v>
      </c>
      <c r="H163" s="4">
        <f t="shared" si="4"/>
        <v>1.4492753623188406E-2</v>
      </c>
      <c r="I163" s="4">
        <f t="shared" si="5"/>
        <v>-7.4889867841409691E-2</v>
      </c>
    </row>
    <row r="164" spans="1:9" x14ac:dyDescent="0.2">
      <c r="A164" s="2">
        <f ca="1">IFERROR(__xludf.DUMMYFUNCTION("""COMPUTED_VALUE"""),45546.6666666666)</f>
        <v>45546.666666666599</v>
      </c>
      <c r="B164" s="2" t="s">
        <v>55</v>
      </c>
      <c r="C164">
        <v>5225</v>
      </c>
      <c r="D164">
        <v>5250</v>
      </c>
      <c r="E164">
        <v>5125</v>
      </c>
      <c r="F164">
        <v>5175</v>
      </c>
      <c r="G164">
        <v>165284900</v>
      </c>
      <c r="H164" s="4">
        <f t="shared" si="4"/>
        <v>-1.4285714285714285E-2</v>
      </c>
      <c r="I164" s="4">
        <f t="shared" si="5"/>
        <v>-8.8105726872246701E-2</v>
      </c>
    </row>
    <row r="165" spans="1:9" x14ac:dyDescent="0.2">
      <c r="A165" s="2">
        <f ca="1">IFERROR(__xludf.DUMMYFUNCTION("""COMPUTED_VALUE"""),45547.6666666666)</f>
        <v>45547.666666666599</v>
      </c>
      <c r="B165" s="2" t="s">
        <v>55</v>
      </c>
      <c r="C165">
        <v>5175</v>
      </c>
      <c r="D165">
        <v>5225</v>
      </c>
      <c r="E165">
        <v>5150</v>
      </c>
      <c r="F165">
        <v>5175</v>
      </c>
      <c r="G165">
        <v>138542100</v>
      </c>
      <c r="H165" s="4">
        <f t="shared" si="4"/>
        <v>0</v>
      </c>
      <c r="I165" s="4">
        <f t="shared" si="5"/>
        <v>-8.8105726872246701E-2</v>
      </c>
    </row>
    <row r="166" spans="1:9" x14ac:dyDescent="0.2">
      <c r="A166" s="2">
        <f ca="1">IFERROR(__xludf.DUMMYFUNCTION("""COMPUTED_VALUE"""),45548.6666666666)</f>
        <v>45548.666666666599</v>
      </c>
      <c r="B166" s="2" t="s">
        <v>55</v>
      </c>
      <c r="C166">
        <v>5200</v>
      </c>
      <c r="D166">
        <v>5300</v>
      </c>
      <c r="E166">
        <v>5175</v>
      </c>
      <c r="F166">
        <v>5300</v>
      </c>
      <c r="G166">
        <v>259722600</v>
      </c>
      <c r="H166" s="4">
        <f t="shared" si="4"/>
        <v>2.4154589371980676E-2</v>
      </c>
      <c r="I166" s="4">
        <f t="shared" si="5"/>
        <v>-6.6079295154185022E-2</v>
      </c>
    </row>
    <row r="167" spans="1:9" x14ac:dyDescent="0.2">
      <c r="A167" s="2">
        <f ca="1">IFERROR(__xludf.DUMMYFUNCTION("""COMPUTED_VALUE"""),45552.6666666666)</f>
        <v>45552.666666666599</v>
      </c>
      <c r="B167" s="2" t="s">
        <v>55</v>
      </c>
      <c r="C167">
        <v>5350</v>
      </c>
      <c r="D167">
        <v>5350</v>
      </c>
      <c r="E167">
        <v>5250</v>
      </c>
      <c r="F167">
        <v>5300</v>
      </c>
      <c r="G167">
        <v>201331600</v>
      </c>
      <c r="H167" s="4">
        <f t="shared" si="4"/>
        <v>0</v>
      </c>
      <c r="I167" s="4">
        <f t="shared" si="5"/>
        <v>-6.6079295154185022E-2</v>
      </c>
    </row>
    <row r="168" spans="1:9" x14ac:dyDescent="0.2">
      <c r="A168" s="2">
        <f ca="1">IFERROR(__xludf.DUMMYFUNCTION("""COMPUTED_VALUE"""),45553.6666666666)</f>
        <v>45553.666666666599</v>
      </c>
      <c r="B168" s="2" t="s">
        <v>55</v>
      </c>
      <c r="C168">
        <v>5350</v>
      </c>
      <c r="D168">
        <v>5375</v>
      </c>
      <c r="E168">
        <v>5325</v>
      </c>
      <c r="F168">
        <v>5350</v>
      </c>
      <c r="G168">
        <v>186877300</v>
      </c>
      <c r="H168" s="4">
        <f t="shared" si="4"/>
        <v>9.433962264150943E-3</v>
      </c>
      <c r="I168" s="4">
        <f t="shared" si="5"/>
        <v>-5.7268722466960353E-2</v>
      </c>
    </row>
    <row r="169" spans="1:9" x14ac:dyDescent="0.2">
      <c r="A169" s="2">
        <f ca="1">IFERROR(__xludf.DUMMYFUNCTION("""COMPUTED_VALUE"""),45554.6666666666)</f>
        <v>45554.666666666599</v>
      </c>
      <c r="B169" s="2" t="s">
        <v>55</v>
      </c>
      <c r="C169">
        <v>5425</v>
      </c>
      <c r="D169">
        <v>5500</v>
      </c>
      <c r="E169">
        <v>5400</v>
      </c>
      <c r="F169">
        <v>5400</v>
      </c>
      <c r="G169">
        <v>332941100</v>
      </c>
      <c r="H169" s="4">
        <f t="shared" si="4"/>
        <v>9.3457943925233638E-3</v>
      </c>
      <c r="I169" s="4">
        <f t="shared" si="5"/>
        <v>-4.8458149779735685E-2</v>
      </c>
    </row>
    <row r="170" spans="1:9" x14ac:dyDescent="0.2">
      <c r="A170" s="2">
        <f ca="1">IFERROR(__xludf.DUMMYFUNCTION("""COMPUTED_VALUE"""),45555.6666666666)</f>
        <v>45555.666666666599</v>
      </c>
      <c r="B170" s="2" t="s">
        <v>55</v>
      </c>
      <c r="C170">
        <v>5400</v>
      </c>
      <c r="D170">
        <v>5450</v>
      </c>
      <c r="E170">
        <v>5375</v>
      </c>
      <c r="F170">
        <v>5375</v>
      </c>
      <c r="G170">
        <v>260437400</v>
      </c>
      <c r="H170" s="4">
        <f t="shared" si="4"/>
        <v>-4.6296296296296294E-3</v>
      </c>
      <c r="I170" s="4">
        <f t="shared" si="5"/>
        <v>-5.2863436123348019E-2</v>
      </c>
    </row>
    <row r="171" spans="1:9" x14ac:dyDescent="0.2">
      <c r="A171" s="2">
        <f ca="1">IFERROR(__xludf.DUMMYFUNCTION("""COMPUTED_VALUE"""),45558.6666666666)</f>
        <v>45558.666666666599</v>
      </c>
      <c r="B171" s="2" t="s">
        <v>55</v>
      </c>
      <c r="C171">
        <v>5350</v>
      </c>
      <c r="D171">
        <v>5500</v>
      </c>
      <c r="E171">
        <v>5350</v>
      </c>
      <c r="F171">
        <v>5500</v>
      </c>
      <c r="G171">
        <v>245292000</v>
      </c>
      <c r="H171" s="4">
        <f t="shared" si="4"/>
        <v>2.3255813953488372E-2</v>
      </c>
      <c r="I171" s="4">
        <f t="shared" si="5"/>
        <v>-3.0837004405286344E-2</v>
      </c>
    </row>
    <row r="172" spans="1:9" x14ac:dyDescent="0.2">
      <c r="A172" s="2">
        <f ca="1">IFERROR(__xludf.DUMMYFUNCTION("""COMPUTED_VALUE"""),45559.6666666666)</f>
        <v>45559.666666666599</v>
      </c>
      <c r="B172" s="2" t="s">
        <v>55</v>
      </c>
      <c r="C172">
        <v>5550</v>
      </c>
      <c r="D172">
        <v>5575</v>
      </c>
      <c r="E172">
        <v>5525</v>
      </c>
      <c r="F172">
        <v>5525</v>
      </c>
      <c r="G172">
        <v>195415700</v>
      </c>
      <c r="H172" s="4">
        <f t="shared" si="4"/>
        <v>4.5454545454545452E-3</v>
      </c>
      <c r="I172" s="4">
        <f t="shared" si="5"/>
        <v>-2.643171806167401E-2</v>
      </c>
    </row>
    <row r="173" spans="1:9" x14ac:dyDescent="0.2">
      <c r="A173" s="2">
        <f ca="1">IFERROR(__xludf.DUMMYFUNCTION("""COMPUTED_VALUE"""),45560.6666666666)</f>
        <v>45560.666666666599</v>
      </c>
      <c r="B173" s="2" t="s">
        <v>55</v>
      </c>
      <c r="C173">
        <v>5400</v>
      </c>
      <c r="D173">
        <v>5425</v>
      </c>
      <c r="E173">
        <v>5200</v>
      </c>
      <c r="F173">
        <v>5325</v>
      </c>
      <c r="G173">
        <v>607065900</v>
      </c>
      <c r="H173" s="4">
        <f t="shared" si="4"/>
        <v>-3.6199095022624438E-2</v>
      </c>
      <c r="I173" s="4">
        <f t="shared" si="5"/>
        <v>-6.1674008810572688E-2</v>
      </c>
    </row>
    <row r="174" spans="1:9" x14ac:dyDescent="0.2">
      <c r="A174" s="2">
        <f ca="1">IFERROR(__xludf.DUMMYFUNCTION("""COMPUTED_VALUE"""),45561.6666666666)</f>
        <v>45561.666666666599</v>
      </c>
      <c r="B174" s="2" t="s">
        <v>55</v>
      </c>
      <c r="C174">
        <v>5150</v>
      </c>
      <c r="D174">
        <v>5200</v>
      </c>
      <c r="E174">
        <v>5025</v>
      </c>
      <c r="F174">
        <v>5050</v>
      </c>
      <c r="G174">
        <v>855266800</v>
      </c>
      <c r="H174" s="4">
        <f t="shared" si="4"/>
        <v>-5.1643192488262914E-2</v>
      </c>
      <c r="I174" s="4">
        <f t="shared" si="5"/>
        <v>-0.11013215859030837</v>
      </c>
    </row>
    <row r="175" spans="1:9" x14ac:dyDescent="0.2">
      <c r="A175" s="2">
        <f ca="1">IFERROR(__xludf.DUMMYFUNCTION("""COMPUTED_VALUE"""),45562.6666666666)</f>
        <v>45562.666666666599</v>
      </c>
      <c r="B175" s="2" t="s">
        <v>55</v>
      </c>
      <c r="C175">
        <v>5050</v>
      </c>
      <c r="D175">
        <v>5150</v>
      </c>
      <c r="E175">
        <v>5000</v>
      </c>
      <c r="F175">
        <v>5100</v>
      </c>
      <c r="G175">
        <v>304694300</v>
      </c>
      <c r="H175" s="4">
        <f t="shared" si="4"/>
        <v>9.9009900990099011E-3</v>
      </c>
      <c r="I175" s="4">
        <f t="shared" si="5"/>
        <v>-0.1013215859030837</v>
      </c>
    </row>
    <row r="176" spans="1:9" x14ac:dyDescent="0.2">
      <c r="A176" s="2">
        <f ca="1">IFERROR(__xludf.DUMMYFUNCTION("""COMPUTED_VALUE"""),45565.6666666666)</f>
        <v>45565.666666666599</v>
      </c>
      <c r="B176" s="2" t="s">
        <v>55</v>
      </c>
      <c r="C176">
        <v>5050</v>
      </c>
      <c r="D176">
        <v>5050</v>
      </c>
      <c r="E176">
        <v>4950</v>
      </c>
      <c r="F176">
        <v>4950</v>
      </c>
      <c r="G176">
        <v>539169900</v>
      </c>
      <c r="H176" s="4">
        <f t="shared" si="4"/>
        <v>-2.9411764705882353E-2</v>
      </c>
      <c r="I176" s="4">
        <f t="shared" si="5"/>
        <v>-0.1277533039647577</v>
      </c>
    </row>
    <row r="177" spans="1:9" x14ac:dyDescent="0.2">
      <c r="A177" s="2">
        <f ca="1">IFERROR(__xludf.DUMMYFUNCTION("""COMPUTED_VALUE"""),45566.6666666666)</f>
        <v>45566.666666666599</v>
      </c>
      <c r="B177" s="2" t="s">
        <v>55</v>
      </c>
      <c r="C177">
        <v>4970</v>
      </c>
      <c r="D177">
        <v>5075</v>
      </c>
      <c r="E177">
        <v>4970</v>
      </c>
      <c r="F177">
        <v>5075</v>
      </c>
      <c r="G177">
        <v>197069300</v>
      </c>
      <c r="H177" s="4">
        <f t="shared" si="4"/>
        <v>2.5252525252525252E-2</v>
      </c>
      <c r="I177" s="4">
        <f t="shared" si="5"/>
        <v>-0.10572687224669604</v>
      </c>
    </row>
    <row r="178" spans="1:9" x14ac:dyDescent="0.2">
      <c r="A178" s="2">
        <f ca="1">IFERROR(__xludf.DUMMYFUNCTION("""COMPUTED_VALUE"""),45567.6666666666)</f>
        <v>45567.666666666599</v>
      </c>
      <c r="B178" s="2" t="s">
        <v>55</v>
      </c>
      <c r="C178">
        <v>5000</v>
      </c>
      <c r="D178">
        <v>5075</v>
      </c>
      <c r="E178">
        <v>4900</v>
      </c>
      <c r="F178">
        <v>4940</v>
      </c>
      <c r="G178">
        <v>307487600</v>
      </c>
      <c r="H178" s="4">
        <f t="shared" si="4"/>
        <v>-2.6600985221674877E-2</v>
      </c>
      <c r="I178" s="4">
        <f t="shared" si="5"/>
        <v>-0.12951541850220263</v>
      </c>
    </row>
    <row r="179" spans="1:9" x14ac:dyDescent="0.2">
      <c r="A179" s="2">
        <f ca="1">IFERROR(__xludf.DUMMYFUNCTION("""COMPUTED_VALUE"""),45568.6666666666)</f>
        <v>45568.666666666599</v>
      </c>
      <c r="B179" s="2" t="s">
        <v>55</v>
      </c>
      <c r="C179">
        <v>4900</v>
      </c>
      <c r="D179">
        <v>4960</v>
      </c>
      <c r="E179">
        <v>4860</v>
      </c>
      <c r="F179">
        <v>4920</v>
      </c>
      <c r="G179">
        <v>354814800</v>
      </c>
      <c r="H179" s="4">
        <f t="shared" si="4"/>
        <v>-4.048582995951417E-3</v>
      </c>
      <c r="I179" s="4">
        <f t="shared" si="5"/>
        <v>-0.13303964757709252</v>
      </c>
    </row>
    <row r="180" spans="1:9" x14ac:dyDescent="0.2">
      <c r="A180" s="2">
        <f ca="1">IFERROR(__xludf.DUMMYFUNCTION("""COMPUTED_VALUE"""),45569.6666666666)</f>
        <v>45569.666666666599</v>
      </c>
      <c r="B180" s="2" t="s">
        <v>55</v>
      </c>
      <c r="C180">
        <v>4870</v>
      </c>
      <c r="D180">
        <v>4920</v>
      </c>
      <c r="E180">
        <v>4850</v>
      </c>
      <c r="F180">
        <v>4860</v>
      </c>
      <c r="G180">
        <v>289960700</v>
      </c>
      <c r="H180" s="4">
        <f t="shared" si="4"/>
        <v>-1.2195121951219513E-2</v>
      </c>
      <c r="I180" s="4">
        <f t="shared" si="5"/>
        <v>-0.14361233480176211</v>
      </c>
    </row>
    <row r="181" spans="1:9" x14ac:dyDescent="0.2">
      <c r="A181" s="2">
        <f ca="1">IFERROR(__xludf.DUMMYFUNCTION("""COMPUTED_VALUE"""),45572.6666666666)</f>
        <v>45572.666666666599</v>
      </c>
      <c r="B181" s="2" t="s">
        <v>55</v>
      </c>
      <c r="C181">
        <v>4860</v>
      </c>
      <c r="D181">
        <v>4930</v>
      </c>
      <c r="E181">
        <v>4810</v>
      </c>
      <c r="F181">
        <v>4820</v>
      </c>
      <c r="G181">
        <v>308452200</v>
      </c>
      <c r="H181" s="4">
        <f t="shared" si="4"/>
        <v>-8.23045267489712E-3</v>
      </c>
      <c r="I181" s="4">
        <f t="shared" si="5"/>
        <v>-0.15066079295154186</v>
      </c>
    </row>
    <row r="182" spans="1:9" x14ac:dyDescent="0.2">
      <c r="A182" s="2">
        <f ca="1">IFERROR(__xludf.DUMMYFUNCTION("""COMPUTED_VALUE"""),45573.6666666666)</f>
        <v>45573.666666666599</v>
      </c>
      <c r="B182" s="2" t="s">
        <v>55</v>
      </c>
      <c r="C182">
        <v>4800</v>
      </c>
      <c r="D182">
        <v>5050</v>
      </c>
      <c r="E182">
        <v>4760</v>
      </c>
      <c r="F182">
        <v>5000</v>
      </c>
      <c r="G182">
        <v>527474400</v>
      </c>
      <c r="H182" s="4">
        <f t="shared" si="4"/>
        <v>3.7344398340248962E-2</v>
      </c>
      <c r="I182" s="4">
        <f t="shared" si="5"/>
        <v>-0.11894273127753303</v>
      </c>
    </row>
    <row r="183" spans="1:9" x14ac:dyDescent="0.2">
      <c r="A183" s="2">
        <f ca="1">IFERROR(__xludf.DUMMYFUNCTION("""COMPUTED_VALUE"""),45574.6666666666)</f>
        <v>45574.666666666599</v>
      </c>
      <c r="B183" s="2" t="s">
        <v>55</v>
      </c>
      <c r="C183">
        <v>5000</v>
      </c>
      <c r="D183">
        <v>5075</v>
      </c>
      <c r="E183">
        <v>4930</v>
      </c>
      <c r="F183">
        <v>4930</v>
      </c>
      <c r="G183">
        <v>309336600</v>
      </c>
      <c r="H183" s="4">
        <f t="shared" si="4"/>
        <v>-1.4E-2</v>
      </c>
      <c r="I183" s="4">
        <f t="shared" si="5"/>
        <v>-0.13127753303964756</v>
      </c>
    </row>
    <row r="184" spans="1:9" x14ac:dyDescent="0.2">
      <c r="A184" s="2">
        <f ca="1">IFERROR(__xludf.DUMMYFUNCTION("""COMPUTED_VALUE"""),45575.6666666666)</f>
        <v>45575.666666666599</v>
      </c>
      <c r="B184" s="2" t="s">
        <v>55</v>
      </c>
      <c r="C184">
        <v>4920</v>
      </c>
      <c r="D184">
        <v>4970</v>
      </c>
      <c r="E184">
        <v>4860</v>
      </c>
      <c r="F184">
        <v>4860</v>
      </c>
      <c r="G184">
        <v>226564700</v>
      </c>
      <c r="H184" s="4">
        <f t="shared" si="4"/>
        <v>-1.4198782961460446E-2</v>
      </c>
      <c r="I184" s="4">
        <f t="shared" si="5"/>
        <v>-0.14361233480176211</v>
      </c>
    </row>
    <row r="185" spans="1:9" x14ac:dyDescent="0.2">
      <c r="A185" s="2">
        <f ca="1">IFERROR(__xludf.DUMMYFUNCTION("""COMPUTED_VALUE"""),45576.6666666666)</f>
        <v>45576.666666666599</v>
      </c>
      <c r="B185" s="2" t="s">
        <v>55</v>
      </c>
      <c r="C185">
        <v>4910</v>
      </c>
      <c r="D185">
        <v>4940</v>
      </c>
      <c r="E185">
        <v>4890</v>
      </c>
      <c r="F185">
        <v>4900</v>
      </c>
      <c r="G185">
        <v>104875300</v>
      </c>
      <c r="H185" s="4">
        <f t="shared" si="4"/>
        <v>8.23045267489712E-3</v>
      </c>
      <c r="I185" s="4">
        <f t="shared" si="5"/>
        <v>-0.13656387665198239</v>
      </c>
    </row>
    <row r="186" spans="1:9" x14ac:dyDescent="0.2">
      <c r="A186" s="2">
        <f ca="1">IFERROR(__xludf.DUMMYFUNCTION("""COMPUTED_VALUE"""),45579.6666666666)</f>
        <v>45579.666666666599</v>
      </c>
      <c r="B186" s="2" t="s">
        <v>55</v>
      </c>
      <c r="C186">
        <v>4900</v>
      </c>
      <c r="D186">
        <v>4930</v>
      </c>
      <c r="E186">
        <v>4870</v>
      </c>
      <c r="F186">
        <v>4900</v>
      </c>
      <c r="G186">
        <v>125414400</v>
      </c>
      <c r="H186" s="4">
        <f t="shared" si="4"/>
        <v>0</v>
      </c>
      <c r="I186" s="4">
        <f t="shared" si="5"/>
        <v>-0.13656387665198239</v>
      </c>
    </row>
    <row r="187" spans="1:9" x14ac:dyDescent="0.2">
      <c r="A187" s="2">
        <f ca="1">IFERROR(__xludf.DUMMYFUNCTION("""COMPUTED_VALUE"""),45580.6666666666)</f>
        <v>45580.666666666599</v>
      </c>
      <c r="B187" s="2" t="s">
        <v>55</v>
      </c>
      <c r="C187">
        <v>4930</v>
      </c>
      <c r="D187">
        <v>4990</v>
      </c>
      <c r="E187">
        <v>4920</v>
      </c>
      <c r="F187">
        <v>4920</v>
      </c>
      <c r="G187">
        <v>142372200</v>
      </c>
      <c r="H187" s="4">
        <f t="shared" si="4"/>
        <v>4.0816326530612249E-3</v>
      </c>
      <c r="I187" s="4">
        <f t="shared" si="5"/>
        <v>-0.13303964757709252</v>
      </c>
    </row>
    <row r="188" spans="1:9" x14ac:dyDescent="0.2">
      <c r="A188" s="2">
        <f ca="1">IFERROR(__xludf.DUMMYFUNCTION("""COMPUTED_VALUE"""),45581.6666666666)</f>
        <v>45581.666666666599</v>
      </c>
      <c r="B188" s="2" t="s">
        <v>55</v>
      </c>
      <c r="C188">
        <v>4950</v>
      </c>
      <c r="D188">
        <v>4970</v>
      </c>
      <c r="E188">
        <v>4920</v>
      </c>
      <c r="F188">
        <v>4950</v>
      </c>
      <c r="G188">
        <v>118014300</v>
      </c>
      <c r="H188" s="4">
        <f t="shared" si="4"/>
        <v>6.0975609756097563E-3</v>
      </c>
      <c r="I188" s="4">
        <f t="shared" si="5"/>
        <v>-0.1277533039647577</v>
      </c>
    </row>
    <row r="189" spans="1:9" x14ac:dyDescent="0.2">
      <c r="A189" s="2">
        <f ca="1">IFERROR(__xludf.DUMMYFUNCTION("""COMPUTED_VALUE"""),45582.6666666666)</f>
        <v>45582.666666666599</v>
      </c>
      <c r="B189" s="2" t="s">
        <v>55</v>
      </c>
      <c r="C189">
        <v>4960</v>
      </c>
      <c r="D189">
        <v>5050</v>
      </c>
      <c r="E189">
        <v>4940</v>
      </c>
      <c r="F189">
        <v>4980</v>
      </c>
      <c r="G189">
        <v>188127700</v>
      </c>
      <c r="H189" s="4">
        <f t="shared" si="4"/>
        <v>6.0606060606060606E-3</v>
      </c>
      <c r="I189" s="4">
        <f t="shared" si="5"/>
        <v>-0.12246696035242291</v>
      </c>
    </row>
    <row r="190" spans="1:9" x14ac:dyDescent="0.2">
      <c r="A190" s="2">
        <f ca="1">IFERROR(__xludf.DUMMYFUNCTION("""COMPUTED_VALUE"""),45583.6666666666)</f>
        <v>45583.666666666599</v>
      </c>
      <c r="B190" s="2" t="s">
        <v>55</v>
      </c>
      <c r="C190">
        <v>5025</v>
      </c>
      <c r="D190">
        <v>5050</v>
      </c>
      <c r="E190">
        <v>4960</v>
      </c>
      <c r="F190">
        <v>4970</v>
      </c>
      <c r="G190">
        <v>157113000</v>
      </c>
      <c r="H190" s="4">
        <f t="shared" si="4"/>
        <v>-2.008032128514056E-3</v>
      </c>
      <c r="I190" s="4">
        <f t="shared" si="5"/>
        <v>-0.12422907488986784</v>
      </c>
    </row>
    <row r="191" spans="1:9" x14ac:dyDescent="0.2">
      <c r="A191" s="2">
        <f ca="1">IFERROR(__xludf.DUMMYFUNCTION("""COMPUTED_VALUE"""),45586.6666666666)</f>
        <v>45586.666666666599</v>
      </c>
      <c r="B191" s="2" t="s">
        <v>55</v>
      </c>
      <c r="C191">
        <v>4980</v>
      </c>
      <c r="D191">
        <v>5025</v>
      </c>
      <c r="E191">
        <v>4970</v>
      </c>
      <c r="F191">
        <v>4990</v>
      </c>
      <c r="G191">
        <v>110708200</v>
      </c>
      <c r="H191" s="4">
        <f t="shared" si="4"/>
        <v>4.0241448692152921E-3</v>
      </c>
      <c r="I191" s="4">
        <f t="shared" si="5"/>
        <v>-0.12070484581497798</v>
      </c>
    </row>
    <row r="192" spans="1:9" x14ac:dyDescent="0.2">
      <c r="A192" s="2">
        <f ca="1">IFERROR(__xludf.DUMMYFUNCTION("""COMPUTED_VALUE"""),45587.6666666666)</f>
        <v>45587.666666666599</v>
      </c>
      <c r="B192" s="2" t="s">
        <v>55</v>
      </c>
      <c r="C192">
        <v>4960</v>
      </c>
      <c r="D192">
        <v>4970</v>
      </c>
      <c r="E192">
        <v>4900</v>
      </c>
      <c r="F192">
        <v>4900</v>
      </c>
      <c r="G192">
        <v>199707500</v>
      </c>
      <c r="H192" s="4">
        <f t="shared" si="4"/>
        <v>-1.8036072144288578E-2</v>
      </c>
      <c r="I192" s="4">
        <f t="shared" si="5"/>
        <v>-0.13656387665198239</v>
      </c>
    </row>
    <row r="193" spans="1:9" x14ac:dyDescent="0.2">
      <c r="A193" s="2">
        <f ca="1">IFERROR(__xludf.DUMMYFUNCTION("""COMPUTED_VALUE"""),45588.6666666666)</f>
        <v>45588.666666666599</v>
      </c>
      <c r="B193" s="2" t="s">
        <v>55</v>
      </c>
      <c r="C193">
        <v>4830</v>
      </c>
      <c r="D193">
        <v>4890</v>
      </c>
      <c r="E193">
        <v>4810</v>
      </c>
      <c r="F193">
        <v>4860</v>
      </c>
      <c r="G193">
        <v>222147300</v>
      </c>
      <c r="H193" s="4">
        <f t="shared" si="4"/>
        <v>-8.1632653061224497E-3</v>
      </c>
      <c r="I193" s="4">
        <f t="shared" si="5"/>
        <v>-0.14361233480176211</v>
      </c>
    </row>
    <row r="194" spans="1:9" x14ac:dyDescent="0.2">
      <c r="A194" s="2">
        <f ca="1">IFERROR(__xludf.DUMMYFUNCTION("""COMPUTED_VALUE"""),45589.6666666666)</f>
        <v>45589.666666666599</v>
      </c>
      <c r="B194" s="2" t="s">
        <v>55</v>
      </c>
      <c r="C194">
        <v>4820</v>
      </c>
      <c r="D194">
        <v>4900</v>
      </c>
      <c r="E194">
        <v>4810</v>
      </c>
      <c r="F194">
        <v>4820</v>
      </c>
      <c r="G194">
        <v>218162100</v>
      </c>
      <c r="H194" s="4">
        <f t="shared" si="4"/>
        <v>-8.23045267489712E-3</v>
      </c>
      <c r="I194" s="4">
        <f t="shared" si="5"/>
        <v>-0.15066079295154186</v>
      </c>
    </row>
    <row r="195" spans="1:9" x14ac:dyDescent="0.2">
      <c r="A195" s="2">
        <f ca="1">IFERROR(__xludf.DUMMYFUNCTION("""COMPUTED_VALUE"""),45590.6666666666)</f>
        <v>45590.666666666599</v>
      </c>
      <c r="B195" s="2" t="s">
        <v>55</v>
      </c>
      <c r="C195">
        <v>4820</v>
      </c>
      <c r="D195">
        <v>4860</v>
      </c>
      <c r="E195">
        <v>4770</v>
      </c>
      <c r="F195">
        <v>4770</v>
      </c>
      <c r="G195">
        <v>195647800</v>
      </c>
      <c r="H195" s="4">
        <f t="shared" si="4"/>
        <v>-1.0373443983402489E-2</v>
      </c>
      <c r="I195" s="4">
        <f t="shared" si="5"/>
        <v>-0.15947136563876652</v>
      </c>
    </row>
    <row r="196" spans="1:9" x14ac:dyDescent="0.2">
      <c r="A196" s="2">
        <f ca="1">IFERROR(__xludf.DUMMYFUNCTION("""COMPUTED_VALUE"""),45593.6666666666)</f>
        <v>45593.666666666599</v>
      </c>
      <c r="B196" s="2" t="s">
        <v>55</v>
      </c>
      <c r="C196">
        <v>4770</v>
      </c>
      <c r="D196">
        <v>4800</v>
      </c>
      <c r="E196">
        <v>4710</v>
      </c>
      <c r="F196">
        <v>4760</v>
      </c>
      <c r="G196">
        <v>191211000</v>
      </c>
      <c r="H196" s="4">
        <f t="shared" ref="H196:H259" si="6">(F196-F195)/F195</f>
        <v>-2.0964360587002098E-3</v>
      </c>
      <c r="I196" s="4">
        <f t="shared" ref="I196:I259" si="7">(F196-$F$2)/$F$2</f>
        <v>-0.16123348017621145</v>
      </c>
    </row>
    <row r="197" spans="1:9" x14ac:dyDescent="0.2">
      <c r="A197" s="2">
        <f ca="1">IFERROR(__xludf.DUMMYFUNCTION("""COMPUTED_VALUE"""),45594.6666666666)</f>
        <v>45594.666666666599</v>
      </c>
      <c r="B197" s="2" t="s">
        <v>55</v>
      </c>
      <c r="C197">
        <v>4730</v>
      </c>
      <c r="D197">
        <v>4780</v>
      </c>
      <c r="E197">
        <v>4700</v>
      </c>
      <c r="F197">
        <v>4700</v>
      </c>
      <c r="G197">
        <v>203658600</v>
      </c>
      <c r="H197" s="4">
        <f t="shared" si="6"/>
        <v>-1.2605042016806723E-2</v>
      </c>
      <c r="I197" s="4">
        <f t="shared" si="7"/>
        <v>-0.17180616740088106</v>
      </c>
    </row>
    <row r="198" spans="1:9" x14ac:dyDescent="0.2">
      <c r="A198" s="2">
        <f ca="1">IFERROR(__xludf.DUMMYFUNCTION("""COMPUTED_VALUE"""),45595.6666666666)</f>
        <v>45595.666666666599</v>
      </c>
      <c r="B198" s="2" t="s">
        <v>55</v>
      </c>
      <c r="C198">
        <v>4630</v>
      </c>
      <c r="D198">
        <v>4750</v>
      </c>
      <c r="E198">
        <v>4630</v>
      </c>
      <c r="F198">
        <v>4710</v>
      </c>
      <c r="G198">
        <v>296314500</v>
      </c>
      <c r="H198" s="4">
        <f t="shared" si="6"/>
        <v>2.1276595744680851E-3</v>
      </c>
      <c r="I198" s="4">
        <f t="shared" si="7"/>
        <v>-0.17004405286343613</v>
      </c>
    </row>
    <row r="199" spans="1:9" x14ac:dyDescent="0.2">
      <c r="A199" s="2">
        <f ca="1">IFERROR(__xludf.DUMMYFUNCTION("""COMPUTED_VALUE"""),45596.6666666666)</f>
        <v>45596.666666666599</v>
      </c>
      <c r="B199" s="2" t="s">
        <v>55</v>
      </c>
      <c r="C199">
        <v>4710</v>
      </c>
      <c r="D199">
        <v>4870</v>
      </c>
      <c r="E199">
        <v>4710</v>
      </c>
      <c r="F199">
        <v>4800</v>
      </c>
      <c r="G199">
        <v>307110400</v>
      </c>
      <c r="H199" s="4">
        <f t="shared" si="6"/>
        <v>1.9108280254777069E-2</v>
      </c>
      <c r="I199" s="4">
        <f t="shared" si="7"/>
        <v>-0.15418502202643172</v>
      </c>
    </row>
    <row r="200" spans="1:9" x14ac:dyDescent="0.2">
      <c r="A200" s="2">
        <f ca="1">IFERROR(__xludf.DUMMYFUNCTION("""COMPUTED_VALUE"""),45597.6666666666)</f>
        <v>45597.666666666599</v>
      </c>
      <c r="B200" s="2" t="s">
        <v>55</v>
      </c>
      <c r="C200">
        <v>4770</v>
      </c>
      <c r="D200">
        <v>4820</v>
      </c>
      <c r="E200">
        <v>4700</v>
      </c>
      <c r="F200">
        <v>4700</v>
      </c>
      <c r="G200">
        <v>235656400</v>
      </c>
      <c r="H200" s="4">
        <f t="shared" si="6"/>
        <v>-2.0833333333333332E-2</v>
      </c>
      <c r="I200" s="4">
        <f t="shared" si="7"/>
        <v>-0.17180616740088106</v>
      </c>
    </row>
    <row r="201" spans="1:9" x14ac:dyDescent="0.2">
      <c r="A201" s="2">
        <f ca="1">IFERROR(__xludf.DUMMYFUNCTION("""COMPUTED_VALUE"""),45600.6666666666)</f>
        <v>45600.666666666599</v>
      </c>
      <c r="B201" s="2" t="s">
        <v>55</v>
      </c>
      <c r="C201">
        <v>4710</v>
      </c>
      <c r="D201">
        <v>4770</v>
      </c>
      <c r="E201">
        <v>4650</v>
      </c>
      <c r="F201">
        <v>4720</v>
      </c>
      <c r="G201">
        <v>209831500</v>
      </c>
      <c r="H201" s="4">
        <f t="shared" si="6"/>
        <v>4.2553191489361703E-3</v>
      </c>
      <c r="I201" s="4">
        <f t="shared" si="7"/>
        <v>-0.1682819383259912</v>
      </c>
    </row>
    <row r="202" spans="1:9" x14ac:dyDescent="0.2">
      <c r="A202" s="2">
        <f ca="1">IFERROR(__xludf.DUMMYFUNCTION("""COMPUTED_VALUE"""),45601.6666666666)</f>
        <v>45601.666666666599</v>
      </c>
      <c r="B202" s="2" t="s">
        <v>55</v>
      </c>
      <c r="C202">
        <v>4690</v>
      </c>
      <c r="D202">
        <v>4740</v>
      </c>
      <c r="E202">
        <v>4680</v>
      </c>
      <c r="F202">
        <v>4710</v>
      </c>
      <c r="G202">
        <v>199499300</v>
      </c>
      <c r="H202" s="4">
        <f t="shared" si="6"/>
        <v>-2.1186440677966102E-3</v>
      </c>
      <c r="I202" s="4">
        <f t="shared" si="7"/>
        <v>-0.17004405286343613</v>
      </c>
    </row>
    <row r="203" spans="1:9" x14ac:dyDescent="0.2">
      <c r="A203" s="2">
        <f ca="1">IFERROR(__xludf.DUMMYFUNCTION("""COMPUTED_VALUE"""),45602.6666666666)</f>
        <v>45602.666666666599</v>
      </c>
      <c r="B203" s="2" t="s">
        <v>55</v>
      </c>
      <c r="C203">
        <v>4710</v>
      </c>
      <c r="D203">
        <v>4730</v>
      </c>
      <c r="E203">
        <v>4600</v>
      </c>
      <c r="F203">
        <v>4600</v>
      </c>
      <c r="G203">
        <v>249059500</v>
      </c>
      <c r="H203" s="4">
        <f t="shared" si="6"/>
        <v>-2.3354564755838639E-2</v>
      </c>
      <c r="I203" s="4">
        <f t="shared" si="7"/>
        <v>-0.1894273127753304</v>
      </c>
    </row>
    <row r="204" spans="1:9" x14ac:dyDescent="0.2">
      <c r="A204" s="2">
        <f ca="1">IFERROR(__xludf.DUMMYFUNCTION("""COMPUTED_VALUE"""),45603.6666666666)</f>
        <v>45603.666666666599</v>
      </c>
      <c r="B204" s="2" t="s">
        <v>55</v>
      </c>
      <c r="C204">
        <v>4610</v>
      </c>
      <c r="D204">
        <v>4640</v>
      </c>
      <c r="E204">
        <v>4550</v>
      </c>
      <c r="F204">
        <v>4550</v>
      </c>
      <c r="G204">
        <v>296218600</v>
      </c>
      <c r="H204" s="4">
        <f t="shared" si="6"/>
        <v>-1.0869565217391304E-2</v>
      </c>
      <c r="I204" s="4">
        <f t="shared" si="7"/>
        <v>-0.19823788546255505</v>
      </c>
    </row>
    <row r="205" spans="1:9" x14ac:dyDescent="0.2">
      <c r="A205" s="2">
        <f ca="1">IFERROR(__xludf.DUMMYFUNCTION("""COMPUTED_VALUE"""),45604.6666666666)</f>
        <v>45604.666666666599</v>
      </c>
      <c r="B205" s="2" t="s">
        <v>55</v>
      </c>
      <c r="C205">
        <v>4600</v>
      </c>
      <c r="D205">
        <v>4640</v>
      </c>
      <c r="E205">
        <v>4520</v>
      </c>
      <c r="F205">
        <v>4520</v>
      </c>
      <c r="G205">
        <v>213862600</v>
      </c>
      <c r="H205" s="4">
        <f t="shared" si="6"/>
        <v>-6.5934065934065934E-3</v>
      </c>
      <c r="I205" s="4">
        <f t="shared" si="7"/>
        <v>-0.20352422907488987</v>
      </c>
    </row>
    <row r="206" spans="1:9" x14ac:dyDescent="0.2">
      <c r="A206" s="2">
        <f ca="1">IFERROR(__xludf.DUMMYFUNCTION("""COMPUTED_VALUE"""),45607.6666666666)</f>
        <v>45607.666666666599</v>
      </c>
      <c r="B206" s="2" t="s">
        <v>55</v>
      </c>
      <c r="C206">
        <v>4470</v>
      </c>
      <c r="D206">
        <v>4540</v>
      </c>
      <c r="E206">
        <v>4370</v>
      </c>
      <c r="F206">
        <v>4460</v>
      </c>
      <c r="G206">
        <v>507192300</v>
      </c>
      <c r="H206" s="4">
        <f t="shared" si="6"/>
        <v>-1.3274336283185841E-2</v>
      </c>
      <c r="I206" s="4">
        <f t="shared" si="7"/>
        <v>-0.21409691629955946</v>
      </c>
    </row>
    <row r="207" spans="1:9" x14ac:dyDescent="0.2">
      <c r="A207" s="2">
        <f ca="1">IFERROR(__xludf.DUMMYFUNCTION("""COMPUTED_VALUE"""),45608.6666666666)</f>
        <v>45608.666666666599</v>
      </c>
      <c r="B207" s="2" t="s">
        <v>55</v>
      </c>
      <c r="C207">
        <v>4430</v>
      </c>
      <c r="D207">
        <v>4520</v>
      </c>
      <c r="E207">
        <v>4430</v>
      </c>
      <c r="F207">
        <v>4500</v>
      </c>
      <c r="G207">
        <v>252380100</v>
      </c>
      <c r="H207" s="4">
        <f t="shared" si="6"/>
        <v>8.9686098654708519E-3</v>
      </c>
      <c r="I207" s="4">
        <f t="shared" si="7"/>
        <v>-0.20704845814977973</v>
      </c>
    </row>
    <row r="208" spans="1:9" x14ac:dyDescent="0.2">
      <c r="A208" s="2">
        <f ca="1">IFERROR(__xludf.DUMMYFUNCTION("""COMPUTED_VALUE"""),45609.6666666666)</f>
        <v>45609.666666666599</v>
      </c>
      <c r="B208" s="2" t="s">
        <v>55</v>
      </c>
      <c r="C208">
        <v>4470</v>
      </c>
      <c r="D208">
        <v>4610</v>
      </c>
      <c r="E208">
        <v>4460</v>
      </c>
      <c r="F208">
        <v>4580</v>
      </c>
      <c r="G208">
        <v>209627200</v>
      </c>
      <c r="H208" s="4">
        <f t="shared" si="6"/>
        <v>1.7777777777777778E-2</v>
      </c>
      <c r="I208" s="4">
        <f t="shared" si="7"/>
        <v>-0.19295154185022026</v>
      </c>
    </row>
    <row r="209" spans="1:9" x14ac:dyDescent="0.2">
      <c r="A209" s="2">
        <f ca="1">IFERROR(__xludf.DUMMYFUNCTION("""COMPUTED_VALUE"""),45610.6666666666)</f>
        <v>45610.666666666599</v>
      </c>
      <c r="B209" s="2" t="s">
        <v>55</v>
      </c>
      <c r="C209">
        <v>4570</v>
      </c>
      <c r="D209">
        <v>4590</v>
      </c>
      <c r="E209">
        <v>4500</v>
      </c>
      <c r="F209">
        <v>4500</v>
      </c>
      <c r="G209">
        <v>159871800</v>
      </c>
      <c r="H209" s="4">
        <f t="shared" si="6"/>
        <v>-1.7467248908296942E-2</v>
      </c>
      <c r="I209" s="4">
        <f t="shared" si="7"/>
        <v>-0.20704845814977973</v>
      </c>
    </row>
    <row r="210" spans="1:9" x14ac:dyDescent="0.2">
      <c r="A210" s="2">
        <f ca="1">IFERROR(__xludf.DUMMYFUNCTION("""COMPUTED_VALUE"""),45611.6666666666)</f>
        <v>45611.666666666599</v>
      </c>
      <c r="B210" s="2" t="s">
        <v>55</v>
      </c>
      <c r="C210">
        <v>4450</v>
      </c>
      <c r="D210">
        <v>4510</v>
      </c>
      <c r="E210">
        <v>4450</v>
      </c>
      <c r="F210">
        <v>4470</v>
      </c>
      <c r="G210">
        <v>106365600</v>
      </c>
      <c r="H210" s="4">
        <f t="shared" si="6"/>
        <v>-6.6666666666666671E-3</v>
      </c>
      <c r="I210" s="4">
        <f t="shared" si="7"/>
        <v>-0.21233480176211453</v>
      </c>
    </row>
    <row r="211" spans="1:9" x14ac:dyDescent="0.2">
      <c r="A211" s="2">
        <f ca="1">IFERROR(__xludf.DUMMYFUNCTION("""COMPUTED_VALUE"""),45614.6666666666)</f>
        <v>45614.666666666599</v>
      </c>
      <c r="B211" s="2" t="s">
        <v>55</v>
      </c>
      <c r="C211">
        <v>4440</v>
      </c>
      <c r="D211">
        <v>4460</v>
      </c>
      <c r="E211">
        <v>4350</v>
      </c>
      <c r="F211">
        <v>4350</v>
      </c>
      <c r="G211">
        <v>253272300</v>
      </c>
      <c r="H211" s="4">
        <f t="shared" si="6"/>
        <v>-2.6845637583892617E-2</v>
      </c>
      <c r="I211" s="4">
        <f t="shared" si="7"/>
        <v>-0.23348017621145375</v>
      </c>
    </row>
    <row r="212" spans="1:9" x14ac:dyDescent="0.2">
      <c r="A212" s="2">
        <f ca="1">IFERROR(__xludf.DUMMYFUNCTION("""COMPUTED_VALUE"""),45615.6666666666)</f>
        <v>45615.666666666599</v>
      </c>
      <c r="B212" s="2" t="s">
        <v>55</v>
      </c>
      <c r="C212">
        <v>4350</v>
      </c>
      <c r="D212">
        <v>4410</v>
      </c>
      <c r="E212">
        <v>4350</v>
      </c>
      <c r="F212">
        <v>4360</v>
      </c>
      <c r="G212">
        <v>294838700</v>
      </c>
      <c r="H212" s="4">
        <f t="shared" si="6"/>
        <v>2.2988505747126436E-3</v>
      </c>
      <c r="I212" s="4">
        <f t="shared" si="7"/>
        <v>-0.23171806167400882</v>
      </c>
    </row>
    <row r="213" spans="1:9" x14ac:dyDescent="0.2">
      <c r="A213" s="2">
        <f ca="1">IFERROR(__xludf.DUMMYFUNCTION("""COMPUTED_VALUE"""),45616.6666666666)</f>
        <v>45616.666666666599</v>
      </c>
      <c r="B213" s="2" t="s">
        <v>55</v>
      </c>
      <c r="C213">
        <v>4400</v>
      </c>
      <c r="D213">
        <v>4440</v>
      </c>
      <c r="E213">
        <v>4330</v>
      </c>
      <c r="F213">
        <v>4330</v>
      </c>
      <c r="G213">
        <v>298734600</v>
      </c>
      <c r="H213" s="4">
        <f t="shared" si="6"/>
        <v>-6.8807339449541288E-3</v>
      </c>
      <c r="I213" s="4">
        <f t="shared" si="7"/>
        <v>-0.23700440528634362</v>
      </c>
    </row>
    <row r="214" spans="1:9" x14ac:dyDescent="0.2">
      <c r="A214" s="2">
        <f ca="1">IFERROR(__xludf.DUMMYFUNCTION("""COMPUTED_VALUE"""),45617.6666666666)</f>
        <v>45617.666666666599</v>
      </c>
      <c r="B214" s="2" t="s">
        <v>55</v>
      </c>
      <c r="C214">
        <v>4280</v>
      </c>
      <c r="D214">
        <v>4320</v>
      </c>
      <c r="E214">
        <v>4250</v>
      </c>
      <c r="F214">
        <v>4250</v>
      </c>
      <c r="G214">
        <v>376788400</v>
      </c>
      <c r="H214" s="4">
        <f t="shared" si="6"/>
        <v>-1.8475750577367205E-2</v>
      </c>
      <c r="I214" s="4">
        <f t="shared" si="7"/>
        <v>-0.25110132158590309</v>
      </c>
    </row>
    <row r="215" spans="1:9" x14ac:dyDescent="0.2">
      <c r="A215" s="2">
        <f ca="1">IFERROR(__xludf.DUMMYFUNCTION("""COMPUTED_VALUE"""),45618.6666666666)</f>
        <v>45618.666666666599</v>
      </c>
      <c r="B215" s="2" t="s">
        <v>55</v>
      </c>
      <c r="C215">
        <v>4250</v>
      </c>
      <c r="D215">
        <v>4420</v>
      </c>
      <c r="E215">
        <v>4250</v>
      </c>
      <c r="F215">
        <v>4400</v>
      </c>
      <c r="G215">
        <v>280188100</v>
      </c>
      <c r="H215" s="4">
        <f t="shared" si="6"/>
        <v>3.5294117647058823E-2</v>
      </c>
      <c r="I215" s="4">
        <f t="shared" si="7"/>
        <v>-0.22466960352422907</v>
      </c>
    </row>
    <row r="216" spans="1:9" x14ac:dyDescent="0.2">
      <c r="A216" s="2">
        <f ca="1">IFERROR(__xludf.DUMMYFUNCTION("""COMPUTED_VALUE"""),45621.6666666666)</f>
        <v>45621.666666666599</v>
      </c>
      <c r="B216" s="2" t="s">
        <v>55</v>
      </c>
      <c r="C216">
        <v>4420</v>
      </c>
      <c r="D216">
        <v>4530</v>
      </c>
      <c r="E216">
        <v>4420</v>
      </c>
      <c r="F216">
        <v>4470</v>
      </c>
      <c r="G216">
        <v>401446400</v>
      </c>
      <c r="H216" s="4">
        <f t="shared" si="6"/>
        <v>1.5909090909090907E-2</v>
      </c>
      <c r="I216" s="4">
        <f t="shared" si="7"/>
        <v>-0.21233480176211453</v>
      </c>
    </row>
    <row r="217" spans="1:9" x14ac:dyDescent="0.2">
      <c r="A217" s="2">
        <f ca="1">IFERROR(__xludf.DUMMYFUNCTION("""COMPUTED_VALUE"""),45622.6666666666)</f>
        <v>45622.666666666599</v>
      </c>
      <c r="B217" s="2" t="s">
        <v>55</v>
      </c>
      <c r="C217">
        <v>4450</v>
      </c>
      <c r="D217">
        <v>4470</v>
      </c>
      <c r="E217">
        <v>4380</v>
      </c>
      <c r="F217">
        <v>4400</v>
      </c>
      <c r="G217">
        <v>266677500</v>
      </c>
      <c r="H217" s="4">
        <f t="shared" si="6"/>
        <v>-1.5659955257270694E-2</v>
      </c>
      <c r="I217" s="4">
        <f t="shared" si="7"/>
        <v>-0.22466960352422907</v>
      </c>
    </row>
    <row r="218" spans="1:9" x14ac:dyDescent="0.2">
      <c r="A218" s="2">
        <f ca="1">IFERROR(__xludf.DUMMYFUNCTION("""COMPUTED_VALUE"""),45624.6666666666)</f>
        <v>45624.666666666599</v>
      </c>
      <c r="B218" s="2" t="s">
        <v>55</v>
      </c>
      <c r="C218">
        <v>4350</v>
      </c>
      <c r="D218">
        <v>4390</v>
      </c>
      <c r="E218">
        <v>4330</v>
      </c>
      <c r="F218">
        <v>4330</v>
      </c>
      <c r="G218">
        <v>277081800</v>
      </c>
      <c r="H218" s="4">
        <f t="shared" si="6"/>
        <v>-1.5909090909090907E-2</v>
      </c>
      <c r="I218" s="4">
        <f t="shared" si="7"/>
        <v>-0.23700440528634362</v>
      </c>
    </row>
    <row r="219" spans="1:9" x14ac:dyDescent="0.2">
      <c r="A219" s="2">
        <f ca="1">IFERROR(__xludf.DUMMYFUNCTION("""COMPUTED_VALUE"""),45625.6666666666)</f>
        <v>45625.666666666599</v>
      </c>
      <c r="B219" s="2" t="s">
        <v>55</v>
      </c>
      <c r="C219">
        <v>4280</v>
      </c>
      <c r="D219">
        <v>4300</v>
      </c>
      <c r="E219">
        <v>4250</v>
      </c>
      <c r="F219">
        <v>4250</v>
      </c>
      <c r="G219">
        <v>412519800</v>
      </c>
      <c r="H219" s="4">
        <f t="shared" si="6"/>
        <v>-1.8475750577367205E-2</v>
      </c>
      <c r="I219" s="4">
        <f t="shared" si="7"/>
        <v>-0.25110132158590309</v>
      </c>
    </row>
    <row r="220" spans="1:9" x14ac:dyDescent="0.2">
      <c r="A220" s="2">
        <f ca="1">IFERROR(__xludf.DUMMYFUNCTION("""COMPUTED_VALUE"""),45628.6666666666)</f>
        <v>45628.666666666599</v>
      </c>
      <c r="B220" s="2" t="s">
        <v>55</v>
      </c>
      <c r="C220">
        <v>4270</v>
      </c>
      <c r="D220">
        <v>4280</v>
      </c>
      <c r="E220">
        <v>4160</v>
      </c>
      <c r="F220">
        <v>4170</v>
      </c>
      <c r="G220">
        <v>337188900</v>
      </c>
      <c r="H220" s="4">
        <f t="shared" si="6"/>
        <v>-1.8823529411764704E-2</v>
      </c>
      <c r="I220" s="4">
        <f t="shared" si="7"/>
        <v>-0.26519823788546254</v>
      </c>
    </row>
    <row r="221" spans="1:9" x14ac:dyDescent="0.2">
      <c r="A221" s="2">
        <f ca="1">IFERROR(__xludf.DUMMYFUNCTION("""COMPUTED_VALUE"""),45629.6666666666)</f>
        <v>45629.666666666599</v>
      </c>
      <c r="B221" s="2" t="s">
        <v>55</v>
      </c>
      <c r="C221">
        <v>4240</v>
      </c>
      <c r="D221">
        <v>4250</v>
      </c>
      <c r="E221">
        <v>4210</v>
      </c>
      <c r="F221">
        <v>4240</v>
      </c>
      <c r="G221">
        <v>384146700</v>
      </c>
      <c r="H221" s="4">
        <f t="shared" si="6"/>
        <v>1.6786570743405275E-2</v>
      </c>
      <c r="I221" s="4">
        <f t="shared" si="7"/>
        <v>-0.252863436123348</v>
      </c>
    </row>
    <row r="222" spans="1:9" x14ac:dyDescent="0.2">
      <c r="A222" s="2">
        <f ca="1">IFERROR(__xludf.DUMMYFUNCTION("""COMPUTED_VALUE"""),45630.6666666666)</f>
        <v>45630.666666666599</v>
      </c>
      <c r="B222" s="2" t="s">
        <v>55</v>
      </c>
      <c r="C222">
        <v>4240</v>
      </c>
      <c r="D222">
        <v>4370</v>
      </c>
      <c r="E222">
        <v>4220</v>
      </c>
      <c r="F222">
        <v>4350</v>
      </c>
      <c r="G222">
        <v>345762200</v>
      </c>
      <c r="H222" s="4">
        <f t="shared" si="6"/>
        <v>2.5943396226415096E-2</v>
      </c>
      <c r="I222" s="4">
        <f t="shared" si="7"/>
        <v>-0.23348017621145375</v>
      </c>
    </row>
    <row r="223" spans="1:9" x14ac:dyDescent="0.2">
      <c r="A223" s="2">
        <f ca="1">IFERROR(__xludf.DUMMYFUNCTION("""COMPUTED_VALUE"""),45631.6666666666)</f>
        <v>45631.666666666599</v>
      </c>
      <c r="B223" s="2" t="s">
        <v>55</v>
      </c>
      <c r="C223">
        <v>4310</v>
      </c>
      <c r="D223">
        <v>4340</v>
      </c>
      <c r="E223">
        <v>4250</v>
      </c>
      <c r="F223">
        <v>4260</v>
      </c>
      <c r="G223">
        <v>183249300</v>
      </c>
      <c r="H223" s="4">
        <f t="shared" si="6"/>
        <v>-2.0689655172413793E-2</v>
      </c>
      <c r="I223" s="4">
        <f t="shared" si="7"/>
        <v>-0.24933920704845816</v>
      </c>
    </row>
    <row r="224" spans="1:9" x14ac:dyDescent="0.2">
      <c r="A224" s="2">
        <f ca="1">IFERROR(__xludf.DUMMYFUNCTION("""COMPUTED_VALUE"""),45632.6666666666)</f>
        <v>45632.666666666599</v>
      </c>
      <c r="B224" s="2" t="s">
        <v>55</v>
      </c>
      <c r="C224">
        <v>4250</v>
      </c>
      <c r="D224">
        <v>4310</v>
      </c>
      <c r="E224">
        <v>4220</v>
      </c>
      <c r="F224">
        <v>4310</v>
      </c>
      <c r="G224">
        <v>151433000</v>
      </c>
      <c r="H224" s="4">
        <f t="shared" si="6"/>
        <v>1.1737089201877934E-2</v>
      </c>
      <c r="I224" s="4">
        <f t="shared" si="7"/>
        <v>-0.24052863436123348</v>
      </c>
    </row>
    <row r="225" spans="1:9" x14ac:dyDescent="0.2">
      <c r="A225" s="2">
        <f ca="1">IFERROR(__xludf.DUMMYFUNCTION("""COMPUTED_VALUE"""),45635.6666666666)</f>
        <v>45635.666666666599</v>
      </c>
      <c r="B225" s="2" t="s">
        <v>55</v>
      </c>
      <c r="C225">
        <v>4310</v>
      </c>
      <c r="D225">
        <v>4390</v>
      </c>
      <c r="E225">
        <v>4300</v>
      </c>
      <c r="F225">
        <v>4390</v>
      </c>
      <c r="G225">
        <v>158897200</v>
      </c>
      <c r="H225" s="4">
        <f t="shared" si="6"/>
        <v>1.8561484918793503E-2</v>
      </c>
      <c r="I225" s="4">
        <f t="shared" si="7"/>
        <v>-0.226431718061674</v>
      </c>
    </row>
    <row r="226" spans="1:9" x14ac:dyDescent="0.2">
      <c r="A226" s="2">
        <f ca="1">IFERROR(__xludf.DUMMYFUNCTION("""COMPUTED_VALUE"""),45636.6666666666)</f>
        <v>45636.666666666599</v>
      </c>
      <c r="B226" s="2" t="s">
        <v>55</v>
      </c>
      <c r="C226">
        <v>4360</v>
      </c>
      <c r="D226">
        <v>4380</v>
      </c>
      <c r="E226">
        <v>4290</v>
      </c>
      <c r="F226">
        <v>4360</v>
      </c>
      <c r="G226">
        <v>196160900</v>
      </c>
      <c r="H226" s="4">
        <f t="shared" si="6"/>
        <v>-6.8337129840546698E-3</v>
      </c>
      <c r="I226" s="4">
        <f t="shared" si="7"/>
        <v>-0.23171806167400882</v>
      </c>
    </row>
    <row r="227" spans="1:9" x14ac:dyDescent="0.2">
      <c r="A227" s="2">
        <f ca="1">IFERROR(__xludf.DUMMYFUNCTION("""COMPUTED_VALUE"""),45637.6666666666)</f>
        <v>45637.666666666599</v>
      </c>
      <c r="B227" s="2" t="s">
        <v>55</v>
      </c>
      <c r="C227">
        <v>4340</v>
      </c>
      <c r="D227">
        <v>4430</v>
      </c>
      <c r="E227">
        <v>4340</v>
      </c>
      <c r="F227">
        <v>4380</v>
      </c>
      <c r="G227">
        <v>203980300</v>
      </c>
      <c r="H227" s="4">
        <f t="shared" si="6"/>
        <v>4.5871559633027525E-3</v>
      </c>
      <c r="I227" s="4">
        <f t="shared" si="7"/>
        <v>-0.22819383259911893</v>
      </c>
    </row>
    <row r="228" spans="1:9" x14ac:dyDescent="0.2">
      <c r="A228" s="2">
        <f ca="1">IFERROR(__xludf.DUMMYFUNCTION("""COMPUTED_VALUE"""),45638.6666666666)</f>
        <v>45638.666666666599</v>
      </c>
      <c r="B228" s="2" t="s">
        <v>55</v>
      </c>
      <c r="C228">
        <v>4340</v>
      </c>
      <c r="D228">
        <v>4360</v>
      </c>
      <c r="E228">
        <v>4260</v>
      </c>
      <c r="F228">
        <v>4260</v>
      </c>
      <c r="G228">
        <v>226698900</v>
      </c>
      <c r="H228" s="4">
        <f t="shared" si="6"/>
        <v>-2.7397260273972601E-2</v>
      </c>
      <c r="I228" s="4">
        <f t="shared" si="7"/>
        <v>-0.24933920704845816</v>
      </c>
    </row>
    <row r="229" spans="1:9" x14ac:dyDescent="0.2">
      <c r="A229" s="2">
        <f ca="1">IFERROR(__xludf.DUMMYFUNCTION("""COMPUTED_VALUE"""),45639.6666666666)</f>
        <v>45639.666666666599</v>
      </c>
      <c r="B229" s="2" t="s">
        <v>55</v>
      </c>
      <c r="C229">
        <v>4230</v>
      </c>
      <c r="D229">
        <v>4280</v>
      </c>
      <c r="E229">
        <v>4170</v>
      </c>
      <c r="F229">
        <v>4170</v>
      </c>
      <c r="G229">
        <v>287838100</v>
      </c>
      <c r="H229" s="4">
        <f t="shared" si="6"/>
        <v>-2.1126760563380281E-2</v>
      </c>
      <c r="I229" s="4">
        <f t="shared" si="7"/>
        <v>-0.26519823788546254</v>
      </c>
    </row>
    <row r="230" spans="1:9" x14ac:dyDescent="0.2">
      <c r="A230" s="2">
        <f ca="1">IFERROR(__xludf.DUMMYFUNCTION("""COMPUTED_VALUE"""),45642.6666666666)</f>
        <v>45642.666666666599</v>
      </c>
      <c r="B230" s="2" t="s">
        <v>55</v>
      </c>
      <c r="C230">
        <v>4150</v>
      </c>
      <c r="D230">
        <v>4280</v>
      </c>
      <c r="E230">
        <v>4150</v>
      </c>
      <c r="F230">
        <v>4250</v>
      </c>
      <c r="G230">
        <v>325441900</v>
      </c>
      <c r="H230" s="4">
        <f t="shared" si="6"/>
        <v>1.9184652278177457E-2</v>
      </c>
      <c r="I230" s="4">
        <f t="shared" si="7"/>
        <v>-0.25110132158590309</v>
      </c>
    </row>
    <row r="231" spans="1:9" x14ac:dyDescent="0.2">
      <c r="A231" s="2">
        <f ca="1">IFERROR(__xludf.DUMMYFUNCTION("""COMPUTED_VALUE"""),45643.6666666666)</f>
        <v>45643.666666666599</v>
      </c>
      <c r="B231" s="2" t="s">
        <v>55</v>
      </c>
      <c r="C231">
        <v>4250</v>
      </c>
      <c r="D231">
        <v>4290</v>
      </c>
      <c r="E231">
        <v>4150</v>
      </c>
      <c r="F231">
        <v>4150</v>
      </c>
      <c r="G231">
        <v>327919000</v>
      </c>
      <c r="H231" s="4">
        <f t="shared" si="6"/>
        <v>-2.3529411764705882E-2</v>
      </c>
      <c r="I231" s="4">
        <f t="shared" si="7"/>
        <v>-0.2687224669603524</v>
      </c>
    </row>
    <row r="232" spans="1:9" x14ac:dyDescent="0.2">
      <c r="A232" s="2">
        <f ca="1">IFERROR(__xludf.DUMMYFUNCTION("""COMPUTED_VALUE"""),45644.6666666666)</f>
        <v>45644.666666666599</v>
      </c>
      <c r="B232" s="2" t="s">
        <v>55</v>
      </c>
      <c r="C232">
        <v>4170</v>
      </c>
      <c r="D232">
        <v>4210</v>
      </c>
      <c r="E232">
        <v>4130</v>
      </c>
      <c r="F232">
        <v>4150</v>
      </c>
      <c r="G232">
        <v>205055500</v>
      </c>
      <c r="H232" s="4">
        <f t="shared" si="6"/>
        <v>0</v>
      </c>
      <c r="I232" s="4">
        <f t="shared" si="7"/>
        <v>-0.2687224669603524</v>
      </c>
    </row>
    <row r="233" spans="1:9" x14ac:dyDescent="0.2">
      <c r="A233" s="2">
        <f ca="1">IFERROR(__xludf.DUMMYFUNCTION("""COMPUTED_VALUE"""),45645.6666666666)</f>
        <v>45645.666666666599</v>
      </c>
      <c r="B233" s="2" t="s">
        <v>55</v>
      </c>
      <c r="C233">
        <v>4090</v>
      </c>
      <c r="D233">
        <v>4110</v>
      </c>
      <c r="E233">
        <v>4050</v>
      </c>
      <c r="F233">
        <v>4090</v>
      </c>
      <c r="G233">
        <v>381986300</v>
      </c>
      <c r="H233" s="4">
        <f t="shared" si="6"/>
        <v>-1.4457831325301205E-2</v>
      </c>
      <c r="I233" s="4">
        <f t="shared" si="7"/>
        <v>-0.27929515418502204</v>
      </c>
    </row>
    <row r="234" spans="1:9" x14ac:dyDescent="0.2">
      <c r="A234" s="2">
        <f ca="1">IFERROR(__xludf.DUMMYFUNCTION("""COMPUTED_VALUE"""),45646.6666666666)</f>
        <v>45646.666666666599</v>
      </c>
      <c r="B234" s="2" t="s">
        <v>55</v>
      </c>
      <c r="C234">
        <v>4070</v>
      </c>
      <c r="D234">
        <v>4120</v>
      </c>
      <c r="E234">
        <v>4050</v>
      </c>
      <c r="F234">
        <v>4060</v>
      </c>
      <c r="G234">
        <v>252689600</v>
      </c>
      <c r="H234" s="4">
        <f t="shared" si="6"/>
        <v>-7.3349633251833741E-3</v>
      </c>
      <c r="I234" s="4">
        <f t="shared" si="7"/>
        <v>-0.28458149779735681</v>
      </c>
    </row>
    <row r="235" spans="1:9" x14ac:dyDescent="0.2">
      <c r="A235" s="2">
        <f ca="1">IFERROR(__xludf.DUMMYFUNCTION("""COMPUTED_VALUE"""),45649.6666666666)</f>
        <v>45649.666666666599</v>
      </c>
      <c r="B235" s="2" t="s">
        <v>55</v>
      </c>
      <c r="C235">
        <v>4130</v>
      </c>
      <c r="D235">
        <v>4210</v>
      </c>
      <c r="E235">
        <v>4110</v>
      </c>
      <c r="F235">
        <v>4210</v>
      </c>
      <c r="G235">
        <v>167689800</v>
      </c>
      <c r="H235" s="4">
        <f t="shared" si="6"/>
        <v>3.6945812807881777E-2</v>
      </c>
      <c r="I235" s="4">
        <f t="shared" si="7"/>
        <v>-0.25814977973568282</v>
      </c>
    </row>
    <row r="236" spans="1:9" x14ac:dyDescent="0.2">
      <c r="A236" s="2">
        <f ca="1">IFERROR(__xludf.DUMMYFUNCTION("""COMPUTED_VALUE"""),45650.6666666666)</f>
        <v>45650.666666666599</v>
      </c>
      <c r="B236" s="2" t="s">
        <v>55</v>
      </c>
      <c r="C236">
        <v>4220</v>
      </c>
      <c r="D236">
        <v>4250</v>
      </c>
      <c r="E236">
        <v>4170</v>
      </c>
      <c r="F236">
        <v>4200</v>
      </c>
      <c r="G236">
        <v>199536100</v>
      </c>
      <c r="H236" s="4">
        <f t="shared" si="6"/>
        <v>-2.3752969121140144E-3</v>
      </c>
      <c r="I236" s="4">
        <f t="shared" si="7"/>
        <v>-0.25991189427312777</v>
      </c>
    </row>
    <row r="237" spans="1:9" x14ac:dyDescent="0.2">
      <c r="A237" s="2">
        <f ca="1">IFERROR(__xludf.DUMMYFUNCTION("""COMPUTED_VALUE"""),45653.6666666666)</f>
        <v>45653.666666666599</v>
      </c>
      <c r="B237" s="2" t="s">
        <v>55</v>
      </c>
      <c r="C237">
        <v>4100</v>
      </c>
      <c r="D237">
        <v>4120</v>
      </c>
      <c r="E237">
        <v>4080</v>
      </c>
      <c r="F237">
        <v>4100</v>
      </c>
      <c r="G237">
        <v>143104400</v>
      </c>
      <c r="H237" s="4">
        <f t="shared" si="6"/>
        <v>-2.3809523809523808E-2</v>
      </c>
      <c r="I237" s="4">
        <f t="shared" si="7"/>
        <v>-0.27753303964757708</v>
      </c>
    </row>
    <row r="238" spans="1:9" x14ac:dyDescent="0.2">
      <c r="A238" s="2">
        <f ca="1">IFERROR(__xludf.DUMMYFUNCTION("""COMPUTED_VALUE"""),45656.6666666666)</f>
        <v>45656.666666666599</v>
      </c>
      <c r="B238" s="2" t="s">
        <v>55</v>
      </c>
      <c r="C238">
        <v>4080</v>
      </c>
      <c r="D238">
        <v>4120</v>
      </c>
      <c r="E238">
        <v>4070</v>
      </c>
      <c r="F238">
        <v>4080</v>
      </c>
      <c r="G238">
        <v>153934700</v>
      </c>
      <c r="H238" s="4">
        <f t="shared" si="6"/>
        <v>-4.8780487804878049E-3</v>
      </c>
      <c r="I238" s="4">
        <f t="shared" si="7"/>
        <v>-0.28105726872246695</v>
      </c>
    </row>
    <row r="239" spans="1:9" x14ac:dyDescent="0.2">
      <c r="A239" s="2">
        <f ca="1">IFERROR(__xludf.DUMMYFUNCTION("""COMPUTED_VALUE"""),45659.6666666666)</f>
        <v>45659.666666666599</v>
      </c>
      <c r="B239" s="2" t="s">
        <v>55</v>
      </c>
      <c r="C239">
        <v>4100</v>
      </c>
      <c r="D239">
        <v>4220</v>
      </c>
      <c r="E239">
        <v>4090</v>
      </c>
      <c r="F239">
        <v>4210</v>
      </c>
      <c r="G239">
        <v>181361700</v>
      </c>
      <c r="H239" s="4">
        <f>(F239-F238)/F238</f>
        <v>3.1862745098039214E-2</v>
      </c>
      <c r="I239" s="4">
        <f t="shared" si="7"/>
        <v>-0.25814977973568282</v>
      </c>
    </row>
    <row r="240" spans="1:9" x14ac:dyDescent="0.2">
      <c r="A240" s="2">
        <f ca="1">IFERROR(__xludf.DUMMYFUNCTION("""COMPUTED_VALUE"""),45660.6666666666)</f>
        <v>45660.666666666599</v>
      </c>
      <c r="B240" s="2" t="s">
        <v>55</v>
      </c>
      <c r="C240">
        <v>4220</v>
      </c>
      <c r="D240">
        <v>4240</v>
      </c>
      <c r="E240">
        <v>4150</v>
      </c>
      <c r="F240">
        <v>4150</v>
      </c>
      <c r="G240">
        <v>134632300</v>
      </c>
      <c r="H240" s="4">
        <f t="shared" si="6"/>
        <v>-1.4251781472684086E-2</v>
      </c>
      <c r="I240" s="4">
        <f t="shared" si="7"/>
        <v>-0.2687224669603524</v>
      </c>
    </row>
    <row r="241" spans="1:9" x14ac:dyDescent="0.2">
      <c r="A241" s="2">
        <f ca="1">IFERROR(__xludf.DUMMYFUNCTION("""COMPUTED_VALUE"""),45663.6666666666)</f>
        <v>45663.666666666599</v>
      </c>
      <c r="B241" s="2" t="s">
        <v>55</v>
      </c>
      <c r="C241">
        <v>4180</v>
      </c>
      <c r="D241">
        <v>4180</v>
      </c>
      <c r="E241">
        <v>4100</v>
      </c>
      <c r="F241">
        <v>4100</v>
      </c>
      <c r="G241">
        <v>153048700</v>
      </c>
      <c r="H241" s="4">
        <f t="shared" si="6"/>
        <v>-1.2048192771084338E-2</v>
      </c>
      <c r="I241" s="4">
        <f t="shared" si="7"/>
        <v>-0.27753303964757708</v>
      </c>
    </row>
    <row r="242" spans="1:9" x14ac:dyDescent="0.2">
      <c r="A242" s="2">
        <f ca="1">IFERROR(__xludf.DUMMYFUNCTION("""COMPUTED_VALUE"""),45664.6666666666)</f>
        <v>45664.666666666599</v>
      </c>
      <c r="B242" s="2" t="s">
        <v>55</v>
      </c>
      <c r="C242">
        <v>4080</v>
      </c>
      <c r="D242">
        <v>4090</v>
      </c>
      <c r="E242">
        <v>4030</v>
      </c>
      <c r="F242">
        <v>4030</v>
      </c>
      <c r="G242">
        <v>171997400</v>
      </c>
      <c r="H242" s="4">
        <f t="shared" si="6"/>
        <v>-1.7073170731707318E-2</v>
      </c>
      <c r="I242" s="4">
        <f t="shared" si="7"/>
        <v>-0.28986784140969163</v>
      </c>
    </row>
    <row r="243" spans="1:9" x14ac:dyDescent="0.2">
      <c r="A243" s="2">
        <f ca="1">IFERROR(__xludf.DUMMYFUNCTION("""COMPUTED_VALUE"""),45665.6666666666)</f>
        <v>45665.666666666599</v>
      </c>
      <c r="B243" s="2" t="s">
        <v>55</v>
      </c>
      <c r="C243">
        <v>4030</v>
      </c>
      <c r="D243">
        <v>4100</v>
      </c>
      <c r="E243">
        <v>4030</v>
      </c>
      <c r="F243">
        <v>4080</v>
      </c>
      <c r="G243">
        <v>133655700</v>
      </c>
      <c r="H243" s="4">
        <f t="shared" si="6"/>
        <v>1.2406947890818859E-2</v>
      </c>
      <c r="I243" s="4">
        <f t="shared" si="7"/>
        <v>-0.28105726872246695</v>
      </c>
    </row>
    <row r="244" spans="1:9" x14ac:dyDescent="0.2">
      <c r="A244" s="2">
        <f ca="1">IFERROR(__xludf.DUMMYFUNCTION("""COMPUTED_VALUE"""),45666.6666666666)</f>
        <v>45666.666666666599</v>
      </c>
      <c r="B244" s="2" t="s">
        <v>55</v>
      </c>
      <c r="C244">
        <v>4070</v>
      </c>
      <c r="D244">
        <v>4100</v>
      </c>
      <c r="E244">
        <v>4030</v>
      </c>
      <c r="F244">
        <v>4030</v>
      </c>
      <c r="G244">
        <v>99300400</v>
      </c>
      <c r="H244" s="4">
        <f t="shared" si="6"/>
        <v>-1.2254901960784314E-2</v>
      </c>
      <c r="I244" s="4">
        <f t="shared" si="7"/>
        <v>-0.28986784140969163</v>
      </c>
    </row>
    <row r="245" spans="1:9" x14ac:dyDescent="0.2">
      <c r="A245" s="2">
        <f ca="1">IFERROR(__xludf.DUMMYFUNCTION("""COMPUTED_VALUE"""),45667.6666666666)</f>
        <v>45667.666666666599</v>
      </c>
      <c r="B245" s="2" t="s">
        <v>55</v>
      </c>
      <c r="C245">
        <v>4030</v>
      </c>
      <c r="D245">
        <v>4060</v>
      </c>
      <c r="E245">
        <v>4010</v>
      </c>
      <c r="F245">
        <v>4010</v>
      </c>
      <c r="G245">
        <v>132774300</v>
      </c>
      <c r="H245" s="4">
        <f t="shared" si="6"/>
        <v>-4.9627791563275434E-3</v>
      </c>
      <c r="I245" s="4">
        <f t="shared" si="7"/>
        <v>-0.29339207048458149</v>
      </c>
    </row>
    <row r="246" spans="1:9" x14ac:dyDescent="0.2">
      <c r="A246" s="2">
        <f ca="1">IFERROR(__xludf.DUMMYFUNCTION("""COMPUTED_VALUE"""),45670.6666666666)</f>
        <v>45670.666666666599</v>
      </c>
      <c r="B246" s="2" t="s">
        <v>55</v>
      </c>
      <c r="C246">
        <v>3990</v>
      </c>
      <c r="D246">
        <v>3990</v>
      </c>
      <c r="E246">
        <v>3850</v>
      </c>
      <c r="F246">
        <v>3850</v>
      </c>
      <c r="G246">
        <v>413408100</v>
      </c>
      <c r="H246" s="4">
        <f t="shared" si="6"/>
        <v>-3.9900249376558602E-2</v>
      </c>
      <c r="I246" s="4">
        <f t="shared" si="7"/>
        <v>-0.32158590308370044</v>
      </c>
    </row>
    <row r="247" spans="1:9" x14ac:dyDescent="0.2">
      <c r="A247" s="2">
        <f ca="1">IFERROR(__xludf.DUMMYFUNCTION("""COMPUTED_VALUE"""),45671.6666666666)</f>
        <v>45671.666666666599</v>
      </c>
      <c r="B247" s="2" t="s">
        <v>55</v>
      </c>
      <c r="C247">
        <v>3820</v>
      </c>
      <c r="D247">
        <v>3920</v>
      </c>
      <c r="E247">
        <v>3800</v>
      </c>
      <c r="F247">
        <v>3800</v>
      </c>
      <c r="G247">
        <v>293621700</v>
      </c>
      <c r="H247" s="4">
        <f t="shared" si="6"/>
        <v>-1.2987012987012988E-2</v>
      </c>
      <c r="I247" s="4">
        <f t="shared" si="7"/>
        <v>-0.33039647577092512</v>
      </c>
    </row>
    <row r="248" spans="1:9" x14ac:dyDescent="0.2">
      <c r="A248" s="2">
        <f ca="1">IFERROR(__xludf.DUMMYFUNCTION("""COMPUTED_VALUE"""),45672.6666666666)</f>
        <v>45672.666666666599</v>
      </c>
      <c r="B248" s="2" t="s">
        <v>55</v>
      </c>
      <c r="C248">
        <v>3840</v>
      </c>
      <c r="D248">
        <v>4090</v>
      </c>
      <c r="E248">
        <v>3840</v>
      </c>
      <c r="F248">
        <v>4090</v>
      </c>
      <c r="G248">
        <v>407813500</v>
      </c>
      <c r="H248" s="4">
        <f t="shared" si="6"/>
        <v>7.6315789473684212E-2</v>
      </c>
      <c r="I248" s="4">
        <f t="shared" si="7"/>
        <v>-0.27929515418502204</v>
      </c>
    </row>
    <row r="249" spans="1:9" x14ac:dyDescent="0.2">
      <c r="A249" s="2">
        <f ca="1">IFERROR(__xludf.DUMMYFUNCTION("""COMPUTED_VALUE"""),45673.6666666666)</f>
        <v>45673.666666666599</v>
      </c>
      <c r="B249" s="2" t="s">
        <v>55</v>
      </c>
      <c r="C249">
        <v>4210</v>
      </c>
      <c r="D249">
        <v>4240</v>
      </c>
      <c r="E249">
        <v>4130</v>
      </c>
      <c r="F249">
        <v>4160</v>
      </c>
      <c r="G249">
        <v>349387500</v>
      </c>
      <c r="H249" s="4">
        <f t="shared" si="6"/>
        <v>1.7114914425427872E-2</v>
      </c>
      <c r="I249" s="4">
        <f t="shared" si="7"/>
        <v>-0.2669603524229075</v>
      </c>
    </row>
    <row r="250" spans="1:9" x14ac:dyDescent="0.2">
      <c r="A250" s="2">
        <f ca="1">IFERROR(__xludf.DUMMYFUNCTION("""COMPUTED_VALUE"""),45674.6666666666)</f>
        <v>45674.666666666599</v>
      </c>
      <c r="B250" s="2" t="s">
        <v>55</v>
      </c>
      <c r="C250">
        <v>4150</v>
      </c>
      <c r="D250">
        <v>4190</v>
      </c>
      <c r="E250">
        <v>4080</v>
      </c>
      <c r="F250">
        <v>4090</v>
      </c>
      <c r="G250">
        <v>268758600</v>
      </c>
      <c r="H250" s="4">
        <f t="shared" si="6"/>
        <v>-1.6826923076923076E-2</v>
      </c>
      <c r="I250" s="4">
        <f t="shared" si="7"/>
        <v>-0.27929515418502204</v>
      </c>
    </row>
    <row r="251" spans="1:9" x14ac:dyDescent="0.2">
      <c r="A251" s="2">
        <f ca="1">IFERROR(__xludf.DUMMYFUNCTION("""COMPUTED_VALUE"""),45677.6666666666)</f>
        <v>45677.666666666599</v>
      </c>
      <c r="B251" s="2" t="s">
        <v>55</v>
      </c>
      <c r="C251">
        <v>4130</v>
      </c>
      <c r="D251">
        <v>4220</v>
      </c>
      <c r="E251">
        <v>4130</v>
      </c>
      <c r="F251">
        <v>4220</v>
      </c>
      <c r="G251">
        <v>167348600</v>
      </c>
      <c r="H251" s="4">
        <f t="shared" si="6"/>
        <v>3.1784841075794622E-2</v>
      </c>
      <c r="I251" s="4">
        <f t="shared" si="7"/>
        <v>-0.25638766519823791</v>
      </c>
    </row>
    <row r="252" spans="1:9" x14ac:dyDescent="0.2">
      <c r="A252" s="2">
        <f ca="1">IFERROR(__xludf.DUMMYFUNCTION("""COMPUTED_VALUE"""),45678.6666666666)</f>
        <v>45678.666666666599</v>
      </c>
      <c r="B252" s="2" t="s">
        <v>55</v>
      </c>
      <c r="C252">
        <v>4270</v>
      </c>
      <c r="D252">
        <v>4380</v>
      </c>
      <c r="E252">
        <v>4250</v>
      </c>
      <c r="F252">
        <v>4260</v>
      </c>
      <c r="G252">
        <v>345223800</v>
      </c>
      <c r="H252" s="4">
        <f t="shared" si="6"/>
        <v>9.4786729857819912E-3</v>
      </c>
      <c r="I252" s="4">
        <f t="shared" si="7"/>
        <v>-0.24933920704845816</v>
      </c>
    </row>
    <row r="253" spans="1:9" x14ac:dyDescent="0.2">
      <c r="A253" s="2">
        <f ca="1">IFERROR(__xludf.DUMMYFUNCTION("""COMPUTED_VALUE"""),45679.6666666666)</f>
        <v>45679.666666666599</v>
      </c>
      <c r="B253" s="2" t="s">
        <v>55</v>
      </c>
      <c r="C253">
        <v>4310</v>
      </c>
      <c r="D253">
        <v>4320</v>
      </c>
      <c r="E253">
        <v>4230</v>
      </c>
      <c r="F253">
        <v>4260</v>
      </c>
      <c r="G253">
        <v>193218900</v>
      </c>
      <c r="H253" s="4">
        <f t="shared" si="6"/>
        <v>0</v>
      </c>
      <c r="I253" s="4">
        <f t="shared" si="7"/>
        <v>-0.24933920704845816</v>
      </c>
    </row>
    <row r="254" spans="1:9" x14ac:dyDescent="0.2">
      <c r="A254" s="2">
        <f ca="1">IFERROR(__xludf.DUMMYFUNCTION("""COMPUTED_VALUE"""),45680.6666666666)</f>
        <v>45680.666666666599</v>
      </c>
      <c r="B254" s="2" t="s">
        <v>55</v>
      </c>
      <c r="C254">
        <v>4260</v>
      </c>
      <c r="D254">
        <v>4340</v>
      </c>
      <c r="E254">
        <v>4260</v>
      </c>
      <c r="F254">
        <v>4300</v>
      </c>
      <c r="G254">
        <v>216018100</v>
      </c>
      <c r="H254" s="4">
        <f t="shared" si="6"/>
        <v>9.3896713615023476E-3</v>
      </c>
      <c r="I254" s="4">
        <f t="shared" si="7"/>
        <v>-0.24229074889867841</v>
      </c>
    </row>
    <row r="255" spans="1:9" x14ac:dyDescent="0.2">
      <c r="A255" s="2">
        <f ca="1">IFERROR(__xludf.DUMMYFUNCTION("""COMPUTED_VALUE"""),45681.6666666666)</f>
        <v>45681.666666666599</v>
      </c>
      <c r="B255" s="2" t="s">
        <v>55</v>
      </c>
      <c r="C255">
        <v>4350</v>
      </c>
      <c r="D255">
        <v>4350</v>
      </c>
      <c r="E255">
        <v>4190</v>
      </c>
      <c r="F255">
        <v>4190</v>
      </c>
      <c r="G255">
        <v>276421900</v>
      </c>
      <c r="H255" s="4">
        <f t="shared" si="6"/>
        <v>-2.5581395348837209E-2</v>
      </c>
      <c r="I255" s="4">
        <f t="shared" si="7"/>
        <v>-0.26167400881057268</v>
      </c>
    </row>
    <row r="256" spans="1:9" x14ac:dyDescent="0.2">
      <c r="A256" s="2">
        <f ca="1">IFERROR(__xludf.DUMMYFUNCTION("""COMPUTED_VALUE"""),45687.6666666666)</f>
        <v>45687.666666666599</v>
      </c>
      <c r="B256" s="2" t="s">
        <v>55</v>
      </c>
      <c r="C256">
        <v>4130</v>
      </c>
      <c r="D256">
        <v>4170</v>
      </c>
      <c r="E256">
        <v>4090</v>
      </c>
      <c r="F256">
        <v>4120</v>
      </c>
      <c r="G256">
        <v>220222400</v>
      </c>
      <c r="H256" s="4">
        <f t="shared" si="6"/>
        <v>-1.6706443914081145E-2</v>
      </c>
      <c r="I256" s="4">
        <f t="shared" si="7"/>
        <v>-0.27400881057268722</v>
      </c>
    </row>
    <row r="257" spans="1:9" x14ac:dyDescent="0.2">
      <c r="A257" s="2">
        <f ca="1">IFERROR(__xludf.DUMMYFUNCTION("""COMPUTED_VALUE"""),45688.6666666666)</f>
        <v>45688.666666666599</v>
      </c>
      <c r="B257" s="2" t="s">
        <v>55</v>
      </c>
      <c r="C257">
        <v>4170</v>
      </c>
      <c r="D257">
        <v>4280</v>
      </c>
      <c r="E257">
        <v>4150</v>
      </c>
      <c r="F257">
        <v>4220</v>
      </c>
      <c r="G257">
        <v>192622700</v>
      </c>
      <c r="H257" s="4">
        <f t="shared" si="6"/>
        <v>2.4271844660194174E-2</v>
      </c>
      <c r="I257" s="4">
        <f t="shared" si="7"/>
        <v>-0.25638766519823791</v>
      </c>
    </row>
    <row r="258" spans="1:9" x14ac:dyDescent="0.2">
      <c r="A258" s="2">
        <f ca="1">IFERROR(__xludf.DUMMYFUNCTION("""COMPUTED_VALUE"""),45691.6666666666)</f>
        <v>45691.666666666599</v>
      </c>
      <c r="B258" s="2" t="s">
        <v>55</v>
      </c>
      <c r="C258">
        <v>4200</v>
      </c>
      <c r="D258">
        <v>4270</v>
      </c>
      <c r="E258">
        <v>4150</v>
      </c>
      <c r="F258">
        <v>4250</v>
      </c>
      <c r="G258">
        <v>220285800</v>
      </c>
      <c r="H258" s="4">
        <f t="shared" si="6"/>
        <v>7.1090047393364926E-3</v>
      </c>
      <c r="I258" s="4">
        <f t="shared" si="7"/>
        <v>-0.25110132158590309</v>
      </c>
    </row>
    <row r="259" spans="1:9" x14ac:dyDescent="0.2">
      <c r="A259" s="2">
        <f ca="1">IFERROR(__xludf.DUMMYFUNCTION("""COMPUTED_VALUE"""),45692.6666666666)</f>
        <v>45692.666666666599</v>
      </c>
      <c r="B259" s="2" t="s">
        <v>55</v>
      </c>
      <c r="C259">
        <v>4260</v>
      </c>
      <c r="D259">
        <v>4300</v>
      </c>
      <c r="E259">
        <v>4200</v>
      </c>
      <c r="F259">
        <v>4260</v>
      </c>
      <c r="G259">
        <v>231917500</v>
      </c>
      <c r="H259" s="4">
        <f t="shared" si="6"/>
        <v>2.352941176470588E-3</v>
      </c>
      <c r="I259" s="4">
        <f t="shared" si="7"/>
        <v>-0.24933920704845816</v>
      </c>
    </row>
    <row r="260" spans="1:9" x14ac:dyDescent="0.2">
      <c r="A260" s="2">
        <f ca="1">IFERROR(__xludf.DUMMYFUNCTION("""COMPUTED_VALUE"""),45693.6666666666)</f>
        <v>45693.666666666599</v>
      </c>
      <c r="B260" s="2" t="s">
        <v>55</v>
      </c>
      <c r="C260">
        <v>4250</v>
      </c>
      <c r="D260">
        <v>4250</v>
      </c>
      <c r="E260">
        <v>4140</v>
      </c>
      <c r="F260">
        <v>4140</v>
      </c>
      <c r="G260">
        <v>209834400</v>
      </c>
      <c r="H260" s="4">
        <f t="shared" ref="H260:H323" si="8">(F260-F259)/F259</f>
        <v>-2.8169014084507043E-2</v>
      </c>
      <c r="I260" s="4">
        <f t="shared" ref="I260:I323" si="9">(F260-$F$2)/$F$2</f>
        <v>-0.27048458149779736</v>
      </c>
    </row>
    <row r="261" spans="1:9" x14ac:dyDescent="0.2">
      <c r="A261" s="2">
        <f ca="1">IFERROR(__xludf.DUMMYFUNCTION("""COMPUTED_VALUE"""),45694.6666666666)</f>
        <v>45694.666666666599</v>
      </c>
      <c r="B261" s="2" t="s">
        <v>55</v>
      </c>
      <c r="C261">
        <v>4120</v>
      </c>
      <c r="D261">
        <v>4160</v>
      </c>
      <c r="E261">
        <v>3940</v>
      </c>
      <c r="F261">
        <v>3970</v>
      </c>
      <c r="G261">
        <v>378545500</v>
      </c>
      <c r="H261" s="4">
        <f t="shared" si="8"/>
        <v>-4.1062801932367152E-2</v>
      </c>
      <c r="I261" s="4">
        <f t="shared" si="9"/>
        <v>-0.30044052863436121</v>
      </c>
    </row>
    <row r="262" spans="1:9" x14ac:dyDescent="0.2">
      <c r="A262" s="2">
        <f ca="1">IFERROR(__xludf.DUMMYFUNCTION("""COMPUTED_VALUE"""),45695.6666666666)</f>
        <v>45695.666666666599</v>
      </c>
      <c r="B262" s="2" t="s">
        <v>55</v>
      </c>
      <c r="C262">
        <v>3970</v>
      </c>
      <c r="D262">
        <v>4030</v>
      </c>
      <c r="E262">
        <v>3940</v>
      </c>
      <c r="F262">
        <v>4030</v>
      </c>
      <c r="G262">
        <v>259636200</v>
      </c>
      <c r="H262" s="4">
        <f t="shared" si="8"/>
        <v>1.5113350125944584E-2</v>
      </c>
      <c r="I262" s="4">
        <f t="shared" si="9"/>
        <v>-0.28986784140969163</v>
      </c>
    </row>
    <row r="263" spans="1:9" x14ac:dyDescent="0.2">
      <c r="A263" s="2">
        <f ca="1">IFERROR(__xludf.DUMMYFUNCTION("""COMPUTED_VALUE"""),45698.6666666666)</f>
        <v>45698.666666666599</v>
      </c>
      <c r="B263" s="2" t="s">
        <v>55</v>
      </c>
      <c r="C263">
        <v>4000</v>
      </c>
      <c r="D263">
        <v>4050</v>
      </c>
      <c r="E263">
        <v>3950</v>
      </c>
      <c r="F263">
        <v>3970</v>
      </c>
      <c r="G263">
        <v>201999400</v>
      </c>
      <c r="H263" s="4">
        <f t="shared" si="8"/>
        <v>-1.488833746898263E-2</v>
      </c>
      <c r="I263" s="4">
        <f t="shared" si="9"/>
        <v>-0.30044052863436121</v>
      </c>
    </row>
    <row r="264" spans="1:9" x14ac:dyDescent="0.2">
      <c r="A264" s="2">
        <f ca="1">IFERROR(__xludf.DUMMYFUNCTION("""COMPUTED_VALUE"""),45699.6666666666)</f>
        <v>45699.666666666599</v>
      </c>
      <c r="B264" s="2" t="s">
        <v>55</v>
      </c>
      <c r="C264">
        <v>3970</v>
      </c>
      <c r="D264">
        <v>4040</v>
      </c>
      <c r="E264">
        <v>3900</v>
      </c>
      <c r="F264">
        <v>4010</v>
      </c>
      <c r="G264">
        <v>276382800</v>
      </c>
      <c r="H264" s="4">
        <f t="shared" si="8"/>
        <v>1.0075566750629723E-2</v>
      </c>
      <c r="I264" s="4">
        <f t="shared" si="9"/>
        <v>-0.29339207048458149</v>
      </c>
    </row>
    <row r="265" spans="1:9" x14ac:dyDescent="0.2">
      <c r="A265" s="2">
        <f ca="1">IFERROR(__xludf.DUMMYFUNCTION("""COMPUTED_VALUE"""),45700.6666666666)</f>
        <v>45700.666666666599</v>
      </c>
      <c r="B265" s="2" t="s">
        <v>55</v>
      </c>
      <c r="C265">
        <v>3960</v>
      </c>
      <c r="D265">
        <v>4060</v>
      </c>
      <c r="E265">
        <v>3950</v>
      </c>
      <c r="F265">
        <v>4030</v>
      </c>
      <c r="G265">
        <v>362571900</v>
      </c>
      <c r="H265" s="4">
        <f t="shared" si="8"/>
        <v>4.9875311720698253E-3</v>
      </c>
      <c r="I265" s="4">
        <f t="shared" si="9"/>
        <v>-0.28986784140969163</v>
      </c>
    </row>
    <row r="266" spans="1:9" x14ac:dyDescent="0.2">
      <c r="A266" s="2">
        <f ca="1">IFERROR(__xludf.DUMMYFUNCTION("""COMPUTED_VALUE"""),45701.6666666666)</f>
        <v>45701.666666666599</v>
      </c>
      <c r="B266" s="2" t="s">
        <v>55</v>
      </c>
      <c r="C266">
        <v>4000</v>
      </c>
      <c r="D266">
        <v>4030</v>
      </c>
      <c r="E266">
        <v>3960</v>
      </c>
      <c r="F266">
        <v>3990</v>
      </c>
      <c r="G266">
        <v>341640600</v>
      </c>
      <c r="H266" s="4">
        <f t="shared" si="8"/>
        <v>-9.9255583126550868E-3</v>
      </c>
      <c r="I266" s="4">
        <f t="shared" si="9"/>
        <v>-0.29691629955947135</v>
      </c>
    </row>
    <row r="267" spans="1:9" x14ac:dyDescent="0.2">
      <c r="A267" s="2">
        <f ca="1">IFERROR(__xludf.DUMMYFUNCTION("""COMPUTED_VALUE"""),45702.6666666666)</f>
        <v>45702.666666666599</v>
      </c>
      <c r="B267" s="2" t="s">
        <v>55</v>
      </c>
      <c r="C267">
        <v>4000</v>
      </c>
      <c r="D267">
        <v>4010</v>
      </c>
      <c r="E267">
        <v>3850</v>
      </c>
      <c r="F267">
        <v>3860</v>
      </c>
      <c r="G267">
        <v>524909600</v>
      </c>
      <c r="H267" s="4">
        <f t="shared" si="8"/>
        <v>-3.2581453634085211E-2</v>
      </c>
      <c r="I267" s="4">
        <f t="shared" si="9"/>
        <v>-0.31982378854625548</v>
      </c>
    </row>
    <row r="268" spans="1:9" x14ac:dyDescent="0.2">
      <c r="A268" s="2">
        <f ca="1">IFERROR(__xludf.DUMMYFUNCTION("""COMPUTED_VALUE"""),45705.6666666666)</f>
        <v>45705.666666666599</v>
      </c>
      <c r="B268" s="2" t="s">
        <v>55</v>
      </c>
      <c r="C268">
        <v>3870</v>
      </c>
      <c r="D268">
        <v>4030</v>
      </c>
      <c r="E268">
        <v>3870</v>
      </c>
      <c r="F268">
        <v>4030</v>
      </c>
      <c r="G268">
        <v>265737100</v>
      </c>
      <c r="H268" s="4">
        <f t="shared" si="8"/>
        <v>4.4041450777202069E-2</v>
      </c>
      <c r="I268" s="4">
        <f t="shared" si="9"/>
        <v>-0.28986784140969163</v>
      </c>
    </row>
    <row r="269" spans="1:9" x14ac:dyDescent="0.2">
      <c r="A269" s="2">
        <f ca="1">IFERROR(__xludf.DUMMYFUNCTION("""COMPUTED_VALUE"""),45706.6666666666)</f>
        <v>45706.666666666599</v>
      </c>
      <c r="B269" s="2" t="s">
        <v>55</v>
      </c>
      <c r="C269">
        <v>4030</v>
      </c>
      <c r="D269">
        <v>4180</v>
      </c>
      <c r="E269">
        <v>4030</v>
      </c>
      <c r="F269">
        <v>4150</v>
      </c>
      <c r="G269">
        <v>374350700</v>
      </c>
      <c r="H269" s="4">
        <f t="shared" si="8"/>
        <v>2.9776674937965261E-2</v>
      </c>
      <c r="I269" s="4">
        <f t="shared" si="9"/>
        <v>-0.2687224669603524</v>
      </c>
    </row>
    <row r="270" spans="1:9" x14ac:dyDescent="0.2">
      <c r="A270" s="2">
        <f ca="1">IFERROR(__xludf.DUMMYFUNCTION("""COMPUTED_VALUE"""),45707.6666666666)</f>
        <v>45707.666666666599</v>
      </c>
      <c r="B270" s="2" t="s">
        <v>55</v>
      </c>
      <c r="C270">
        <v>4160</v>
      </c>
      <c r="D270">
        <v>4180</v>
      </c>
      <c r="E270">
        <v>4010</v>
      </c>
      <c r="F270">
        <v>4020</v>
      </c>
      <c r="G270">
        <v>346072800</v>
      </c>
      <c r="H270" s="4">
        <f t="shared" si="8"/>
        <v>-3.1325301204819279E-2</v>
      </c>
      <c r="I270" s="4">
        <f t="shared" si="9"/>
        <v>-0.29162995594713659</v>
      </c>
    </row>
    <row r="271" spans="1:9" x14ac:dyDescent="0.2">
      <c r="A271" s="2">
        <f ca="1">IFERROR(__xludf.DUMMYFUNCTION("""COMPUTED_VALUE"""),45708.6666666666)</f>
        <v>45708.666666666599</v>
      </c>
      <c r="B271" s="2" t="s">
        <v>55</v>
      </c>
      <c r="C271">
        <v>3970</v>
      </c>
      <c r="D271">
        <v>4020</v>
      </c>
      <c r="E271">
        <v>3910</v>
      </c>
      <c r="F271">
        <v>3910</v>
      </c>
      <c r="G271">
        <v>312753300</v>
      </c>
      <c r="H271" s="4">
        <f t="shared" si="8"/>
        <v>-2.736318407960199E-2</v>
      </c>
      <c r="I271" s="4">
        <f t="shared" si="9"/>
        <v>-0.31101321585903086</v>
      </c>
    </row>
    <row r="272" spans="1:9" x14ac:dyDescent="0.2">
      <c r="A272" s="2">
        <f ca="1">IFERROR(__xludf.DUMMYFUNCTION("""COMPUTED_VALUE"""),45709.6666666666)</f>
        <v>45709.666666666599</v>
      </c>
      <c r="B272" s="2" t="s">
        <v>55</v>
      </c>
      <c r="C272">
        <v>3910</v>
      </c>
      <c r="D272">
        <v>3930</v>
      </c>
      <c r="E272">
        <v>3870</v>
      </c>
      <c r="F272">
        <v>3890</v>
      </c>
      <c r="G272">
        <v>205268800</v>
      </c>
      <c r="H272" s="4">
        <f t="shared" si="8"/>
        <v>-5.1150895140664966E-3</v>
      </c>
      <c r="I272" s="4">
        <f t="shared" si="9"/>
        <v>-0.31453744493392072</v>
      </c>
    </row>
    <row r="273" spans="1:9" x14ac:dyDescent="0.2">
      <c r="A273" s="2">
        <f ca="1">IFERROR(__xludf.DUMMYFUNCTION("""COMPUTED_VALUE"""),45712.6666666666)</f>
        <v>45712.666666666599</v>
      </c>
      <c r="B273" s="2" t="s">
        <v>55</v>
      </c>
      <c r="C273">
        <v>3900</v>
      </c>
      <c r="D273">
        <v>3940</v>
      </c>
      <c r="E273">
        <v>3870</v>
      </c>
      <c r="F273">
        <v>3920</v>
      </c>
      <c r="G273">
        <v>138610800</v>
      </c>
      <c r="H273" s="4">
        <f t="shared" si="8"/>
        <v>7.7120822622107968E-3</v>
      </c>
      <c r="I273" s="4">
        <f t="shared" si="9"/>
        <v>-0.3092511013215859</v>
      </c>
    </row>
    <row r="274" spans="1:9" x14ac:dyDescent="0.2">
      <c r="A274" s="2">
        <f ca="1">IFERROR(__xludf.DUMMYFUNCTION("""COMPUTED_VALUE"""),45713.6666666666)</f>
        <v>45713.666666666599</v>
      </c>
      <c r="B274" s="2" t="s">
        <v>55</v>
      </c>
      <c r="C274">
        <v>3880</v>
      </c>
      <c r="D274">
        <v>3920</v>
      </c>
      <c r="E274">
        <v>3800</v>
      </c>
      <c r="F274">
        <v>3800</v>
      </c>
      <c r="G274">
        <v>404555100</v>
      </c>
      <c r="H274" s="4">
        <f t="shared" si="8"/>
        <v>-3.0612244897959183E-2</v>
      </c>
      <c r="I274" s="4">
        <f t="shared" si="9"/>
        <v>-0.33039647577092512</v>
      </c>
    </row>
    <row r="275" spans="1:9" x14ac:dyDescent="0.2">
      <c r="A275" s="2">
        <f ca="1">IFERROR(__xludf.DUMMYFUNCTION("""COMPUTED_VALUE"""),45714.6666666666)</f>
        <v>45714.666666666599</v>
      </c>
      <c r="B275" s="2" t="s">
        <v>55</v>
      </c>
      <c r="C275">
        <v>3800</v>
      </c>
      <c r="D275">
        <v>3860</v>
      </c>
      <c r="E275">
        <v>3760</v>
      </c>
      <c r="F275">
        <v>3820</v>
      </c>
      <c r="G275">
        <v>242834100</v>
      </c>
      <c r="H275" s="4">
        <f t="shared" si="8"/>
        <v>5.263157894736842E-3</v>
      </c>
      <c r="I275" s="4">
        <f t="shared" si="9"/>
        <v>-0.32687224669603526</v>
      </c>
    </row>
    <row r="276" spans="1:9" x14ac:dyDescent="0.2">
      <c r="A276" s="2">
        <f ca="1">IFERROR(__xludf.DUMMYFUNCTION("""COMPUTED_VALUE"""),45715.6666666666)</f>
        <v>45715.666666666599</v>
      </c>
      <c r="B276" s="2" t="s">
        <v>55</v>
      </c>
      <c r="C276">
        <v>3790</v>
      </c>
      <c r="D276">
        <v>3800</v>
      </c>
      <c r="E276">
        <v>3610</v>
      </c>
      <c r="F276">
        <v>3630</v>
      </c>
      <c r="G276">
        <v>410928000</v>
      </c>
      <c r="H276" s="4">
        <f t="shared" si="8"/>
        <v>-4.9738219895287955E-2</v>
      </c>
      <c r="I276" s="4">
        <f t="shared" si="9"/>
        <v>-0.36035242290748898</v>
      </c>
    </row>
    <row r="277" spans="1:9" x14ac:dyDescent="0.2">
      <c r="A277" s="2">
        <f ca="1">IFERROR(__xludf.DUMMYFUNCTION("""COMPUTED_VALUE"""),45716.6666666666)</f>
        <v>45716.666666666599</v>
      </c>
      <c r="B277" s="2" t="s">
        <v>55</v>
      </c>
      <c r="C277">
        <v>3500</v>
      </c>
      <c r="D277">
        <v>3540</v>
      </c>
      <c r="E277">
        <v>3360</v>
      </c>
      <c r="F277">
        <v>3360</v>
      </c>
      <c r="G277">
        <v>1000597600</v>
      </c>
      <c r="H277" s="4">
        <f t="shared" si="8"/>
        <v>-7.43801652892562E-2</v>
      </c>
      <c r="I277" s="4">
        <f t="shared" si="9"/>
        <v>-0.4079295154185022</v>
      </c>
    </row>
    <row r="278" spans="1:9" x14ac:dyDescent="0.2">
      <c r="A278" s="2">
        <f ca="1">IFERROR(__xludf.DUMMYFUNCTION("""COMPUTED_VALUE"""),45719.6666666666)</f>
        <v>45719.666666666599</v>
      </c>
      <c r="B278" s="2" t="s">
        <v>55</v>
      </c>
      <c r="C278">
        <v>3520</v>
      </c>
      <c r="D278">
        <v>3740</v>
      </c>
      <c r="E278">
        <v>3470</v>
      </c>
      <c r="F278">
        <v>3670</v>
      </c>
      <c r="G278">
        <v>744626800</v>
      </c>
      <c r="H278" s="4">
        <f t="shared" si="8"/>
        <v>9.2261904761904767E-2</v>
      </c>
      <c r="I278" s="4">
        <f t="shared" si="9"/>
        <v>-0.35330396475770925</v>
      </c>
    </row>
    <row r="279" spans="1:9" x14ac:dyDescent="0.2">
      <c r="A279" s="2">
        <f ca="1">IFERROR(__xludf.DUMMYFUNCTION("""COMPUTED_VALUE"""),45720.6666666666)</f>
        <v>45720.666666666599</v>
      </c>
      <c r="B279" s="2" t="s">
        <v>55</v>
      </c>
      <c r="C279">
        <v>3680</v>
      </c>
      <c r="D279">
        <v>3720</v>
      </c>
      <c r="E279">
        <v>3600</v>
      </c>
      <c r="F279">
        <v>3670</v>
      </c>
      <c r="G279">
        <v>338434700</v>
      </c>
      <c r="H279" s="4">
        <f t="shared" si="8"/>
        <v>0</v>
      </c>
      <c r="I279" s="4">
        <f t="shared" si="9"/>
        <v>-0.35330396475770925</v>
      </c>
    </row>
    <row r="280" spans="1:9" x14ac:dyDescent="0.2">
      <c r="A280" s="2">
        <f ca="1">IFERROR(__xludf.DUMMYFUNCTION("""COMPUTED_VALUE"""),45721.6666666666)</f>
        <v>45721.666666666599</v>
      </c>
      <c r="B280" s="2" t="s">
        <v>55</v>
      </c>
      <c r="C280">
        <v>3710</v>
      </c>
      <c r="D280">
        <v>3900</v>
      </c>
      <c r="E280">
        <v>3710</v>
      </c>
      <c r="F280">
        <v>3840</v>
      </c>
      <c r="G280">
        <v>441151000</v>
      </c>
      <c r="H280" s="4">
        <f t="shared" si="8"/>
        <v>4.632152588555858E-2</v>
      </c>
      <c r="I280" s="4">
        <f t="shared" si="9"/>
        <v>-0.3233480176211454</v>
      </c>
    </row>
    <row r="281" spans="1:9" x14ac:dyDescent="0.2">
      <c r="A281" s="2">
        <f ca="1">IFERROR(__xludf.DUMMYFUNCTION("""COMPUTED_VALUE"""),45722.6666666666)</f>
        <v>45722.666666666599</v>
      </c>
      <c r="B281" s="2" t="s">
        <v>55</v>
      </c>
      <c r="C281">
        <v>3870</v>
      </c>
      <c r="D281">
        <v>3990</v>
      </c>
      <c r="E281">
        <v>3870</v>
      </c>
      <c r="F281">
        <v>3950</v>
      </c>
      <c r="G281">
        <v>434485100</v>
      </c>
      <c r="H281" s="4">
        <f t="shared" si="8"/>
        <v>2.8645833333333332E-2</v>
      </c>
      <c r="I281" s="4">
        <f t="shared" si="9"/>
        <v>-0.30396475770925108</v>
      </c>
    </row>
    <row r="282" spans="1:9" x14ac:dyDescent="0.2">
      <c r="A282" s="2">
        <f ca="1">IFERROR(__xludf.DUMMYFUNCTION("""COMPUTED_VALUE"""),45723.6666666666)</f>
        <v>45723.666666666599</v>
      </c>
      <c r="B282" s="2" t="s">
        <v>55</v>
      </c>
      <c r="C282">
        <v>3930</v>
      </c>
      <c r="D282">
        <v>3930</v>
      </c>
      <c r="E282">
        <v>3810</v>
      </c>
      <c r="F282">
        <v>3810</v>
      </c>
      <c r="G282">
        <v>243793600</v>
      </c>
      <c r="H282" s="4">
        <f t="shared" si="8"/>
        <v>-3.5443037974683546E-2</v>
      </c>
      <c r="I282" s="4">
        <f t="shared" si="9"/>
        <v>-0.32863436123348017</v>
      </c>
    </row>
    <row r="283" spans="1:9" x14ac:dyDescent="0.2">
      <c r="A283" s="2">
        <f ca="1">IFERROR(__xludf.DUMMYFUNCTION("""COMPUTED_VALUE"""),45726.6666666666)</f>
        <v>45726.666666666599</v>
      </c>
      <c r="B283" s="2" t="s">
        <v>55</v>
      </c>
      <c r="C283">
        <v>3790</v>
      </c>
      <c r="D283">
        <v>3810</v>
      </c>
      <c r="E283">
        <v>3730</v>
      </c>
      <c r="F283">
        <v>3760</v>
      </c>
      <c r="G283">
        <v>232192200</v>
      </c>
      <c r="H283" s="4">
        <f t="shared" si="8"/>
        <v>-1.3123359580052493E-2</v>
      </c>
      <c r="I283" s="4">
        <f t="shared" si="9"/>
        <v>-0.33744493392070485</v>
      </c>
    </row>
    <row r="284" spans="1:9" x14ac:dyDescent="0.2">
      <c r="A284" s="2">
        <f ca="1">IFERROR(__xludf.DUMMYFUNCTION("""COMPUTED_VALUE"""),45727.6666666666)</f>
        <v>45727.666666666599</v>
      </c>
      <c r="B284" s="2" t="s">
        <v>55</v>
      </c>
      <c r="C284">
        <v>3700</v>
      </c>
      <c r="D284">
        <v>3790</v>
      </c>
      <c r="E284">
        <v>3660</v>
      </c>
      <c r="F284">
        <v>3790</v>
      </c>
      <c r="G284">
        <v>273961800</v>
      </c>
      <c r="H284" s="4">
        <f t="shared" si="8"/>
        <v>7.9787234042553185E-3</v>
      </c>
      <c r="I284" s="4">
        <f t="shared" si="9"/>
        <v>-0.33215859030837003</v>
      </c>
    </row>
    <row r="285" spans="1:9" x14ac:dyDescent="0.2">
      <c r="A285" s="2">
        <f ca="1">IFERROR(__xludf.DUMMYFUNCTION("""COMPUTED_VALUE"""),45728.6666666666)</f>
        <v>45728.666666666599</v>
      </c>
      <c r="B285" s="2" t="s">
        <v>55</v>
      </c>
      <c r="C285">
        <v>3810</v>
      </c>
      <c r="D285">
        <v>3920</v>
      </c>
      <c r="E285">
        <v>3810</v>
      </c>
      <c r="F285">
        <v>3890</v>
      </c>
      <c r="G285">
        <v>271631200</v>
      </c>
      <c r="H285" s="4">
        <f t="shared" si="8"/>
        <v>2.6385224274406333E-2</v>
      </c>
      <c r="I285" s="4">
        <f t="shared" si="9"/>
        <v>-0.31453744493392072</v>
      </c>
    </row>
    <row r="286" spans="1:9" x14ac:dyDescent="0.2">
      <c r="A286" s="2">
        <f ca="1">IFERROR(__xludf.DUMMYFUNCTION("""COMPUTED_VALUE"""),45729.6666666666)</f>
        <v>45729.666666666599</v>
      </c>
      <c r="B286" s="2" t="s">
        <v>55</v>
      </c>
      <c r="C286">
        <v>3960</v>
      </c>
      <c r="D286">
        <v>3970</v>
      </c>
      <c r="E286">
        <v>3800</v>
      </c>
      <c r="F286">
        <v>3800</v>
      </c>
      <c r="G286">
        <v>209225700</v>
      </c>
      <c r="H286" s="4">
        <f t="shared" si="8"/>
        <v>-2.313624678663239E-2</v>
      </c>
      <c r="I286" s="4">
        <f t="shared" si="9"/>
        <v>-0.33039647577092512</v>
      </c>
    </row>
    <row r="287" spans="1:9" x14ac:dyDescent="0.2">
      <c r="A287" s="2">
        <f ca="1">IFERROR(__xludf.DUMMYFUNCTION("""COMPUTED_VALUE"""),45730.6666666666)</f>
        <v>45730.666666666599</v>
      </c>
      <c r="B287" s="2" t="s">
        <v>55</v>
      </c>
      <c r="C287">
        <v>3750</v>
      </c>
      <c r="D287">
        <v>3840</v>
      </c>
      <c r="E287">
        <v>3750</v>
      </c>
      <c r="F287">
        <v>3750</v>
      </c>
      <c r="G287">
        <v>156131900</v>
      </c>
      <c r="H287" s="4">
        <f t="shared" si="8"/>
        <v>-1.3157894736842105E-2</v>
      </c>
      <c r="I287" s="4">
        <f t="shared" si="9"/>
        <v>-0.33920704845814981</v>
      </c>
    </row>
    <row r="288" spans="1:9" x14ac:dyDescent="0.2">
      <c r="A288" s="2">
        <f ca="1">IFERROR(__xludf.DUMMYFUNCTION("""COMPUTED_VALUE"""),45733.6666666666)</f>
        <v>45733.666666666599</v>
      </c>
      <c r="B288" s="2" t="s">
        <v>55</v>
      </c>
      <c r="C288">
        <v>3780</v>
      </c>
      <c r="D288">
        <v>3840</v>
      </c>
      <c r="E288">
        <v>3730</v>
      </c>
      <c r="F288">
        <v>3830</v>
      </c>
      <c r="G288">
        <v>162467700</v>
      </c>
      <c r="H288" s="4">
        <f t="shared" si="8"/>
        <v>2.1333333333333333E-2</v>
      </c>
      <c r="I288" s="4">
        <f t="shared" si="9"/>
        <v>-0.3251101321585903</v>
      </c>
    </row>
    <row r="289" spans="1:9" x14ac:dyDescent="0.2">
      <c r="A289" s="2">
        <f ca="1">IFERROR(__xludf.DUMMYFUNCTION("""COMPUTED_VALUE"""),45734.6666666666)</f>
        <v>45734.666666666599</v>
      </c>
      <c r="B289" s="2" t="s">
        <v>55</v>
      </c>
      <c r="C289">
        <v>3840</v>
      </c>
      <c r="D289">
        <v>3860</v>
      </c>
      <c r="E289">
        <v>3500</v>
      </c>
      <c r="F289">
        <v>3680</v>
      </c>
      <c r="G289">
        <v>416894600</v>
      </c>
      <c r="H289" s="4">
        <f t="shared" si="8"/>
        <v>-3.91644908616188E-2</v>
      </c>
      <c r="I289" s="4">
        <f t="shared" si="9"/>
        <v>-0.3515418502202643</v>
      </c>
    </row>
    <row r="290" spans="1:9" x14ac:dyDescent="0.2">
      <c r="A290" s="2">
        <f ca="1">IFERROR(__xludf.DUMMYFUNCTION("""COMPUTED_VALUE"""),45735.6666666666)</f>
        <v>45735.666666666599</v>
      </c>
      <c r="B290" s="2" t="s">
        <v>55</v>
      </c>
      <c r="C290">
        <v>3710</v>
      </c>
      <c r="D290">
        <v>3780</v>
      </c>
      <c r="E290">
        <v>3680</v>
      </c>
      <c r="F290">
        <v>3710</v>
      </c>
      <c r="G290">
        <v>352217700</v>
      </c>
      <c r="H290" s="4">
        <f t="shared" si="8"/>
        <v>8.152173913043478E-3</v>
      </c>
      <c r="I290" s="4">
        <f t="shared" si="9"/>
        <v>-0.34625550660792953</v>
      </c>
    </row>
    <row r="291" spans="1:9" x14ac:dyDescent="0.2">
      <c r="A291" s="2">
        <f ca="1">IFERROR(__xludf.DUMMYFUNCTION("""COMPUTED_VALUE"""),45736.6666666666)</f>
        <v>45736.666666666599</v>
      </c>
      <c r="B291" s="2" t="s">
        <v>55</v>
      </c>
      <c r="C291">
        <v>3730</v>
      </c>
      <c r="D291">
        <v>3760</v>
      </c>
      <c r="E291">
        <v>3640</v>
      </c>
      <c r="F291">
        <v>3660</v>
      </c>
      <c r="G291">
        <v>313033000</v>
      </c>
      <c r="H291" s="4">
        <f t="shared" si="8"/>
        <v>-1.3477088948787063E-2</v>
      </c>
      <c r="I291" s="4">
        <f t="shared" si="9"/>
        <v>-0.35506607929515416</v>
      </c>
    </row>
    <row r="292" spans="1:9" x14ac:dyDescent="0.2">
      <c r="A292" s="2">
        <f ca="1">IFERROR(__xludf.DUMMYFUNCTION("""COMPUTED_VALUE"""),45737.6666666666)</f>
        <v>45737.666666666599</v>
      </c>
      <c r="B292" s="2" t="s">
        <v>55</v>
      </c>
      <c r="C292">
        <v>3600</v>
      </c>
      <c r="D292">
        <v>3700</v>
      </c>
      <c r="E292">
        <v>3550</v>
      </c>
      <c r="F292">
        <v>3700</v>
      </c>
      <c r="G292">
        <v>627645600</v>
      </c>
      <c r="H292" s="4">
        <f t="shared" si="8"/>
        <v>1.092896174863388E-2</v>
      </c>
      <c r="I292" s="4">
        <f t="shared" si="9"/>
        <v>-0.34801762114537443</v>
      </c>
    </row>
    <row r="293" spans="1:9" x14ac:dyDescent="0.2">
      <c r="A293" s="2">
        <f ca="1">IFERROR(__xludf.DUMMYFUNCTION("""COMPUTED_VALUE"""),45740.6666666666)</f>
        <v>45740.666666666599</v>
      </c>
      <c r="B293" s="2" t="s">
        <v>55</v>
      </c>
      <c r="C293">
        <v>3650</v>
      </c>
      <c r="D293">
        <v>3740</v>
      </c>
      <c r="E293">
        <v>3520</v>
      </c>
      <c r="F293">
        <v>3610</v>
      </c>
      <c r="G293">
        <v>342883200</v>
      </c>
      <c r="H293" s="4">
        <f t="shared" si="8"/>
        <v>-2.4324324324324326E-2</v>
      </c>
      <c r="I293" s="4">
        <f t="shared" si="9"/>
        <v>-0.36387665198237884</v>
      </c>
    </row>
    <row r="294" spans="1:9" x14ac:dyDescent="0.2">
      <c r="A294" s="2">
        <f ca="1">IFERROR(__xludf.DUMMYFUNCTION("""COMPUTED_VALUE"""),45741.6666666666)</f>
        <v>45741.666666666599</v>
      </c>
      <c r="B294" s="2" t="s">
        <v>55</v>
      </c>
      <c r="C294">
        <v>3660</v>
      </c>
      <c r="D294">
        <v>3840</v>
      </c>
      <c r="E294">
        <v>3660</v>
      </c>
      <c r="F294">
        <v>3800</v>
      </c>
      <c r="G294">
        <v>331285900</v>
      </c>
      <c r="H294" s="4">
        <f t="shared" si="8"/>
        <v>5.2631578947368418E-2</v>
      </c>
      <c r="I294" s="4">
        <f t="shared" si="9"/>
        <v>-0.33039647577092512</v>
      </c>
    </row>
    <row r="295" spans="1:9" x14ac:dyDescent="0.2">
      <c r="A295" s="2">
        <f ca="1">IFERROR(__xludf.DUMMYFUNCTION("""COMPUTED_VALUE"""),45742.6666666666)</f>
        <v>45742.666666666599</v>
      </c>
      <c r="B295" s="2" t="s">
        <v>55</v>
      </c>
      <c r="C295">
        <v>3870</v>
      </c>
      <c r="D295">
        <v>4020</v>
      </c>
      <c r="E295">
        <v>3860</v>
      </c>
      <c r="F295">
        <v>4000</v>
      </c>
      <c r="G295">
        <v>540888800</v>
      </c>
      <c r="H295" s="4">
        <f t="shared" si="8"/>
        <v>5.2631578947368418E-2</v>
      </c>
      <c r="I295" s="4">
        <f t="shared" si="9"/>
        <v>-0.29515418502202645</v>
      </c>
    </row>
    <row r="296" spans="1:9" x14ac:dyDescent="0.2">
      <c r="A296" s="2">
        <f ca="1">IFERROR(__xludf.DUMMYFUNCTION("""COMPUTED_VALUE"""),45743.6666666666)</f>
        <v>45743.666666666599</v>
      </c>
      <c r="B296" s="2" t="s">
        <v>55</v>
      </c>
      <c r="C296">
        <v>4000</v>
      </c>
      <c r="D296">
        <v>4050</v>
      </c>
      <c r="E296">
        <v>3930</v>
      </c>
      <c r="F296">
        <v>4050</v>
      </c>
      <c r="G296">
        <v>322553200</v>
      </c>
      <c r="H296" s="4">
        <f t="shared" si="8"/>
        <v>1.2500000000000001E-2</v>
      </c>
      <c r="I296" s="4">
        <f t="shared" si="9"/>
        <v>-0.28634361233480177</v>
      </c>
    </row>
    <row r="297" spans="1:9" x14ac:dyDescent="0.2">
      <c r="A297" s="2">
        <f ca="1">IFERROR(__xludf.DUMMYFUNCTION("""COMPUTED_VALUE"""),45755.6666666666)</f>
        <v>45755.666666666599</v>
      </c>
      <c r="B297" s="2" t="s">
        <v>55</v>
      </c>
      <c r="C297">
        <v>3460</v>
      </c>
      <c r="D297">
        <v>3750</v>
      </c>
      <c r="E297">
        <v>3450</v>
      </c>
      <c r="F297">
        <v>3640</v>
      </c>
      <c r="G297">
        <v>734807100</v>
      </c>
      <c r="H297" s="4">
        <f t="shared" si="8"/>
        <v>-0.10123456790123457</v>
      </c>
      <c r="I297" s="4">
        <f t="shared" si="9"/>
        <v>-0.35859030837004408</v>
      </c>
    </row>
    <row r="298" spans="1:9" x14ac:dyDescent="0.2">
      <c r="A298" s="2">
        <f ca="1">IFERROR(__xludf.DUMMYFUNCTION("""COMPUTED_VALUE"""),45756.6666666666)</f>
        <v>45756.666666666599</v>
      </c>
      <c r="B298" s="2" t="s">
        <v>55</v>
      </c>
      <c r="C298">
        <v>3610</v>
      </c>
      <c r="D298">
        <v>3710</v>
      </c>
      <c r="E298">
        <v>3600</v>
      </c>
      <c r="F298">
        <v>3630</v>
      </c>
      <c r="G298">
        <v>366649900</v>
      </c>
      <c r="H298" s="4">
        <f t="shared" si="8"/>
        <v>-2.7472527472527475E-3</v>
      </c>
      <c r="I298" s="4">
        <f t="shared" si="9"/>
        <v>-0.36035242290748898</v>
      </c>
    </row>
    <row r="299" spans="1:9" x14ac:dyDescent="0.2">
      <c r="A299" s="2">
        <f ca="1">IFERROR(__xludf.DUMMYFUNCTION("""COMPUTED_VALUE"""),45757.6666666666)</f>
        <v>45757.666666666599</v>
      </c>
      <c r="B299" s="2" t="s">
        <v>55</v>
      </c>
      <c r="C299">
        <v>3920</v>
      </c>
      <c r="D299">
        <v>3930</v>
      </c>
      <c r="E299">
        <v>3770</v>
      </c>
      <c r="F299">
        <v>3800</v>
      </c>
      <c r="G299">
        <v>417562900</v>
      </c>
      <c r="H299" s="4">
        <f t="shared" si="8"/>
        <v>4.6831955922865015E-2</v>
      </c>
      <c r="I299" s="4">
        <f t="shared" si="9"/>
        <v>-0.33039647577092512</v>
      </c>
    </row>
    <row r="300" spans="1:9" x14ac:dyDescent="0.2">
      <c r="A300" s="2">
        <f ca="1">IFERROR(__xludf.DUMMYFUNCTION("""COMPUTED_VALUE"""),45758.6666666666)</f>
        <v>45758.666666666599</v>
      </c>
      <c r="B300" s="2" t="s">
        <v>55</v>
      </c>
      <c r="C300">
        <v>3600</v>
      </c>
      <c r="D300">
        <v>3650</v>
      </c>
      <c r="E300">
        <v>3590</v>
      </c>
      <c r="F300">
        <v>3630</v>
      </c>
      <c r="G300">
        <v>301200600</v>
      </c>
      <c r="H300" s="4">
        <f t="shared" si="8"/>
        <v>-4.4736842105263158E-2</v>
      </c>
      <c r="I300" s="4">
        <f t="shared" si="9"/>
        <v>-0.36035242290748898</v>
      </c>
    </row>
    <row r="301" spans="1:9" x14ac:dyDescent="0.2">
      <c r="A301" s="2">
        <f ca="1">IFERROR(__xludf.DUMMYFUNCTION("""COMPUTED_VALUE"""),45761.6666666666)</f>
        <v>45761.666666666599</v>
      </c>
      <c r="B301" s="2" t="s">
        <v>55</v>
      </c>
      <c r="C301">
        <v>3630</v>
      </c>
      <c r="D301">
        <v>3690</v>
      </c>
      <c r="E301">
        <v>3620</v>
      </c>
      <c r="F301">
        <v>3690</v>
      </c>
      <c r="G301">
        <v>169458300</v>
      </c>
      <c r="H301" s="4">
        <f t="shared" si="8"/>
        <v>1.6528925619834711E-2</v>
      </c>
      <c r="I301" s="4">
        <f t="shared" si="9"/>
        <v>-0.34977973568281939</v>
      </c>
    </row>
    <row r="302" spans="1:9" x14ac:dyDescent="0.2">
      <c r="A302" s="2">
        <f ca="1">IFERROR(__xludf.DUMMYFUNCTION("""COMPUTED_VALUE"""),45762.6666666666)</f>
        <v>45762.666666666599</v>
      </c>
      <c r="B302" s="2" t="s">
        <v>55</v>
      </c>
      <c r="C302">
        <v>3730</v>
      </c>
      <c r="D302">
        <v>3780</v>
      </c>
      <c r="E302">
        <v>3680</v>
      </c>
      <c r="F302">
        <v>3690</v>
      </c>
      <c r="G302">
        <v>254224400</v>
      </c>
      <c r="H302" s="4">
        <f t="shared" si="8"/>
        <v>0</v>
      </c>
      <c r="I302" s="4">
        <f t="shared" si="9"/>
        <v>-0.34977973568281939</v>
      </c>
    </row>
    <row r="303" spans="1:9" x14ac:dyDescent="0.2">
      <c r="A303" s="2">
        <f ca="1">IFERROR(__xludf.DUMMYFUNCTION("""COMPUTED_VALUE"""),45763.6666666666)</f>
        <v>45763.666666666599</v>
      </c>
      <c r="B303" s="2" t="s">
        <v>55</v>
      </c>
      <c r="C303">
        <v>3690</v>
      </c>
      <c r="D303">
        <v>3700</v>
      </c>
      <c r="E303">
        <v>3600</v>
      </c>
      <c r="F303">
        <v>3650</v>
      </c>
      <c r="G303">
        <v>233772400</v>
      </c>
      <c r="H303" s="4">
        <f t="shared" si="8"/>
        <v>-1.0840108401084011E-2</v>
      </c>
      <c r="I303" s="4">
        <f t="shared" si="9"/>
        <v>-0.35682819383259912</v>
      </c>
    </row>
    <row r="304" spans="1:9" x14ac:dyDescent="0.2">
      <c r="A304" s="2">
        <f ca="1">IFERROR(__xludf.DUMMYFUNCTION("""COMPUTED_VALUE"""),45764.6666666666)</f>
        <v>45764.666666666599</v>
      </c>
      <c r="B304" s="2" t="s">
        <v>55</v>
      </c>
      <c r="C304">
        <v>3670</v>
      </c>
      <c r="D304">
        <v>3670</v>
      </c>
      <c r="E304">
        <v>3610</v>
      </c>
      <c r="F304">
        <v>3640</v>
      </c>
      <c r="G304">
        <v>121059300</v>
      </c>
      <c r="H304" s="4">
        <f t="shared" si="8"/>
        <v>-2.7397260273972603E-3</v>
      </c>
      <c r="I304" s="4">
        <f t="shared" si="9"/>
        <v>-0.35859030837004408</v>
      </c>
    </row>
    <row r="305" spans="1:9" x14ac:dyDescent="0.2">
      <c r="A305" s="2">
        <f ca="1">IFERROR(__xludf.DUMMYFUNCTION("""COMPUTED_VALUE"""),45768.6666666666)</f>
        <v>45768.666666666599</v>
      </c>
      <c r="B305" s="2" t="s">
        <v>55</v>
      </c>
      <c r="C305">
        <v>3620</v>
      </c>
      <c r="D305">
        <v>3660</v>
      </c>
      <c r="E305">
        <v>3570</v>
      </c>
      <c r="F305">
        <v>3620</v>
      </c>
      <c r="G305">
        <v>107470200</v>
      </c>
      <c r="H305" s="4">
        <f t="shared" si="8"/>
        <v>-5.4945054945054949E-3</v>
      </c>
      <c r="I305" s="4">
        <f t="shared" si="9"/>
        <v>-0.36211453744493394</v>
      </c>
    </row>
    <row r="306" spans="1:9" x14ac:dyDescent="0.2">
      <c r="A306" s="2">
        <f ca="1">IFERROR(__xludf.DUMMYFUNCTION("""COMPUTED_VALUE"""),45769.6666666666)</f>
        <v>45769.666666666599</v>
      </c>
      <c r="B306" s="2" t="s">
        <v>55</v>
      </c>
      <c r="C306">
        <v>3600</v>
      </c>
      <c r="D306">
        <v>3650</v>
      </c>
      <c r="E306">
        <v>3600</v>
      </c>
      <c r="F306">
        <v>3630</v>
      </c>
      <c r="G306">
        <v>147116900</v>
      </c>
      <c r="H306" s="4">
        <f t="shared" si="8"/>
        <v>2.7624309392265192E-3</v>
      </c>
      <c r="I306" s="4">
        <f t="shared" si="9"/>
        <v>-0.36035242290748898</v>
      </c>
    </row>
    <row r="307" spans="1:9" x14ac:dyDescent="0.2">
      <c r="A307" s="2">
        <f ca="1">IFERROR(__xludf.DUMMYFUNCTION("""COMPUTED_VALUE"""),45770.6666666666)</f>
        <v>45770.666666666599</v>
      </c>
      <c r="B307" s="2" t="s">
        <v>55</v>
      </c>
      <c r="C307">
        <v>3660</v>
      </c>
      <c r="D307">
        <v>3790</v>
      </c>
      <c r="E307">
        <v>3640</v>
      </c>
      <c r="F307">
        <v>3760</v>
      </c>
      <c r="G307">
        <v>432999900</v>
      </c>
      <c r="H307" s="4">
        <f t="shared" si="8"/>
        <v>3.5812672176308541E-2</v>
      </c>
      <c r="I307" s="4">
        <f t="shared" si="9"/>
        <v>-0.33744493392070485</v>
      </c>
    </row>
    <row r="308" spans="1:9" x14ac:dyDescent="0.2">
      <c r="A308" s="2">
        <f ca="1">IFERROR(__xludf.DUMMYFUNCTION("""COMPUTED_VALUE"""),45771.6666666666)</f>
        <v>45771.666666666599</v>
      </c>
      <c r="B308" s="2" t="s">
        <v>55</v>
      </c>
      <c r="C308">
        <v>3790</v>
      </c>
      <c r="D308">
        <v>3840</v>
      </c>
      <c r="E308">
        <v>3720</v>
      </c>
      <c r="F308">
        <v>3730</v>
      </c>
      <c r="G308">
        <v>272537300</v>
      </c>
      <c r="H308" s="4">
        <f t="shared" si="8"/>
        <v>-7.9787234042553185E-3</v>
      </c>
      <c r="I308" s="4">
        <f t="shared" si="9"/>
        <v>-0.34273127753303967</v>
      </c>
    </row>
    <row r="309" spans="1:9" x14ac:dyDescent="0.2">
      <c r="A309" s="2">
        <f ca="1">IFERROR(__xludf.DUMMYFUNCTION("""COMPUTED_VALUE"""),45772.6666666666)</f>
        <v>45772.666666666599</v>
      </c>
      <c r="B309" s="2" t="s">
        <v>55</v>
      </c>
      <c r="C309">
        <v>3770</v>
      </c>
      <c r="D309">
        <v>3790</v>
      </c>
      <c r="E309">
        <v>3730</v>
      </c>
      <c r="F309">
        <v>3740</v>
      </c>
      <c r="G309">
        <v>136517100</v>
      </c>
      <c r="H309" s="4">
        <f t="shared" si="8"/>
        <v>2.6809651474530832E-3</v>
      </c>
      <c r="I309" s="4">
        <f t="shared" si="9"/>
        <v>-0.34096916299559471</v>
      </c>
    </row>
    <row r="310" spans="1:9" x14ac:dyDescent="0.2">
      <c r="A310" s="2">
        <f ca="1">IFERROR(__xludf.DUMMYFUNCTION("""COMPUTED_VALUE"""),45775.6666666666)</f>
        <v>45775.666666666599</v>
      </c>
      <c r="B310" s="2" t="s">
        <v>55</v>
      </c>
      <c r="C310">
        <v>3790</v>
      </c>
      <c r="D310">
        <v>3850</v>
      </c>
      <c r="E310">
        <v>3780</v>
      </c>
      <c r="F310">
        <v>3840</v>
      </c>
      <c r="G310">
        <v>212945800</v>
      </c>
      <c r="H310" s="4">
        <f t="shared" si="8"/>
        <v>2.6737967914438502E-2</v>
      </c>
      <c r="I310" s="4">
        <f t="shared" si="9"/>
        <v>-0.3233480176211454</v>
      </c>
    </row>
    <row r="311" spans="1:9" x14ac:dyDescent="0.2">
      <c r="A311" s="2">
        <f ca="1">IFERROR(__xludf.DUMMYFUNCTION("""COMPUTED_VALUE"""),45776.6666666666)</f>
        <v>45776.666666666599</v>
      </c>
      <c r="B311" s="2" t="s">
        <v>55</v>
      </c>
      <c r="C311">
        <v>3860</v>
      </c>
      <c r="D311">
        <v>3870</v>
      </c>
      <c r="E311">
        <v>3820</v>
      </c>
      <c r="F311">
        <v>3850</v>
      </c>
      <c r="G311">
        <v>160631400</v>
      </c>
      <c r="H311" s="4">
        <f t="shared" si="8"/>
        <v>2.6041666666666665E-3</v>
      </c>
      <c r="I311" s="4">
        <f t="shared" si="9"/>
        <v>-0.32158590308370044</v>
      </c>
    </row>
    <row r="312" spans="1:9" x14ac:dyDescent="0.2">
      <c r="A312" s="2">
        <f ca="1">IFERROR(__xludf.DUMMYFUNCTION("""COMPUTED_VALUE"""),45777.6666666666)</f>
        <v>45777.666666666599</v>
      </c>
      <c r="B312" s="2" t="s">
        <v>55</v>
      </c>
      <c r="C312">
        <v>3810</v>
      </c>
      <c r="D312">
        <v>3850</v>
      </c>
      <c r="E312">
        <v>3770</v>
      </c>
      <c r="F312">
        <v>3850</v>
      </c>
      <c r="G312">
        <v>226832200</v>
      </c>
      <c r="H312" s="4">
        <f t="shared" si="8"/>
        <v>0</v>
      </c>
      <c r="I312" s="4">
        <f t="shared" si="9"/>
        <v>-0.32158590308370044</v>
      </c>
    </row>
    <row r="313" spans="1:9" x14ac:dyDescent="0.2">
      <c r="A313" s="2">
        <f ca="1">IFERROR(__xludf.DUMMYFUNCTION("""COMPUTED_VALUE"""),45779.6666666666)</f>
        <v>45779.666666666599</v>
      </c>
      <c r="B313" s="2" t="s">
        <v>55</v>
      </c>
      <c r="C313">
        <v>3920</v>
      </c>
      <c r="D313">
        <v>3920</v>
      </c>
      <c r="E313">
        <v>3850</v>
      </c>
      <c r="F313">
        <v>3880</v>
      </c>
      <c r="G313">
        <v>205628100</v>
      </c>
      <c r="H313" s="4">
        <f t="shared" si="8"/>
        <v>7.7922077922077922E-3</v>
      </c>
      <c r="I313" s="4">
        <f t="shared" si="9"/>
        <v>-0.31629955947136562</v>
      </c>
    </row>
    <row r="314" spans="1:9" x14ac:dyDescent="0.2">
      <c r="A314" s="2">
        <f ca="1">IFERROR(__xludf.DUMMYFUNCTION("""COMPUTED_VALUE"""),45782.6666666666)</f>
        <v>45782.666666666599</v>
      </c>
      <c r="B314" s="2" t="s">
        <v>55</v>
      </c>
      <c r="C314">
        <v>3900</v>
      </c>
      <c r="D314">
        <v>3920</v>
      </c>
      <c r="E314">
        <v>3860</v>
      </c>
      <c r="F314">
        <v>3860</v>
      </c>
      <c r="G314">
        <v>196917100</v>
      </c>
      <c r="H314" s="4">
        <f t="shared" si="8"/>
        <v>-5.1546391752577319E-3</v>
      </c>
      <c r="I314" s="4">
        <f t="shared" si="9"/>
        <v>-0.31982378854625548</v>
      </c>
    </row>
    <row r="315" spans="1:9" x14ac:dyDescent="0.2">
      <c r="A315" s="2">
        <f ca="1">IFERROR(__xludf.DUMMYFUNCTION("""COMPUTED_VALUE"""),45783.6666666666)</f>
        <v>45783.666666666599</v>
      </c>
      <c r="B315" s="2" t="s">
        <v>55</v>
      </c>
      <c r="C315">
        <v>3840</v>
      </c>
      <c r="D315">
        <v>3900</v>
      </c>
      <c r="E315">
        <v>3840</v>
      </c>
      <c r="F315">
        <v>3880</v>
      </c>
      <c r="G315">
        <v>111333800</v>
      </c>
      <c r="H315" s="4">
        <f t="shared" si="8"/>
        <v>5.1813471502590676E-3</v>
      </c>
      <c r="I315" s="4">
        <f t="shared" si="9"/>
        <v>-0.31629955947136562</v>
      </c>
    </row>
    <row r="316" spans="1:9" x14ac:dyDescent="0.2">
      <c r="A316" s="2">
        <f ca="1">IFERROR(__xludf.DUMMYFUNCTION("""COMPUTED_VALUE"""),45784.6666666666)</f>
        <v>45784.666666666599</v>
      </c>
      <c r="B316" s="2" t="s">
        <v>55</v>
      </c>
      <c r="C316">
        <v>3900</v>
      </c>
      <c r="D316">
        <v>3910</v>
      </c>
      <c r="E316">
        <v>3870</v>
      </c>
      <c r="F316">
        <v>3910</v>
      </c>
      <c r="G316">
        <v>119763100</v>
      </c>
      <c r="H316" s="4">
        <f t="shared" si="8"/>
        <v>7.7319587628865982E-3</v>
      </c>
      <c r="I316" s="4">
        <f t="shared" si="9"/>
        <v>-0.31101321585903086</v>
      </c>
    </row>
    <row r="317" spans="1:9" x14ac:dyDescent="0.2">
      <c r="A317" s="2">
        <f ca="1">IFERROR(__xludf.DUMMYFUNCTION("""COMPUTED_VALUE"""),45785.6666666666)</f>
        <v>45785.666666666599</v>
      </c>
      <c r="B317" s="2" t="s">
        <v>55</v>
      </c>
      <c r="C317">
        <v>3910</v>
      </c>
      <c r="D317">
        <v>3960</v>
      </c>
      <c r="E317">
        <v>3780</v>
      </c>
      <c r="F317">
        <v>3790</v>
      </c>
      <c r="G317">
        <v>224121900</v>
      </c>
      <c r="H317" s="4">
        <f t="shared" si="8"/>
        <v>-3.0690537084398978E-2</v>
      </c>
      <c r="I317" s="4">
        <f t="shared" si="9"/>
        <v>-0.33215859030837003</v>
      </c>
    </row>
    <row r="318" spans="1:9" x14ac:dyDescent="0.2">
      <c r="A318" s="2">
        <f ca="1">IFERROR(__xludf.DUMMYFUNCTION("""COMPUTED_VALUE"""),45786.6666666666)</f>
        <v>45786.666666666599</v>
      </c>
      <c r="B318" s="2" t="s">
        <v>55</v>
      </c>
      <c r="C318">
        <v>3810</v>
      </c>
      <c r="D318">
        <v>3840</v>
      </c>
      <c r="E318">
        <v>3760</v>
      </c>
      <c r="F318">
        <v>3840</v>
      </c>
      <c r="G318">
        <v>147638100</v>
      </c>
      <c r="H318" s="4">
        <f t="shared" si="8"/>
        <v>1.3192612137203167E-2</v>
      </c>
      <c r="I318" s="4">
        <f t="shared" si="9"/>
        <v>-0.3233480176211454</v>
      </c>
    </row>
    <row r="319" spans="1:9" x14ac:dyDescent="0.2">
      <c r="A319" s="2">
        <f ca="1">IFERROR(__xludf.DUMMYFUNCTION("""COMPUTED_VALUE"""),45791.6666666666)</f>
        <v>45791.666666666599</v>
      </c>
      <c r="B319" s="2" t="s">
        <v>55</v>
      </c>
      <c r="C319">
        <v>4000</v>
      </c>
      <c r="D319">
        <v>4090</v>
      </c>
      <c r="E319">
        <v>3960</v>
      </c>
      <c r="F319">
        <v>4090</v>
      </c>
      <c r="G319">
        <v>461642400</v>
      </c>
      <c r="H319" s="4">
        <f t="shared" si="8"/>
        <v>6.5104166666666671E-2</v>
      </c>
      <c r="I319" s="4">
        <f t="shared" si="9"/>
        <v>-0.27929515418502204</v>
      </c>
    </row>
    <row r="320" spans="1:9" x14ac:dyDescent="0.2">
      <c r="A320" s="2">
        <f ca="1">IFERROR(__xludf.DUMMYFUNCTION("""COMPUTED_VALUE"""),45792.6666666666)</f>
        <v>45792.666666666599</v>
      </c>
      <c r="B320" s="2" t="s">
        <v>55</v>
      </c>
      <c r="C320">
        <v>4140</v>
      </c>
      <c r="D320">
        <v>4310</v>
      </c>
      <c r="E320">
        <v>4130</v>
      </c>
      <c r="F320">
        <v>4270</v>
      </c>
      <c r="G320">
        <v>537151700</v>
      </c>
      <c r="H320" s="4">
        <f t="shared" si="8"/>
        <v>4.4009779951100246E-2</v>
      </c>
      <c r="I320" s="4">
        <f t="shared" si="9"/>
        <v>-0.2475770925110132</v>
      </c>
    </row>
    <row r="321" spans="1:9" x14ac:dyDescent="0.2">
      <c r="A321" s="2">
        <f ca="1">IFERROR(__xludf.DUMMYFUNCTION("""COMPUTED_VALUE"""),45793.6666666666)</f>
        <v>45793.666666666599</v>
      </c>
      <c r="B321" s="2" t="s">
        <v>55</v>
      </c>
      <c r="C321">
        <v>4310</v>
      </c>
      <c r="D321">
        <v>4330</v>
      </c>
      <c r="E321">
        <v>4160</v>
      </c>
      <c r="F321">
        <v>4250</v>
      </c>
      <c r="G321">
        <v>289337600</v>
      </c>
      <c r="H321" s="4">
        <f t="shared" si="8"/>
        <v>-4.6838407494145199E-3</v>
      </c>
      <c r="I321" s="4">
        <f t="shared" si="9"/>
        <v>-0.25110132158590309</v>
      </c>
    </row>
    <row r="322" spans="1:9" x14ac:dyDescent="0.2">
      <c r="A322" s="2">
        <f ca="1">IFERROR(__xludf.DUMMYFUNCTION("""COMPUTED_VALUE"""),45796.6666666666)</f>
        <v>45796.666666666599</v>
      </c>
      <c r="B322" s="2" t="s">
        <v>55</v>
      </c>
      <c r="C322">
        <v>4230</v>
      </c>
      <c r="D322">
        <v>4260</v>
      </c>
      <c r="E322">
        <v>4200</v>
      </c>
      <c r="F322">
        <v>4230</v>
      </c>
      <c r="G322">
        <v>145935500</v>
      </c>
      <c r="H322" s="4">
        <f t="shared" si="8"/>
        <v>-4.7058823529411761E-3</v>
      </c>
      <c r="I322" s="4">
        <f t="shared" si="9"/>
        <v>-0.25462555066079295</v>
      </c>
    </row>
    <row r="323" spans="1:9" x14ac:dyDescent="0.2">
      <c r="A323" s="2">
        <f ca="1">IFERROR(__xludf.DUMMYFUNCTION("""COMPUTED_VALUE"""),45797.6666666666)</f>
        <v>45797.666666666599</v>
      </c>
      <c r="B323" s="2" t="s">
        <v>55</v>
      </c>
      <c r="C323">
        <v>4230</v>
      </c>
      <c r="D323">
        <v>4280</v>
      </c>
      <c r="E323">
        <v>4170</v>
      </c>
      <c r="F323">
        <v>4210</v>
      </c>
      <c r="G323">
        <v>209576900</v>
      </c>
      <c r="H323" s="4">
        <f t="shared" si="8"/>
        <v>-4.7281323877068557E-3</v>
      </c>
      <c r="I323" s="4">
        <f t="shared" si="9"/>
        <v>-0.25814977973568282</v>
      </c>
    </row>
    <row r="324" spans="1:9" x14ac:dyDescent="0.2">
      <c r="A324" s="2">
        <f ca="1">IFERROR(__xludf.DUMMYFUNCTION("""COMPUTED_VALUE"""),45798.6666666666)</f>
        <v>45798.666666666599</v>
      </c>
      <c r="B324" s="2" t="s">
        <v>55</v>
      </c>
      <c r="C324">
        <v>4210</v>
      </c>
      <c r="D324">
        <v>4310</v>
      </c>
      <c r="E324">
        <v>4210</v>
      </c>
      <c r="F324">
        <v>4260</v>
      </c>
      <c r="G324">
        <v>256020200</v>
      </c>
      <c r="H324" s="4">
        <f t="shared" ref="H324:H387" si="10">(F324-F323)/F323</f>
        <v>1.1876484560570071E-2</v>
      </c>
      <c r="I324" s="4">
        <f t="shared" ref="I324:I387" si="11">(F324-$F$2)/$F$2</f>
        <v>-0.24933920704845816</v>
      </c>
    </row>
    <row r="325" spans="1:9" x14ac:dyDescent="0.2">
      <c r="A325" s="2">
        <f ca="1">IFERROR(__xludf.DUMMYFUNCTION("""COMPUTED_VALUE"""),45799.6666666666)</f>
        <v>45799.666666666599</v>
      </c>
      <c r="B325" s="2" t="s">
        <v>55</v>
      </c>
      <c r="C325">
        <v>4280</v>
      </c>
      <c r="D325">
        <v>4310</v>
      </c>
      <c r="E325">
        <v>4240</v>
      </c>
      <c r="F325">
        <v>4300</v>
      </c>
      <c r="G325">
        <v>208291800</v>
      </c>
      <c r="H325" s="4">
        <f t="shared" si="10"/>
        <v>9.3896713615023476E-3</v>
      </c>
      <c r="I325" s="4">
        <f t="shared" si="11"/>
        <v>-0.24229074889867841</v>
      </c>
    </row>
    <row r="326" spans="1:9" x14ac:dyDescent="0.2">
      <c r="A326" s="2">
        <f ca="1">IFERROR(__xludf.DUMMYFUNCTION("""COMPUTED_VALUE"""),45800.6666666666)</f>
        <v>45800.666666666599</v>
      </c>
      <c r="B326" s="2" t="s">
        <v>55</v>
      </c>
      <c r="C326">
        <v>4350</v>
      </c>
      <c r="D326">
        <v>4370</v>
      </c>
      <c r="E326">
        <v>4330</v>
      </c>
      <c r="F326">
        <v>4350</v>
      </c>
      <c r="G326">
        <v>108182800</v>
      </c>
      <c r="H326" s="4">
        <f t="shared" si="10"/>
        <v>1.1627906976744186E-2</v>
      </c>
      <c r="I326" s="4">
        <f t="shared" si="11"/>
        <v>-0.23348017621145375</v>
      </c>
    </row>
    <row r="327" spans="1:9" x14ac:dyDescent="0.2">
      <c r="A327" s="2">
        <f ca="1">IFERROR(__xludf.DUMMYFUNCTION("""COMPUTED_VALUE"""),45803.6666666666)</f>
        <v>45803.666666666599</v>
      </c>
      <c r="B327" s="2" t="s">
        <v>55</v>
      </c>
      <c r="C327">
        <v>4350</v>
      </c>
      <c r="D327">
        <v>4350</v>
      </c>
      <c r="E327">
        <v>4260</v>
      </c>
      <c r="F327">
        <v>4320</v>
      </c>
      <c r="G327">
        <v>149418600</v>
      </c>
      <c r="H327" s="4">
        <f t="shared" si="10"/>
        <v>-6.8965517241379309E-3</v>
      </c>
      <c r="I327" s="4">
        <f t="shared" si="11"/>
        <v>-0.23876651982378855</v>
      </c>
    </row>
    <row r="328" spans="1:9" x14ac:dyDescent="0.2">
      <c r="A328" s="2">
        <f ca="1">IFERROR(__xludf.DUMMYFUNCTION("""COMPUTED_VALUE"""),45804.6666666666)</f>
        <v>45804.666666666599</v>
      </c>
      <c r="B328" s="2" t="s">
        <v>55</v>
      </c>
      <c r="C328">
        <v>4320</v>
      </c>
      <c r="D328">
        <v>4370</v>
      </c>
      <c r="E328">
        <v>4280</v>
      </c>
      <c r="F328">
        <v>4370</v>
      </c>
      <c r="G328">
        <v>180028000</v>
      </c>
      <c r="H328" s="4">
        <f t="shared" si="10"/>
        <v>1.1574074074074073E-2</v>
      </c>
      <c r="I328" s="4">
        <f t="shared" si="11"/>
        <v>-0.22995594713656387</v>
      </c>
    </row>
    <row r="329" spans="1:9" x14ac:dyDescent="0.2">
      <c r="A329" s="2">
        <f ca="1">IFERROR(__xludf.DUMMYFUNCTION("""COMPUTED_VALUE"""),45805.6666666666)</f>
        <v>45805.666666666599</v>
      </c>
      <c r="B329" s="2" t="s">
        <v>55</v>
      </c>
      <c r="C329">
        <v>4360</v>
      </c>
      <c r="D329">
        <v>4450</v>
      </c>
      <c r="E329">
        <v>4320</v>
      </c>
      <c r="F329">
        <v>4450</v>
      </c>
      <c r="G329">
        <v>466133500</v>
      </c>
      <c r="H329" s="4">
        <f t="shared" si="10"/>
        <v>1.8306636155606407E-2</v>
      </c>
      <c r="I329" s="4">
        <f t="shared" si="11"/>
        <v>-0.21585903083700442</v>
      </c>
    </row>
    <row r="330" spans="1:9" x14ac:dyDescent="0.2">
      <c r="A330" s="2">
        <f ca="1">IFERROR(__xludf.DUMMYFUNCTION("""COMPUTED_VALUE"""),45810.6666666666)</f>
        <v>45810.666666666599</v>
      </c>
      <c r="B330" s="2" t="s">
        <v>55</v>
      </c>
      <c r="C330">
        <v>4360</v>
      </c>
      <c r="D330">
        <v>4390</v>
      </c>
      <c r="E330">
        <v>4200</v>
      </c>
      <c r="F330">
        <v>4200</v>
      </c>
      <c r="G330">
        <v>389541100</v>
      </c>
      <c r="H330" s="4">
        <f t="shared" si="10"/>
        <v>-5.6179775280898875E-2</v>
      </c>
      <c r="I330" s="4">
        <f t="shared" si="11"/>
        <v>-0.25991189427312777</v>
      </c>
    </row>
    <row r="331" spans="1:9" x14ac:dyDescent="0.2">
      <c r="A331" s="2">
        <f ca="1">IFERROR(__xludf.DUMMYFUNCTION("""COMPUTED_VALUE"""),45811.6666666666)</f>
        <v>45811.666666666599</v>
      </c>
      <c r="B331" s="2" t="s">
        <v>55</v>
      </c>
      <c r="C331">
        <v>4210</v>
      </c>
      <c r="D331">
        <v>4230</v>
      </c>
      <c r="E331">
        <v>4120</v>
      </c>
      <c r="F331">
        <v>4200</v>
      </c>
      <c r="G331">
        <v>277902300</v>
      </c>
      <c r="H331" s="4">
        <f t="shared" si="10"/>
        <v>0</v>
      </c>
      <c r="I331" s="4">
        <f t="shared" si="11"/>
        <v>-0.25991189427312777</v>
      </c>
    </row>
    <row r="332" spans="1:9" x14ac:dyDescent="0.2">
      <c r="A332" s="2">
        <f ca="1">IFERROR(__xludf.DUMMYFUNCTION("""COMPUTED_VALUE"""),45812.6666666666)</f>
        <v>45812.666666666599</v>
      </c>
      <c r="B332" s="2" t="s">
        <v>55</v>
      </c>
      <c r="C332">
        <v>4230</v>
      </c>
      <c r="D332">
        <v>4230</v>
      </c>
      <c r="E332">
        <v>4080</v>
      </c>
      <c r="F332">
        <v>4080</v>
      </c>
      <c r="G332">
        <v>279755300</v>
      </c>
      <c r="H332" s="4">
        <f t="shared" si="10"/>
        <v>-2.8571428571428571E-2</v>
      </c>
      <c r="I332" s="4">
        <f t="shared" si="11"/>
        <v>-0.28105726872246695</v>
      </c>
    </row>
    <row r="333" spans="1:9" x14ac:dyDescent="0.2">
      <c r="A333" s="2">
        <f ca="1">IFERROR(__xludf.DUMMYFUNCTION("""COMPUTED_VALUE"""),45813.6666666666)</f>
        <v>45813.666666666599</v>
      </c>
      <c r="B333" s="2" t="s">
        <v>55</v>
      </c>
      <c r="C333">
        <v>4110</v>
      </c>
      <c r="D333">
        <v>4140</v>
      </c>
      <c r="E333">
        <v>4050</v>
      </c>
      <c r="F333">
        <v>4100</v>
      </c>
      <c r="G333">
        <v>230129500</v>
      </c>
      <c r="H333" s="4">
        <f t="shared" si="10"/>
        <v>4.9019607843137254E-3</v>
      </c>
      <c r="I333" s="4">
        <f t="shared" si="11"/>
        <v>-0.27753303964757708</v>
      </c>
    </row>
    <row r="334" spans="1:9" x14ac:dyDescent="0.2">
      <c r="A334" s="2">
        <f ca="1">IFERROR(__xludf.DUMMYFUNCTION("""COMPUTED_VALUE"""),45818.6666666666)</f>
        <v>45818.666666666599</v>
      </c>
      <c r="B334" s="2" t="s">
        <v>55</v>
      </c>
      <c r="C334">
        <v>4100</v>
      </c>
      <c r="D334">
        <v>4160</v>
      </c>
      <c r="E334">
        <v>4100</v>
      </c>
      <c r="F334">
        <v>4150</v>
      </c>
      <c r="G334">
        <v>179827500</v>
      </c>
      <c r="H334" s="4">
        <f t="shared" si="10"/>
        <v>1.2195121951219513E-2</v>
      </c>
      <c r="I334" s="4">
        <f t="shared" si="11"/>
        <v>-0.2687224669603524</v>
      </c>
    </row>
    <row r="335" spans="1:9" x14ac:dyDescent="0.2">
      <c r="A335" s="2">
        <f ca="1">IFERROR(__xludf.DUMMYFUNCTION("""COMPUTED_VALUE"""),45819.6666666666)</f>
        <v>45819.666666666599</v>
      </c>
      <c r="B335" s="2" t="s">
        <v>55</v>
      </c>
      <c r="C335">
        <v>4130</v>
      </c>
      <c r="D335">
        <v>4140</v>
      </c>
      <c r="E335">
        <v>4060</v>
      </c>
      <c r="F335">
        <v>4070</v>
      </c>
      <c r="G335">
        <v>196558700</v>
      </c>
      <c r="H335" s="4">
        <f t="shared" si="10"/>
        <v>-1.9277108433734941E-2</v>
      </c>
      <c r="I335" s="4">
        <f t="shared" si="11"/>
        <v>-0.28281938325991191</v>
      </c>
    </row>
    <row r="336" spans="1:9" x14ac:dyDescent="0.2">
      <c r="A336" s="2">
        <f ca="1">IFERROR(__xludf.DUMMYFUNCTION("""COMPUTED_VALUE"""),45820.6666666666)</f>
        <v>45820.666666666599</v>
      </c>
      <c r="B336" s="2" t="s">
        <v>55</v>
      </c>
      <c r="C336">
        <v>4070</v>
      </c>
      <c r="D336">
        <v>4100</v>
      </c>
      <c r="E336">
        <v>4060</v>
      </c>
      <c r="F336">
        <v>4070</v>
      </c>
      <c r="G336">
        <v>113850500</v>
      </c>
      <c r="H336" s="4">
        <f t="shared" si="10"/>
        <v>0</v>
      </c>
      <c r="I336" s="4">
        <f t="shared" si="11"/>
        <v>-0.28281938325991191</v>
      </c>
    </row>
    <row r="337" spans="1:9" x14ac:dyDescent="0.2">
      <c r="A337" s="2">
        <f ca="1">IFERROR(__xludf.DUMMYFUNCTION("""COMPUTED_VALUE"""),45821.6666666666)</f>
        <v>45821.666666666599</v>
      </c>
      <c r="B337" s="2" t="s">
        <v>55</v>
      </c>
      <c r="C337">
        <v>4020</v>
      </c>
      <c r="D337">
        <v>4050</v>
      </c>
      <c r="E337">
        <v>3980</v>
      </c>
      <c r="F337">
        <v>4000</v>
      </c>
      <c r="G337">
        <v>283826000</v>
      </c>
      <c r="H337" s="4">
        <f t="shared" si="10"/>
        <v>-1.7199017199017199E-2</v>
      </c>
      <c r="I337" s="4">
        <f t="shared" si="11"/>
        <v>-0.29515418502202645</v>
      </c>
    </row>
    <row r="338" spans="1:9" x14ac:dyDescent="0.2">
      <c r="A338" s="2">
        <f ca="1">IFERROR(__xludf.DUMMYFUNCTION("""COMPUTED_VALUE"""),45824.6666666666)</f>
        <v>45824.666666666599</v>
      </c>
      <c r="B338" s="2" t="s">
        <v>55</v>
      </c>
      <c r="C338">
        <v>3980</v>
      </c>
      <c r="D338">
        <v>4010</v>
      </c>
      <c r="E338">
        <v>3960</v>
      </c>
      <c r="F338">
        <v>3990</v>
      </c>
      <c r="G338">
        <v>155450700</v>
      </c>
      <c r="H338" s="4">
        <f t="shared" si="10"/>
        <v>-2.5000000000000001E-3</v>
      </c>
      <c r="I338" s="4">
        <f t="shared" si="11"/>
        <v>-0.29691629955947135</v>
      </c>
    </row>
    <row r="339" spans="1:9" x14ac:dyDescent="0.2">
      <c r="A339" s="2">
        <f ca="1">IFERROR(__xludf.DUMMYFUNCTION("""COMPUTED_VALUE"""),45825.6666666666)</f>
        <v>45825.666666666599</v>
      </c>
      <c r="B339" s="2" t="s">
        <v>55</v>
      </c>
      <c r="C339">
        <v>4010</v>
      </c>
      <c r="D339">
        <v>4030</v>
      </c>
      <c r="E339">
        <v>3960</v>
      </c>
      <c r="F339">
        <v>3960</v>
      </c>
      <c r="G339">
        <v>125769400</v>
      </c>
      <c r="H339" s="4">
        <f t="shared" si="10"/>
        <v>-7.5187969924812026E-3</v>
      </c>
      <c r="I339" s="4">
        <f t="shared" si="11"/>
        <v>-0.30220264317180617</v>
      </c>
    </row>
    <row r="340" spans="1:9" x14ac:dyDescent="0.2">
      <c r="A340" s="2">
        <f ca="1">IFERROR(__xludf.DUMMYFUNCTION("""COMPUTED_VALUE"""),45826.6666666666)</f>
        <v>45826.666666666599</v>
      </c>
      <c r="B340" s="2" t="s">
        <v>55</v>
      </c>
      <c r="C340">
        <v>3950</v>
      </c>
      <c r="D340">
        <v>3960</v>
      </c>
      <c r="E340">
        <v>3900</v>
      </c>
      <c r="F340">
        <v>3940</v>
      </c>
      <c r="G340">
        <v>140882100</v>
      </c>
      <c r="H340" s="4">
        <f t="shared" si="10"/>
        <v>-5.0505050505050509E-3</v>
      </c>
      <c r="I340" s="4">
        <f t="shared" si="11"/>
        <v>-0.30572687224669604</v>
      </c>
    </row>
    <row r="341" spans="1:9" x14ac:dyDescent="0.2">
      <c r="A341" s="2">
        <f ca="1">IFERROR(__xludf.DUMMYFUNCTION("""COMPUTED_VALUE"""),45827.6666666666)</f>
        <v>45827.666666666599</v>
      </c>
      <c r="B341" s="2" t="s">
        <v>55</v>
      </c>
      <c r="C341">
        <v>3900</v>
      </c>
      <c r="D341">
        <v>3920</v>
      </c>
      <c r="E341">
        <v>3800</v>
      </c>
      <c r="F341">
        <v>3800</v>
      </c>
      <c r="G341">
        <v>355413000</v>
      </c>
      <c r="H341" s="4">
        <f t="shared" si="10"/>
        <v>-3.553299492385787E-2</v>
      </c>
      <c r="I341" s="4">
        <f t="shared" si="11"/>
        <v>-0.33039647577092512</v>
      </c>
    </row>
    <row r="342" spans="1:9" x14ac:dyDescent="0.2">
      <c r="A342" s="2">
        <f ca="1">IFERROR(__xludf.DUMMYFUNCTION("""COMPUTED_VALUE"""),45828.6666666666)</f>
        <v>45828.666666666599</v>
      </c>
      <c r="B342" s="2" t="s">
        <v>55</v>
      </c>
      <c r="C342">
        <v>3740</v>
      </c>
      <c r="D342">
        <v>3840</v>
      </c>
      <c r="E342">
        <v>3740</v>
      </c>
      <c r="F342">
        <v>3790</v>
      </c>
      <c r="G342">
        <v>516177900</v>
      </c>
      <c r="H342" s="4">
        <f t="shared" si="10"/>
        <v>-2.631578947368421E-3</v>
      </c>
      <c r="I342" s="4">
        <f t="shared" si="11"/>
        <v>-0.33215859030837003</v>
      </c>
    </row>
    <row r="343" spans="1:9" x14ac:dyDescent="0.2">
      <c r="A343" s="2">
        <f ca="1">IFERROR(__xludf.DUMMYFUNCTION("""COMPUTED_VALUE"""),45831.6666666666)</f>
        <v>45831.666666666599</v>
      </c>
      <c r="B343" s="2" t="s">
        <v>55</v>
      </c>
      <c r="C343">
        <v>3730</v>
      </c>
      <c r="D343">
        <v>3750</v>
      </c>
      <c r="E343">
        <v>3660</v>
      </c>
      <c r="F343">
        <v>3720</v>
      </c>
      <c r="G343">
        <v>222067700</v>
      </c>
      <c r="H343" s="4">
        <f t="shared" si="10"/>
        <v>-1.8469656992084433E-2</v>
      </c>
      <c r="I343" s="4">
        <f t="shared" si="11"/>
        <v>-0.34449339207048457</v>
      </c>
    </row>
    <row r="344" spans="1:9" x14ac:dyDescent="0.2">
      <c r="A344" s="2">
        <f ca="1">IFERROR(__xludf.DUMMYFUNCTION("""COMPUTED_VALUE"""),45832.6666666666)</f>
        <v>45832.666666666599</v>
      </c>
      <c r="B344" s="2" t="s">
        <v>55</v>
      </c>
      <c r="C344">
        <v>3820</v>
      </c>
      <c r="D344">
        <v>3900</v>
      </c>
      <c r="E344">
        <v>3770</v>
      </c>
      <c r="F344">
        <v>3780</v>
      </c>
      <c r="G344">
        <v>281594300</v>
      </c>
      <c r="H344" s="4">
        <f t="shared" si="10"/>
        <v>1.6129032258064516E-2</v>
      </c>
      <c r="I344" s="4">
        <f t="shared" si="11"/>
        <v>-0.33392070484581499</v>
      </c>
    </row>
    <row r="345" spans="1:9" x14ac:dyDescent="0.2">
      <c r="A345" s="2">
        <f ca="1">IFERROR(__xludf.DUMMYFUNCTION("""COMPUTED_VALUE"""),45833.6666666666)</f>
        <v>45833.666666666599</v>
      </c>
      <c r="B345" s="2" t="s">
        <v>55</v>
      </c>
      <c r="C345">
        <v>3830</v>
      </c>
      <c r="D345">
        <v>3830</v>
      </c>
      <c r="E345">
        <v>3730</v>
      </c>
      <c r="F345">
        <v>3760</v>
      </c>
      <c r="G345">
        <v>164257700</v>
      </c>
      <c r="H345" s="4">
        <f t="shared" si="10"/>
        <v>-5.2910052910052907E-3</v>
      </c>
      <c r="I345" s="4">
        <f t="shared" si="11"/>
        <v>-0.33744493392070485</v>
      </c>
    </row>
    <row r="346" spans="1:9" x14ac:dyDescent="0.2">
      <c r="A346" s="2">
        <f ca="1">IFERROR(__xludf.DUMMYFUNCTION("""COMPUTED_VALUE"""),45834.6666666666)</f>
        <v>45834.666666666599</v>
      </c>
      <c r="B346" s="2" t="s">
        <v>55</v>
      </c>
      <c r="C346">
        <v>3780</v>
      </c>
      <c r="D346">
        <v>3830</v>
      </c>
      <c r="E346">
        <v>3750</v>
      </c>
      <c r="F346">
        <v>3830</v>
      </c>
      <c r="G346">
        <v>171427000</v>
      </c>
      <c r="H346" s="4">
        <f t="shared" si="10"/>
        <v>1.8617021276595744E-2</v>
      </c>
      <c r="I346" s="4">
        <f t="shared" si="11"/>
        <v>-0.3251101321585903</v>
      </c>
    </row>
    <row r="347" spans="1:9" x14ac:dyDescent="0.2">
      <c r="A347" s="2">
        <f ca="1">IFERROR(__xludf.DUMMYFUNCTION("""COMPUTED_VALUE"""),45838.6666666666)</f>
        <v>45838.666666666599</v>
      </c>
      <c r="B347" s="2" t="s">
        <v>55</v>
      </c>
      <c r="C347">
        <v>3840</v>
      </c>
      <c r="D347">
        <v>3840</v>
      </c>
      <c r="E347">
        <v>3730</v>
      </c>
      <c r="F347">
        <v>3740</v>
      </c>
      <c r="G347">
        <v>271933200</v>
      </c>
      <c r="H347" s="4">
        <f t="shared" si="10"/>
        <v>-2.3498694516971279E-2</v>
      </c>
      <c r="I347" s="4">
        <f t="shared" si="11"/>
        <v>-0.34096916299559471</v>
      </c>
    </row>
    <row r="348" spans="1:9" x14ac:dyDescent="0.2">
      <c r="A348" s="2">
        <f ca="1">IFERROR(__xludf.DUMMYFUNCTION("""COMPUTED_VALUE"""),45839.6666666666)</f>
        <v>45839.666666666599</v>
      </c>
      <c r="B348" s="2" t="s">
        <v>55</v>
      </c>
      <c r="C348">
        <v>3780</v>
      </c>
      <c r="D348">
        <v>3790</v>
      </c>
      <c r="E348">
        <v>3670</v>
      </c>
      <c r="F348">
        <v>3700</v>
      </c>
      <c r="G348">
        <v>212369000</v>
      </c>
      <c r="H348" s="4">
        <f t="shared" si="10"/>
        <v>-1.06951871657754E-2</v>
      </c>
      <c r="I348" s="4">
        <f t="shared" si="11"/>
        <v>-0.34801762114537443</v>
      </c>
    </row>
    <row r="349" spans="1:9" x14ac:dyDescent="0.2">
      <c r="A349" s="2">
        <f ca="1">IFERROR(__xludf.DUMMYFUNCTION("""COMPUTED_VALUE"""),45840.6666666666)</f>
        <v>45840.666666666599</v>
      </c>
      <c r="B349" s="2" t="s">
        <v>55</v>
      </c>
      <c r="C349">
        <v>3650</v>
      </c>
      <c r="D349">
        <v>3700</v>
      </c>
      <c r="E349">
        <v>3640</v>
      </c>
      <c r="F349">
        <v>3680</v>
      </c>
      <c r="G349">
        <v>220273500</v>
      </c>
      <c r="H349" s="4">
        <f t="shared" si="10"/>
        <v>-5.4054054054054057E-3</v>
      </c>
      <c r="I349" s="4">
        <f t="shared" si="11"/>
        <v>-0.3515418502202643</v>
      </c>
    </row>
    <row r="350" spans="1:9" x14ac:dyDescent="0.2">
      <c r="A350" s="2">
        <f ca="1">IFERROR(__xludf.DUMMYFUNCTION("""COMPUTED_VALUE"""),45841.6666666666)</f>
        <v>45841.666666666599</v>
      </c>
      <c r="B350" s="2" t="s">
        <v>55</v>
      </c>
      <c r="C350">
        <v>3710</v>
      </c>
      <c r="D350">
        <v>3730</v>
      </c>
      <c r="E350">
        <v>3680</v>
      </c>
      <c r="F350">
        <v>3680</v>
      </c>
      <c r="G350">
        <v>119674300</v>
      </c>
      <c r="H350" s="4">
        <f t="shared" si="10"/>
        <v>0</v>
      </c>
      <c r="I350" s="4">
        <f t="shared" si="11"/>
        <v>-0.3515418502202643</v>
      </c>
    </row>
    <row r="351" spans="1:9" x14ac:dyDescent="0.2">
      <c r="A351" s="2">
        <f ca="1">IFERROR(__xludf.DUMMYFUNCTION("""COMPUTED_VALUE"""),45842.6666666666)</f>
        <v>45842.666666666599</v>
      </c>
      <c r="B351" s="2" t="s">
        <v>55</v>
      </c>
      <c r="C351">
        <v>3680</v>
      </c>
      <c r="D351">
        <v>3710</v>
      </c>
      <c r="E351">
        <v>3650</v>
      </c>
      <c r="F351">
        <v>3670</v>
      </c>
      <c r="G351">
        <v>91141200</v>
      </c>
      <c r="H351" s="4">
        <f t="shared" si="10"/>
        <v>-2.717391304347826E-3</v>
      </c>
      <c r="I351" s="4">
        <f t="shared" si="11"/>
        <v>-0.35330396475770925</v>
      </c>
    </row>
    <row r="352" spans="1:9" x14ac:dyDescent="0.2">
      <c r="A352" s="2">
        <f ca="1">IFERROR(__xludf.DUMMYFUNCTION("""COMPUTED_VALUE"""),45845.6666666666)</f>
        <v>45845.666666666599</v>
      </c>
      <c r="B352" s="2" t="s">
        <v>55</v>
      </c>
      <c r="C352">
        <v>3670</v>
      </c>
      <c r="D352">
        <v>3700</v>
      </c>
      <c r="E352">
        <v>3650</v>
      </c>
      <c r="F352">
        <v>3700</v>
      </c>
      <c r="G352">
        <v>78783800</v>
      </c>
      <c r="H352" s="4">
        <f t="shared" si="10"/>
        <v>8.1743869209809257E-3</v>
      </c>
      <c r="I352" s="4">
        <f t="shared" si="11"/>
        <v>-0.34801762114537443</v>
      </c>
    </row>
    <row r="353" spans="1:9" x14ac:dyDescent="0.2">
      <c r="A353" s="2">
        <f ca="1">IFERROR(__xludf.DUMMYFUNCTION("""COMPUTED_VALUE"""),45846.6666666666)</f>
        <v>45846.666666666599</v>
      </c>
      <c r="B353" s="2" t="s">
        <v>55</v>
      </c>
      <c r="C353">
        <v>3690</v>
      </c>
      <c r="D353">
        <v>3700</v>
      </c>
      <c r="E353">
        <v>3650</v>
      </c>
      <c r="F353">
        <v>3670</v>
      </c>
      <c r="G353">
        <v>115551200</v>
      </c>
      <c r="H353" s="4">
        <f t="shared" si="10"/>
        <v>-8.1081081081081086E-3</v>
      </c>
      <c r="I353" s="4">
        <f t="shared" si="11"/>
        <v>-0.35330396475770925</v>
      </c>
    </row>
    <row r="354" spans="1:9" x14ac:dyDescent="0.2">
      <c r="A354" s="2">
        <f ca="1">IFERROR(__xludf.DUMMYFUNCTION("""COMPUTED_VALUE"""),45847.6666666666)</f>
        <v>45847.666666666599</v>
      </c>
      <c r="B354" s="2" t="s">
        <v>55</v>
      </c>
      <c r="C354">
        <v>3650</v>
      </c>
      <c r="D354">
        <v>3700</v>
      </c>
      <c r="E354">
        <v>3650</v>
      </c>
      <c r="F354">
        <v>3680</v>
      </c>
      <c r="G354">
        <v>92437900</v>
      </c>
      <c r="H354" s="4">
        <f t="shared" si="10"/>
        <v>2.7247956403269754E-3</v>
      </c>
      <c r="I354" s="4">
        <f t="shared" si="11"/>
        <v>-0.3515418502202643</v>
      </c>
    </row>
    <row r="355" spans="1:9" x14ac:dyDescent="0.2">
      <c r="A355" s="2">
        <f ca="1">IFERROR(__xludf.DUMMYFUNCTION("""COMPUTED_VALUE"""),45848.6666666666)</f>
        <v>45848.666666666599</v>
      </c>
      <c r="B355" s="2" t="s">
        <v>55</v>
      </c>
      <c r="C355">
        <v>3690</v>
      </c>
      <c r="D355">
        <v>3880</v>
      </c>
      <c r="E355">
        <v>3680</v>
      </c>
      <c r="F355">
        <v>3870</v>
      </c>
      <c r="G355">
        <v>290117200</v>
      </c>
      <c r="H355" s="4">
        <f t="shared" si="10"/>
        <v>5.1630434782608696E-2</v>
      </c>
      <c r="I355" s="4">
        <f t="shared" si="11"/>
        <v>-0.31806167400881058</v>
      </c>
    </row>
    <row r="356" spans="1:9" x14ac:dyDescent="0.2">
      <c r="A356" s="2">
        <f ca="1">IFERROR(__xludf.DUMMYFUNCTION("""COMPUTED_VALUE"""),45849.6666666666)</f>
        <v>45849.666666666599</v>
      </c>
      <c r="B356" s="2" t="s">
        <v>55</v>
      </c>
      <c r="C356">
        <v>3920</v>
      </c>
      <c r="D356">
        <v>3920</v>
      </c>
      <c r="E356">
        <v>3870</v>
      </c>
      <c r="F356">
        <v>3880</v>
      </c>
      <c r="G356">
        <v>255634700</v>
      </c>
      <c r="H356" s="4">
        <f t="shared" si="10"/>
        <v>2.5839793281653748E-3</v>
      </c>
      <c r="I356" s="4">
        <f t="shared" si="11"/>
        <v>-0.31629955947136562</v>
      </c>
    </row>
    <row r="357" spans="1:9" x14ac:dyDescent="0.2">
      <c r="A357" s="2">
        <f ca="1">IFERROR(__xludf.DUMMYFUNCTION("""COMPUTED_VALUE"""),45852.6666666666)</f>
        <v>45852.666666666599</v>
      </c>
      <c r="B357" s="2" t="s">
        <v>55</v>
      </c>
      <c r="C357">
        <v>3880</v>
      </c>
      <c r="D357">
        <v>3890</v>
      </c>
      <c r="E357">
        <v>3750</v>
      </c>
      <c r="F357">
        <v>3780</v>
      </c>
      <c r="G357">
        <v>167151400</v>
      </c>
      <c r="H357" s="4">
        <f t="shared" si="10"/>
        <v>-2.5773195876288658E-2</v>
      </c>
      <c r="I357" s="4">
        <f t="shared" si="11"/>
        <v>-0.33392070484581499</v>
      </c>
    </row>
    <row r="358" spans="1:9" x14ac:dyDescent="0.2">
      <c r="A358" s="2">
        <f ca="1">IFERROR(__xludf.DUMMYFUNCTION("""COMPUTED_VALUE"""),45853.6666666666)</f>
        <v>45853.666666666599</v>
      </c>
      <c r="B358" s="2" t="s">
        <v>55</v>
      </c>
      <c r="C358">
        <v>3800</v>
      </c>
      <c r="D358">
        <v>3880</v>
      </c>
      <c r="E358">
        <v>3780</v>
      </c>
      <c r="F358">
        <v>3880</v>
      </c>
      <c r="G358">
        <v>183209300</v>
      </c>
      <c r="H358" s="4">
        <f t="shared" si="10"/>
        <v>2.6455026455026454E-2</v>
      </c>
      <c r="I358" s="4">
        <f t="shared" si="11"/>
        <v>-0.31629955947136562</v>
      </c>
    </row>
    <row r="359" spans="1:9" x14ac:dyDescent="0.2">
      <c r="A359" s="2">
        <f ca="1">IFERROR(__xludf.DUMMYFUNCTION("""COMPUTED_VALUE"""),45854.6666666666)</f>
        <v>45854.666666666599</v>
      </c>
      <c r="B359" s="2" t="s">
        <v>55</v>
      </c>
      <c r="C359">
        <v>3950</v>
      </c>
      <c r="D359">
        <v>3960</v>
      </c>
      <c r="E359">
        <v>3880</v>
      </c>
      <c r="F359">
        <v>3880</v>
      </c>
      <c r="G359">
        <v>241966800</v>
      </c>
      <c r="H359" s="4">
        <f t="shared" si="10"/>
        <v>0</v>
      </c>
      <c r="I359" s="4">
        <f t="shared" si="11"/>
        <v>-0.31629955947136562</v>
      </c>
    </row>
    <row r="360" spans="1:9" x14ac:dyDescent="0.2">
      <c r="A360" s="2">
        <f ca="1">IFERROR(__xludf.DUMMYFUNCTION("""COMPUTED_VALUE"""),45855.6666666666)</f>
        <v>45855.666666666599</v>
      </c>
      <c r="B360" s="2" t="s">
        <v>55</v>
      </c>
      <c r="C360">
        <v>3930</v>
      </c>
      <c r="D360">
        <v>3930</v>
      </c>
      <c r="E360">
        <v>3880</v>
      </c>
      <c r="F360">
        <v>3890</v>
      </c>
      <c r="G360">
        <v>111359500</v>
      </c>
      <c r="H360" s="4">
        <f t="shared" si="10"/>
        <v>2.5773195876288659E-3</v>
      </c>
      <c r="I360" s="4">
        <f t="shared" si="11"/>
        <v>-0.31453744493392072</v>
      </c>
    </row>
    <row r="361" spans="1:9" x14ac:dyDescent="0.2">
      <c r="A361" s="2">
        <f ca="1">IFERROR(__xludf.DUMMYFUNCTION("""COMPUTED_VALUE"""),45856.6666666666)</f>
        <v>45856.666666666599</v>
      </c>
      <c r="B361" s="2" t="s">
        <v>55</v>
      </c>
      <c r="C361">
        <v>3910</v>
      </c>
      <c r="D361">
        <v>3940</v>
      </c>
      <c r="E361">
        <v>3860</v>
      </c>
      <c r="F361">
        <v>3860</v>
      </c>
      <c r="G361">
        <v>111030000</v>
      </c>
      <c r="H361" s="4">
        <f t="shared" si="10"/>
        <v>-7.7120822622107968E-3</v>
      </c>
      <c r="I361" s="4">
        <f t="shared" si="11"/>
        <v>-0.31982378854625548</v>
      </c>
    </row>
    <row r="362" spans="1:9" x14ac:dyDescent="0.2">
      <c r="A362" s="2">
        <f ca="1">IFERROR(__xludf.DUMMYFUNCTION("""COMPUTED_VALUE"""),45859.6666666666)</f>
        <v>45859.666666666599</v>
      </c>
      <c r="B362" s="2" t="s">
        <v>55</v>
      </c>
      <c r="C362">
        <v>3890</v>
      </c>
      <c r="D362">
        <v>3900</v>
      </c>
      <c r="E362">
        <v>3830</v>
      </c>
      <c r="F362">
        <v>3830</v>
      </c>
      <c r="G362">
        <v>89765800</v>
      </c>
      <c r="H362" s="4">
        <f t="shared" si="10"/>
        <v>-7.7720207253886009E-3</v>
      </c>
      <c r="I362" s="4">
        <f t="shared" si="11"/>
        <v>-0.3251101321585903</v>
      </c>
    </row>
    <row r="363" spans="1:9" x14ac:dyDescent="0.2">
      <c r="A363" s="2">
        <f ca="1">IFERROR(__xludf.DUMMYFUNCTION("""COMPUTED_VALUE"""),45860.6666666666)</f>
        <v>45860.666666666599</v>
      </c>
      <c r="B363" s="2" t="s">
        <v>55</v>
      </c>
      <c r="C363">
        <v>3860</v>
      </c>
      <c r="D363">
        <v>3880</v>
      </c>
      <c r="E363">
        <v>3830</v>
      </c>
      <c r="F363">
        <v>3840</v>
      </c>
      <c r="G363">
        <v>84902800</v>
      </c>
      <c r="H363" s="4">
        <f t="shared" si="10"/>
        <v>2.6109660574412533E-3</v>
      </c>
      <c r="I363" s="4">
        <f t="shared" si="11"/>
        <v>-0.3233480176211454</v>
      </c>
    </row>
    <row r="364" spans="1:9" x14ac:dyDescent="0.2">
      <c r="A364" s="2">
        <f ca="1">IFERROR(__xludf.DUMMYFUNCTION("""COMPUTED_VALUE"""),45861.6666666666)</f>
        <v>45861.666666666599</v>
      </c>
      <c r="B364" s="2" t="s">
        <v>55</v>
      </c>
      <c r="C364">
        <v>3840</v>
      </c>
      <c r="D364">
        <v>3860</v>
      </c>
      <c r="E364">
        <v>3790</v>
      </c>
      <c r="F364">
        <v>3800</v>
      </c>
      <c r="G364">
        <v>132305000</v>
      </c>
      <c r="H364" s="4">
        <f t="shared" si="10"/>
        <v>-1.0416666666666666E-2</v>
      </c>
      <c r="I364" s="4">
        <f t="shared" si="11"/>
        <v>-0.33039647577092512</v>
      </c>
    </row>
    <row r="365" spans="1:9" x14ac:dyDescent="0.2">
      <c r="A365" s="2">
        <f ca="1">IFERROR(__xludf.DUMMYFUNCTION("""COMPUTED_VALUE"""),45862.6666666666)</f>
        <v>45862.666666666599</v>
      </c>
      <c r="B365" s="2" t="s">
        <v>55</v>
      </c>
      <c r="C365">
        <v>3830</v>
      </c>
      <c r="D365">
        <v>3950</v>
      </c>
      <c r="E365">
        <v>3820</v>
      </c>
      <c r="F365">
        <v>3950</v>
      </c>
      <c r="G365">
        <v>206654200</v>
      </c>
      <c r="H365" s="4">
        <f t="shared" si="10"/>
        <v>3.9473684210526314E-2</v>
      </c>
      <c r="I365" s="4">
        <f t="shared" si="11"/>
        <v>-0.30396475770925108</v>
      </c>
    </row>
    <row r="366" spans="1:9" x14ac:dyDescent="0.2">
      <c r="A366" s="2">
        <f ca="1">IFERROR(__xludf.DUMMYFUNCTION("""COMPUTED_VALUE"""),45863.6666666666)</f>
        <v>45863.666666666599</v>
      </c>
      <c r="B366" s="2" t="s">
        <v>55</v>
      </c>
      <c r="C366">
        <v>3950</v>
      </c>
      <c r="D366">
        <v>3950</v>
      </c>
      <c r="E366">
        <v>3870</v>
      </c>
      <c r="F366">
        <v>3880</v>
      </c>
      <c r="G366">
        <v>86263700</v>
      </c>
      <c r="H366" s="4">
        <f t="shared" si="10"/>
        <v>-1.7721518987341773E-2</v>
      </c>
      <c r="I366" s="4">
        <f t="shared" si="11"/>
        <v>-0.31629955947136562</v>
      </c>
    </row>
    <row r="367" spans="1:9" x14ac:dyDescent="0.2">
      <c r="A367" s="2">
        <f ca="1">IFERROR(__xludf.DUMMYFUNCTION("""COMPUTED_VALUE"""),45866.6666666666)</f>
        <v>45866.666666666599</v>
      </c>
      <c r="B367" s="2" t="s">
        <v>55</v>
      </c>
      <c r="C367">
        <v>3940</v>
      </c>
      <c r="D367">
        <v>3950</v>
      </c>
      <c r="E367">
        <v>3920</v>
      </c>
      <c r="F367">
        <v>3940</v>
      </c>
      <c r="G367">
        <v>94898300</v>
      </c>
      <c r="H367" s="4">
        <f t="shared" si="10"/>
        <v>1.5463917525773196E-2</v>
      </c>
      <c r="I367" s="4">
        <f t="shared" si="11"/>
        <v>-0.30572687224669604</v>
      </c>
    </row>
    <row r="368" spans="1:9" x14ac:dyDescent="0.2">
      <c r="A368" s="2">
        <f ca="1">IFERROR(__xludf.DUMMYFUNCTION("""COMPUTED_VALUE"""),45867.6666666666)</f>
        <v>45867.666666666599</v>
      </c>
      <c r="B368" s="2" t="s">
        <v>55</v>
      </c>
      <c r="C368">
        <v>3930</v>
      </c>
      <c r="D368">
        <v>3930</v>
      </c>
      <c r="E368">
        <v>3900</v>
      </c>
      <c r="F368">
        <v>3920</v>
      </c>
      <c r="G368">
        <v>98887100</v>
      </c>
      <c r="H368" s="4">
        <f t="shared" si="10"/>
        <v>-5.076142131979695E-3</v>
      </c>
      <c r="I368" s="4">
        <f t="shared" si="11"/>
        <v>-0.3092511013215859</v>
      </c>
    </row>
    <row r="369" spans="1:9" x14ac:dyDescent="0.2">
      <c r="A369" s="2">
        <f ca="1">IFERROR(__xludf.DUMMYFUNCTION("""COMPUTED_VALUE"""),45868.6666666666)</f>
        <v>45868.666666666599</v>
      </c>
      <c r="B369" s="2" t="s">
        <v>55</v>
      </c>
      <c r="C369">
        <v>3910</v>
      </c>
      <c r="D369">
        <v>3910</v>
      </c>
      <c r="E369">
        <v>3770</v>
      </c>
      <c r="F369">
        <v>3780</v>
      </c>
      <c r="G369">
        <v>206358500</v>
      </c>
      <c r="H369" s="4">
        <f t="shared" si="10"/>
        <v>-3.5714285714285712E-2</v>
      </c>
      <c r="I369" s="4">
        <f t="shared" si="11"/>
        <v>-0.33392070484581499</v>
      </c>
    </row>
    <row r="370" spans="1:9" x14ac:dyDescent="0.2">
      <c r="A370" s="2">
        <f ca="1">IFERROR(__xludf.DUMMYFUNCTION("""COMPUTED_VALUE"""),45869.6666666666)</f>
        <v>45869.666666666599</v>
      </c>
      <c r="B370" s="2" t="s">
        <v>55</v>
      </c>
      <c r="C370">
        <v>3780</v>
      </c>
      <c r="D370">
        <v>3790</v>
      </c>
      <c r="E370">
        <v>3700</v>
      </c>
      <c r="F370">
        <v>3710</v>
      </c>
      <c r="G370">
        <v>163371700</v>
      </c>
      <c r="H370" s="4">
        <f t="shared" si="10"/>
        <v>-1.8518518518518517E-2</v>
      </c>
      <c r="I370" s="4">
        <f t="shared" si="11"/>
        <v>-0.34625550660792953</v>
      </c>
    </row>
    <row r="371" spans="1:9" x14ac:dyDescent="0.2">
      <c r="A371" s="2">
        <f ca="1">IFERROR(__xludf.DUMMYFUNCTION("""COMPUTED_VALUE"""),45870.6666666666)</f>
        <v>45870.666666666599</v>
      </c>
      <c r="B371" s="2" t="s">
        <v>55</v>
      </c>
      <c r="C371">
        <v>3800</v>
      </c>
      <c r="D371">
        <v>3800</v>
      </c>
      <c r="E371">
        <v>3740</v>
      </c>
      <c r="F371">
        <v>3740</v>
      </c>
      <c r="G371">
        <v>134100500</v>
      </c>
      <c r="H371" s="4">
        <f t="shared" si="10"/>
        <v>8.0862533692722376E-3</v>
      </c>
      <c r="I371" s="4">
        <f t="shared" si="11"/>
        <v>-0.34096916299559471</v>
      </c>
    </row>
    <row r="372" spans="1:9" x14ac:dyDescent="0.2">
      <c r="A372" s="2">
        <f ca="1">IFERROR(__xludf.DUMMYFUNCTION("""COMPUTED_VALUE"""),45873.6666666666)</f>
        <v>45873.666666666599</v>
      </c>
      <c r="B372" s="2" t="s">
        <v>55</v>
      </c>
      <c r="C372">
        <v>3720</v>
      </c>
      <c r="D372">
        <v>3740</v>
      </c>
      <c r="E372">
        <v>3690</v>
      </c>
      <c r="F372">
        <v>3710</v>
      </c>
      <c r="G372">
        <v>104446300</v>
      </c>
      <c r="H372" s="4">
        <f t="shared" si="10"/>
        <v>-8.0213903743315516E-3</v>
      </c>
      <c r="I372" s="4">
        <f t="shared" si="11"/>
        <v>-0.34625550660792953</v>
      </c>
    </row>
    <row r="373" spans="1:9" x14ac:dyDescent="0.2">
      <c r="A373" s="2">
        <f ca="1">IFERROR(__xludf.DUMMYFUNCTION("""COMPUTED_VALUE"""),45874.6666666666)</f>
        <v>45874.666666666599</v>
      </c>
      <c r="B373" s="2" t="s">
        <v>55</v>
      </c>
      <c r="C373">
        <v>3700</v>
      </c>
      <c r="D373">
        <v>3790</v>
      </c>
      <c r="E373">
        <v>3700</v>
      </c>
      <c r="F373">
        <v>3740</v>
      </c>
      <c r="G373">
        <v>184822600</v>
      </c>
      <c r="H373" s="4">
        <f t="shared" si="10"/>
        <v>8.0862533692722376E-3</v>
      </c>
      <c r="I373" s="4">
        <f t="shared" si="11"/>
        <v>-0.34096916299559471</v>
      </c>
    </row>
    <row r="374" spans="1:9" x14ac:dyDescent="0.2">
      <c r="A374" s="2">
        <f ca="1">IFERROR(__xludf.DUMMYFUNCTION("""COMPUTED_VALUE"""),45875.6666666666)</f>
        <v>45875.666666666599</v>
      </c>
      <c r="B374" s="2" t="s">
        <v>55</v>
      </c>
      <c r="C374">
        <v>3770</v>
      </c>
      <c r="D374">
        <v>3780</v>
      </c>
      <c r="E374">
        <v>3710</v>
      </c>
      <c r="F374">
        <v>3710</v>
      </c>
      <c r="G374">
        <v>100168200</v>
      </c>
      <c r="H374" s="4">
        <f t="shared" si="10"/>
        <v>-8.0213903743315516E-3</v>
      </c>
      <c r="I374" s="4">
        <f t="shared" si="11"/>
        <v>-0.34625550660792953</v>
      </c>
    </row>
    <row r="375" spans="1:9" x14ac:dyDescent="0.2">
      <c r="A375" s="2">
        <f ca="1">IFERROR(__xludf.DUMMYFUNCTION("""COMPUTED_VALUE"""),45876.6666666666)</f>
        <v>45876.666666666599</v>
      </c>
      <c r="B375" s="2" t="s">
        <v>55</v>
      </c>
      <c r="C375">
        <v>3730</v>
      </c>
      <c r="D375">
        <v>3750</v>
      </c>
      <c r="E375">
        <v>3700</v>
      </c>
      <c r="F375">
        <v>3710</v>
      </c>
      <c r="G375">
        <v>92746000</v>
      </c>
      <c r="H375" s="4">
        <f t="shared" si="10"/>
        <v>0</v>
      </c>
      <c r="I375" s="4">
        <f t="shared" si="11"/>
        <v>-0.34625550660792953</v>
      </c>
    </row>
    <row r="376" spans="1:9" x14ac:dyDescent="0.2">
      <c r="A376" s="2">
        <f ca="1">IFERROR(__xludf.DUMMYFUNCTION("""COMPUTED_VALUE"""),45877.6666666666)</f>
        <v>45877.666666666599</v>
      </c>
      <c r="B376" s="2" t="s">
        <v>55</v>
      </c>
      <c r="C376">
        <v>3710</v>
      </c>
      <c r="D376">
        <v>3730</v>
      </c>
      <c r="E376">
        <v>3700</v>
      </c>
      <c r="F376">
        <v>3700</v>
      </c>
      <c r="G376">
        <v>133180100</v>
      </c>
      <c r="H376" s="4">
        <f t="shared" si="10"/>
        <v>-2.6954177897574125E-3</v>
      </c>
      <c r="I376" s="4">
        <f t="shared" si="11"/>
        <v>-0.34801762114537443</v>
      </c>
    </row>
    <row r="377" spans="1:9" x14ac:dyDescent="0.2">
      <c r="A377" s="2">
        <f ca="1">IFERROR(__xludf.DUMMYFUNCTION("""COMPUTED_VALUE"""),45880.6666666666)</f>
        <v>45880.666666666599</v>
      </c>
      <c r="B377" s="2" t="s">
        <v>55</v>
      </c>
      <c r="C377">
        <v>3720</v>
      </c>
      <c r="D377">
        <v>3810</v>
      </c>
      <c r="E377">
        <v>3720</v>
      </c>
      <c r="F377">
        <v>3810</v>
      </c>
      <c r="G377">
        <v>143167900</v>
      </c>
      <c r="H377" s="4">
        <f t="shared" si="10"/>
        <v>2.9729729729729731E-2</v>
      </c>
      <c r="I377" s="4">
        <f t="shared" si="11"/>
        <v>-0.32863436123348017</v>
      </c>
    </row>
    <row r="378" spans="1:9" x14ac:dyDescent="0.2">
      <c r="A378" s="2">
        <f ca="1">IFERROR(__xludf.DUMMYFUNCTION("""COMPUTED_VALUE"""),45881.6666666666)</f>
        <v>45881.666666666599</v>
      </c>
      <c r="B378" s="2" t="s">
        <v>55</v>
      </c>
      <c r="C378">
        <v>3860</v>
      </c>
      <c r="D378">
        <v>4050</v>
      </c>
      <c r="E378">
        <v>3830</v>
      </c>
      <c r="F378">
        <v>4050</v>
      </c>
      <c r="G378">
        <v>404797800</v>
      </c>
      <c r="H378" s="4">
        <f t="shared" si="10"/>
        <v>6.2992125984251968E-2</v>
      </c>
      <c r="I378" s="4">
        <f t="shared" si="11"/>
        <v>-0.28634361233480177</v>
      </c>
    </row>
    <row r="379" spans="1:9" x14ac:dyDescent="0.2">
      <c r="A379" s="2">
        <f ca="1">IFERROR(__xludf.DUMMYFUNCTION("""COMPUTED_VALUE"""),45882.6666666666)</f>
        <v>45882.666666666599</v>
      </c>
      <c r="B379" s="2" t="s">
        <v>55</v>
      </c>
      <c r="C379">
        <v>4060</v>
      </c>
      <c r="D379">
        <v>4100</v>
      </c>
      <c r="E379">
        <v>3990</v>
      </c>
      <c r="F379">
        <v>4080</v>
      </c>
      <c r="G379">
        <v>292104000</v>
      </c>
      <c r="H379" s="4">
        <f t="shared" si="10"/>
        <v>7.4074074074074077E-3</v>
      </c>
      <c r="I379" s="4">
        <f t="shared" si="11"/>
        <v>-0.28105726872246695</v>
      </c>
    </row>
    <row r="380" spans="1:9" x14ac:dyDescent="0.2">
      <c r="A380" s="2">
        <f ca="1">IFERROR(__xludf.DUMMYFUNCTION("""COMPUTED_VALUE"""),45883.6666666666)</f>
        <v>45883.666666666599</v>
      </c>
      <c r="B380" s="2" t="s">
        <v>55</v>
      </c>
      <c r="C380">
        <v>4080</v>
      </c>
      <c r="D380">
        <v>4100</v>
      </c>
      <c r="E380">
        <v>4040</v>
      </c>
      <c r="F380">
        <v>4060</v>
      </c>
      <c r="G380">
        <v>164408100</v>
      </c>
      <c r="H380" s="4">
        <f t="shared" si="10"/>
        <v>-4.9019607843137254E-3</v>
      </c>
      <c r="I380" s="4">
        <f t="shared" si="11"/>
        <v>-0.28458149779735681</v>
      </c>
    </row>
    <row r="381" spans="1:9" x14ac:dyDescent="0.2">
      <c r="A381" s="2">
        <f ca="1">IFERROR(__xludf.DUMMYFUNCTION("""COMPUTED_VALUE"""),45884.6666666666)</f>
        <v>45884.666666666599</v>
      </c>
      <c r="B381" s="2" t="s">
        <v>55</v>
      </c>
      <c r="C381">
        <v>4100</v>
      </c>
      <c r="D381">
        <v>4150</v>
      </c>
      <c r="E381">
        <v>4070</v>
      </c>
      <c r="F381">
        <v>4120</v>
      </c>
      <c r="G381">
        <v>269255400</v>
      </c>
      <c r="H381" s="4">
        <f t="shared" si="10"/>
        <v>1.4778325123152709E-2</v>
      </c>
      <c r="I381" s="4">
        <f t="shared" si="11"/>
        <v>-0.27400881057268722</v>
      </c>
    </row>
    <row r="382" spans="1:9" x14ac:dyDescent="0.2">
      <c r="A382" s="2">
        <f ca="1">IFERROR(__xludf.DUMMYFUNCTION("""COMPUTED_VALUE"""),45888.6666666666)</f>
        <v>45888.666666666599</v>
      </c>
      <c r="B382" s="2" t="s">
        <v>55</v>
      </c>
      <c r="C382">
        <v>4090</v>
      </c>
      <c r="D382">
        <v>4100</v>
      </c>
      <c r="E382">
        <v>4010</v>
      </c>
      <c r="F382">
        <v>4040</v>
      </c>
      <c r="G382">
        <v>208409700</v>
      </c>
      <c r="H382" s="4">
        <f t="shared" si="10"/>
        <v>-1.9417475728155338E-2</v>
      </c>
      <c r="I382" s="4">
        <f t="shared" si="11"/>
        <v>-0.28810572687224667</v>
      </c>
    </row>
    <row r="383" spans="1:9" x14ac:dyDescent="0.2">
      <c r="A383" s="2">
        <f ca="1">IFERROR(__xludf.DUMMYFUNCTION("""COMPUTED_VALUE"""),45889.6666666666)</f>
        <v>45889.666666666599</v>
      </c>
      <c r="B383" s="2" t="s">
        <v>55</v>
      </c>
      <c r="C383">
        <v>4050</v>
      </c>
      <c r="D383">
        <v>4150</v>
      </c>
      <c r="E383">
        <v>4050</v>
      </c>
      <c r="F383">
        <v>4150</v>
      </c>
      <c r="G383">
        <v>173260400</v>
      </c>
      <c r="H383" s="4">
        <f t="shared" si="10"/>
        <v>2.7227722772277228E-2</v>
      </c>
      <c r="I383" s="4">
        <f t="shared" si="11"/>
        <v>-0.2687224669603524</v>
      </c>
    </row>
    <row r="384" spans="1:9" x14ac:dyDescent="0.2">
      <c r="A384" s="2">
        <f ca="1">IFERROR(__xludf.DUMMYFUNCTION("""COMPUTED_VALUE"""),45890.6666666666)</f>
        <v>45890.666666666599</v>
      </c>
      <c r="B384" s="2" t="s">
        <v>55</v>
      </c>
      <c r="C384">
        <v>4160</v>
      </c>
      <c r="D384">
        <v>4170</v>
      </c>
      <c r="E384">
        <v>4090</v>
      </c>
      <c r="F384">
        <v>4150</v>
      </c>
      <c r="G384">
        <v>112477700</v>
      </c>
      <c r="H384" s="4">
        <f t="shared" si="10"/>
        <v>0</v>
      </c>
      <c r="I384" s="4">
        <f t="shared" si="11"/>
        <v>-0.2687224669603524</v>
      </c>
    </row>
    <row r="385" spans="1:9" x14ac:dyDescent="0.2">
      <c r="A385" s="2">
        <f ca="1">IFERROR(__xludf.DUMMYFUNCTION("""COMPUTED_VALUE"""),45891.6666666666)</f>
        <v>45891.666666666599</v>
      </c>
      <c r="B385" s="2" t="s">
        <v>55</v>
      </c>
      <c r="C385">
        <v>4170</v>
      </c>
      <c r="D385">
        <v>4170</v>
      </c>
      <c r="E385">
        <v>4100</v>
      </c>
      <c r="F385">
        <v>4100</v>
      </c>
      <c r="G385">
        <v>71971500</v>
      </c>
      <c r="H385" s="4">
        <f t="shared" si="10"/>
        <v>-1.2048192771084338E-2</v>
      </c>
      <c r="I385" s="4">
        <f t="shared" si="11"/>
        <v>-0.27753303964757708</v>
      </c>
    </row>
    <row r="386" spans="1:9" x14ac:dyDescent="0.2">
      <c r="A386" s="2">
        <f ca="1">IFERROR(__xludf.DUMMYFUNCTION("""COMPUTED_VALUE"""),45894.6666666666)</f>
        <v>45894.666666666599</v>
      </c>
      <c r="B386" s="2" t="s">
        <v>55</v>
      </c>
      <c r="C386">
        <v>4180</v>
      </c>
      <c r="D386">
        <v>4270</v>
      </c>
      <c r="E386">
        <v>4170</v>
      </c>
      <c r="F386">
        <v>4210</v>
      </c>
      <c r="G386">
        <v>195322200</v>
      </c>
      <c r="H386" s="4">
        <f t="shared" si="10"/>
        <v>2.6829268292682926E-2</v>
      </c>
      <c r="I386" s="4">
        <f t="shared" si="11"/>
        <v>-0.25814977973568282</v>
      </c>
    </row>
    <row r="387" spans="1:9" x14ac:dyDescent="0.2">
      <c r="A387" s="2">
        <f ca="1">IFERROR(__xludf.DUMMYFUNCTION("""COMPUTED_VALUE"""),45895.6666666666)</f>
        <v>45895.666666666599</v>
      </c>
      <c r="B387" s="2" t="s">
        <v>55</v>
      </c>
      <c r="C387">
        <v>4220</v>
      </c>
      <c r="D387">
        <v>4220</v>
      </c>
      <c r="E387">
        <v>4170</v>
      </c>
      <c r="F387">
        <v>4170</v>
      </c>
      <c r="G387">
        <v>267465600</v>
      </c>
      <c r="H387" s="4">
        <f t="shared" si="10"/>
        <v>-9.5011876484560574E-3</v>
      </c>
      <c r="I387" s="4">
        <f t="shared" si="11"/>
        <v>-0.26519823788546254</v>
      </c>
    </row>
    <row r="388" spans="1:9" x14ac:dyDescent="0.2">
      <c r="A388" s="2">
        <f ca="1">IFERROR(__xludf.DUMMYFUNCTION("""COMPUTED_VALUE"""),45896.6666666666)</f>
        <v>45896.666666666599</v>
      </c>
      <c r="B388" s="2" t="s">
        <v>55</v>
      </c>
      <c r="C388">
        <v>4130</v>
      </c>
      <c r="D388">
        <v>4150</v>
      </c>
      <c r="E388">
        <v>4070</v>
      </c>
      <c r="F388">
        <v>4130</v>
      </c>
      <c r="G388">
        <v>123874000</v>
      </c>
      <c r="H388" s="4">
        <f t="shared" ref="H388:H451" si="12">(F388-F387)/F387</f>
        <v>-9.5923261390887284E-3</v>
      </c>
      <c r="I388" s="4">
        <f t="shared" ref="I388:I451" si="13">(F388-$F$2)/$F$2</f>
        <v>-0.27224669603524226</v>
      </c>
    </row>
    <row r="389" spans="1:9" x14ac:dyDescent="0.2">
      <c r="A389" s="2">
        <f ca="1">IFERROR(__xludf.DUMMYFUNCTION("""COMPUTED_VALUE"""),45897.6666666666)</f>
        <v>45897.666666666599</v>
      </c>
      <c r="B389" s="2" t="s">
        <v>55</v>
      </c>
      <c r="C389">
        <v>4130</v>
      </c>
      <c r="D389">
        <v>4150</v>
      </c>
      <c r="E389">
        <v>4110</v>
      </c>
      <c r="F389">
        <v>4140</v>
      </c>
      <c r="G389">
        <v>60838200</v>
      </c>
      <c r="H389" s="4">
        <f t="shared" si="12"/>
        <v>2.4213075060532689E-3</v>
      </c>
      <c r="I389" s="4">
        <f t="shared" si="13"/>
        <v>-0.27048458149779736</v>
      </c>
    </row>
    <row r="390" spans="1:9" x14ac:dyDescent="0.2">
      <c r="A390" s="2">
        <f ca="1">IFERROR(__xludf.DUMMYFUNCTION("""COMPUTED_VALUE"""),45898.6666666666)</f>
        <v>45898.666666666599</v>
      </c>
      <c r="B390" s="2" t="s">
        <v>55</v>
      </c>
      <c r="C390">
        <v>4100</v>
      </c>
      <c r="D390">
        <v>4120</v>
      </c>
      <c r="E390">
        <v>4020</v>
      </c>
      <c r="F390">
        <v>4050</v>
      </c>
      <c r="G390">
        <v>217276600</v>
      </c>
      <c r="H390" s="4">
        <f t="shared" si="12"/>
        <v>-2.1739130434782608E-2</v>
      </c>
      <c r="I390" s="4">
        <f t="shared" si="13"/>
        <v>-0.28634361233480177</v>
      </c>
    </row>
    <row r="391" spans="1:9" x14ac:dyDescent="0.2">
      <c r="A391" s="2">
        <f ca="1">IFERROR(__xludf.DUMMYFUNCTION("""COMPUTED_VALUE"""),45901.6666666666)</f>
        <v>45901.666666666599</v>
      </c>
      <c r="B391" s="2" t="s">
        <v>55</v>
      </c>
      <c r="C391">
        <v>3930</v>
      </c>
      <c r="D391">
        <v>4010</v>
      </c>
      <c r="E391">
        <v>3860</v>
      </c>
      <c r="F391">
        <v>3980</v>
      </c>
      <c r="G391">
        <v>234206100</v>
      </c>
      <c r="H391" s="4">
        <f t="shared" si="12"/>
        <v>-1.7283950617283949E-2</v>
      </c>
      <c r="I391" s="4">
        <f t="shared" si="13"/>
        <v>-0.29867841409691631</v>
      </c>
    </row>
    <row r="392" spans="1:9" x14ac:dyDescent="0.2">
      <c r="A392" s="2">
        <f ca="1">IFERROR(__xludf.DUMMYFUNCTION("""COMPUTED_VALUE"""),45902.6666666666)</f>
        <v>45902.666666666599</v>
      </c>
      <c r="B392" s="2" t="s">
        <v>55</v>
      </c>
      <c r="C392">
        <v>3980</v>
      </c>
      <c r="D392">
        <v>4050</v>
      </c>
      <c r="E392">
        <v>3960</v>
      </c>
      <c r="F392">
        <v>3960</v>
      </c>
      <c r="G392">
        <v>111856000</v>
      </c>
      <c r="H392" s="4">
        <f t="shared" si="12"/>
        <v>-5.0251256281407036E-3</v>
      </c>
      <c r="I392" s="4">
        <f t="shared" si="13"/>
        <v>-0.30220264317180617</v>
      </c>
    </row>
    <row r="393" spans="1:9" x14ac:dyDescent="0.2">
      <c r="A393" s="2">
        <f ca="1">IFERROR(__xludf.DUMMYFUNCTION("""COMPUTED_VALUE"""),45903.6666666666)</f>
        <v>45903.666666666599</v>
      </c>
      <c r="B393" s="2" t="s">
        <v>55</v>
      </c>
      <c r="C393">
        <v>4020</v>
      </c>
      <c r="D393">
        <v>4030</v>
      </c>
      <c r="E393">
        <v>3950</v>
      </c>
      <c r="F393">
        <v>4030</v>
      </c>
      <c r="G393">
        <v>112507500</v>
      </c>
      <c r="H393" s="4">
        <f t="shared" si="12"/>
        <v>1.7676767676767676E-2</v>
      </c>
      <c r="I393" s="4">
        <f t="shared" si="13"/>
        <v>-0.28986784140969163</v>
      </c>
    </row>
    <row r="394" spans="1:9" x14ac:dyDescent="0.2">
      <c r="A394" s="2">
        <f ca="1">IFERROR(__xludf.DUMMYFUNCTION("""COMPUTED_VALUE"""),45904.6666666666)</f>
        <v>45904.666666666599</v>
      </c>
      <c r="B394" s="2" t="s">
        <v>55</v>
      </c>
      <c r="C394">
        <v>3980</v>
      </c>
      <c r="D394">
        <v>4010</v>
      </c>
      <c r="E394">
        <v>3960</v>
      </c>
      <c r="F394">
        <v>4000</v>
      </c>
      <c r="G394">
        <v>87402700</v>
      </c>
      <c r="H394" s="4">
        <f t="shared" si="12"/>
        <v>-7.4441687344913151E-3</v>
      </c>
      <c r="I394" s="4">
        <f t="shared" si="13"/>
        <v>-0.29515418502202645</v>
      </c>
    </row>
    <row r="395" spans="1:9" x14ac:dyDescent="0.2">
      <c r="A395" s="2">
        <f ca="1">IFERROR(__xludf.DUMMYFUNCTION("""COMPUTED_VALUE"""),45908.6666666666)</f>
        <v>45908.666666666599</v>
      </c>
      <c r="B395" s="2" t="s">
        <v>55</v>
      </c>
      <c r="C395">
        <v>4070</v>
      </c>
      <c r="D395">
        <v>4070</v>
      </c>
      <c r="E395">
        <v>3890</v>
      </c>
      <c r="F395">
        <v>3900</v>
      </c>
      <c r="G395">
        <v>143993900</v>
      </c>
      <c r="H395" s="4">
        <f t="shared" si="12"/>
        <v>-2.5000000000000001E-2</v>
      </c>
      <c r="I395" s="4">
        <f t="shared" si="13"/>
        <v>-0.31277533039647576</v>
      </c>
    </row>
    <row r="396" spans="1:9" x14ac:dyDescent="0.2">
      <c r="A396" s="2">
        <f ca="1">IFERROR(__xludf.DUMMYFUNCTION("""COMPUTED_VALUE"""),45909.6666666666)</f>
        <v>45909.666666666599</v>
      </c>
      <c r="B396" s="2" t="s">
        <v>55</v>
      </c>
      <c r="C396">
        <v>3870</v>
      </c>
      <c r="D396">
        <v>3890</v>
      </c>
      <c r="E396">
        <v>3750</v>
      </c>
      <c r="F396">
        <v>3790</v>
      </c>
      <c r="G396">
        <v>327167200</v>
      </c>
      <c r="H396" s="4">
        <f t="shared" si="12"/>
        <v>-2.8205128205128206E-2</v>
      </c>
      <c r="I396" s="4">
        <f t="shared" si="13"/>
        <v>-0.33215859030837003</v>
      </c>
    </row>
    <row r="397" spans="1:9" x14ac:dyDescent="0.2">
      <c r="A397" s="2">
        <f ca="1">IFERROR(__xludf.DUMMYFUNCTION("""COMPUTED_VALUE"""),45910.6666666666)</f>
        <v>45910.666666666599</v>
      </c>
      <c r="B397" s="2" t="s">
        <v>55</v>
      </c>
      <c r="C397">
        <v>3880</v>
      </c>
      <c r="D397">
        <v>3880</v>
      </c>
      <c r="E397">
        <v>3880</v>
      </c>
      <c r="F397">
        <v>3880</v>
      </c>
      <c r="G397">
        <v>1109200</v>
      </c>
      <c r="H397" s="4">
        <f t="shared" si="12"/>
        <v>2.3746701846965697E-2</v>
      </c>
      <c r="I397" s="4">
        <f t="shared" si="13"/>
        <v>-0.31629955947136562</v>
      </c>
    </row>
    <row r="398" spans="1:9" x14ac:dyDescent="0.2">
      <c r="A398" s="2">
        <f ca="1">IFERROR(__xludf.DUMMYFUNCTION("""COMPUTED_VALUE"""),45911.6666666666)</f>
        <v>45911.666666666599</v>
      </c>
      <c r="B398" s="2" t="s">
        <v>55</v>
      </c>
      <c r="C398">
        <v>4000</v>
      </c>
      <c r="D398">
        <v>4120</v>
      </c>
      <c r="E398">
        <v>3980</v>
      </c>
      <c r="F398">
        <v>4080</v>
      </c>
      <c r="G398">
        <v>281910400</v>
      </c>
      <c r="H398" s="4">
        <f t="shared" si="12"/>
        <v>5.1546391752577317E-2</v>
      </c>
      <c r="I398" s="4">
        <f t="shared" si="13"/>
        <v>-0.28105726872246695</v>
      </c>
    </row>
    <row r="399" spans="1:9" x14ac:dyDescent="0.2">
      <c r="A399" s="2">
        <f ca="1">IFERROR(__xludf.DUMMYFUNCTION("""COMPUTED_VALUE"""),45912.6666666666)</f>
        <v>45912.666666666599</v>
      </c>
      <c r="B399" s="2" t="s">
        <v>55</v>
      </c>
      <c r="C399">
        <v>4180</v>
      </c>
      <c r="D399">
        <v>4190</v>
      </c>
      <c r="E399">
        <v>4110</v>
      </c>
      <c r="F399">
        <v>4180</v>
      </c>
      <c r="G399">
        <v>235383800</v>
      </c>
      <c r="H399" s="4">
        <f t="shared" si="12"/>
        <v>2.4509803921568627E-2</v>
      </c>
      <c r="I399" s="4">
        <f t="shared" si="13"/>
        <v>-0.26343612334801764</v>
      </c>
    </row>
    <row r="400" spans="1:9" x14ac:dyDescent="0.2">
      <c r="A400" s="2">
        <f ca="1">IFERROR(__xludf.DUMMYFUNCTION("""COMPUTED_VALUE"""),45915.6666666666)</f>
        <v>45915.666666666599</v>
      </c>
      <c r="B400" s="2" t="s">
        <v>55</v>
      </c>
      <c r="C400">
        <v>4200</v>
      </c>
      <c r="D400">
        <v>4220</v>
      </c>
      <c r="E400">
        <v>4120</v>
      </c>
      <c r="F400">
        <v>4140</v>
      </c>
      <c r="G400">
        <v>157482000</v>
      </c>
      <c r="H400" s="4">
        <f t="shared" si="12"/>
        <v>-9.5693779904306216E-3</v>
      </c>
      <c r="I400" s="4">
        <f t="shared" si="13"/>
        <v>-0.27048458149779736</v>
      </c>
    </row>
    <row r="401" spans="1:9" x14ac:dyDescent="0.2">
      <c r="A401" s="2">
        <f ca="1">IFERROR(__xludf.DUMMYFUNCTION("""COMPUTED_VALUE"""),45916.6666666666)</f>
        <v>45916.666666666599</v>
      </c>
      <c r="B401" s="2" t="s">
        <v>55</v>
      </c>
      <c r="C401">
        <v>4160</v>
      </c>
      <c r="D401">
        <v>4170</v>
      </c>
      <c r="E401">
        <v>4080</v>
      </c>
      <c r="F401">
        <v>4130</v>
      </c>
      <c r="G401">
        <v>167511900</v>
      </c>
      <c r="H401" s="4">
        <f t="shared" si="12"/>
        <v>-2.4154589371980675E-3</v>
      </c>
      <c r="I401" s="4">
        <f t="shared" si="13"/>
        <v>-0.27224669603524226</v>
      </c>
    </row>
    <row r="402" spans="1:9" x14ac:dyDescent="0.2">
      <c r="A402" s="2">
        <f ca="1">IFERROR(__xludf.DUMMYFUNCTION("""COMPUTED_VALUE"""),45917.6666666666)</f>
        <v>45917.666666666599</v>
      </c>
      <c r="B402" s="2" t="s">
        <v>55</v>
      </c>
      <c r="C402">
        <v>4160</v>
      </c>
      <c r="D402">
        <v>4220</v>
      </c>
      <c r="E402">
        <v>4120</v>
      </c>
      <c r="F402">
        <v>4220</v>
      </c>
      <c r="G402">
        <v>245154800</v>
      </c>
      <c r="H402" s="4">
        <f t="shared" si="12"/>
        <v>2.1791767554479417E-2</v>
      </c>
      <c r="I402" s="4">
        <f t="shared" si="13"/>
        <v>-0.25638766519823791</v>
      </c>
    </row>
    <row r="403" spans="1:9" x14ac:dyDescent="0.2">
      <c r="A403" s="2">
        <f ca="1">IFERROR(__xludf.DUMMYFUNCTION("""COMPUTED_VALUE"""),45918.6666666666)</f>
        <v>45918.666666666599</v>
      </c>
      <c r="B403" s="2" t="s">
        <v>55</v>
      </c>
      <c r="C403">
        <v>4270</v>
      </c>
      <c r="D403">
        <v>4270</v>
      </c>
      <c r="E403">
        <v>4210</v>
      </c>
      <c r="F403">
        <v>4250</v>
      </c>
      <c r="G403">
        <v>332670300</v>
      </c>
      <c r="H403" s="4">
        <f t="shared" si="12"/>
        <v>7.1090047393364926E-3</v>
      </c>
      <c r="I403" s="4">
        <f t="shared" si="13"/>
        <v>-0.25110132158590309</v>
      </c>
    </row>
    <row r="404" spans="1:9" x14ac:dyDescent="0.2">
      <c r="A404" s="2">
        <f ca="1">IFERROR(__xludf.DUMMYFUNCTION("""COMPUTED_VALUE"""),45919.6666666666)</f>
        <v>45919.666666666599</v>
      </c>
      <c r="B404" s="2" t="s">
        <v>55</v>
      </c>
      <c r="C404">
        <v>4230</v>
      </c>
      <c r="D404">
        <v>4250</v>
      </c>
      <c r="E404">
        <v>4180</v>
      </c>
      <c r="F404">
        <v>4250</v>
      </c>
      <c r="G404">
        <v>211373200</v>
      </c>
      <c r="H404" s="4">
        <f t="shared" si="12"/>
        <v>0</v>
      </c>
      <c r="I404" s="4">
        <f t="shared" si="13"/>
        <v>-0.25110132158590309</v>
      </c>
    </row>
    <row r="405" spans="1:9" x14ac:dyDescent="0.2">
      <c r="A405" s="2">
        <f ca="1">IFERROR(__xludf.DUMMYFUNCTION("""COMPUTED_VALUE"""),45922.6666666666)</f>
        <v>45922.666666666599</v>
      </c>
      <c r="B405" s="2" t="s">
        <v>55</v>
      </c>
      <c r="C405">
        <v>4250</v>
      </c>
      <c r="D405">
        <v>4250</v>
      </c>
      <c r="E405">
        <v>4110</v>
      </c>
      <c r="F405">
        <v>4160</v>
      </c>
      <c r="G405">
        <v>157592800</v>
      </c>
      <c r="H405" s="4">
        <f t="shared" si="12"/>
        <v>-2.1176470588235293E-2</v>
      </c>
      <c r="I405" s="4">
        <f t="shared" si="13"/>
        <v>-0.2669603524229075</v>
      </c>
    </row>
    <row r="406" spans="1:9" x14ac:dyDescent="0.2">
      <c r="A406" s="2">
        <f ca="1">IFERROR(__xludf.DUMMYFUNCTION("""COMPUTED_VALUE"""),45923.6666666666)</f>
        <v>45923.666666666599</v>
      </c>
      <c r="B406" s="2" t="s">
        <v>55</v>
      </c>
      <c r="C406">
        <v>4120</v>
      </c>
      <c r="D406">
        <v>4170</v>
      </c>
      <c r="E406">
        <v>4110</v>
      </c>
      <c r="F406">
        <v>4140</v>
      </c>
      <c r="G406">
        <v>110771700</v>
      </c>
      <c r="H406" s="4">
        <f t="shared" si="12"/>
        <v>-4.807692307692308E-3</v>
      </c>
      <c r="I406" s="4">
        <f t="shared" si="13"/>
        <v>-0.27048458149779736</v>
      </c>
    </row>
    <row r="407" spans="1:9" x14ac:dyDescent="0.2">
      <c r="A407" s="2">
        <f ca="1">IFERROR(__xludf.DUMMYFUNCTION("""COMPUTED_VALUE"""),45924.6666666666)</f>
        <v>45924.666666666599</v>
      </c>
      <c r="B407" s="2" t="s">
        <v>55</v>
      </c>
      <c r="C407">
        <v>4140</v>
      </c>
      <c r="D407">
        <v>4170</v>
      </c>
      <c r="E407">
        <v>4100</v>
      </c>
      <c r="F407">
        <v>4170</v>
      </c>
      <c r="G407">
        <v>124591600</v>
      </c>
      <c r="H407" s="4">
        <f t="shared" si="12"/>
        <v>7.246376811594203E-3</v>
      </c>
      <c r="I407" s="4">
        <f t="shared" si="13"/>
        <v>-0.26519823788546254</v>
      </c>
    </row>
    <row r="408" spans="1:9" x14ac:dyDescent="0.2">
      <c r="A408" s="2">
        <f ca="1">IFERROR(__xludf.DUMMYFUNCTION("""COMPUTED_VALUE"""),45925.6666666666)</f>
        <v>45925.666666666599</v>
      </c>
      <c r="B408" s="2" t="s">
        <v>55</v>
      </c>
      <c r="C408">
        <v>4170</v>
      </c>
      <c r="D408">
        <v>4170</v>
      </c>
      <c r="E408">
        <v>4050</v>
      </c>
      <c r="F408">
        <v>4070</v>
      </c>
      <c r="G408">
        <v>129656800</v>
      </c>
      <c r="H408" s="4">
        <f t="shared" si="12"/>
        <v>-2.3980815347721823E-2</v>
      </c>
      <c r="I408" s="4">
        <f t="shared" si="13"/>
        <v>-0.28281938325991191</v>
      </c>
    </row>
    <row r="409" spans="1:9" x14ac:dyDescent="0.2">
      <c r="A409" s="2">
        <f ca="1">IFERROR(__xludf.DUMMYFUNCTION("""COMPUTED_VALUE"""),45926.6666666666)</f>
        <v>45926.666666666599</v>
      </c>
      <c r="B409" s="2" t="s">
        <v>55</v>
      </c>
      <c r="C409">
        <v>4050</v>
      </c>
      <c r="D409">
        <v>4080</v>
      </c>
      <c r="E409">
        <v>4000</v>
      </c>
      <c r="F409">
        <v>4040</v>
      </c>
      <c r="G409">
        <v>146229200</v>
      </c>
      <c r="H409" s="4">
        <f t="shared" si="12"/>
        <v>-7.3710073710073713E-3</v>
      </c>
      <c r="I409" s="4">
        <f t="shared" si="13"/>
        <v>-0.28810572687224667</v>
      </c>
    </row>
    <row r="410" spans="1:9" x14ac:dyDescent="0.2">
      <c r="A410" s="2">
        <f ca="1">IFERROR(__xludf.DUMMYFUNCTION("""COMPUTED_VALUE"""),45929.6666666666)</f>
        <v>45929.666666666599</v>
      </c>
      <c r="B410" s="2" t="s">
        <v>55</v>
      </c>
      <c r="C410">
        <v>4040</v>
      </c>
      <c r="D410">
        <v>4040</v>
      </c>
      <c r="E410">
        <v>3960</v>
      </c>
      <c r="F410">
        <v>3980</v>
      </c>
      <c r="G410">
        <v>126611800</v>
      </c>
      <c r="H410" s="4">
        <f t="shared" si="12"/>
        <v>-1.4851485148514851E-2</v>
      </c>
      <c r="I410" s="4">
        <f t="shared" si="13"/>
        <v>-0.29867841409691631</v>
      </c>
    </row>
    <row r="411" spans="1:9" x14ac:dyDescent="0.2">
      <c r="A411" s="2">
        <f ca="1">IFERROR(__xludf.DUMMYFUNCTION("""COMPUTED_VALUE"""),45930.6666666666)</f>
        <v>45930.666666666599</v>
      </c>
      <c r="B411" s="2" t="s">
        <v>55</v>
      </c>
      <c r="C411">
        <v>3980</v>
      </c>
      <c r="D411">
        <v>3980</v>
      </c>
      <c r="E411">
        <v>3900</v>
      </c>
      <c r="F411">
        <v>3900</v>
      </c>
      <c r="G411">
        <v>217357100</v>
      </c>
      <c r="H411" s="4">
        <f t="shared" si="12"/>
        <v>-2.0100502512562814E-2</v>
      </c>
      <c r="I411" s="4">
        <f t="shared" si="13"/>
        <v>-0.31277533039647576</v>
      </c>
    </row>
    <row r="412" spans="1:9" x14ac:dyDescent="0.2">
      <c r="A412" s="2">
        <f ca="1">IFERROR(__xludf.DUMMYFUNCTION("""COMPUTED_VALUE"""),45931.6666666666)</f>
        <v>45931.666666666599</v>
      </c>
      <c r="B412" s="2" t="s">
        <v>55</v>
      </c>
      <c r="C412">
        <v>3860</v>
      </c>
      <c r="D412">
        <v>3940</v>
      </c>
      <c r="E412">
        <v>3800</v>
      </c>
      <c r="F412">
        <v>3810</v>
      </c>
      <c r="G412">
        <v>223133600</v>
      </c>
      <c r="H412" s="4">
        <f t="shared" si="12"/>
        <v>-2.3076923076923078E-2</v>
      </c>
      <c r="I412" s="4">
        <f t="shared" si="13"/>
        <v>-0.32863436123348017</v>
      </c>
    </row>
    <row r="413" spans="1:9" x14ac:dyDescent="0.2">
      <c r="A413" s="2">
        <f ca="1">IFERROR(__xludf.DUMMYFUNCTION("""COMPUTED_VALUE"""),45932.6666666666)</f>
        <v>45932.666666666599</v>
      </c>
      <c r="B413" s="2" t="s">
        <v>55</v>
      </c>
      <c r="C413">
        <v>3760</v>
      </c>
      <c r="D413">
        <v>3790</v>
      </c>
      <c r="E413">
        <v>3710</v>
      </c>
      <c r="F413">
        <v>3710</v>
      </c>
      <c r="G413">
        <v>379620000</v>
      </c>
      <c r="H413" s="4">
        <f t="shared" si="12"/>
        <v>-2.6246719160104987E-2</v>
      </c>
      <c r="I413" s="4">
        <f t="shared" si="13"/>
        <v>-0.34625550660792953</v>
      </c>
    </row>
    <row r="414" spans="1:9" x14ac:dyDescent="0.2">
      <c r="A414" s="2">
        <f ca="1">IFERROR(__xludf.DUMMYFUNCTION("""COMPUTED_VALUE"""),45933.6666666666)</f>
        <v>45933.666666666599</v>
      </c>
      <c r="B414" s="2" t="s">
        <v>55</v>
      </c>
      <c r="C414">
        <v>3710</v>
      </c>
      <c r="D414">
        <v>3750</v>
      </c>
      <c r="E414">
        <v>3680</v>
      </c>
      <c r="F414">
        <v>3690</v>
      </c>
      <c r="G414">
        <v>214737100</v>
      </c>
      <c r="H414" s="4">
        <f t="shared" si="12"/>
        <v>-5.3908355795148251E-3</v>
      </c>
      <c r="I414" s="4">
        <f t="shared" si="13"/>
        <v>-0.34977973568281939</v>
      </c>
    </row>
    <row r="415" spans="1:9" x14ac:dyDescent="0.2">
      <c r="A415" s="2">
        <f ca="1">IFERROR(__xludf.DUMMYFUNCTION("""COMPUTED_VALUE"""),45936.6666666666)</f>
        <v>45936.666666666599</v>
      </c>
      <c r="B415" s="2" t="s">
        <v>55</v>
      </c>
      <c r="C415">
        <v>3700</v>
      </c>
      <c r="D415">
        <v>3740</v>
      </c>
      <c r="E415">
        <v>3640</v>
      </c>
      <c r="F415">
        <v>3660</v>
      </c>
      <c r="G415">
        <v>190283900</v>
      </c>
      <c r="H415" s="4">
        <f t="shared" si="12"/>
        <v>-8.130081300813009E-3</v>
      </c>
      <c r="I415" s="4">
        <f t="shared" si="13"/>
        <v>-0.35506607929515416</v>
      </c>
    </row>
    <row r="416" spans="1:9" x14ac:dyDescent="0.2">
      <c r="A416" s="2">
        <f ca="1">IFERROR(__xludf.DUMMYFUNCTION("""COMPUTED_VALUE"""),45937.6666666666)</f>
        <v>45937.666666666599</v>
      </c>
      <c r="B416" s="2" t="s">
        <v>55</v>
      </c>
      <c r="C416">
        <v>3690</v>
      </c>
      <c r="D416">
        <v>3720</v>
      </c>
      <c r="E416">
        <v>3670</v>
      </c>
      <c r="F416">
        <v>3710</v>
      </c>
      <c r="G416">
        <v>155933000</v>
      </c>
      <c r="H416" s="4">
        <f t="shared" si="12"/>
        <v>1.3661202185792349E-2</v>
      </c>
      <c r="I416" s="4">
        <f t="shared" si="13"/>
        <v>-0.34625550660792953</v>
      </c>
    </row>
    <row r="417" spans="1:9" x14ac:dyDescent="0.2">
      <c r="A417" s="2">
        <f ca="1">IFERROR(__xludf.DUMMYFUNCTION("""COMPUTED_VALUE"""),45938.6666666666)</f>
        <v>45938.666666666599</v>
      </c>
      <c r="B417" s="2" t="s">
        <v>55</v>
      </c>
      <c r="C417">
        <v>3730</v>
      </c>
      <c r="D417">
        <v>3740</v>
      </c>
      <c r="E417">
        <v>3670</v>
      </c>
      <c r="F417">
        <v>3720</v>
      </c>
      <c r="G417">
        <v>148263700</v>
      </c>
      <c r="H417" s="4">
        <f t="shared" si="12"/>
        <v>2.6954177897574125E-3</v>
      </c>
      <c r="I417" s="4">
        <f t="shared" si="13"/>
        <v>-0.34449339207048457</v>
      </c>
    </row>
    <row r="418" spans="1:9" x14ac:dyDescent="0.2">
      <c r="A418" s="2">
        <f ca="1">IFERROR(__xludf.DUMMYFUNCTION("""COMPUTED_VALUE"""),45939.6666666666)</f>
        <v>45939.666666666599</v>
      </c>
      <c r="B418" s="2" t="s">
        <v>55</v>
      </c>
      <c r="C418">
        <v>3690</v>
      </c>
      <c r="D418">
        <v>3930</v>
      </c>
      <c r="E418">
        <v>3640</v>
      </c>
      <c r="F418">
        <v>3860</v>
      </c>
      <c r="G418">
        <v>479239500</v>
      </c>
      <c r="H418" s="4">
        <f t="shared" si="12"/>
        <v>3.7634408602150539E-2</v>
      </c>
      <c r="I418" s="4">
        <f t="shared" si="13"/>
        <v>-0.31982378854625548</v>
      </c>
    </row>
    <row r="419" spans="1:9" x14ac:dyDescent="0.2">
      <c r="A419" s="2">
        <f ca="1">IFERROR(__xludf.DUMMYFUNCTION("""COMPUTED_VALUE"""),45940.6666666666)</f>
        <v>45940.666666666599</v>
      </c>
      <c r="B419" s="2" t="s">
        <v>55</v>
      </c>
      <c r="C419">
        <v>3790</v>
      </c>
      <c r="D419">
        <v>3790</v>
      </c>
      <c r="E419">
        <v>3690</v>
      </c>
      <c r="F419">
        <v>3730</v>
      </c>
      <c r="G419">
        <v>277252300</v>
      </c>
      <c r="H419" s="4">
        <f t="shared" si="12"/>
        <v>-3.367875647668394E-2</v>
      </c>
      <c r="I419" s="4">
        <f t="shared" si="13"/>
        <v>-0.34273127753303967</v>
      </c>
    </row>
    <row r="420" spans="1:9" x14ac:dyDescent="0.2">
      <c r="A420" s="2">
        <f ca="1">IFERROR(__xludf.DUMMYFUNCTION("""COMPUTED_VALUE"""),45943.6666666666)</f>
        <v>45943.666666666599</v>
      </c>
      <c r="B420" s="2" t="s">
        <v>55</v>
      </c>
      <c r="C420">
        <v>3680</v>
      </c>
      <c r="D420">
        <v>3710</v>
      </c>
      <c r="E420">
        <v>3660</v>
      </c>
      <c r="F420">
        <v>3660</v>
      </c>
      <c r="G420">
        <v>181694400</v>
      </c>
      <c r="H420" s="4">
        <f t="shared" si="12"/>
        <v>-1.876675603217158E-2</v>
      </c>
      <c r="I420" s="4">
        <f t="shared" si="13"/>
        <v>-0.35506607929515416</v>
      </c>
    </row>
    <row r="421" spans="1:9" x14ac:dyDescent="0.2">
      <c r="A421" s="2">
        <f ca="1">IFERROR(__xludf.DUMMYFUNCTION("""COMPUTED_VALUE"""),45944.6666666666)</f>
        <v>45944.666666666599</v>
      </c>
      <c r="B421" s="2" t="s">
        <v>55</v>
      </c>
      <c r="C421">
        <v>3640</v>
      </c>
      <c r="D421">
        <v>3690</v>
      </c>
      <c r="E421">
        <v>3550</v>
      </c>
      <c r="F421">
        <v>3550</v>
      </c>
      <c r="G421">
        <v>278639100</v>
      </c>
      <c r="H421" s="4">
        <f t="shared" si="12"/>
        <v>-3.0054644808743168E-2</v>
      </c>
      <c r="I421" s="4">
        <f t="shared" si="13"/>
        <v>-0.37444933920704848</v>
      </c>
    </row>
    <row r="422" spans="1:9" x14ac:dyDescent="0.2">
      <c r="A422" s="2">
        <f ca="1">IFERROR(__xludf.DUMMYFUNCTION("""COMPUTED_VALUE"""),45945.6666666666)</f>
        <v>45945.666666666599</v>
      </c>
      <c r="B422" s="2" t="s">
        <v>55</v>
      </c>
      <c r="C422">
        <v>3570</v>
      </c>
      <c r="D422">
        <v>3590</v>
      </c>
      <c r="E422">
        <v>3450</v>
      </c>
      <c r="F422">
        <v>3500</v>
      </c>
      <c r="G422">
        <v>468733500</v>
      </c>
      <c r="H422" s="4">
        <f t="shared" si="12"/>
        <v>-1.4084507042253521E-2</v>
      </c>
      <c r="I422" s="4">
        <f t="shared" si="13"/>
        <v>-0.38325991189427311</v>
      </c>
    </row>
    <row r="423" spans="1:9" x14ac:dyDescent="0.2">
      <c r="A423" s="2">
        <f ca="1">IFERROR(__xludf.DUMMYFUNCTION("""COMPUTED_VALUE"""),45946.6666666666)</f>
        <v>45946.666666666599</v>
      </c>
      <c r="B423" s="2" t="s">
        <v>55</v>
      </c>
      <c r="C423">
        <v>3500</v>
      </c>
      <c r="D423">
        <v>3580</v>
      </c>
      <c r="E423">
        <v>3480</v>
      </c>
      <c r="F423">
        <v>3530</v>
      </c>
      <c r="G423">
        <v>227629500</v>
      </c>
      <c r="H423" s="4">
        <f t="shared" si="12"/>
        <v>8.5714285714285719E-3</v>
      </c>
      <c r="I423" s="4">
        <f t="shared" si="13"/>
        <v>-0.37797356828193834</v>
      </c>
    </row>
    <row r="424" spans="1:9" x14ac:dyDescent="0.2">
      <c r="A424" s="2">
        <f ca="1">IFERROR(__xludf.DUMMYFUNCTION("""COMPUTED_VALUE"""),45947.6666666666)</f>
        <v>45947.666666666599</v>
      </c>
      <c r="B424" s="2" t="s">
        <v>55</v>
      </c>
      <c r="C424">
        <v>3530</v>
      </c>
      <c r="D424">
        <v>3570</v>
      </c>
      <c r="E424">
        <v>3490</v>
      </c>
      <c r="F424">
        <v>3500</v>
      </c>
      <c r="G424">
        <v>244442400</v>
      </c>
      <c r="H424" s="4">
        <f t="shared" si="12"/>
        <v>-8.4985835694051E-3</v>
      </c>
      <c r="I424" s="4">
        <f t="shared" si="13"/>
        <v>-0.38325991189427311</v>
      </c>
    </row>
    <row r="425" spans="1:9" x14ac:dyDescent="0.2">
      <c r="A425" s="2">
        <f ca="1">IFERROR(__xludf.DUMMYFUNCTION("""COMPUTED_VALUE"""),45950.6666666666)</f>
        <v>45950.666666666599</v>
      </c>
      <c r="B425" s="2" t="s">
        <v>55</v>
      </c>
      <c r="C425">
        <v>3550</v>
      </c>
      <c r="D425">
        <v>3730</v>
      </c>
      <c r="E425">
        <v>3540</v>
      </c>
      <c r="F425">
        <v>3680</v>
      </c>
      <c r="G425">
        <v>391510300</v>
      </c>
      <c r="H425" s="4">
        <f t="shared" si="12"/>
        <v>5.1428571428571428E-2</v>
      </c>
      <c r="I425" s="4">
        <f t="shared" si="13"/>
        <v>-0.3515418502202643</v>
      </c>
    </row>
    <row r="426" spans="1:9" x14ac:dyDescent="0.2">
      <c r="A426" s="2">
        <f ca="1">IFERROR(__xludf.DUMMYFUNCTION("""COMPUTED_VALUE"""),45951.6666666666)</f>
        <v>45951.666666666599</v>
      </c>
      <c r="B426" s="2" t="s">
        <v>55</v>
      </c>
      <c r="C426">
        <v>3780</v>
      </c>
      <c r="D426">
        <v>3790</v>
      </c>
      <c r="E426">
        <v>3710</v>
      </c>
      <c r="F426">
        <v>3760</v>
      </c>
      <c r="G426">
        <v>293000200</v>
      </c>
      <c r="H426" s="4">
        <f t="shared" si="12"/>
        <v>2.1739130434782608E-2</v>
      </c>
      <c r="I426" s="4">
        <f t="shared" si="13"/>
        <v>-0.33744493392070485</v>
      </c>
    </row>
    <row r="427" spans="1:9" x14ac:dyDescent="0.2">
      <c r="A427" s="2">
        <f ca="1">IFERROR(__xludf.DUMMYFUNCTION("""COMPUTED_VALUE"""),45952.6666666666)</f>
        <v>45952.666666666599</v>
      </c>
      <c r="B427" s="2" t="s">
        <v>55</v>
      </c>
      <c r="C427">
        <v>3790</v>
      </c>
      <c r="D427">
        <v>3820</v>
      </c>
      <c r="E427">
        <v>3680</v>
      </c>
      <c r="F427">
        <v>3700</v>
      </c>
      <c r="G427">
        <v>329470700</v>
      </c>
      <c r="H427" s="4">
        <f t="shared" si="12"/>
        <v>-1.5957446808510637E-2</v>
      </c>
      <c r="I427" s="4">
        <f t="shared" si="13"/>
        <v>-0.34801762114537443</v>
      </c>
    </row>
    <row r="428" spans="1:9" x14ac:dyDescent="0.2">
      <c r="A428" s="2">
        <f ca="1">IFERROR(__xludf.DUMMYFUNCTION("""COMPUTED_VALUE"""),45953.6666666666)</f>
        <v>45953.666666666599</v>
      </c>
      <c r="B428" s="2" t="s">
        <v>55</v>
      </c>
      <c r="C428">
        <v>3720</v>
      </c>
      <c r="D428">
        <v>3820</v>
      </c>
      <c r="E428">
        <v>3700</v>
      </c>
      <c r="F428">
        <v>3820</v>
      </c>
      <c r="G428">
        <v>225902700</v>
      </c>
      <c r="H428" s="4">
        <f t="shared" si="12"/>
        <v>3.2432432432432434E-2</v>
      </c>
      <c r="I428" s="4">
        <f t="shared" si="13"/>
        <v>-0.32687224669603526</v>
      </c>
    </row>
    <row r="429" spans="1:9" x14ac:dyDescent="0.2">
      <c r="A429" s="2">
        <f ca="1">IFERROR(__xludf.DUMMYFUNCTION("""COMPUTED_VALUE"""),45954.6666666666)</f>
        <v>45954.666666666599</v>
      </c>
      <c r="B429" s="2" t="s">
        <v>55</v>
      </c>
      <c r="C429">
        <v>3820</v>
      </c>
      <c r="D429">
        <v>3910</v>
      </c>
      <c r="E429">
        <v>3820</v>
      </c>
      <c r="F429">
        <v>3850</v>
      </c>
      <c r="G429">
        <v>313903600</v>
      </c>
      <c r="H429" s="4">
        <f t="shared" si="12"/>
        <v>7.8534031413612562E-3</v>
      </c>
      <c r="I429" s="4">
        <f t="shared" si="13"/>
        <v>-0.32158590308370044</v>
      </c>
    </row>
    <row r="430" spans="1:9" x14ac:dyDescent="0.2">
      <c r="A430" s="2">
        <f ca="1">IFERROR(__xludf.DUMMYFUNCTION("""COMPUTED_VALUE"""),45957.6666666666)</f>
        <v>45957.666666666599</v>
      </c>
      <c r="B430" s="2" t="s">
        <v>55</v>
      </c>
      <c r="C430">
        <v>3880</v>
      </c>
      <c r="D430">
        <v>3930</v>
      </c>
      <c r="E430">
        <v>3750</v>
      </c>
      <c r="F430">
        <v>3860</v>
      </c>
      <c r="G430">
        <v>332539600</v>
      </c>
      <c r="H430" s="4">
        <f t="shared" si="12"/>
        <v>2.5974025974025974E-3</v>
      </c>
      <c r="I430" s="4">
        <f t="shared" si="13"/>
        <v>-0.31982378854625548</v>
      </c>
    </row>
    <row r="431" spans="1:9" x14ac:dyDescent="0.2">
      <c r="A431" s="2">
        <f ca="1">IFERROR(__xludf.DUMMYFUNCTION("""COMPUTED_VALUE"""),45958.6666666666)</f>
        <v>45958.666666666599</v>
      </c>
      <c r="B431" s="2" t="s">
        <v>55</v>
      </c>
      <c r="C431">
        <v>3850</v>
      </c>
      <c r="D431">
        <v>3860</v>
      </c>
      <c r="E431">
        <v>3780</v>
      </c>
      <c r="F431">
        <v>3850</v>
      </c>
      <c r="G431">
        <v>239026800</v>
      </c>
      <c r="H431" s="4">
        <f t="shared" si="12"/>
        <v>-2.5906735751295338E-3</v>
      </c>
      <c r="I431" s="4">
        <f t="shared" si="13"/>
        <v>-0.32158590308370044</v>
      </c>
    </row>
    <row r="432" spans="1:9" x14ac:dyDescent="0.2">
      <c r="A432" s="2">
        <f ca="1">IFERROR(__xludf.DUMMYFUNCTION("""COMPUTED_VALUE"""),45959.6666666666)</f>
        <v>45959.666666666599</v>
      </c>
      <c r="B432" s="2" t="s">
        <v>55</v>
      </c>
      <c r="C432">
        <v>3830</v>
      </c>
      <c r="D432">
        <v>3890</v>
      </c>
      <c r="E432">
        <v>3790</v>
      </c>
      <c r="F432">
        <v>3890</v>
      </c>
      <c r="G432">
        <v>215008600</v>
      </c>
      <c r="H432" s="4">
        <f t="shared" si="12"/>
        <v>1.038961038961039E-2</v>
      </c>
      <c r="I432" s="4">
        <f t="shared" si="13"/>
        <v>-0.31453744493392072</v>
      </c>
    </row>
    <row r="433" spans="1:9" x14ac:dyDescent="0.2">
      <c r="A433" s="2">
        <f ca="1">IFERROR(__xludf.DUMMYFUNCTION("""COMPUTED_VALUE"""),45960.6666666666)</f>
        <v>45960.666666666599</v>
      </c>
      <c r="B433" s="2" t="s">
        <v>55</v>
      </c>
      <c r="C433">
        <v>3900</v>
      </c>
      <c r="D433">
        <v>3990</v>
      </c>
      <c r="E433">
        <v>3870</v>
      </c>
      <c r="F433">
        <v>3910</v>
      </c>
      <c r="G433">
        <v>287905300</v>
      </c>
      <c r="H433" s="4">
        <f t="shared" si="12"/>
        <v>5.1413881748071976E-3</v>
      </c>
      <c r="I433" s="4">
        <f t="shared" si="13"/>
        <v>-0.31101321585903086</v>
      </c>
    </row>
    <row r="434" spans="1:9" x14ac:dyDescent="0.2">
      <c r="A434" s="2">
        <f ca="1">IFERROR(__xludf.DUMMYFUNCTION("""COMPUTED_VALUE"""),45961.6666666666)</f>
        <v>45961.666666666599</v>
      </c>
      <c r="B434" s="2" t="s">
        <v>55</v>
      </c>
      <c r="C434">
        <v>3930</v>
      </c>
      <c r="D434">
        <v>4020</v>
      </c>
      <c r="E434">
        <v>3920</v>
      </c>
      <c r="F434">
        <v>3980</v>
      </c>
      <c r="G434">
        <v>348755700</v>
      </c>
      <c r="H434" s="4">
        <f t="shared" si="12"/>
        <v>1.7902813299232736E-2</v>
      </c>
      <c r="I434" s="4">
        <f t="shared" si="13"/>
        <v>-0.29867841409691631</v>
      </c>
    </row>
    <row r="435" spans="1:9" x14ac:dyDescent="0.2">
      <c r="A435" s="2">
        <f ca="1">IFERROR(__xludf.DUMMYFUNCTION("""COMPUTED_VALUE"""),45964.6666666666)</f>
        <v>45964.666666666599</v>
      </c>
      <c r="B435" s="2" t="s">
        <v>55</v>
      </c>
      <c r="C435">
        <v>4050</v>
      </c>
      <c r="D435">
        <v>4050</v>
      </c>
      <c r="E435">
        <v>4010</v>
      </c>
      <c r="F435">
        <v>4040</v>
      </c>
      <c r="G435">
        <v>163770500</v>
      </c>
      <c r="H435" s="4">
        <f t="shared" si="12"/>
        <v>1.507537688442211E-2</v>
      </c>
      <c r="I435" s="4">
        <f t="shared" si="13"/>
        <v>-0.28810572687224667</v>
      </c>
    </row>
    <row r="436" spans="1:9" x14ac:dyDescent="0.2">
      <c r="A436" s="2">
        <f ca="1">IFERROR(__xludf.DUMMYFUNCTION("""COMPUTED_VALUE"""),45965.6666666666)</f>
        <v>45965.666666666599</v>
      </c>
      <c r="B436" s="2" t="s">
        <v>55</v>
      </c>
      <c r="C436">
        <v>4030</v>
      </c>
      <c r="D436">
        <v>4050</v>
      </c>
      <c r="E436">
        <v>3970</v>
      </c>
      <c r="F436">
        <v>3970</v>
      </c>
      <c r="G436">
        <v>241154700</v>
      </c>
      <c r="H436" s="4">
        <f t="shared" si="12"/>
        <v>-1.7326732673267328E-2</v>
      </c>
      <c r="I436" s="4">
        <f t="shared" si="13"/>
        <v>-0.30044052863436121</v>
      </c>
    </row>
    <row r="437" spans="1:9" x14ac:dyDescent="0.2">
      <c r="A437" s="2">
        <f ca="1">IFERROR(__xludf.DUMMYFUNCTION("""COMPUTED_VALUE"""),45966.6666666666)</f>
        <v>45966.666666666599</v>
      </c>
      <c r="B437" s="2" t="s">
        <v>55</v>
      </c>
      <c r="C437">
        <v>3940</v>
      </c>
      <c r="D437">
        <v>3990</v>
      </c>
      <c r="E437">
        <v>3910</v>
      </c>
      <c r="F437">
        <v>3980</v>
      </c>
      <c r="G437">
        <v>139859100</v>
      </c>
      <c r="H437" s="4">
        <f t="shared" si="12"/>
        <v>2.5188916876574307E-3</v>
      </c>
      <c r="I437" s="4">
        <f t="shared" si="13"/>
        <v>-0.29867841409691631</v>
      </c>
    </row>
    <row r="438" spans="1:9" x14ac:dyDescent="0.2">
      <c r="A438" s="2">
        <f ca="1">IFERROR(__xludf.DUMMYFUNCTION("""COMPUTED_VALUE"""),45967.6666666666)</f>
        <v>45967.666666666599</v>
      </c>
      <c r="B438" s="2" t="s">
        <v>55</v>
      </c>
      <c r="C438">
        <v>3980</v>
      </c>
      <c r="D438">
        <v>4010</v>
      </c>
      <c r="E438">
        <v>3950</v>
      </c>
      <c r="F438">
        <v>4000</v>
      </c>
      <c r="G438">
        <v>130808100</v>
      </c>
      <c r="H438" s="4">
        <f t="shared" si="12"/>
        <v>5.0251256281407036E-3</v>
      </c>
      <c r="I438" s="4">
        <f t="shared" si="13"/>
        <v>-0.29515418502202645</v>
      </c>
    </row>
    <row r="439" spans="1:9" x14ac:dyDescent="0.2">
      <c r="A439" s="2">
        <f ca="1">IFERROR(__xludf.DUMMYFUNCTION("""COMPUTED_VALUE"""),45968.6666666666)</f>
        <v>45968.666666666599</v>
      </c>
      <c r="B439" s="2" t="s">
        <v>55</v>
      </c>
      <c r="C439">
        <v>4000</v>
      </c>
      <c r="D439">
        <v>4010</v>
      </c>
      <c r="E439">
        <v>3980</v>
      </c>
      <c r="F439">
        <v>3980</v>
      </c>
      <c r="G439">
        <v>87287600</v>
      </c>
      <c r="H439" s="4">
        <f t="shared" si="12"/>
        <v>-5.0000000000000001E-3</v>
      </c>
      <c r="I439" s="4">
        <f t="shared" si="13"/>
        <v>-0.29867841409691631</v>
      </c>
    </row>
    <row r="440" spans="1:9" x14ac:dyDescent="0.2">
      <c r="A440" s="2">
        <f ca="1">IFERROR(__xludf.DUMMYFUNCTION("""COMPUTED_VALUE"""),45971.6666666666)</f>
        <v>45971.666666666599</v>
      </c>
      <c r="B440" s="2" t="s">
        <v>55</v>
      </c>
      <c r="C440">
        <v>4010</v>
      </c>
      <c r="D440">
        <v>4020</v>
      </c>
      <c r="E440">
        <v>3930</v>
      </c>
      <c r="F440">
        <v>3930</v>
      </c>
      <c r="G440">
        <v>148552900</v>
      </c>
      <c r="H440" s="4">
        <f t="shared" si="12"/>
        <v>-1.2562814070351759E-2</v>
      </c>
      <c r="I440" s="4">
        <f t="shared" si="13"/>
        <v>-0.30748898678414099</v>
      </c>
    </row>
    <row r="441" spans="1:9" x14ac:dyDescent="0.2">
      <c r="A441" s="2">
        <f ca="1">IFERROR(__xludf.DUMMYFUNCTION("""COMPUTED_VALUE"""),45972.6666666666)</f>
        <v>45972.666666666599</v>
      </c>
      <c r="B441" s="2" t="s">
        <v>55</v>
      </c>
      <c r="C441">
        <v>3940</v>
      </c>
      <c r="D441">
        <v>3960</v>
      </c>
      <c r="E441">
        <v>3860</v>
      </c>
      <c r="F441">
        <v>3890</v>
      </c>
      <c r="G441">
        <v>179000200</v>
      </c>
      <c r="H441" s="4">
        <f t="shared" si="12"/>
        <v>-1.0178117048346057E-2</v>
      </c>
      <c r="I441" s="4">
        <f t="shared" si="13"/>
        <v>-0.31453744493392072</v>
      </c>
    </row>
    <row r="442" spans="1:9" x14ac:dyDescent="0.2">
      <c r="A442" s="2">
        <f ca="1">IFERROR(__xludf.DUMMYFUNCTION("""COMPUTED_VALUE"""),45973.6666666666)</f>
        <v>45973.666666666599</v>
      </c>
      <c r="B442" s="2" t="s">
        <v>55</v>
      </c>
      <c r="C442">
        <v>3890</v>
      </c>
      <c r="D442">
        <v>3950</v>
      </c>
      <c r="E442">
        <v>3890</v>
      </c>
      <c r="F442">
        <v>3900</v>
      </c>
      <c r="G442">
        <v>111115400</v>
      </c>
      <c r="H442" s="4">
        <f t="shared" si="12"/>
        <v>2.5706940874035988E-3</v>
      </c>
      <c r="I442" s="4">
        <f t="shared" si="13"/>
        <v>-0.31277533039647576</v>
      </c>
    </row>
    <row r="443" spans="1:9" x14ac:dyDescent="0.2">
      <c r="A443" s="2">
        <f ca="1">IFERROR(__xludf.DUMMYFUNCTION("""COMPUTED_VALUE"""),45974.6666666666)</f>
        <v>45974.666666666599</v>
      </c>
      <c r="B443" s="2" t="s">
        <v>55</v>
      </c>
      <c r="C443">
        <v>3900</v>
      </c>
      <c r="D443">
        <v>3910</v>
      </c>
      <c r="E443">
        <v>3870</v>
      </c>
      <c r="F443">
        <v>3870</v>
      </c>
      <c r="G443">
        <v>99373200</v>
      </c>
      <c r="H443" s="4">
        <f t="shared" si="12"/>
        <v>-7.6923076923076927E-3</v>
      </c>
      <c r="I443" s="4">
        <f t="shared" si="13"/>
        <v>-0.31806167400881058</v>
      </c>
    </row>
    <row r="444" spans="1:9" x14ac:dyDescent="0.2">
      <c r="A444" s="2">
        <f ca="1">IFERROR(__xludf.DUMMYFUNCTION("""COMPUTED_VALUE"""),45975.6666666666)</f>
        <v>45975.666666666599</v>
      </c>
      <c r="B444" s="2" t="s">
        <v>55</v>
      </c>
      <c r="C444">
        <v>3860</v>
      </c>
      <c r="D444">
        <v>3930</v>
      </c>
      <c r="E444">
        <v>3860</v>
      </c>
      <c r="F444">
        <v>3900</v>
      </c>
      <c r="G444">
        <v>100717300</v>
      </c>
      <c r="H444" s="4">
        <f t="shared" si="12"/>
        <v>7.7519379844961239E-3</v>
      </c>
      <c r="I444" s="4">
        <f t="shared" si="13"/>
        <v>-0.31277533039647576</v>
      </c>
    </row>
    <row r="445" spans="1:9" x14ac:dyDescent="0.2">
      <c r="A445" s="2">
        <f ca="1">IFERROR(__xludf.DUMMYFUNCTION("""COMPUTED_VALUE"""),45978.6666666666)</f>
        <v>45978.666666666599</v>
      </c>
      <c r="B445" s="2" t="s">
        <v>55</v>
      </c>
      <c r="C445">
        <v>3880</v>
      </c>
      <c r="D445">
        <v>3950</v>
      </c>
      <c r="E445">
        <v>3880</v>
      </c>
      <c r="F445">
        <v>3940</v>
      </c>
      <c r="G445">
        <v>140868100</v>
      </c>
      <c r="H445" s="4">
        <f t="shared" si="12"/>
        <v>1.0256410256410256E-2</v>
      </c>
      <c r="I445" s="4">
        <f t="shared" si="13"/>
        <v>-0.30572687224669604</v>
      </c>
    </row>
    <row r="446" spans="1:9" x14ac:dyDescent="0.2">
      <c r="A446" s="2">
        <f ca="1">IFERROR(__xludf.DUMMYFUNCTION("""COMPUTED_VALUE"""),45979.6666666666)</f>
        <v>45979.666666666599</v>
      </c>
      <c r="B446" s="2" t="s">
        <v>55</v>
      </c>
      <c r="C446">
        <v>3950</v>
      </c>
      <c r="D446">
        <v>3990</v>
      </c>
      <c r="E446">
        <v>3930</v>
      </c>
      <c r="F446">
        <v>3970</v>
      </c>
      <c r="G446">
        <v>205257700</v>
      </c>
      <c r="H446" s="4">
        <f t="shared" si="12"/>
        <v>7.6142131979695434E-3</v>
      </c>
      <c r="I446" s="4">
        <f t="shared" si="13"/>
        <v>-0.30044052863436121</v>
      </c>
    </row>
    <row r="447" spans="1:9" x14ac:dyDescent="0.2">
      <c r="A447" s="2">
        <f ca="1">IFERROR(__xludf.DUMMYFUNCTION("""COMPUTED_VALUE"""),45980.6666666666)</f>
        <v>45980.666666666599</v>
      </c>
      <c r="B447" s="2" t="s">
        <v>55</v>
      </c>
      <c r="C447">
        <v>3990</v>
      </c>
      <c r="D447">
        <v>4000</v>
      </c>
      <c r="E447">
        <v>3970</v>
      </c>
      <c r="F447">
        <v>4000</v>
      </c>
      <c r="G447">
        <v>107451000</v>
      </c>
      <c r="H447" s="4">
        <f t="shared" si="12"/>
        <v>7.556675062972292E-3</v>
      </c>
      <c r="I447" s="4">
        <f t="shared" si="13"/>
        <v>-0.29515418502202645</v>
      </c>
    </row>
    <row r="448" spans="1:9" x14ac:dyDescent="0.2">
      <c r="A448" s="2">
        <f ca="1">IFERROR(__xludf.DUMMYFUNCTION("""COMPUTED_VALUE"""),45981.6666666666)</f>
        <v>45981.666666666599</v>
      </c>
      <c r="B448" s="2" t="s">
        <v>55</v>
      </c>
      <c r="C448">
        <v>4020</v>
      </c>
      <c r="D448">
        <v>4050</v>
      </c>
      <c r="E448">
        <v>3990</v>
      </c>
      <c r="F448">
        <v>3990</v>
      </c>
      <c r="G448">
        <v>183008400</v>
      </c>
      <c r="H448" s="4">
        <f t="shared" si="12"/>
        <v>-2.5000000000000001E-3</v>
      </c>
      <c r="I448" s="4">
        <f t="shared" si="13"/>
        <v>-0.29691629955947135</v>
      </c>
    </row>
    <row r="449" spans="1:9" x14ac:dyDescent="0.2">
      <c r="A449" s="2">
        <f ca="1">IFERROR(__xludf.DUMMYFUNCTION("""COMPUTED_VALUE"""),45982.6666666666)</f>
        <v>45982.666666666599</v>
      </c>
      <c r="B449" s="2" t="s">
        <v>55</v>
      </c>
      <c r="C449">
        <v>3980</v>
      </c>
      <c r="D449">
        <v>4000</v>
      </c>
      <c r="E449">
        <v>3940</v>
      </c>
      <c r="F449">
        <v>3960</v>
      </c>
      <c r="G449">
        <v>112666100</v>
      </c>
      <c r="H449" s="4">
        <f t="shared" si="12"/>
        <v>-7.5187969924812026E-3</v>
      </c>
      <c r="I449" s="4">
        <f t="shared" si="13"/>
        <v>-0.30220264317180617</v>
      </c>
    </row>
    <row r="450" spans="1:9" x14ac:dyDescent="0.2">
      <c r="A450" s="2">
        <f ca="1">IFERROR(__xludf.DUMMYFUNCTION("""COMPUTED_VALUE"""),45985.6666666666)</f>
        <v>45985.666666666599</v>
      </c>
      <c r="B450" s="2" t="s">
        <v>55</v>
      </c>
      <c r="C450">
        <v>4000</v>
      </c>
      <c r="D450">
        <v>4000</v>
      </c>
      <c r="E450">
        <v>3940</v>
      </c>
      <c r="F450">
        <v>3980</v>
      </c>
      <c r="G450">
        <v>262302000</v>
      </c>
      <c r="H450" s="4">
        <f t="shared" si="12"/>
        <v>5.0505050505050509E-3</v>
      </c>
      <c r="I450" s="4">
        <f t="shared" si="13"/>
        <v>-0.29867841409691631</v>
      </c>
    </row>
    <row r="451" spans="1:9" x14ac:dyDescent="0.2">
      <c r="A451" s="2">
        <f ca="1">IFERROR(__xludf.DUMMYFUNCTION("""COMPUTED_VALUE"""),45986.6666666666)</f>
        <v>45986.666666666599</v>
      </c>
      <c r="B451" s="2" t="s">
        <v>55</v>
      </c>
      <c r="C451">
        <v>3980</v>
      </c>
      <c r="D451">
        <v>3980</v>
      </c>
      <c r="E451">
        <v>3830</v>
      </c>
      <c r="F451">
        <v>3830</v>
      </c>
      <c r="G451">
        <v>396959100</v>
      </c>
      <c r="H451" s="4">
        <f t="shared" si="12"/>
        <v>-3.7688442211055273E-2</v>
      </c>
      <c r="I451" s="4">
        <f t="shared" si="13"/>
        <v>-0.3251101321585903</v>
      </c>
    </row>
    <row r="452" spans="1:9" x14ac:dyDescent="0.2">
      <c r="A452" s="2">
        <f ca="1">IFERROR(__xludf.DUMMYFUNCTION("""COMPUTED_VALUE"""),45987.6666666666)</f>
        <v>45987.666666666599</v>
      </c>
      <c r="B452" s="2" t="s">
        <v>55</v>
      </c>
      <c r="C452">
        <v>3800</v>
      </c>
      <c r="D452">
        <v>3830</v>
      </c>
      <c r="E452">
        <v>3780</v>
      </c>
      <c r="F452">
        <v>3790</v>
      </c>
      <c r="G452">
        <v>288419400</v>
      </c>
      <c r="H452" s="4">
        <f t="shared" ref="H452:H474" si="14">(F452-F451)/F451</f>
        <v>-1.0443864229765013E-2</v>
      </c>
      <c r="I452" s="4">
        <f t="shared" ref="I452:I474" si="15">(F452-$F$2)/$F$2</f>
        <v>-0.33215859030837003</v>
      </c>
    </row>
    <row r="453" spans="1:9" x14ac:dyDescent="0.2">
      <c r="A453" s="2">
        <f ca="1">IFERROR(__xludf.DUMMYFUNCTION("""COMPUTED_VALUE"""),45988.6666666666)</f>
        <v>45988.666666666599</v>
      </c>
      <c r="B453" s="2" t="s">
        <v>55</v>
      </c>
      <c r="C453">
        <v>3800</v>
      </c>
      <c r="D453">
        <v>3810</v>
      </c>
      <c r="E453">
        <v>3720</v>
      </c>
      <c r="F453">
        <v>3740</v>
      </c>
      <c r="G453">
        <v>283451800</v>
      </c>
      <c r="H453" s="4">
        <f t="shared" si="14"/>
        <v>-1.3192612137203167E-2</v>
      </c>
      <c r="I453" s="4">
        <f t="shared" si="15"/>
        <v>-0.34096916299559471</v>
      </c>
    </row>
    <row r="454" spans="1:9" x14ac:dyDescent="0.2">
      <c r="A454" s="2">
        <f ca="1">IFERROR(__xludf.DUMMYFUNCTION("""COMPUTED_VALUE"""),45989.6666666666)</f>
        <v>45989.666666666599</v>
      </c>
      <c r="B454" s="2" t="s">
        <v>55</v>
      </c>
      <c r="C454">
        <v>3710</v>
      </c>
      <c r="D454">
        <v>3750</v>
      </c>
      <c r="E454">
        <v>3680</v>
      </c>
      <c r="F454">
        <v>3680</v>
      </c>
      <c r="G454">
        <v>353872800</v>
      </c>
      <c r="H454" s="4">
        <f t="shared" si="14"/>
        <v>-1.6042780748663103E-2</v>
      </c>
      <c r="I454" s="4">
        <f t="shared" si="15"/>
        <v>-0.3515418502202643</v>
      </c>
    </row>
    <row r="455" spans="1:9" x14ac:dyDescent="0.2">
      <c r="A455" s="2">
        <f ca="1">IFERROR(__xludf.DUMMYFUNCTION("""COMPUTED_VALUE"""),45992.6666666666)</f>
        <v>45992.666666666599</v>
      </c>
      <c r="B455" s="2" t="s">
        <v>55</v>
      </c>
      <c r="C455">
        <v>3680</v>
      </c>
      <c r="D455">
        <v>3730</v>
      </c>
      <c r="E455">
        <v>3660</v>
      </c>
      <c r="F455">
        <v>3670</v>
      </c>
      <c r="G455">
        <v>299669500</v>
      </c>
      <c r="H455" s="4">
        <f t="shared" si="14"/>
        <v>-2.717391304347826E-3</v>
      </c>
      <c r="I455" s="4">
        <f t="shared" si="15"/>
        <v>-0.35330396475770925</v>
      </c>
    </row>
    <row r="456" spans="1:9" x14ac:dyDescent="0.2">
      <c r="A456" s="2">
        <f ca="1">IFERROR(__xludf.DUMMYFUNCTION("""COMPUTED_VALUE"""),45993.6666666666)</f>
        <v>45993.666666666599</v>
      </c>
      <c r="B456" s="2" t="s">
        <v>55</v>
      </c>
      <c r="C456">
        <v>3690</v>
      </c>
      <c r="D456">
        <v>3730</v>
      </c>
      <c r="E456">
        <v>3670</v>
      </c>
      <c r="F456">
        <v>3710</v>
      </c>
      <c r="G456">
        <v>277714300</v>
      </c>
      <c r="H456" s="4">
        <f t="shared" si="14"/>
        <v>1.0899182561307902E-2</v>
      </c>
      <c r="I456" s="4">
        <f t="shared" si="15"/>
        <v>-0.34625550660792953</v>
      </c>
    </row>
    <row r="457" spans="1:9" x14ac:dyDescent="0.2">
      <c r="A457" s="2">
        <f ca="1">IFERROR(__xludf.DUMMYFUNCTION("""COMPUTED_VALUE"""),45994.6666666666)</f>
        <v>45994.666666666599</v>
      </c>
      <c r="B457" s="2" t="s">
        <v>55</v>
      </c>
      <c r="C457">
        <v>3690</v>
      </c>
      <c r="D457">
        <v>3700</v>
      </c>
      <c r="E457">
        <v>3660</v>
      </c>
      <c r="F457">
        <v>3660</v>
      </c>
      <c r="G457">
        <v>225357100</v>
      </c>
      <c r="H457" s="4">
        <f t="shared" si="14"/>
        <v>-1.3477088948787063E-2</v>
      </c>
      <c r="I457" s="4">
        <f t="shared" si="15"/>
        <v>-0.35506607929515416</v>
      </c>
    </row>
    <row r="458" spans="1:9" x14ac:dyDescent="0.2">
      <c r="A458" s="2">
        <f ca="1">IFERROR(__xludf.DUMMYFUNCTION("""COMPUTED_VALUE"""),45995.6666666666)</f>
        <v>45995.666666666599</v>
      </c>
      <c r="B458" s="2" t="s">
        <v>55</v>
      </c>
      <c r="C458">
        <v>3660</v>
      </c>
      <c r="D458">
        <v>3690</v>
      </c>
      <c r="E458">
        <v>3650</v>
      </c>
      <c r="F458">
        <v>3690</v>
      </c>
      <c r="G458">
        <v>221121100</v>
      </c>
      <c r="H458" s="4">
        <f t="shared" si="14"/>
        <v>8.1967213114754103E-3</v>
      </c>
      <c r="I458" s="4">
        <f t="shared" si="15"/>
        <v>-0.34977973568281939</v>
      </c>
    </row>
    <row r="459" spans="1:9" x14ac:dyDescent="0.2">
      <c r="A459" s="2">
        <f ca="1">IFERROR(__xludf.DUMMYFUNCTION("""COMPUTED_VALUE"""),45996.6666666666)</f>
        <v>45996.666666666599</v>
      </c>
      <c r="B459" s="2" t="s">
        <v>55</v>
      </c>
      <c r="C459">
        <v>3700</v>
      </c>
      <c r="D459">
        <v>3700</v>
      </c>
      <c r="E459">
        <v>3650</v>
      </c>
      <c r="F459">
        <v>3650</v>
      </c>
      <c r="G459">
        <v>156161100</v>
      </c>
      <c r="H459" s="4">
        <f t="shared" si="14"/>
        <v>-1.0840108401084011E-2</v>
      </c>
      <c r="I459" s="4">
        <f t="shared" si="15"/>
        <v>-0.35682819383259912</v>
      </c>
    </row>
    <row r="460" spans="1:9" x14ac:dyDescent="0.2">
      <c r="A460" s="2">
        <f ca="1">IFERROR(__xludf.DUMMYFUNCTION("""COMPUTED_VALUE"""),45999.6666666666)</f>
        <v>45999.666666666599</v>
      </c>
      <c r="B460" s="2" t="s">
        <v>55</v>
      </c>
      <c r="C460">
        <v>3680</v>
      </c>
      <c r="D460">
        <v>3690</v>
      </c>
      <c r="E460">
        <v>3660</v>
      </c>
      <c r="F460">
        <v>3670</v>
      </c>
      <c r="G460">
        <v>124094700</v>
      </c>
      <c r="H460" s="4">
        <f t="shared" si="14"/>
        <v>5.4794520547945206E-3</v>
      </c>
      <c r="I460" s="4">
        <f t="shared" si="15"/>
        <v>-0.35330396475770925</v>
      </c>
    </row>
    <row r="461" spans="1:9" x14ac:dyDescent="0.2">
      <c r="A461" s="2">
        <f ca="1">IFERROR(__xludf.DUMMYFUNCTION("""COMPUTED_VALUE"""),46000.6666666666)</f>
        <v>46000.666666666599</v>
      </c>
      <c r="B461" s="2" t="s">
        <v>55</v>
      </c>
      <c r="C461">
        <v>3700</v>
      </c>
      <c r="D461">
        <v>3700</v>
      </c>
      <c r="E461">
        <v>3650</v>
      </c>
      <c r="F461">
        <v>3680</v>
      </c>
      <c r="G461">
        <v>201089800</v>
      </c>
      <c r="H461" s="4">
        <f t="shared" si="14"/>
        <v>2.7247956403269754E-3</v>
      </c>
      <c r="I461" s="4">
        <f t="shared" si="15"/>
        <v>-0.3515418502202643</v>
      </c>
    </row>
    <row r="462" spans="1:9" x14ac:dyDescent="0.2">
      <c r="A462" s="2">
        <f ca="1">IFERROR(__xludf.DUMMYFUNCTION("""COMPUTED_VALUE"""),46001.6666666666)</f>
        <v>46001.666666666599</v>
      </c>
      <c r="B462" s="2" t="s">
        <v>55</v>
      </c>
      <c r="C462">
        <v>3680</v>
      </c>
      <c r="D462">
        <v>3680</v>
      </c>
      <c r="E462">
        <v>3650</v>
      </c>
      <c r="F462">
        <v>3660</v>
      </c>
      <c r="G462">
        <v>172677700</v>
      </c>
      <c r="H462" s="4">
        <f t="shared" si="14"/>
        <v>-5.434782608695652E-3</v>
      </c>
      <c r="I462" s="4">
        <f t="shared" si="15"/>
        <v>-0.35506607929515416</v>
      </c>
    </row>
    <row r="463" spans="1:9" x14ac:dyDescent="0.2">
      <c r="A463" s="2">
        <f ca="1">IFERROR(__xludf.DUMMYFUNCTION("""COMPUTED_VALUE"""),46002.6666666666)</f>
        <v>46002.666666666599</v>
      </c>
      <c r="B463" s="2" t="s">
        <v>55</v>
      </c>
      <c r="C463">
        <v>3680</v>
      </c>
      <c r="D463">
        <v>3700</v>
      </c>
      <c r="E463">
        <v>3580</v>
      </c>
      <c r="F463">
        <v>3620</v>
      </c>
      <c r="G463">
        <v>327591200</v>
      </c>
      <c r="H463" s="4">
        <f t="shared" si="14"/>
        <v>-1.092896174863388E-2</v>
      </c>
      <c r="I463" s="4">
        <f t="shared" si="15"/>
        <v>-0.36211453744493394</v>
      </c>
    </row>
    <row r="464" spans="1:9" x14ac:dyDescent="0.2">
      <c r="A464" s="2">
        <f ca="1">IFERROR(__xludf.DUMMYFUNCTION("""COMPUTED_VALUE"""),46003.6666666666)</f>
        <v>46003.666666666599</v>
      </c>
      <c r="B464" s="2" t="s">
        <v>55</v>
      </c>
      <c r="C464">
        <v>3640</v>
      </c>
      <c r="D464">
        <v>3640</v>
      </c>
      <c r="E464">
        <v>3580</v>
      </c>
      <c r="F464">
        <v>3630</v>
      </c>
      <c r="G464">
        <v>169747600</v>
      </c>
      <c r="H464" s="4">
        <f t="shared" si="14"/>
        <v>2.7624309392265192E-3</v>
      </c>
      <c r="I464" s="4">
        <f t="shared" si="15"/>
        <v>-0.36035242290748898</v>
      </c>
    </row>
    <row r="465" spans="1:9" x14ac:dyDescent="0.2">
      <c r="A465" s="2">
        <f ca="1">IFERROR(__xludf.DUMMYFUNCTION("""COMPUTED_VALUE"""),46006.6666666666)</f>
        <v>46006.666666666599</v>
      </c>
      <c r="B465" s="2" t="s">
        <v>55</v>
      </c>
      <c r="C465">
        <v>3650</v>
      </c>
      <c r="D465">
        <v>3810</v>
      </c>
      <c r="E465">
        <v>3630</v>
      </c>
      <c r="F465">
        <v>3780</v>
      </c>
      <c r="G465">
        <v>312694100</v>
      </c>
      <c r="H465" s="4">
        <f t="shared" si="14"/>
        <v>4.1322314049586778E-2</v>
      </c>
      <c r="I465" s="4">
        <f t="shared" si="15"/>
        <v>-0.33392070484581499</v>
      </c>
    </row>
    <row r="466" spans="1:9" x14ac:dyDescent="0.2">
      <c r="A466" s="2">
        <f ca="1">IFERROR(__xludf.DUMMYFUNCTION("""COMPUTED_VALUE"""),46007.6666666666)</f>
        <v>46007.666666666599</v>
      </c>
      <c r="B466" s="2" t="s">
        <v>55</v>
      </c>
      <c r="C466">
        <v>3800</v>
      </c>
      <c r="D466">
        <v>3810</v>
      </c>
      <c r="E466">
        <v>3680</v>
      </c>
      <c r="F466">
        <v>3690</v>
      </c>
      <c r="G466">
        <v>237949900</v>
      </c>
      <c r="H466" s="4">
        <f t="shared" si="14"/>
        <v>-2.3809523809523808E-2</v>
      </c>
      <c r="I466" s="4">
        <f t="shared" si="15"/>
        <v>-0.34977973568281939</v>
      </c>
    </row>
    <row r="467" spans="1:9" x14ac:dyDescent="0.2">
      <c r="A467" s="2">
        <f ca="1">IFERROR(__xludf.DUMMYFUNCTION("""COMPUTED_VALUE"""),46008.6666666666)</f>
        <v>46008.666666666599</v>
      </c>
      <c r="B467" s="2" t="s">
        <v>55</v>
      </c>
      <c r="C467">
        <v>3690</v>
      </c>
      <c r="D467">
        <v>3780</v>
      </c>
      <c r="E467">
        <v>3680</v>
      </c>
      <c r="F467">
        <v>3750</v>
      </c>
      <c r="G467">
        <v>273544100</v>
      </c>
      <c r="H467" s="4">
        <f t="shared" si="14"/>
        <v>1.6260162601626018E-2</v>
      </c>
      <c r="I467" s="4">
        <f t="shared" si="15"/>
        <v>-0.33920704845814981</v>
      </c>
    </row>
    <row r="468" spans="1:9" x14ac:dyDescent="0.2">
      <c r="A468" s="2">
        <f ca="1">IFERROR(__xludf.DUMMYFUNCTION("""COMPUTED_VALUE"""),46009.6666666666)</f>
        <v>46009.666666666599</v>
      </c>
      <c r="B468" s="2" t="s">
        <v>55</v>
      </c>
      <c r="C468">
        <v>3750</v>
      </c>
      <c r="D468">
        <v>3820</v>
      </c>
      <c r="E468">
        <v>3750</v>
      </c>
      <c r="F468">
        <v>3780</v>
      </c>
      <c r="G468">
        <v>262527300</v>
      </c>
      <c r="H468" s="4">
        <f t="shared" si="14"/>
        <v>8.0000000000000002E-3</v>
      </c>
      <c r="I468" s="4">
        <f t="shared" si="15"/>
        <v>-0.33392070484581499</v>
      </c>
    </row>
    <row r="469" spans="1:9" x14ac:dyDescent="0.2">
      <c r="A469" s="2">
        <f ca="1">IFERROR(__xludf.DUMMYFUNCTION("""COMPUTED_VALUE"""),46010.6666666666)</f>
        <v>46010.666666666599</v>
      </c>
      <c r="B469" s="2" t="s">
        <v>55</v>
      </c>
      <c r="C469">
        <v>3800</v>
      </c>
      <c r="D469">
        <v>3810</v>
      </c>
      <c r="E469">
        <v>3760</v>
      </c>
      <c r="F469">
        <v>3770</v>
      </c>
      <c r="G469">
        <v>228583500</v>
      </c>
      <c r="H469" s="4">
        <f t="shared" si="14"/>
        <v>-2.6455026455026454E-3</v>
      </c>
      <c r="I469" s="4">
        <f t="shared" si="15"/>
        <v>-0.33568281938325989</v>
      </c>
    </row>
    <row r="470" spans="1:9" x14ac:dyDescent="0.2">
      <c r="A470" s="2">
        <f ca="1">IFERROR(__xludf.DUMMYFUNCTION("""COMPUTED_VALUE"""),46013.6666666666)</f>
        <v>46013.666666666599</v>
      </c>
      <c r="B470" s="2" t="s">
        <v>55</v>
      </c>
      <c r="C470">
        <v>3770</v>
      </c>
      <c r="D470">
        <v>3780</v>
      </c>
      <c r="E470">
        <v>3750</v>
      </c>
      <c r="F470">
        <v>3760</v>
      </c>
      <c r="G470">
        <v>161680300</v>
      </c>
      <c r="H470" s="4">
        <f t="shared" si="14"/>
        <v>-2.6525198938992041E-3</v>
      </c>
      <c r="I470" s="4">
        <f t="shared" si="15"/>
        <v>-0.33744493392070485</v>
      </c>
    </row>
    <row r="471" spans="1:9" x14ac:dyDescent="0.2">
      <c r="A471" s="2">
        <f ca="1">IFERROR(__xludf.DUMMYFUNCTION("""COMPUTED_VALUE"""),46014.6666666666)</f>
        <v>46014.666666666599</v>
      </c>
      <c r="B471" s="2" t="s">
        <v>55</v>
      </c>
      <c r="C471">
        <v>3760</v>
      </c>
      <c r="D471">
        <v>3780</v>
      </c>
      <c r="E471">
        <v>3730</v>
      </c>
      <c r="F471">
        <v>3770</v>
      </c>
      <c r="G471">
        <v>138427000</v>
      </c>
      <c r="H471" s="4">
        <f t="shared" si="14"/>
        <v>2.6595744680851063E-3</v>
      </c>
      <c r="I471" s="4">
        <f t="shared" si="15"/>
        <v>-0.33568281938325989</v>
      </c>
    </row>
    <row r="472" spans="1:9" x14ac:dyDescent="0.2">
      <c r="A472" s="2">
        <f ca="1">IFERROR(__xludf.DUMMYFUNCTION("""COMPUTED_VALUE"""),46015.6666666666)</f>
        <v>46015.666666666599</v>
      </c>
      <c r="B472" s="2" t="s">
        <v>55</v>
      </c>
      <c r="C472">
        <v>3770</v>
      </c>
      <c r="D472">
        <v>3790</v>
      </c>
      <c r="E472">
        <v>3750</v>
      </c>
      <c r="F472">
        <v>3770</v>
      </c>
      <c r="G472">
        <v>121073600</v>
      </c>
      <c r="H472" s="4">
        <f t="shared" si="14"/>
        <v>0</v>
      </c>
      <c r="I472" s="4">
        <f t="shared" si="15"/>
        <v>-0.33568281938325989</v>
      </c>
    </row>
    <row r="473" spans="1:9" x14ac:dyDescent="0.2">
      <c r="A473" s="2">
        <f ca="1">IFERROR(__xludf.DUMMYFUNCTION("""COMPUTED_VALUE"""),46020.6666666666)</f>
        <v>46020.666666666599</v>
      </c>
      <c r="B473" s="2" t="s">
        <v>55</v>
      </c>
      <c r="C473">
        <v>3780</v>
      </c>
      <c r="D473">
        <v>3790</v>
      </c>
      <c r="E473">
        <v>3760</v>
      </c>
      <c r="F473">
        <v>3780</v>
      </c>
      <c r="G473">
        <v>238061500</v>
      </c>
      <c r="H473" s="4">
        <f t="shared" si="14"/>
        <v>2.6525198938992041E-3</v>
      </c>
      <c r="I473" s="4">
        <f t="shared" si="15"/>
        <v>-0.33392070484581499</v>
      </c>
    </row>
    <row r="474" spans="1:9" x14ac:dyDescent="0.2">
      <c r="A474" s="2">
        <f ca="1">IFERROR(__xludf.DUMMYFUNCTION("""COMPUTED_VALUE"""),46021.6666666666)</f>
        <v>46021.666666666599</v>
      </c>
      <c r="B474" s="2" t="s">
        <v>55</v>
      </c>
      <c r="C474">
        <v>3690</v>
      </c>
      <c r="D474">
        <v>3690</v>
      </c>
      <c r="E474">
        <v>3650</v>
      </c>
      <c r="F474">
        <v>3660</v>
      </c>
      <c r="G474">
        <v>274402200</v>
      </c>
      <c r="H474" s="4">
        <f t="shared" si="14"/>
        <v>-3.1746031746031744E-2</v>
      </c>
      <c r="I474" s="4">
        <f t="shared" si="15"/>
        <v>-0.35506607929515416</v>
      </c>
    </row>
    <row r="475" spans="1:9" x14ac:dyDescent="0.2">
      <c r="A475" s="2">
        <f ca="1">IFERROR(__xludf.DUMMYFUNCTION("""COMPUTED_VALUE"""),45293.6666666666)</f>
        <v>45293.666666666599</v>
      </c>
      <c r="B475" s="2" t="s">
        <v>54</v>
      </c>
      <c r="C475" s="17">
        <v>9400</v>
      </c>
      <c r="D475" s="17">
        <v>9425</v>
      </c>
      <c r="E475" s="17">
        <v>9350</v>
      </c>
      <c r="F475" s="17">
        <v>9425</v>
      </c>
      <c r="G475" s="17">
        <v>30545200</v>
      </c>
      <c r="H475" s="4">
        <v>0</v>
      </c>
      <c r="I475" s="4">
        <v>0</v>
      </c>
    </row>
    <row r="476" spans="1:9" x14ac:dyDescent="0.2">
      <c r="A476" s="2">
        <f ca="1">IFERROR(__xludf.DUMMYFUNCTION("""COMPUTED_VALUE"""),45294.6666666666)</f>
        <v>45294.666666666599</v>
      </c>
      <c r="B476" s="2" t="s">
        <v>54</v>
      </c>
      <c r="C476" s="17">
        <v>9425</v>
      </c>
      <c r="D476" s="17">
        <v>9425</v>
      </c>
      <c r="E476" s="17">
        <v>9325</v>
      </c>
      <c r="F476" s="17">
        <v>9350</v>
      </c>
      <c r="G476" s="17">
        <v>34603300</v>
      </c>
      <c r="H476" s="4">
        <f>(F476-F475)/F475</f>
        <v>-7.9575596816976128E-3</v>
      </c>
      <c r="I476" s="4">
        <f>(F476-$E$2)/$E$2</f>
        <v>0.66222222222222227</v>
      </c>
    </row>
    <row r="477" spans="1:9" x14ac:dyDescent="0.2">
      <c r="A477" s="2">
        <f ca="1">IFERROR(__xludf.DUMMYFUNCTION("""COMPUTED_VALUE"""),45295.6666666666)</f>
        <v>45295.666666666599</v>
      </c>
      <c r="B477" s="2" t="s">
        <v>54</v>
      </c>
      <c r="C477" s="17">
        <v>9400</v>
      </c>
      <c r="D477" s="17">
        <v>9475</v>
      </c>
      <c r="E477" s="17">
        <v>9375</v>
      </c>
      <c r="F477" s="17">
        <v>9475</v>
      </c>
      <c r="G477" s="17">
        <v>56501800</v>
      </c>
      <c r="H477" s="4">
        <f t="shared" ref="H477:H540" si="16">(F477-F476)/F476</f>
        <v>1.3368983957219251E-2</v>
      </c>
      <c r="I477" s="4">
        <f t="shared" ref="I477:I540" si="17">(F477-$E$2)/$E$2</f>
        <v>0.68444444444444441</v>
      </c>
    </row>
    <row r="478" spans="1:9" x14ac:dyDescent="0.2">
      <c r="A478" s="2">
        <f ca="1">IFERROR(__xludf.DUMMYFUNCTION("""COMPUTED_VALUE"""),45296.6666666666)</f>
        <v>45296.666666666599</v>
      </c>
      <c r="B478" s="2" t="s">
        <v>54</v>
      </c>
      <c r="C478" s="17">
        <v>9500</v>
      </c>
      <c r="D478" s="17">
        <v>9600</v>
      </c>
      <c r="E478" s="17">
        <v>9475</v>
      </c>
      <c r="F478" s="17">
        <v>9575</v>
      </c>
      <c r="G478" s="17">
        <v>85290100</v>
      </c>
      <c r="H478" s="4">
        <f t="shared" si="16"/>
        <v>1.0554089709762533E-2</v>
      </c>
      <c r="I478" s="4">
        <f t="shared" si="17"/>
        <v>0.70222222222222219</v>
      </c>
    </row>
    <row r="479" spans="1:9" x14ac:dyDescent="0.2">
      <c r="A479" s="2">
        <f ca="1">IFERROR(__xludf.DUMMYFUNCTION("""COMPUTED_VALUE"""),45299.6666666666)</f>
        <v>45299.666666666599</v>
      </c>
      <c r="B479" s="2" t="s">
        <v>54</v>
      </c>
      <c r="C479" s="17">
        <v>9600</v>
      </c>
      <c r="D479" s="17">
        <v>9625</v>
      </c>
      <c r="E479" s="17">
        <v>9475</v>
      </c>
      <c r="F479" s="17">
        <v>9575</v>
      </c>
      <c r="G479" s="17">
        <v>50896000</v>
      </c>
      <c r="H479" s="4">
        <f t="shared" si="16"/>
        <v>0</v>
      </c>
      <c r="I479" s="4">
        <f t="shared" si="17"/>
        <v>0.70222222222222219</v>
      </c>
    </row>
    <row r="480" spans="1:9" x14ac:dyDescent="0.2">
      <c r="A480" s="2">
        <f ca="1">IFERROR(__xludf.DUMMYFUNCTION("""COMPUTED_VALUE"""),45300.6666666666)</f>
        <v>45300.666666666599</v>
      </c>
      <c r="B480" s="2" t="s">
        <v>54</v>
      </c>
      <c r="C480" s="17">
        <v>9600</v>
      </c>
      <c r="D480" s="17">
        <v>9625</v>
      </c>
      <c r="E480" s="17">
        <v>9575</v>
      </c>
      <c r="F480" s="17">
        <v>9625</v>
      </c>
      <c r="G480" s="17">
        <v>59848600</v>
      </c>
      <c r="H480" s="4">
        <f t="shared" si="16"/>
        <v>5.2219321148825066E-3</v>
      </c>
      <c r="I480" s="4">
        <f t="shared" si="17"/>
        <v>0.71111111111111114</v>
      </c>
    </row>
    <row r="481" spans="1:9" x14ac:dyDescent="0.2">
      <c r="A481" s="2">
        <f ca="1">IFERROR(__xludf.DUMMYFUNCTION("""COMPUTED_VALUE"""),45301.6666666666)</f>
        <v>45301.666666666599</v>
      </c>
      <c r="B481" s="2" t="s">
        <v>54</v>
      </c>
      <c r="C481" s="17">
        <v>9650</v>
      </c>
      <c r="D481" s="17">
        <v>9650</v>
      </c>
      <c r="E481" s="17">
        <v>9550</v>
      </c>
      <c r="F481" s="17">
        <v>9550</v>
      </c>
      <c r="G481" s="17">
        <v>52774900</v>
      </c>
      <c r="H481" s="4">
        <f t="shared" si="16"/>
        <v>-7.7922077922077922E-3</v>
      </c>
      <c r="I481" s="4">
        <f t="shared" si="17"/>
        <v>0.69777777777777783</v>
      </c>
    </row>
    <row r="482" spans="1:9" x14ac:dyDescent="0.2">
      <c r="A482" s="2">
        <f ca="1">IFERROR(__xludf.DUMMYFUNCTION("""COMPUTED_VALUE"""),45302.6666666666)</f>
        <v>45302.666666666599</v>
      </c>
      <c r="B482" s="2" t="s">
        <v>54</v>
      </c>
      <c r="C482" s="17">
        <v>9625</v>
      </c>
      <c r="D482" s="17">
        <v>9650</v>
      </c>
      <c r="E482" s="17">
        <v>9575</v>
      </c>
      <c r="F482" s="17">
        <v>9575</v>
      </c>
      <c r="G482" s="17">
        <v>39381500</v>
      </c>
      <c r="H482" s="4">
        <f t="shared" si="16"/>
        <v>2.617801047120419E-3</v>
      </c>
      <c r="I482" s="4">
        <f t="shared" si="17"/>
        <v>0.70222222222222219</v>
      </c>
    </row>
    <row r="483" spans="1:9" x14ac:dyDescent="0.2">
      <c r="A483" s="2">
        <f ca="1">IFERROR(__xludf.DUMMYFUNCTION("""COMPUTED_VALUE"""),45303.6666666666)</f>
        <v>45303.666666666599</v>
      </c>
      <c r="B483" s="2" t="s">
        <v>54</v>
      </c>
      <c r="C483" s="17">
        <v>9650</v>
      </c>
      <c r="D483" s="17">
        <v>9700</v>
      </c>
      <c r="E483" s="17">
        <v>9600</v>
      </c>
      <c r="F483" s="17">
        <v>9700</v>
      </c>
      <c r="G483" s="17">
        <v>68253400</v>
      </c>
      <c r="H483" s="4">
        <f t="shared" si="16"/>
        <v>1.3054830287206266E-2</v>
      </c>
      <c r="I483" s="4">
        <f t="shared" si="17"/>
        <v>0.72444444444444445</v>
      </c>
    </row>
    <row r="484" spans="1:9" x14ac:dyDescent="0.2">
      <c r="A484" s="2">
        <f ca="1">IFERROR(__xludf.DUMMYFUNCTION("""COMPUTED_VALUE"""),45306.6666666666)</f>
        <v>45306.666666666599</v>
      </c>
      <c r="B484" s="2" t="s">
        <v>54</v>
      </c>
      <c r="C484" s="17">
        <v>9750</v>
      </c>
      <c r="D484" s="17">
        <v>9750</v>
      </c>
      <c r="E484" s="17">
        <v>9650</v>
      </c>
      <c r="F484" s="17">
        <v>9725</v>
      </c>
      <c r="G484" s="17">
        <v>88399500</v>
      </c>
      <c r="H484" s="4">
        <f t="shared" si="16"/>
        <v>2.5773195876288659E-3</v>
      </c>
      <c r="I484" s="4">
        <f t="shared" si="17"/>
        <v>0.72888888888888892</v>
      </c>
    </row>
    <row r="485" spans="1:9" x14ac:dyDescent="0.2">
      <c r="A485" s="2">
        <f ca="1">IFERROR(__xludf.DUMMYFUNCTION("""COMPUTED_VALUE"""),45307.6666666666)</f>
        <v>45307.666666666599</v>
      </c>
      <c r="B485" s="2" t="s">
        <v>54</v>
      </c>
      <c r="C485" s="17">
        <v>9700</v>
      </c>
      <c r="D485" s="17">
        <v>9750</v>
      </c>
      <c r="E485" s="17">
        <v>9675</v>
      </c>
      <c r="F485" s="17">
        <v>9700</v>
      </c>
      <c r="G485" s="17">
        <v>44869200</v>
      </c>
      <c r="H485" s="4">
        <f t="shared" si="16"/>
        <v>-2.5706940874035988E-3</v>
      </c>
      <c r="I485" s="4">
        <f t="shared" si="17"/>
        <v>0.72444444444444445</v>
      </c>
    </row>
    <row r="486" spans="1:9" x14ac:dyDescent="0.2">
      <c r="A486" s="2">
        <f ca="1">IFERROR(__xludf.DUMMYFUNCTION("""COMPUTED_VALUE"""),45308.6666666666)</f>
        <v>45308.666666666599</v>
      </c>
      <c r="B486" s="2" t="s">
        <v>54</v>
      </c>
      <c r="C486" s="17">
        <v>9750</v>
      </c>
      <c r="D486" s="17">
        <v>9750</v>
      </c>
      <c r="E486" s="17">
        <v>9650</v>
      </c>
      <c r="F486" s="17">
        <v>9750</v>
      </c>
      <c r="G486" s="17">
        <v>107706100</v>
      </c>
      <c r="H486" s="4">
        <f t="shared" si="16"/>
        <v>5.1546391752577319E-3</v>
      </c>
      <c r="I486" s="4">
        <f t="shared" si="17"/>
        <v>0.73333333333333328</v>
      </c>
    </row>
    <row r="487" spans="1:9" x14ac:dyDescent="0.2">
      <c r="A487" s="2">
        <f ca="1">IFERROR(__xludf.DUMMYFUNCTION("""COMPUTED_VALUE"""),45309.6666666666)</f>
        <v>45309.666666666599</v>
      </c>
      <c r="B487" s="2" t="s">
        <v>54</v>
      </c>
      <c r="C487" s="17">
        <v>9675</v>
      </c>
      <c r="D487" s="17">
        <v>9750</v>
      </c>
      <c r="E487" s="17">
        <v>9625</v>
      </c>
      <c r="F487" s="17">
        <v>9675</v>
      </c>
      <c r="G487" s="17">
        <v>71048900</v>
      </c>
      <c r="H487" s="4">
        <f t="shared" si="16"/>
        <v>-7.6923076923076927E-3</v>
      </c>
      <c r="I487" s="4">
        <f t="shared" si="17"/>
        <v>0.72</v>
      </c>
    </row>
    <row r="488" spans="1:9" x14ac:dyDescent="0.2">
      <c r="A488" s="2">
        <f ca="1">IFERROR(__xludf.DUMMYFUNCTION("""COMPUTED_VALUE"""),45310.6666666666)</f>
        <v>45310.666666666599</v>
      </c>
      <c r="B488" s="2" t="s">
        <v>54</v>
      </c>
      <c r="C488" s="1">
        <v>9775</v>
      </c>
      <c r="D488" s="1">
        <v>9775</v>
      </c>
      <c r="E488" s="1">
        <v>9600</v>
      </c>
      <c r="F488" s="1">
        <v>9625</v>
      </c>
      <c r="G488" s="1">
        <v>63176500</v>
      </c>
      <c r="H488" s="4">
        <f t="shared" si="16"/>
        <v>-5.1679586563307496E-3</v>
      </c>
      <c r="I488" s="4">
        <f t="shared" si="17"/>
        <v>0.71111111111111114</v>
      </c>
    </row>
    <row r="489" spans="1:9" x14ac:dyDescent="0.2">
      <c r="A489" s="2">
        <f ca="1">IFERROR(__xludf.DUMMYFUNCTION("""COMPUTED_VALUE"""),45313.6666666666)</f>
        <v>45313.666666666599</v>
      </c>
      <c r="B489" s="2" t="s">
        <v>54</v>
      </c>
      <c r="C489" s="1">
        <v>9600</v>
      </c>
      <c r="D489" s="1">
        <v>9650</v>
      </c>
      <c r="E489" s="1">
        <v>9525</v>
      </c>
      <c r="F489" s="1">
        <v>9625</v>
      </c>
      <c r="G489" s="1">
        <v>52868300</v>
      </c>
      <c r="H489" s="4">
        <f t="shared" si="16"/>
        <v>0</v>
      </c>
      <c r="I489" s="4">
        <f t="shared" si="17"/>
        <v>0.71111111111111114</v>
      </c>
    </row>
    <row r="490" spans="1:9" x14ac:dyDescent="0.2">
      <c r="A490" s="2">
        <f ca="1">IFERROR(__xludf.DUMMYFUNCTION("""COMPUTED_VALUE"""),45314.6666666666)</f>
        <v>45314.666666666599</v>
      </c>
      <c r="B490" s="2" t="s">
        <v>54</v>
      </c>
      <c r="C490" s="1">
        <v>9450</v>
      </c>
      <c r="D490" s="1">
        <v>9600</v>
      </c>
      <c r="E490" s="1">
        <v>9450</v>
      </c>
      <c r="F490" s="1">
        <v>9600</v>
      </c>
      <c r="G490" s="1">
        <v>92348600</v>
      </c>
      <c r="H490" s="4">
        <f t="shared" si="16"/>
        <v>-2.5974025974025974E-3</v>
      </c>
      <c r="I490" s="4">
        <f t="shared" si="17"/>
        <v>0.70666666666666667</v>
      </c>
    </row>
    <row r="491" spans="1:9" x14ac:dyDescent="0.2">
      <c r="A491" s="2">
        <f ca="1">IFERROR(__xludf.DUMMYFUNCTION("""COMPUTED_VALUE"""),45315.6666666666)</f>
        <v>45315.666666666599</v>
      </c>
      <c r="B491" s="2" t="s">
        <v>54</v>
      </c>
      <c r="C491" s="1">
        <v>9600</v>
      </c>
      <c r="D491" s="1">
        <v>9600</v>
      </c>
      <c r="E491" s="1">
        <v>9475</v>
      </c>
      <c r="F491" s="1">
        <v>9525</v>
      </c>
      <c r="G491" s="1">
        <v>84906000</v>
      </c>
      <c r="H491" s="4">
        <f t="shared" si="16"/>
        <v>-7.8125E-3</v>
      </c>
      <c r="I491" s="4">
        <f t="shared" si="17"/>
        <v>0.69333333333333336</v>
      </c>
    </row>
    <row r="492" spans="1:9" x14ac:dyDescent="0.2">
      <c r="A492" s="2">
        <f ca="1">IFERROR(__xludf.DUMMYFUNCTION("""COMPUTED_VALUE"""),45316.6666666666)</f>
        <v>45316.666666666599</v>
      </c>
      <c r="B492" s="2" t="s">
        <v>54</v>
      </c>
      <c r="C492" s="1">
        <v>9450</v>
      </c>
      <c r="D492" s="1">
        <v>9575</v>
      </c>
      <c r="E492" s="1">
        <v>9450</v>
      </c>
      <c r="F492" s="1">
        <v>9500</v>
      </c>
      <c r="G492" s="1">
        <v>63212700</v>
      </c>
      <c r="H492" s="4">
        <f t="shared" si="16"/>
        <v>-2.6246719160104987E-3</v>
      </c>
      <c r="I492" s="4">
        <f t="shared" si="17"/>
        <v>0.68888888888888888</v>
      </c>
    </row>
    <row r="493" spans="1:9" x14ac:dyDescent="0.2">
      <c r="A493" s="2">
        <f ca="1">IFERROR(__xludf.DUMMYFUNCTION("""COMPUTED_VALUE"""),45317.6666666666)</f>
        <v>45317.666666666599</v>
      </c>
      <c r="B493" s="2" t="s">
        <v>54</v>
      </c>
      <c r="C493" s="1">
        <v>9400</v>
      </c>
      <c r="D493" s="1">
        <v>9450</v>
      </c>
      <c r="E493" s="1">
        <v>9300</v>
      </c>
      <c r="F493" s="1">
        <v>9350</v>
      </c>
      <c r="G493" s="1">
        <v>78977300</v>
      </c>
      <c r="H493" s="4">
        <f t="shared" si="16"/>
        <v>-1.5789473684210527E-2</v>
      </c>
      <c r="I493" s="4">
        <f t="shared" si="17"/>
        <v>0.66222222222222227</v>
      </c>
    </row>
    <row r="494" spans="1:9" x14ac:dyDescent="0.2">
      <c r="A494" s="12">
        <f ca="1">IFERROR(__xludf.DUMMYFUNCTION("""COMPUTED_VALUE"""),45320.6666666666)</f>
        <v>45320.666666666599</v>
      </c>
      <c r="B494" s="2" t="s">
        <v>54</v>
      </c>
      <c r="C494" s="13">
        <v>9400</v>
      </c>
      <c r="D494" s="13">
        <v>9550</v>
      </c>
      <c r="E494" s="13">
        <v>9375</v>
      </c>
      <c r="F494" s="13">
        <v>9550</v>
      </c>
      <c r="G494" s="13">
        <v>73452800</v>
      </c>
      <c r="H494" s="14">
        <f t="shared" si="16"/>
        <v>2.1390374331550801E-2</v>
      </c>
      <c r="I494" s="14">
        <f t="shared" si="17"/>
        <v>0.69777777777777783</v>
      </c>
    </row>
    <row r="495" spans="1:9" x14ac:dyDescent="0.2">
      <c r="A495" s="2">
        <f ca="1">IFERROR(__xludf.DUMMYFUNCTION("""COMPUTED_VALUE"""),45321.6666666666)</f>
        <v>45321.666666666599</v>
      </c>
      <c r="B495" s="2" t="s">
        <v>54</v>
      </c>
      <c r="C495" s="1">
        <v>9500</v>
      </c>
      <c r="D495" s="1">
        <v>9650</v>
      </c>
      <c r="E495" s="1">
        <v>9475</v>
      </c>
      <c r="F495" s="1">
        <v>9650</v>
      </c>
      <c r="G495" s="1">
        <v>73136400</v>
      </c>
      <c r="H495" s="4">
        <f t="shared" si="16"/>
        <v>1.0471204188481676E-2</v>
      </c>
      <c r="I495" s="4">
        <f t="shared" si="17"/>
        <v>0.7155555555555555</v>
      </c>
    </row>
    <row r="496" spans="1:9" x14ac:dyDescent="0.2">
      <c r="A496" s="2">
        <f ca="1">IFERROR(__xludf.DUMMYFUNCTION("""COMPUTED_VALUE"""),45322.6666666666)</f>
        <v>45322.666666666599</v>
      </c>
      <c r="B496" s="2" t="s">
        <v>54</v>
      </c>
      <c r="C496" s="1">
        <v>9700</v>
      </c>
      <c r="D496" s="1">
        <v>9700</v>
      </c>
      <c r="E496" s="1">
        <v>9550</v>
      </c>
      <c r="F496" s="1">
        <v>9550</v>
      </c>
      <c r="G496" s="1">
        <v>102581200</v>
      </c>
      <c r="H496" s="4">
        <f t="shared" si="16"/>
        <v>-1.0362694300518135E-2</v>
      </c>
      <c r="I496" s="4">
        <f t="shared" si="17"/>
        <v>0.69777777777777783</v>
      </c>
    </row>
    <row r="497" spans="1:9" x14ac:dyDescent="0.2">
      <c r="A497" s="2">
        <f ca="1">IFERROR(__xludf.DUMMYFUNCTION("""COMPUTED_VALUE"""),45323.6666666666)</f>
        <v>45323.666666666599</v>
      </c>
      <c r="B497" s="2" t="s">
        <v>54</v>
      </c>
      <c r="C497" s="1">
        <v>9650</v>
      </c>
      <c r="D497" s="1">
        <v>9725</v>
      </c>
      <c r="E497" s="1">
        <v>9575</v>
      </c>
      <c r="F497" s="1">
        <v>9700</v>
      </c>
      <c r="G497" s="1">
        <v>104208700</v>
      </c>
      <c r="H497" s="4">
        <f t="shared" si="16"/>
        <v>1.5706806282722512E-2</v>
      </c>
      <c r="I497" s="4">
        <f t="shared" si="17"/>
        <v>0.72444444444444445</v>
      </c>
    </row>
    <row r="498" spans="1:9" x14ac:dyDescent="0.2">
      <c r="A498" s="2">
        <f ca="1">IFERROR(__xludf.DUMMYFUNCTION("""COMPUTED_VALUE"""),45324.6666666666)</f>
        <v>45324.666666666599</v>
      </c>
      <c r="B498" s="2" t="s">
        <v>54</v>
      </c>
      <c r="C498" s="1">
        <v>9775</v>
      </c>
      <c r="D498" s="1">
        <v>9800</v>
      </c>
      <c r="E498" s="1">
        <v>9625</v>
      </c>
      <c r="F498" s="1">
        <v>9700</v>
      </c>
      <c r="G498" s="1">
        <v>99324000</v>
      </c>
      <c r="H498" s="4">
        <f t="shared" si="16"/>
        <v>0</v>
      </c>
      <c r="I498" s="4">
        <f t="shared" si="17"/>
        <v>0.72444444444444445</v>
      </c>
    </row>
    <row r="499" spans="1:9" x14ac:dyDescent="0.2">
      <c r="A499" s="2">
        <f ca="1">IFERROR(__xludf.DUMMYFUNCTION("""COMPUTED_VALUE"""),45327.6666666666)</f>
        <v>45327.666666666599</v>
      </c>
      <c r="B499" s="2" t="s">
        <v>54</v>
      </c>
      <c r="C499" s="1">
        <v>9675</v>
      </c>
      <c r="D499" s="1">
        <v>9675</v>
      </c>
      <c r="E499" s="1">
        <v>9525</v>
      </c>
      <c r="F499" s="1">
        <v>9575</v>
      </c>
      <c r="G499" s="1">
        <v>57983300</v>
      </c>
      <c r="H499" s="4">
        <f t="shared" si="16"/>
        <v>-1.2886597938144329E-2</v>
      </c>
      <c r="I499" s="4">
        <f t="shared" si="17"/>
        <v>0.70222222222222219</v>
      </c>
    </row>
    <row r="500" spans="1:9" x14ac:dyDescent="0.2">
      <c r="A500" s="2">
        <f ca="1">IFERROR(__xludf.DUMMYFUNCTION("""COMPUTED_VALUE"""),45328.6666666666)</f>
        <v>45328.666666666599</v>
      </c>
      <c r="B500" s="2" t="s">
        <v>54</v>
      </c>
      <c r="C500" s="1">
        <v>9750</v>
      </c>
      <c r="D500" s="1">
        <v>9750</v>
      </c>
      <c r="E500" s="1">
        <v>9625</v>
      </c>
      <c r="F500" s="1">
        <v>9625</v>
      </c>
      <c r="G500" s="1">
        <v>87651000</v>
      </c>
      <c r="H500" s="4">
        <f t="shared" si="16"/>
        <v>5.2219321148825066E-3</v>
      </c>
      <c r="I500" s="4">
        <f t="shared" si="17"/>
        <v>0.71111111111111114</v>
      </c>
    </row>
    <row r="501" spans="1:9" x14ac:dyDescent="0.2">
      <c r="A501" s="2">
        <f ca="1">IFERROR(__xludf.DUMMYFUNCTION("""COMPUTED_VALUE"""),45329.6666666666)</f>
        <v>45329.666666666599</v>
      </c>
      <c r="B501" s="2" t="s">
        <v>54</v>
      </c>
      <c r="C501" s="1">
        <v>9700</v>
      </c>
      <c r="D501" s="1">
        <v>9725</v>
      </c>
      <c r="E501" s="1">
        <v>9650</v>
      </c>
      <c r="F501" s="1">
        <v>9700</v>
      </c>
      <c r="G501" s="1">
        <v>92953500</v>
      </c>
      <c r="H501" s="4">
        <f t="shared" si="16"/>
        <v>7.7922077922077922E-3</v>
      </c>
      <c r="I501" s="4">
        <f t="shared" si="17"/>
        <v>0.72444444444444445</v>
      </c>
    </row>
    <row r="502" spans="1:9" x14ac:dyDescent="0.2">
      <c r="A502" s="2">
        <f ca="1">IFERROR(__xludf.DUMMYFUNCTION("""COMPUTED_VALUE"""),45334.6666666666)</f>
        <v>45334.666666666599</v>
      </c>
      <c r="B502" s="2" t="s">
        <v>54</v>
      </c>
      <c r="C502" s="1">
        <v>9750</v>
      </c>
      <c r="D502" s="1">
        <v>9800</v>
      </c>
      <c r="E502" s="1">
        <v>9700</v>
      </c>
      <c r="F502" s="1">
        <v>9800</v>
      </c>
      <c r="G502" s="1">
        <v>87949400</v>
      </c>
      <c r="H502" s="4">
        <f t="shared" si="16"/>
        <v>1.0309278350515464E-2</v>
      </c>
      <c r="I502" s="4">
        <f t="shared" si="17"/>
        <v>0.74222222222222223</v>
      </c>
    </row>
    <row r="503" spans="1:9" x14ac:dyDescent="0.2">
      <c r="A503" s="2">
        <f ca="1">IFERROR(__xludf.DUMMYFUNCTION("""COMPUTED_VALUE"""),45335.6666666666)</f>
        <v>45335.666666666599</v>
      </c>
      <c r="B503" s="2" t="s">
        <v>54</v>
      </c>
      <c r="C503" s="1">
        <v>9750</v>
      </c>
      <c r="D503" s="1">
        <v>9800</v>
      </c>
      <c r="E503" s="1">
        <v>9700</v>
      </c>
      <c r="F503" s="1">
        <v>9725</v>
      </c>
      <c r="G503" s="1">
        <v>66072400</v>
      </c>
      <c r="H503" s="4">
        <f t="shared" si="16"/>
        <v>-7.6530612244897957E-3</v>
      </c>
      <c r="I503" s="4">
        <f t="shared" si="17"/>
        <v>0.72888888888888892</v>
      </c>
    </row>
    <row r="504" spans="1:9" x14ac:dyDescent="0.2">
      <c r="A504" s="2">
        <f ca="1">IFERROR(__xludf.DUMMYFUNCTION("""COMPUTED_VALUE"""),45337.6666666666)</f>
        <v>45337.666666666599</v>
      </c>
      <c r="B504" s="2" t="s">
        <v>54</v>
      </c>
      <c r="C504" s="1">
        <v>9950</v>
      </c>
      <c r="D504" s="1">
        <v>9975</v>
      </c>
      <c r="E504" s="1">
        <v>9850</v>
      </c>
      <c r="F504" s="1">
        <v>9850</v>
      </c>
      <c r="G504" s="1">
        <v>164748900</v>
      </c>
      <c r="H504" s="4">
        <f t="shared" si="16"/>
        <v>1.2853470437017995E-2</v>
      </c>
      <c r="I504" s="4">
        <f t="shared" si="17"/>
        <v>0.75111111111111106</v>
      </c>
    </row>
    <row r="505" spans="1:9" x14ac:dyDescent="0.2">
      <c r="A505" s="2">
        <f ca="1">IFERROR(__xludf.DUMMYFUNCTION("""COMPUTED_VALUE"""),45338.6666666666)</f>
        <v>45338.666666666599</v>
      </c>
      <c r="B505" s="2" t="s">
        <v>54</v>
      </c>
      <c r="C505" s="1">
        <v>9975</v>
      </c>
      <c r="D505" s="1">
        <v>10000</v>
      </c>
      <c r="E505" s="1">
        <v>9875</v>
      </c>
      <c r="F505" s="1">
        <v>9950</v>
      </c>
      <c r="G505" s="1">
        <v>142277200</v>
      </c>
      <c r="H505" s="4">
        <f t="shared" si="16"/>
        <v>1.015228426395939E-2</v>
      </c>
      <c r="I505" s="4">
        <f t="shared" si="17"/>
        <v>0.76888888888888884</v>
      </c>
    </row>
    <row r="506" spans="1:9" x14ac:dyDescent="0.2">
      <c r="A506" s="2">
        <f ca="1">IFERROR(__xludf.DUMMYFUNCTION("""COMPUTED_VALUE"""),45341.6666666666)</f>
        <v>45341.666666666599</v>
      </c>
      <c r="B506" s="2" t="s">
        <v>54</v>
      </c>
      <c r="C506" s="1">
        <v>9900</v>
      </c>
      <c r="D506" s="1">
        <v>9975</v>
      </c>
      <c r="E506" s="1">
        <v>9825</v>
      </c>
      <c r="F506" s="1">
        <v>9875</v>
      </c>
      <c r="G506" s="1">
        <v>53341300</v>
      </c>
      <c r="H506" s="4">
        <f t="shared" si="16"/>
        <v>-7.537688442211055E-3</v>
      </c>
      <c r="I506" s="4">
        <f t="shared" si="17"/>
        <v>0.75555555555555554</v>
      </c>
    </row>
    <row r="507" spans="1:9" x14ac:dyDescent="0.2">
      <c r="A507" s="2">
        <f ca="1">IFERROR(__xludf.DUMMYFUNCTION("""COMPUTED_VALUE"""),45342.6666666666)</f>
        <v>45342.666666666599</v>
      </c>
      <c r="B507" s="2" t="s">
        <v>54</v>
      </c>
      <c r="C507" s="1">
        <v>9850</v>
      </c>
      <c r="D507" s="1">
        <v>10025</v>
      </c>
      <c r="E507" s="1">
        <v>9850</v>
      </c>
      <c r="F507" s="1">
        <v>10025</v>
      </c>
      <c r="G507" s="1">
        <v>63997700</v>
      </c>
      <c r="H507" s="4">
        <f t="shared" si="16"/>
        <v>1.5189873417721518E-2</v>
      </c>
      <c r="I507" s="4">
        <f t="shared" si="17"/>
        <v>0.78222222222222226</v>
      </c>
    </row>
    <row r="508" spans="1:9" x14ac:dyDescent="0.2">
      <c r="A508" s="2">
        <f ca="1">IFERROR(__xludf.DUMMYFUNCTION("""COMPUTED_VALUE"""),45343.6666666666)</f>
        <v>45343.666666666599</v>
      </c>
      <c r="B508" s="2" t="s">
        <v>54</v>
      </c>
      <c r="C508" s="1">
        <v>9950</v>
      </c>
      <c r="D508" s="1">
        <v>10000</v>
      </c>
      <c r="E508" s="1">
        <v>9850</v>
      </c>
      <c r="F508" s="1">
        <v>9975</v>
      </c>
      <c r="G508" s="1">
        <v>75371600</v>
      </c>
      <c r="H508" s="4">
        <f t="shared" si="16"/>
        <v>-4.9875311720698253E-3</v>
      </c>
      <c r="I508" s="4">
        <f t="shared" si="17"/>
        <v>0.77333333333333332</v>
      </c>
    </row>
    <row r="509" spans="1:9" x14ac:dyDescent="0.2">
      <c r="A509" s="2">
        <f ca="1">IFERROR(__xludf.DUMMYFUNCTION("""COMPUTED_VALUE"""),45344.6666666666)</f>
        <v>45344.666666666599</v>
      </c>
      <c r="B509" s="2" t="s">
        <v>54</v>
      </c>
      <c r="C509" s="1">
        <v>9975</v>
      </c>
      <c r="D509" s="1">
        <v>9975</v>
      </c>
      <c r="E509" s="1">
        <v>9875</v>
      </c>
      <c r="F509" s="1">
        <v>9875</v>
      </c>
      <c r="G509" s="1">
        <v>66913000</v>
      </c>
      <c r="H509" s="4">
        <f t="shared" si="16"/>
        <v>-1.0025062656641603E-2</v>
      </c>
      <c r="I509" s="4">
        <f t="shared" si="17"/>
        <v>0.75555555555555554</v>
      </c>
    </row>
    <row r="510" spans="1:9" x14ac:dyDescent="0.2">
      <c r="A510" s="2">
        <f ca="1">IFERROR(__xludf.DUMMYFUNCTION("""COMPUTED_VALUE"""),45345.6666666666)</f>
        <v>45345.666666666599</v>
      </c>
      <c r="B510" s="2" t="s">
        <v>54</v>
      </c>
      <c r="C510" s="1">
        <v>9900</v>
      </c>
      <c r="D510" s="1">
        <v>9925</v>
      </c>
      <c r="E510" s="1">
        <v>9800</v>
      </c>
      <c r="F510" s="1">
        <v>9825</v>
      </c>
      <c r="G510" s="1">
        <v>55192300</v>
      </c>
      <c r="H510" s="4">
        <f t="shared" si="16"/>
        <v>-5.0632911392405064E-3</v>
      </c>
      <c r="I510" s="4">
        <f t="shared" si="17"/>
        <v>0.7466666666666667</v>
      </c>
    </row>
    <row r="511" spans="1:9" x14ac:dyDescent="0.2">
      <c r="A511" s="2">
        <f ca="1">IFERROR(__xludf.DUMMYFUNCTION("""COMPUTED_VALUE"""),45348.6666666666)</f>
        <v>45348.666666666599</v>
      </c>
      <c r="B511" s="2" t="s">
        <v>54</v>
      </c>
      <c r="C511" s="1">
        <v>9750</v>
      </c>
      <c r="D511" s="1">
        <v>9875</v>
      </c>
      <c r="E511" s="1">
        <v>9725</v>
      </c>
      <c r="F511" s="1">
        <v>9800</v>
      </c>
      <c r="G511" s="1">
        <v>41356000</v>
      </c>
      <c r="H511" s="4">
        <f t="shared" si="16"/>
        <v>-2.5445292620865142E-3</v>
      </c>
      <c r="I511" s="4">
        <f t="shared" si="17"/>
        <v>0.74222222222222223</v>
      </c>
    </row>
    <row r="512" spans="1:9" x14ac:dyDescent="0.2">
      <c r="A512" s="2">
        <f ca="1">IFERROR(__xludf.DUMMYFUNCTION("""COMPUTED_VALUE"""),45349.6666666666)</f>
        <v>45349.666666666599</v>
      </c>
      <c r="B512" s="2" t="s">
        <v>54</v>
      </c>
      <c r="C512" s="1">
        <v>9750</v>
      </c>
      <c r="D512" s="1">
        <v>9900</v>
      </c>
      <c r="E512" s="1">
        <v>9750</v>
      </c>
      <c r="F512" s="1">
        <v>9875</v>
      </c>
      <c r="G512" s="1">
        <v>43735800</v>
      </c>
      <c r="H512" s="4">
        <f t="shared" si="16"/>
        <v>7.6530612244897957E-3</v>
      </c>
      <c r="I512" s="4">
        <f t="shared" si="17"/>
        <v>0.75555555555555554</v>
      </c>
    </row>
    <row r="513" spans="1:9" x14ac:dyDescent="0.2">
      <c r="A513" s="2">
        <f ca="1">IFERROR(__xludf.DUMMYFUNCTION("""COMPUTED_VALUE"""),45350.6666666666)</f>
        <v>45350.666666666599</v>
      </c>
      <c r="B513" s="2" t="s">
        <v>54</v>
      </c>
      <c r="C513" s="1">
        <v>9975</v>
      </c>
      <c r="D513" s="1">
        <v>10000</v>
      </c>
      <c r="E513" s="1">
        <v>9900</v>
      </c>
      <c r="F513" s="1">
        <v>10000</v>
      </c>
      <c r="G513" s="1">
        <v>54043100</v>
      </c>
      <c r="H513" s="4">
        <f t="shared" si="16"/>
        <v>1.2658227848101266E-2</v>
      </c>
      <c r="I513" s="4">
        <f t="shared" si="17"/>
        <v>0.77777777777777779</v>
      </c>
    </row>
    <row r="514" spans="1:9" x14ac:dyDescent="0.2">
      <c r="A514" s="2">
        <f ca="1">IFERROR(__xludf.DUMMYFUNCTION("""COMPUTED_VALUE"""),45351.6666666666)</f>
        <v>45351.666666666599</v>
      </c>
      <c r="B514" s="2" t="s">
        <v>54</v>
      </c>
      <c r="C514" s="1">
        <v>10000</v>
      </c>
      <c r="D514" s="1">
        <v>10000</v>
      </c>
      <c r="E514" s="1">
        <v>9850</v>
      </c>
      <c r="F514" s="1">
        <v>9875</v>
      </c>
      <c r="G514" s="1">
        <v>126671200</v>
      </c>
      <c r="H514" s="4">
        <f t="shared" si="16"/>
        <v>-1.2500000000000001E-2</v>
      </c>
      <c r="I514" s="4">
        <f t="shared" si="17"/>
        <v>0.75555555555555554</v>
      </c>
    </row>
    <row r="515" spans="1:9" x14ac:dyDescent="0.2">
      <c r="A515" s="2">
        <f ca="1">IFERROR(__xludf.DUMMYFUNCTION("""COMPUTED_VALUE"""),45352.6666666666)</f>
        <v>45352.666666666599</v>
      </c>
      <c r="B515" s="2" t="s">
        <v>54</v>
      </c>
      <c r="C515" s="1">
        <v>9900</v>
      </c>
      <c r="D515" s="1">
        <v>9925</v>
      </c>
      <c r="E515" s="1">
        <v>9800</v>
      </c>
      <c r="F515" s="1">
        <v>9825</v>
      </c>
      <c r="G515" s="1">
        <v>51520600</v>
      </c>
      <c r="H515" s="4">
        <f t="shared" si="16"/>
        <v>-5.0632911392405064E-3</v>
      </c>
      <c r="I515" s="4">
        <f t="shared" si="17"/>
        <v>0.7466666666666667</v>
      </c>
    </row>
    <row r="516" spans="1:9" x14ac:dyDescent="0.2">
      <c r="A516" s="2">
        <f ca="1">IFERROR(__xludf.DUMMYFUNCTION("""COMPUTED_VALUE"""),45355.6666666666)</f>
        <v>45355.666666666599</v>
      </c>
      <c r="B516" s="2" t="s">
        <v>54</v>
      </c>
      <c r="C516" s="1">
        <v>9800</v>
      </c>
      <c r="D516" s="1">
        <v>9825</v>
      </c>
      <c r="E516" s="1">
        <v>9750</v>
      </c>
      <c r="F516" s="1">
        <v>9750</v>
      </c>
      <c r="G516" s="1">
        <v>43822900</v>
      </c>
      <c r="H516" s="4">
        <f t="shared" si="16"/>
        <v>-7.6335877862595417E-3</v>
      </c>
      <c r="I516" s="4">
        <f t="shared" si="17"/>
        <v>0.73333333333333328</v>
      </c>
    </row>
    <row r="517" spans="1:9" x14ac:dyDescent="0.2">
      <c r="A517" s="2">
        <f ca="1">IFERROR(__xludf.DUMMYFUNCTION("""COMPUTED_VALUE"""),45356.6666666666)</f>
        <v>45356.666666666599</v>
      </c>
      <c r="B517" s="2" t="s">
        <v>54</v>
      </c>
      <c r="C517" s="1">
        <v>9900</v>
      </c>
      <c r="D517" s="1">
        <v>9900</v>
      </c>
      <c r="E517" s="1">
        <v>9775</v>
      </c>
      <c r="F517" s="1">
        <v>9800</v>
      </c>
      <c r="G517" s="1">
        <v>61952900</v>
      </c>
      <c r="H517" s="4">
        <f t="shared" si="16"/>
        <v>5.1282051282051282E-3</v>
      </c>
      <c r="I517" s="4">
        <f t="shared" si="17"/>
        <v>0.74222222222222223</v>
      </c>
    </row>
    <row r="518" spans="1:9" x14ac:dyDescent="0.2">
      <c r="A518" s="2">
        <f ca="1">IFERROR(__xludf.DUMMYFUNCTION("""COMPUTED_VALUE"""),45357.6666666666)</f>
        <v>45357.666666666599</v>
      </c>
      <c r="B518" s="2" t="s">
        <v>54</v>
      </c>
      <c r="C518" s="1">
        <v>9900</v>
      </c>
      <c r="D518" s="1">
        <v>10000</v>
      </c>
      <c r="E518" s="1">
        <v>9775</v>
      </c>
      <c r="F518" s="1">
        <v>9950</v>
      </c>
      <c r="G518" s="1">
        <v>70242200</v>
      </c>
      <c r="H518" s="4">
        <f t="shared" si="16"/>
        <v>1.5306122448979591E-2</v>
      </c>
      <c r="I518" s="4">
        <f t="shared" si="17"/>
        <v>0.76888888888888884</v>
      </c>
    </row>
    <row r="519" spans="1:9" x14ac:dyDescent="0.2">
      <c r="A519" s="2">
        <f ca="1">IFERROR(__xludf.DUMMYFUNCTION("""COMPUTED_VALUE"""),45358.6666666666)</f>
        <v>45358.666666666599</v>
      </c>
      <c r="B519" s="2" t="s">
        <v>54</v>
      </c>
      <c r="C519" s="1">
        <v>10050</v>
      </c>
      <c r="D519" s="1">
        <v>10175</v>
      </c>
      <c r="E519" s="1">
        <v>10000</v>
      </c>
      <c r="F519" s="1">
        <v>10125</v>
      </c>
      <c r="G519" s="1">
        <v>118369300</v>
      </c>
      <c r="H519" s="4">
        <f t="shared" si="16"/>
        <v>1.7587939698492462E-2</v>
      </c>
      <c r="I519" s="4">
        <f t="shared" si="17"/>
        <v>0.8</v>
      </c>
    </row>
    <row r="520" spans="1:9" x14ac:dyDescent="0.2">
      <c r="A520" s="2">
        <f ca="1">IFERROR(__xludf.DUMMYFUNCTION("""COMPUTED_VALUE"""),45359.6666666666)</f>
        <v>45359.666666666599</v>
      </c>
      <c r="B520" s="2" t="s">
        <v>54</v>
      </c>
      <c r="C520" s="1">
        <v>10250</v>
      </c>
      <c r="D520" s="1">
        <v>10300</v>
      </c>
      <c r="E520" s="1">
        <v>10125</v>
      </c>
      <c r="F520" s="1">
        <v>10150</v>
      </c>
      <c r="G520" s="1">
        <v>100947200</v>
      </c>
      <c r="H520" s="4">
        <f t="shared" si="16"/>
        <v>2.4691358024691358E-3</v>
      </c>
      <c r="I520" s="4">
        <f t="shared" si="17"/>
        <v>0.80444444444444441</v>
      </c>
    </row>
    <row r="521" spans="1:9" x14ac:dyDescent="0.2">
      <c r="A521" s="2">
        <f ca="1">IFERROR(__xludf.DUMMYFUNCTION("""COMPUTED_VALUE"""),45364.6666666666)</f>
        <v>45364.666666666599</v>
      </c>
      <c r="B521" s="2" t="s">
        <v>54</v>
      </c>
      <c r="C521" s="1">
        <v>10400</v>
      </c>
      <c r="D521" s="1">
        <v>10400</v>
      </c>
      <c r="E521" s="1">
        <v>10000</v>
      </c>
      <c r="F521" s="1">
        <v>10000</v>
      </c>
      <c r="G521" s="1">
        <v>141622600</v>
      </c>
      <c r="H521" s="4">
        <f t="shared" si="16"/>
        <v>-1.4778325123152709E-2</v>
      </c>
      <c r="I521" s="4">
        <f t="shared" si="17"/>
        <v>0.77777777777777779</v>
      </c>
    </row>
    <row r="522" spans="1:9" x14ac:dyDescent="0.2">
      <c r="A522" s="2">
        <f ca="1">IFERROR(__xludf.DUMMYFUNCTION("""COMPUTED_VALUE"""),45365.6666666666)</f>
        <v>45365.666666666599</v>
      </c>
      <c r="B522" s="2" t="s">
        <v>54</v>
      </c>
      <c r="C522" s="1">
        <v>10050</v>
      </c>
      <c r="D522" s="1">
        <v>10325</v>
      </c>
      <c r="E522" s="1">
        <v>10025</v>
      </c>
      <c r="F522" s="1">
        <v>10325</v>
      </c>
      <c r="G522" s="1">
        <v>110681100</v>
      </c>
      <c r="H522" s="4">
        <f t="shared" si="16"/>
        <v>3.2500000000000001E-2</v>
      </c>
      <c r="I522" s="4">
        <f t="shared" si="17"/>
        <v>0.83555555555555561</v>
      </c>
    </row>
    <row r="523" spans="1:9" x14ac:dyDescent="0.2">
      <c r="A523" s="2">
        <f ca="1">IFERROR(__xludf.DUMMYFUNCTION("""COMPUTED_VALUE"""),45366.6666666666)</f>
        <v>45366.666666666599</v>
      </c>
      <c r="B523" s="2" t="s">
        <v>54</v>
      </c>
      <c r="C523" s="1">
        <v>10200</v>
      </c>
      <c r="D523" s="1">
        <v>10300</v>
      </c>
      <c r="E523" s="1">
        <v>10050</v>
      </c>
      <c r="F523" s="1">
        <v>10150</v>
      </c>
      <c r="G523" s="1">
        <v>154176800</v>
      </c>
      <c r="H523" s="4">
        <f t="shared" si="16"/>
        <v>-1.6949152542372881E-2</v>
      </c>
      <c r="I523" s="4">
        <f t="shared" si="17"/>
        <v>0.80444444444444441</v>
      </c>
    </row>
    <row r="524" spans="1:9" x14ac:dyDescent="0.2">
      <c r="A524" s="12">
        <f ca="1">IFERROR(__xludf.DUMMYFUNCTION("""COMPUTED_VALUE"""),45369.6666666666)</f>
        <v>45369.666666666599</v>
      </c>
      <c r="B524" s="2" t="s">
        <v>54</v>
      </c>
      <c r="C524" s="13">
        <v>10175</v>
      </c>
      <c r="D524" s="13">
        <v>10275</v>
      </c>
      <c r="E524" s="13">
        <v>10150</v>
      </c>
      <c r="F524" s="13">
        <v>10150</v>
      </c>
      <c r="G524" s="13">
        <v>62444100</v>
      </c>
      <c r="H524" s="14">
        <f t="shared" si="16"/>
        <v>0</v>
      </c>
      <c r="I524" s="14">
        <f t="shared" si="17"/>
        <v>0.80444444444444441</v>
      </c>
    </row>
    <row r="525" spans="1:9" x14ac:dyDescent="0.2">
      <c r="A525" s="2">
        <f ca="1">IFERROR(__xludf.DUMMYFUNCTION("""COMPUTED_VALUE"""),45370.6666666666)</f>
        <v>45370.666666666599</v>
      </c>
      <c r="B525" s="2" t="s">
        <v>54</v>
      </c>
      <c r="C525" s="1">
        <v>10150</v>
      </c>
      <c r="D525" s="1">
        <v>10250</v>
      </c>
      <c r="E525" s="1">
        <v>10150</v>
      </c>
      <c r="F525" s="1">
        <v>10175</v>
      </c>
      <c r="G525" s="1">
        <v>55004800</v>
      </c>
      <c r="H525" s="4">
        <f t="shared" si="16"/>
        <v>2.4630541871921183E-3</v>
      </c>
      <c r="I525" s="4">
        <f t="shared" si="17"/>
        <v>0.80888888888888888</v>
      </c>
    </row>
    <row r="526" spans="1:9" x14ac:dyDescent="0.2">
      <c r="A526" s="2">
        <f ca="1">IFERROR(__xludf.DUMMYFUNCTION("""COMPUTED_VALUE"""),45371.6666666666)</f>
        <v>45371.666666666599</v>
      </c>
      <c r="B526" s="2" t="s">
        <v>54</v>
      </c>
      <c r="C526" s="1">
        <v>10100</v>
      </c>
      <c r="D526" s="1">
        <v>10150</v>
      </c>
      <c r="E526" s="1">
        <v>10075</v>
      </c>
      <c r="F526" s="1">
        <v>10125</v>
      </c>
      <c r="G526" s="1">
        <v>66269700</v>
      </c>
      <c r="H526" s="4">
        <f t="shared" si="16"/>
        <v>-4.9140049140049139E-3</v>
      </c>
      <c r="I526" s="4">
        <f t="shared" si="17"/>
        <v>0.8</v>
      </c>
    </row>
    <row r="527" spans="1:9" x14ac:dyDescent="0.2">
      <c r="A527" s="2">
        <f ca="1">IFERROR(__xludf.DUMMYFUNCTION("""COMPUTED_VALUE"""),45372.6666666666)</f>
        <v>45372.666666666599</v>
      </c>
      <c r="B527" s="2" t="s">
        <v>54</v>
      </c>
      <c r="C527" s="1">
        <v>10175</v>
      </c>
      <c r="D527" s="1">
        <v>10225</v>
      </c>
      <c r="E527" s="1">
        <v>10050</v>
      </c>
      <c r="F527" s="1">
        <v>10125</v>
      </c>
      <c r="G527" s="1">
        <v>90279400</v>
      </c>
      <c r="H527" s="4">
        <f t="shared" si="16"/>
        <v>0</v>
      </c>
      <c r="I527" s="4">
        <f t="shared" si="17"/>
        <v>0.8</v>
      </c>
    </row>
    <row r="528" spans="1:9" x14ac:dyDescent="0.2">
      <c r="A528" s="2">
        <f ca="1">IFERROR(__xludf.DUMMYFUNCTION("""COMPUTED_VALUE"""),45373.6666666666)</f>
        <v>45373.666666666599</v>
      </c>
      <c r="B528" s="2" t="s">
        <v>54</v>
      </c>
      <c r="C528" s="1">
        <v>10000</v>
      </c>
      <c r="D528" s="1">
        <v>10125</v>
      </c>
      <c r="E528" s="1">
        <v>9950</v>
      </c>
      <c r="F528" s="1">
        <v>10100</v>
      </c>
      <c r="G528" s="1">
        <v>91968200</v>
      </c>
      <c r="H528" s="4">
        <f t="shared" si="16"/>
        <v>-2.4691358024691358E-3</v>
      </c>
      <c r="I528" s="4">
        <f t="shared" si="17"/>
        <v>0.79555555555555557</v>
      </c>
    </row>
    <row r="529" spans="1:9" x14ac:dyDescent="0.2">
      <c r="A529" s="2">
        <f ca="1">IFERROR(__xludf.DUMMYFUNCTION("""COMPUTED_VALUE"""),45376.6666666666)</f>
        <v>45376.666666666599</v>
      </c>
      <c r="B529" s="2" t="s">
        <v>54</v>
      </c>
      <c r="C529" s="1">
        <v>10075</v>
      </c>
      <c r="D529" s="1">
        <v>10075</v>
      </c>
      <c r="E529" s="1">
        <v>9925</v>
      </c>
      <c r="F529" s="1">
        <v>10075</v>
      </c>
      <c r="G529" s="1">
        <v>66971000</v>
      </c>
      <c r="H529" s="4">
        <f t="shared" si="16"/>
        <v>-2.4752475247524753E-3</v>
      </c>
      <c r="I529" s="4">
        <f t="shared" si="17"/>
        <v>0.7911111111111111</v>
      </c>
    </row>
    <row r="530" spans="1:9" x14ac:dyDescent="0.2">
      <c r="A530" s="2">
        <f ca="1">IFERROR(__xludf.DUMMYFUNCTION("""COMPUTED_VALUE"""),45377.6666666666)</f>
        <v>45377.666666666599</v>
      </c>
      <c r="B530" s="2" t="s">
        <v>54</v>
      </c>
      <c r="C530" s="1">
        <v>10050</v>
      </c>
      <c r="D530" s="1">
        <v>10050</v>
      </c>
      <c r="E530" s="1">
        <v>9950</v>
      </c>
      <c r="F530" s="1">
        <v>10050</v>
      </c>
      <c r="G530" s="1">
        <v>65742700</v>
      </c>
      <c r="H530" s="4">
        <f t="shared" si="16"/>
        <v>-2.4813895781637717E-3</v>
      </c>
      <c r="I530" s="4">
        <f t="shared" si="17"/>
        <v>0.78666666666666663</v>
      </c>
    </row>
    <row r="531" spans="1:9" x14ac:dyDescent="0.2">
      <c r="A531" s="2">
        <f ca="1">IFERROR(__xludf.DUMMYFUNCTION("""COMPUTED_VALUE"""),45378.6666666666)</f>
        <v>45378.666666666599</v>
      </c>
      <c r="B531" s="2" t="s">
        <v>54</v>
      </c>
      <c r="C531" s="1">
        <v>10025</v>
      </c>
      <c r="D531" s="1">
        <v>10075</v>
      </c>
      <c r="E531" s="1">
        <v>10000</v>
      </c>
      <c r="F531" s="1">
        <v>10075</v>
      </c>
      <c r="G531" s="1">
        <v>39514100</v>
      </c>
      <c r="H531" s="4">
        <f t="shared" si="16"/>
        <v>2.4875621890547263E-3</v>
      </c>
      <c r="I531" s="4">
        <f t="shared" si="17"/>
        <v>0.7911111111111111</v>
      </c>
    </row>
    <row r="532" spans="1:9" x14ac:dyDescent="0.2">
      <c r="A532" s="2">
        <f ca="1">IFERROR(__xludf.DUMMYFUNCTION("""COMPUTED_VALUE"""),45379.6666666666)</f>
        <v>45379.666666666599</v>
      </c>
      <c r="B532" s="2" t="s">
        <v>54</v>
      </c>
      <c r="C532" s="1">
        <v>10025</v>
      </c>
      <c r="D532" s="1">
        <v>10100</v>
      </c>
      <c r="E532" s="1">
        <v>9975</v>
      </c>
      <c r="F532" s="1">
        <v>10075</v>
      </c>
      <c r="G532" s="1">
        <v>79229700</v>
      </c>
      <c r="H532" s="4">
        <f t="shared" si="16"/>
        <v>0</v>
      </c>
      <c r="I532" s="4">
        <f t="shared" si="17"/>
        <v>0.7911111111111111</v>
      </c>
    </row>
    <row r="533" spans="1:9" x14ac:dyDescent="0.2">
      <c r="A533" s="2">
        <f ca="1">IFERROR(__xludf.DUMMYFUNCTION("""COMPUTED_VALUE"""),45383.6666666666)</f>
        <v>45383.666666666599</v>
      </c>
      <c r="B533" s="2" t="s">
        <v>54</v>
      </c>
      <c r="C533" s="1">
        <v>10075</v>
      </c>
      <c r="D533" s="1">
        <v>10100</v>
      </c>
      <c r="E533" s="1">
        <v>9825</v>
      </c>
      <c r="F533" s="1">
        <v>9850</v>
      </c>
      <c r="G533" s="1">
        <v>79248700</v>
      </c>
      <c r="H533" s="4">
        <f t="shared" si="16"/>
        <v>-2.2332506203473945E-2</v>
      </c>
      <c r="I533" s="4">
        <f t="shared" si="17"/>
        <v>0.75111111111111106</v>
      </c>
    </row>
    <row r="534" spans="1:9" x14ac:dyDescent="0.2">
      <c r="A534" s="2">
        <f ca="1">IFERROR(__xludf.DUMMYFUNCTION("""COMPUTED_VALUE"""),45384.6666666666)</f>
        <v>45384.666666666599</v>
      </c>
      <c r="B534" s="2" t="s">
        <v>54</v>
      </c>
      <c r="C534" s="1">
        <v>9925</v>
      </c>
      <c r="D534" s="1">
        <v>9950</v>
      </c>
      <c r="E534" s="1">
        <v>9800</v>
      </c>
      <c r="F534" s="1">
        <v>9900</v>
      </c>
      <c r="G534" s="1">
        <v>76763100</v>
      </c>
      <c r="H534" s="4">
        <f t="shared" si="16"/>
        <v>5.076142131979695E-3</v>
      </c>
      <c r="I534" s="4">
        <f t="shared" si="17"/>
        <v>0.76</v>
      </c>
    </row>
    <row r="535" spans="1:9" x14ac:dyDescent="0.2">
      <c r="A535" s="2">
        <f ca="1">IFERROR(__xludf.DUMMYFUNCTION("""COMPUTED_VALUE"""),45385.6666666666)</f>
        <v>45385.666666666599</v>
      </c>
      <c r="B535" s="2" t="s">
        <v>54</v>
      </c>
      <c r="C535" s="1">
        <v>9750</v>
      </c>
      <c r="D535" s="1">
        <v>9800</v>
      </c>
      <c r="E535" s="1">
        <v>9525</v>
      </c>
      <c r="F535" s="1">
        <v>9525</v>
      </c>
      <c r="G535" s="1">
        <v>177418400</v>
      </c>
      <c r="H535" s="4">
        <f t="shared" si="16"/>
        <v>-3.787878787878788E-2</v>
      </c>
      <c r="I535" s="4">
        <f t="shared" si="17"/>
        <v>0.69333333333333336</v>
      </c>
    </row>
    <row r="536" spans="1:9" x14ac:dyDescent="0.2">
      <c r="A536" s="2">
        <f ca="1">IFERROR(__xludf.DUMMYFUNCTION("""COMPUTED_VALUE"""),45386.6666666666)</f>
        <v>45386.666666666599</v>
      </c>
      <c r="B536" s="2" t="s">
        <v>54</v>
      </c>
      <c r="C536" s="1">
        <v>9575</v>
      </c>
      <c r="D536" s="1">
        <v>9850</v>
      </c>
      <c r="E536" s="1">
        <v>9575</v>
      </c>
      <c r="F536" s="1">
        <v>9850</v>
      </c>
      <c r="G536" s="1">
        <v>75993500</v>
      </c>
      <c r="H536" s="4">
        <f t="shared" si="16"/>
        <v>3.4120734908136482E-2</v>
      </c>
      <c r="I536" s="4">
        <f t="shared" si="17"/>
        <v>0.75111111111111106</v>
      </c>
    </row>
    <row r="537" spans="1:9" x14ac:dyDescent="0.2">
      <c r="A537" s="2">
        <f ca="1">IFERROR(__xludf.DUMMYFUNCTION("""COMPUTED_VALUE"""),45387.6666666666)</f>
        <v>45387.666666666599</v>
      </c>
      <c r="B537" s="2" t="s">
        <v>54</v>
      </c>
      <c r="C537" s="1">
        <v>9950</v>
      </c>
      <c r="D537" s="1">
        <v>9950</v>
      </c>
      <c r="E537" s="1">
        <v>9825</v>
      </c>
      <c r="F537" s="1">
        <v>9825</v>
      </c>
      <c r="G537" s="1">
        <v>70428600</v>
      </c>
      <c r="H537" s="4">
        <f t="shared" si="16"/>
        <v>-2.5380710659898475E-3</v>
      </c>
      <c r="I537" s="4">
        <f t="shared" si="17"/>
        <v>0.7466666666666667</v>
      </c>
    </row>
    <row r="538" spans="1:9" x14ac:dyDescent="0.2">
      <c r="A538" s="2">
        <f ca="1">IFERROR(__xludf.DUMMYFUNCTION("""COMPUTED_VALUE"""),45398.6666666666)</f>
        <v>45398.666666666599</v>
      </c>
      <c r="B538" s="2" t="s">
        <v>54</v>
      </c>
      <c r="C538" s="1">
        <v>9350</v>
      </c>
      <c r="D538" s="1">
        <v>9575</v>
      </c>
      <c r="E538" s="1">
        <v>9250</v>
      </c>
      <c r="F538" s="1">
        <v>9475</v>
      </c>
      <c r="G538" s="1">
        <v>283265900</v>
      </c>
      <c r="H538" s="4">
        <f t="shared" si="16"/>
        <v>-3.5623409669211195E-2</v>
      </c>
      <c r="I538" s="4">
        <f t="shared" si="17"/>
        <v>0.68444444444444441</v>
      </c>
    </row>
    <row r="539" spans="1:9" x14ac:dyDescent="0.2">
      <c r="A539" s="2">
        <f ca="1">IFERROR(__xludf.DUMMYFUNCTION("""COMPUTED_VALUE"""),45399.6666666666)</f>
        <v>45399.666666666599</v>
      </c>
      <c r="B539" s="2" t="s">
        <v>54</v>
      </c>
      <c r="C539" s="1">
        <v>9550</v>
      </c>
      <c r="D539" s="1">
        <v>9675</v>
      </c>
      <c r="E539" s="1">
        <v>9525</v>
      </c>
      <c r="F539" s="1">
        <v>9525</v>
      </c>
      <c r="G539" s="1">
        <v>95620700</v>
      </c>
      <c r="H539" s="4">
        <f t="shared" si="16"/>
        <v>5.2770448548812663E-3</v>
      </c>
      <c r="I539" s="4">
        <f t="shared" si="17"/>
        <v>0.69333333333333336</v>
      </c>
    </row>
    <row r="540" spans="1:9" x14ac:dyDescent="0.2">
      <c r="A540" s="2">
        <f ca="1">IFERROR(__xludf.DUMMYFUNCTION("""COMPUTED_VALUE"""),45400.6666666666)</f>
        <v>45400.666666666599</v>
      </c>
      <c r="B540" s="2" t="s">
        <v>54</v>
      </c>
      <c r="C540" s="1">
        <v>9525</v>
      </c>
      <c r="D540" s="1">
        <v>9575</v>
      </c>
      <c r="E540" s="1">
        <v>9450</v>
      </c>
      <c r="F540" s="1">
        <v>9475</v>
      </c>
      <c r="G540" s="1">
        <v>127134000</v>
      </c>
      <c r="H540" s="4">
        <f t="shared" si="16"/>
        <v>-5.2493438320209973E-3</v>
      </c>
      <c r="I540" s="4">
        <f t="shared" si="17"/>
        <v>0.68444444444444441</v>
      </c>
    </row>
    <row r="541" spans="1:9" x14ac:dyDescent="0.2">
      <c r="A541" s="2">
        <f ca="1">IFERROR(__xludf.DUMMYFUNCTION("""COMPUTED_VALUE"""),45401.6666666666)</f>
        <v>45401.666666666599</v>
      </c>
      <c r="B541" s="2" t="s">
        <v>54</v>
      </c>
      <c r="C541" s="1">
        <v>9350</v>
      </c>
      <c r="D541" s="1">
        <v>9500</v>
      </c>
      <c r="E541" s="1">
        <v>9300</v>
      </c>
      <c r="F541" s="1">
        <v>9475</v>
      </c>
      <c r="G541" s="1">
        <v>147784300</v>
      </c>
      <c r="H541" s="4">
        <f t="shared" ref="H541:H604" si="18">(F541-F540)/F540</f>
        <v>0</v>
      </c>
      <c r="I541" s="4">
        <f t="shared" ref="I541:I604" si="19">(F541-$E$2)/$E$2</f>
        <v>0.68444444444444441</v>
      </c>
    </row>
    <row r="542" spans="1:9" x14ac:dyDescent="0.2">
      <c r="A542" s="2">
        <f ca="1">IFERROR(__xludf.DUMMYFUNCTION("""COMPUTED_VALUE"""),45404.6666666666)</f>
        <v>45404.666666666599</v>
      </c>
      <c r="B542" s="2" t="s">
        <v>54</v>
      </c>
      <c r="C542" s="1">
        <v>9400</v>
      </c>
      <c r="D542" s="1">
        <v>9425</v>
      </c>
      <c r="E542" s="1">
        <v>9350</v>
      </c>
      <c r="F542" s="1">
        <v>9350</v>
      </c>
      <c r="G542" s="1">
        <v>128908000</v>
      </c>
      <c r="H542" s="4">
        <f t="shared" si="18"/>
        <v>-1.3192612137203167E-2</v>
      </c>
      <c r="I542" s="4">
        <f t="shared" si="19"/>
        <v>0.66222222222222227</v>
      </c>
    </row>
    <row r="543" spans="1:9" x14ac:dyDescent="0.2">
      <c r="A543" s="2">
        <f ca="1">IFERROR(__xludf.DUMMYFUNCTION("""COMPUTED_VALUE"""),45405.6666666666)</f>
        <v>45405.666666666599</v>
      </c>
      <c r="B543" s="2" t="s">
        <v>54</v>
      </c>
      <c r="C543" s="1">
        <v>9400</v>
      </c>
      <c r="D543" s="1">
        <v>9775</v>
      </c>
      <c r="E543" s="1">
        <v>9400</v>
      </c>
      <c r="F543" s="1">
        <v>9725</v>
      </c>
      <c r="G543" s="1">
        <v>178833000</v>
      </c>
      <c r="H543" s="4">
        <f t="shared" si="18"/>
        <v>4.0106951871657755E-2</v>
      </c>
      <c r="I543" s="4">
        <f t="shared" si="19"/>
        <v>0.72888888888888892</v>
      </c>
    </row>
    <row r="544" spans="1:9" x14ac:dyDescent="0.2">
      <c r="A544" s="2">
        <f ca="1">IFERROR(__xludf.DUMMYFUNCTION("""COMPUTED_VALUE"""),45406.6666666666)</f>
        <v>45406.666666666599</v>
      </c>
      <c r="B544" s="2" t="s">
        <v>54</v>
      </c>
      <c r="C544" s="1">
        <v>9825</v>
      </c>
      <c r="D544" s="1">
        <v>9950</v>
      </c>
      <c r="E544" s="1">
        <v>9750</v>
      </c>
      <c r="F544" s="1">
        <v>9950</v>
      </c>
      <c r="G544" s="1">
        <v>132832700</v>
      </c>
      <c r="H544" s="4">
        <f t="shared" si="18"/>
        <v>2.313624678663239E-2</v>
      </c>
      <c r="I544" s="4">
        <f t="shared" si="19"/>
        <v>0.76888888888888884</v>
      </c>
    </row>
    <row r="545" spans="1:9" x14ac:dyDescent="0.2">
      <c r="A545" s="2">
        <f ca="1">IFERROR(__xludf.DUMMYFUNCTION("""COMPUTED_VALUE"""),45407.6666666666)</f>
        <v>45407.666666666599</v>
      </c>
      <c r="B545" s="2" t="s">
        <v>54</v>
      </c>
      <c r="C545" s="1">
        <v>10000</v>
      </c>
      <c r="D545" s="1">
        <v>10000</v>
      </c>
      <c r="E545" s="1">
        <v>9700</v>
      </c>
      <c r="F545" s="1">
        <v>9775</v>
      </c>
      <c r="G545" s="1">
        <v>104874100</v>
      </c>
      <c r="H545" s="4">
        <f t="shared" si="18"/>
        <v>-1.7587939698492462E-2</v>
      </c>
      <c r="I545" s="4">
        <f t="shared" si="19"/>
        <v>0.73777777777777775</v>
      </c>
    </row>
    <row r="546" spans="1:9" x14ac:dyDescent="0.2">
      <c r="A546" s="2">
        <f ca="1">IFERROR(__xludf.DUMMYFUNCTION("""COMPUTED_VALUE"""),45408.6666666666)</f>
        <v>45408.666666666599</v>
      </c>
      <c r="B546" s="2" t="s">
        <v>54</v>
      </c>
      <c r="C546" s="1">
        <v>9700</v>
      </c>
      <c r="D546" s="1">
        <v>9825</v>
      </c>
      <c r="E546" s="1">
        <v>9625</v>
      </c>
      <c r="F546" s="1">
        <v>9625</v>
      </c>
      <c r="G546" s="1">
        <v>100932900</v>
      </c>
      <c r="H546" s="4">
        <f t="shared" si="18"/>
        <v>-1.5345268542199489E-2</v>
      </c>
      <c r="I546" s="4">
        <f t="shared" si="19"/>
        <v>0.71111111111111114</v>
      </c>
    </row>
    <row r="547" spans="1:9" x14ac:dyDescent="0.2">
      <c r="A547" s="2">
        <f ca="1">IFERROR(__xludf.DUMMYFUNCTION("""COMPUTED_VALUE"""),45411.6666666666)</f>
        <v>45411.666666666599</v>
      </c>
      <c r="B547" s="2" t="s">
        <v>54</v>
      </c>
      <c r="C547" s="1">
        <v>9525</v>
      </c>
      <c r="D547" s="1">
        <v>9850</v>
      </c>
      <c r="E547" s="1">
        <v>9525</v>
      </c>
      <c r="F547" s="1">
        <v>9800</v>
      </c>
      <c r="G547" s="1">
        <v>90063500</v>
      </c>
      <c r="H547" s="4">
        <f t="shared" si="18"/>
        <v>1.8181818181818181E-2</v>
      </c>
      <c r="I547" s="4">
        <f t="shared" si="19"/>
        <v>0.74222222222222223</v>
      </c>
    </row>
    <row r="548" spans="1:9" x14ac:dyDescent="0.2">
      <c r="A548" s="2">
        <f ca="1">IFERROR(__xludf.DUMMYFUNCTION("""COMPUTED_VALUE"""),45412.6666666666)</f>
        <v>45412.666666666599</v>
      </c>
      <c r="B548" s="2" t="s">
        <v>54</v>
      </c>
      <c r="C548" s="1">
        <v>10050</v>
      </c>
      <c r="D548" s="1">
        <v>10050</v>
      </c>
      <c r="E548" s="1">
        <v>9800</v>
      </c>
      <c r="F548" s="1">
        <v>9800</v>
      </c>
      <c r="G548" s="1">
        <v>109623000</v>
      </c>
      <c r="H548" s="4">
        <f t="shared" si="18"/>
        <v>0</v>
      </c>
      <c r="I548" s="4">
        <f t="shared" si="19"/>
        <v>0.74222222222222223</v>
      </c>
    </row>
    <row r="549" spans="1:9" x14ac:dyDescent="0.2">
      <c r="A549" s="2">
        <f ca="1">IFERROR(__xludf.DUMMYFUNCTION("""COMPUTED_VALUE"""),45414.6666666666)</f>
        <v>45414.666666666599</v>
      </c>
      <c r="B549" s="2" t="s">
        <v>54</v>
      </c>
      <c r="C549" s="1">
        <v>9900</v>
      </c>
      <c r="D549" s="1">
        <v>9900</v>
      </c>
      <c r="E549" s="1">
        <v>9500</v>
      </c>
      <c r="F549" s="1">
        <v>9550</v>
      </c>
      <c r="G549" s="1">
        <v>97079400</v>
      </c>
      <c r="H549" s="4">
        <f t="shared" si="18"/>
        <v>-2.5510204081632654E-2</v>
      </c>
      <c r="I549" s="4">
        <f t="shared" si="19"/>
        <v>0.69777777777777783</v>
      </c>
    </row>
    <row r="550" spans="1:9" x14ac:dyDescent="0.2">
      <c r="A550" s="2">
        <f ca="1">IFERROR(__xludf.DUMMYFUNCTION("""COMPUTED_VALUE"""),45415.6666666666)</f>
        <v>45415.666666666599</v>
      </c>
      <c r="B550" s="2" t="s">
        <v>54</v>
      </c>
      <c r="C550" s="1">
        <v>9750</v>
      </c>
      <c r="D550" s="1">
        <v>9850</v>
      </c>
      <c r="E550" s="1">
        <v>9675</v>
      </c>
      <c r="F550" s="1">
        <v>9850</v>
      </c>
      <c r="G550" s="1">
        <v>81200400</v>
      </c>
      <c r="H550" s="4">
        <f t="shared" si="18"/>
        <v>3.1413612565445025E-2</v>
      </c>
      <c r="I550" s="4">
        <f t="shared" si="19"/>
        <v>0.75111111111111106</v>
      </c>
    </row>
    <row r="551" spans="1:9" x14ac:dyDescent="0.2">
      <c r="A551" s="2">
        <f ca="1">IFERROR(__xludf.DUMMYFUNCTION("""COMPUTED_VALUE"""),45418.6666666666)</f>
        <v>45418.666666666599</v>
      </c>
      <c r="B551" s="2" t="s">
        <v>54</v>
      </c>
      <c r="C551" s="1">
        <v>9850</v>
      </c>
      <c r="D551" s="1">
        <v>9875</v>
      </c>
      <c r="E551" s="1">
        <v>9775</v>
      </c>
      <c r="F551" s="1">
        <v>9800</v>
      </c>
      <c r="G551" s="1">
        <v>53076200</v>
      </c>
      <c r="H551" s="4">
        <f t="shared" si="18"/>
        <v>-5.076142131979695E-3</v>
      </c>
      <c r="I551" s="4">
        <f t="shared" si="19"/>
        <v>0.74222222222222223</v>
      </c>
    </row>
    <row r="552" spans="1:9" x14ac:dyDescent="0.2">
      <c r="A552" s="2">
        <f ca="1">IFERROR(__xludf.DUMMYFUNCTION("""COMPUTED_VALUE"""),45419.6666666666)</f>
        <v>45419.666666666599</v>
      </c>
      <c r="B552" s="2" t="s">
        <v>54</v>
      </c>
      <c r="C552" s="1">
        <v>9700</v>
      </c>
      <c r="D552" s="1">
        <v>9750</v>
      </c>
      <c r="E552" s="1">
        <v>9625</v>
      </c>
      <c r="F552" s="1">
        <v>9700</v>
      </c>
      <c r="G552" s="1">
        <v>66746800</v>
      </c>
      <c r="H552" s="4">
        <f t="shared" si="18"/>
        <v>-1.020408163265306E-2</v>
      </c>
      <c r="I552" s="4">
        <f t="shared" si="19"/>
        <v>0.72444444444444445</v>
      </c>
    </row>
    <row r="553" spans="1:9" x14ac:dyDescent="0.2">
      <c r="A553" s="2">
        <f ca="1">IFERROR(__xludf.DUMMYFUNCTION("""COMPUTED_VALUE"""),45420.6666666666)</f>
        <v>45420.666666666599</v>
      </c>
      <c r="B553" s="2" t="s">
        <v>54</v>
      </c>
      <c r="C553" s="1">
        <v>9600</v>
      </c>
      <c r="D553" s="1">
        <v>9700</v>
      </c>
      <c r="E553" s="1">
        <v>9375</v>
      </c>
      <c r="F553" s="1">
        <v>9375</v>
      </c>
      <c r="G553" s="1">
        <v>112808900</v>
      </c>
      <c r="H553" s="4">
        <f t="shared" si="18"/>
        <v>-3.3505154639175257E-2</v>
      </c>
      <c r="I553" s="4">
        <f t="shared" si="19"/>
        <v>0.66666666666666663</v>
      </c>
    </row>
    <row r="554" spans="1:9" x14ac:dyDescent="0.2">
      <c r="A554" s="2">
        <f ca="1">IFERROR(__xludf.DUMMYFUNCTION("""COMPUTED_VALUE"""),45425.6666666666)</f>
        <v>45425.666666666599</v>
      </c>
      <c r="B554" s="2" t="s">
        <v>54</v>
      </c>
      <c r="C554" s="1">
        <v>9200</v>
      </c>
      <c r="D554" s="1">
        <v>9525</v>
      </c>
      <c r="E554" s="1">
        <v>9200</v>
      </c>
      <c r="F554" s="1">
        <v>9525</v>
      </c>
      <c r="G554" s="1">
        <v>145469900</v>
      </c>
      <c r="H554" s="4">
        <f t="shared" si="18"/>
        <v>1.6E-2</v>
      </c>
      <c r="I554" s="4">
        <f t="shared" si="19"/>
        <v>0.69333333333333336</v>
      </c>
    </row>
    <row r="555" spans="1:9" x14ac:dyDescent="0.2">
      <c r="A555" s="2">
        <f ca="1">IFERROR(__xludf.DUMMYFUNCTION("""COMPUTED_VALUE"""),45426.6666666666)</f>
        <v>45426.666666666599</v>
      </c>
      <c r="B555" s="2" t="s">
        <v>54</v>
      </c>
      <c r="C555" s="1">
        <v>9625</v>
      </c>
      <c r="D555" s="1">
        <v>9675</v>
      </c>
      <c r="E555" s="1">
        <v>9525</v>
      </c>
      <c r="F555" s="1">
        <v>9550</v>
      </c>
      <c r="G555" s="1">
        <v>95363500</v>
      </c>
      <c r="H555" s="4">
        <f t="shared" si="18"/>
        <v>2.6246719160104987E-3</v>
      </c>
      <c r="I555" s="4">
        <f t="shared" si="19"/>
        <v>0.69777777777777783</v>
      </c>
    </row>
    <row r="556" spans="1:9" x14ac:dyDescent="0.2">
      <c r="A556" s="2">
        <f ca="1">IFERROR(__xludf.DUMMYFUNCTION("""COMPUTED_VALUE"""),45427.6666666666)</f>
        <v>45427.666666666599</v>
      </c>
      <c r="B556" s="2" t="s">
        <v>54</v>
      </c>
      <c r="C556" s="1">
        <v>9500</v>
      </c>
      <c r="D556" s="1">
        <v>9600</v>
      </c>
      <c r="E556" s="1">
        <v>9425</v>
      </c>
      <c r="F556" s="1">
        <v>9500</v>
      </c>
      <c r="G556" s="1">
        <v>54741900</v>
      </c>
      <c r="H556" s="4">
        <f t="shared" si="18"/>
        <v>-5.235602094240838E-3</v>
      </c>
      <c r="I556" s="4">
        <f t="shared" si="19"/>
        <v>0.68888888888888888</v>
      </c>
    </row>
    <row r="557" spans="1:9" x14ac:dyDescent="0.2">
      <c r="A557" s="2">
        <f ca="1">IFERROR(__xludf.DUMMYFUNCTION("""COMPUTED_VALUE"""),45428.6666666666)</f>
        <v>45428.666666666599</v>
      </c>
      <c r="B557" s="2" t="s">
        <v>54</v>
      </c>
      <c r="C557" s="1">
        <v>9575</v>
      </c>
      <c r="D557" s="1">
        <v>9675</v>
      </c>
      <c r="E557" s="1">
        <v>9525</v>
      </c>
      <c r="F557" s="1">
        <v>9600</v>
      </c>
      <c r="G557" s="1">
        <v>61126000</v>
      </c>
      <c r="H557" s="4">
        <f t="shared" si="18"/>
        <v>1.0526315789473684E-2</v>
      </c>
      <c r="I557" s="4">
        <f t="shared" si="19"/>
        <v>0.70666666666666667</v>
      </c>
    </row>
    <row r="558" spans="1:9" x14ac:dyDescent="0.2">
      <c r="A558" s="2">
        <f ca="1">IFERROR(__xludf.DUMMYFUNCTION("""COMPUTED_VALUE"""),45429.6666666666)</f>
        <v>45429.666666666599</v>
      </c>
      <c r="B558" s="2" t="s">
        <v>54</v>
      </c>
      <c r="C558" s="1">
        <v>9600</v>
      </c>
      <c r="D558" s="1">
        <v>9850</v>
      </c>
      <c r="E558" s="1">
        <v>9575</v>
      </c>
      <c r="F558" s="1">
        <v>9750</v>
      </c>
      <c r="G558" s="1">
        <v>99848500</v>
      </c>
      <c r="H558" s="4">
        <f t="shared" si="18"/>
        <v>1.5625E-2</v>
      </c>
      <c r="I558" s="4">
        <f t="shared" si="19"/>
        <v>0.73333333333333328</v>
      </c>
    </row>
    <row r="559" spans="1:9" x14ac:dyDescent="0.2">
      <c r="A559" s="2">
        <f ca="1">IFERROR(__xludf.DUMMYFUNCTION("""COMPUTED_VALUE"""),45432.6666666666)</f>
        <v>45432.666666666599</v>
      </c>
      <c r="B559" s="2" t="s">
        <v>54</v>
      </c>
      <c r="C559" s="1">
        <v>9700</v>
      </c>
      <c r="D559" s="1">
        <v>9800</v>
      </c>
      <c r="E559" s="1">
        <v>9475</v>
      </c>
      <c r="F559" s="1">
        <v>9475</v>
      </c>
      <c r="G559" s="1">
        <v>87890100</v>
      </c>
      <c r="H559" s="4">
        <f t="shared" si="18"/>
        <v>-2.8205128205128206E-2</v>
      </c>
      <c r="I559" s="4">
        <f t="shared" si="19"/>
        <v>0.68444444444444441</v>
      </c>
    </row>
    <row r="560" spans="1:9" x14ac:dyDescent="0.2">
      <c r="A560" s="2">
        <f ca="1">IFERROR(__xludf.DUMMYFUNCTION("""COMPUTED_VALUE"""),45433.6666666666)</f>
        <v>45433.666666666599</v>
      </c>
      <c r="B560" s="2" t="s">
        <v>54</v>
      </c>
      <c r="C560" s="1">
        <v>9450</v>
      </c>
      <c r="D560" s="1">
        <v>9575</v>
      </c>
      <c r="E560" s="1">
        <v>9375</v>
      </c>
      <c r="F560" s="1">
        <v>9375</v>
      </c>
      <c r="G560" s="1">
        <v>75311400</v>
      </c>
      <c r="H560" s="4">
        <f t="shared" si="18"/>
        <v>-1.0554089709762533E-2</v>
      </c>
      <c r="I560" s="4">
        <f t="shared" si="19"/>
        <v>0.66666666666666663</v>
      </c>
    </row>
    <row r="561" spans="1:9" x14ac:dyDescent="0.2">
      <c r="A561" s="2">
        <f ca="1">IFERROR(__xludf.DUMMYFUNCTION("""COMPUTED_VALUE"""),45434.6666666666)</f>
        <v>45434.666666666599</v>
      </c>
      <c r="B561" s="2" t="s">
        <v>54</v>
      </c>
      <c r="C561" s="1">
        <v>9475</v>
      </c>
      <c r="D561" s="1">
        <v>9575</v>
      </c>
      <c r="E561" s="1">
        <v>9325</v>
      </c>
      <c r="F561" s="1">
        <v>9425</v>
      </c>
      <c r="G561" s="1">
        <v>121712700</v>
      </c>
      <c r="H561" s="4">
        <f t="shared" si="18"/>
        <v>5.3333333333333332E-3</v>
      </c>
      <c r="I561" s="4">
        <f t="shared" si="19"/>
        <v>0.67555555555555558</v>
      </c>
    </row>
    <row r="562" spans="1:9" x14ac:dyDescent="0.2">
      <c r="A562" s="2">
        <f ca="1">IFERROR(__xludf.DUMMYFUNCTION("""COMPUTED_VALUE"""),45439.6666666666)</f>
        <v>45439.666666666599</v>
      </c>
      <c r="B562" s="2" t="s">
        <v>54</v>
      </c>
      <c r="C562" s="1">
        <v>9300</v>
      </c>
      <c r="D562" s="1">
        <v>9375</v>
      </c>
      <c r="E562" s="1">
        <v>9275</v>
      </c>
      <c r="F562" s="1">
        <v>9300</v>
      </c>
      <c r="G562" s="1">
        <v>128578500</v>
      </c>
      <c r="H562" s="4">
        <f t="shared" si="18"/>
        <v>-1.3262599469496022E-2</v>
      </c>
      <c r="I562" s="4">
        <f t="shared" si="19"/>
        <v>0.65333333333333332</v>
      </c>
    </row>
    <row r="563" spans="1:9" x14ac:dyDescent="0.2">
      <c r="A563" s="2">
        <f ca="1">IFERROR(__xludf.DUMMYFUNCTION("""COMPUTED_VALUE"""),45440.6666666666)</f>
        <v>45440.666666666599</v>
      </c>
      <c r="B563" s="2" t="s">
        <v>54</v>
      </c>
      <c r="C563" s="1">
        <v>9300</v>
      </c>
      <c r="D563" s="1">
        <v>9400</v>
      </c>
      <c r="E563" s="1">
        <v>9300</v>
      </c>
      <c r="F563" s="1">
        <v>9300</v>
      </c>
      <c r="G563" s="1">
        <v>73945700</v>
      </c>
      <c r="H563" s="4">
        <f t="shared" si="18"/>
        <v>0</v>
      </c>
      <c r="I563" s="4">
        <f t="shared" si="19"/>
        <v>0.65333333333333332</v>
      </c>
    </row>
    <row r="564" spans="1:9" x14ac:dyDescent="0.2">
      <c r="A564" s="2">
        <f ca="1">IFERROR(__xludf.DUMMYFUNCTION("""COMPUTED_VALUE"""),45441.6666666666)</f>
        <v>45441.666666666599</v>
      </c>
      <c r="B564" s="2" t="s">
        <v>54</v>
      </c>
      <c r="C564" s="1">
        <v>9275</v>
      </c>
      <c r="D564" s="1">
        <v>9325</v>
      </c>
      <c r="E564" s="1">
        <v>9150</v>
      </c>
      <c r="F564" s="1">
        <v>9150</v>
      </c>
      <c r="G564" s="1">
        <v>117351600</v>
      </c>
      <c r="H564" s="4">
        <f t="shared" si="18"/>
        <v>-1.6129032258064516E-2</v>
      </c>
      <c r="I564" s="4">
        <f t="shared" si="19"/>
        <v>0.62666666666666671</v>
      </c>
    </row>
    <row r="565" spans="1:9" x14ac:dyDescent="0.2">
      <c r="A565" s="2">
        <f ca="1">IFERROR(__xludf.DUMMYFUNCTION("""COMPUTED_VALUE"""),45442.6666666666)</f>
        <v>45442.666666666599</v>
      </c>
      <c r="B565" s="2" t="s">
        <v>54</v>
      </c>
      <c r="C565" s="1">
        <v>9000</v>
      </c>
      <c r="D565" s="1">
        <v>9250</v>
      </c>
      <c r="E565" s="1">
        <v>8775</v>
      </c>
      <c r="F565" s="1">
        <v>9000</v>
      </c>
      <c r="G565" s="1">
        <v>207115100</v>
      </c>
      <c r="H565" s="4">
        <f t="shared" si="18"/>
        <v>-1.6393442622950821E-2</v>
      </c>
      <c r="I565" s="4">
        <f t="shared" si="19"/>
        <v>0.6</v>
      </c>
    </row>
    <row r="566" spans="1:9" x14ac:dyDescent="0.2">
      <c r="A566" s="2">
        <f ca="1">IFERROR(__xludf.DUMMYFUNCTION("""COMPUTED_VALUE"""),45443.6666666666)</f>
        <v>45443.666666666599</v>
      </c>
      <c r="B566" s="2" t="s">
        <v>54</v>
      </c>
      <c r="C566" s="1">
        <v>9100</v>
      </c>
      <c r="D566" s="1">
        <v>9250</v>
      </c>
      <c r="E566" s="1">
        <v>9025</v>
      </c>
      <c r="F566" s="1">
        <v>9250</v>
      </c>
      <c r="G566" s="1">
        <v>756431600</v>
      </c>
      <c r="H566" s="4">
        <f t="shared" si="18"/>
        <v>2.7777777777777776E-2</v>
      </c>
      <c r="I566" s="4">
        <f t="shared" si="19"/>
        <v>0.64444444444444449</v>
      </c>
    </row>
    <row r="567" spans="1:9" x14ac:dyDescent="0.2">
      <c r="A567" s="2">
        <f ca="1">IFERROR(__xludf.DUMMYFUNCTION("""COMPUTED_VALUE"""),45446.6666666666)</f>
        <v>45446.666666666599</v>
      </c>
      <c r="B567" s="2" t="s">
        <v>54</v>
      </c>
      <c r="C567" s="1">
        <v>9350</v>
      </c>
      <c r="D567" s="1">
        <v>9350</v>
      </c>
      <c r="E567" s="1">
        <v>9225</v>
      </c>
      <c r="F567" s="1">
        <v>9275</v>
      </c>
      <c r="G567" s="1">
        <v>72197700</v>
      </c>
      <c r="H567" s="4">
        <f t="shared" si="18"/>
        <v>2.7027027027027029E-3</v>
      </c>
      <c r="I567" s="4">
        <f t="shared" si="19"/>
        <v>0.64888888888888885</v>
      </c>
    </row>
    <row r="568" spans="1:9" x14ac:dyDescent="0.2">
      <c r="A568" s="2">
        <f ca="1">IFERROR(__xludf.DUMMYFUNCTION("""COMPUTED_VALUE"""),45447.6666666666)</f>
        <v>45447.666666666599</v>
      </c>
      <c r="B568" s="2" t="s">
        <v>54</v>
      </c>
      <c r="C568" s="1">
        <v>9525</v>
      </c>
      <c r="D568" s="1">
        <v>9525</v>
      </c>
      <c r="E568" s="1">
        <v>9350</v>
      </c>
      <c r="F568" s="1">
        <v>9350</v>
      </c>
      <c r="G568" s="1">
        <v>75353100</v>
      </c>
      <c r="H568" s="4">
        <f t="shared" si="18"/>
        <v>8.0862533692722376E-3</v>
      </c>
      <c r="I568" s="4">
        <f t="shared" si="19"/>
        <v>0.66222222222222227</v>
      </c>
    </row>
    <row r="569" spans="1:9" x14ac:dyDescent="0.2">
      <c r="A569" s="2">
        <f ca="1">IFERROR(__xludf.DUMMYFUNCTION("""COMPUTED_VALUE"""),45448.6666666666)</f>
        <v>45448.666666666599</v>
      </c>
      <c r="B569" s="2" t="s">
        <v>54</v>
      </c>
      <c r="C569" s="1">
        <v>9500</v>
      </c>
      <c r="D569" s="1">
        <v>9500</v>
      </c>
      <c r="E569" s="1">
        <v>9300</v>
      </c>
      <c r="F569" s="1">
        <v>9450</v>
      </c>
      <c r="G569" s="1">
        <v>82087300</v>
      </c>
      <c r="H569" s="4">
        <f t="shared" si="18"/>
        <v>1.06951871657754E-2</v>
      </c>
      <c r="I569" s="4">
        <f t="shared" si="19"/>
        <v>0.68</v>
      </c>
    </row>
    <row r="570" spans="1:9" x14ac:dyDescent="0.2">
      <c r="A570" s="2">
        <f ca="1">IFERROR(__xludf.DUMMYFUNCTION("""COMPUTED_VALUE"""),45449.6666666666)</f>
        <v>45449.666666666599</v>
      </c>
      <c r="B570" s="2" t="s">
        <v>54</v>
      </c>
      <c r="C570" s="1">
        <v>9525</v>
      </c>
      <c r="D570" s="1">
        <v>9525</v>
      </c>
      <c r="E570" s="1">
        <v>9450</v>
      </c>
      <c r="F570" s="1">
        <v>9475</v>
      </c>
      <c r="G570" s="1">
        <v>44991300</v>
      </c>
      <c r="H570" s="4">
        <f t="shared" si="18"/>
        <v>2.6455026455026454E-3</v>
      </c>
      <c r="I570" s="4">
        <f t="shared" si="19"/>
        <v>0.68444444444444441</v>
      </c>
    </row>
    <row r="571" spans="1:9" x14ac:dyDescent="0.2">
      <c r="A571" s="2">
        <f ca="1">IFERROR(__xludf.DUMMYFUNCTION("""COMPUTED_VALUE"""),45450.6666666666)</f>
        <v>45450.666666666599</v>
      </c>
      <c r="B571" s="2" t="s">
        <v>54</v>
      </c>
      <c r="C571" s="1">
        <v>9500</v>
      </c>
      <c r="D571" s="1">
        <v>9500</v>
      </c>
      <c r="E571" s="1">
        <v>9325</v>
      </c>
      <c r="F571" s="1">
        <v>9325</v>
      </c>
      <c r="G571" s="1">
        <v>51599800</v>
      </c>
      <c r="H571" s="4">
        <f t="shared" si="18"/>
        <v>-1.5831134564643801E-2</v>
      </c>
      <c r="I571" s="4">
        <f t="shared" si="19"/>
        <v>0.65777777777777779</v>
      </c>
    </row>
    <row r="572" spans="1:9" x14ac:dyDescent="0.2">
      <c r="A572" s="2">
        <f ca="1">IFERROR(__xludf.DUMMYFUNCTION("""COMPUTED_VALUE"""),45453.6666666666)</f>
        <v>45453.666666666599</v>
      </c>
      <c r="B572" s="2" t="s">
        <v>54</v>
      </c>
      <c r="C572" s="1">
        <v>9500</v>
      </c>
      <c r="D572" s="1">
        <v>9525</v>
      </c>
      <c r="E572" s="1">
        <v>9450</v>
      </c>
      <c r="F572" s="1">
        <v>9525</v>
      </c>
      <c r="G572" s="1">
        <v>45584700</v>
      </c>
      <c r="H572" s="4">
        <f t="shared" si="18"/>
        <v>2.1447721179624665E-2</v>
      </c>
      <c r="I572" s="4">
        <f t="shared" si="19"/>
        <v>0.69333333333333336</v>
      </c>
    </row>
    <row r="573" spans="1:9" x14ac:dyDescent="0.2">
      <c r="A573" s="2">
        <f ca="1">IFERROR(__xludf.DUMMYFUNCTION("""COMPUTED_VALUE"""),45454.6666666666)</f>
        <v>45454.666666666599</v>
      </c>
      <c r="B573" s="2" t="s">
        <v>54</v>
      </c>
      <c r="C573" s="1">
        <v>9550</v>
      </c>
      <c r="D573" s="1">
        <v>9550</v>
      </c>
      <c r="E573" s="1">
        <v>9300</v>
      </c>
      <c r="F573" s="1">
        <v>9300</v>
      </c>
      <c r="G573" s="1">
        <v>68690900</v>
      </c>
      <c r="H573" s="4">
        <f t="shared" si="18"/>
        <v>-2.3622047244094488E-2</v>
      </c>
      <c r="I573" s="4">
        <f t="shared" si="19"/>
        <v>0.65333333333333332</v>
      </c>
    </row>
    <row r="574" spans="1:9" x14ac:dyDescent="0.2">
      <c r="A574" s="2">
        <f ca="1">IFERROR(__xludf.DUMMYFUNCTION("""COMPUTED_VALUE"""),45455.6666666666)</f>
        <v>45455.666666666599</v>
      </c>
      <c r="B574" s="2" t="s">
        <v>54</v>
      </c>
      <c r="C574" s="1">
        <v>9300</v>
      </c>
      <c r="D574" s="1">
        <v>9325</v>
      </c>
      <c r="E574" s="1">
        <v>9250</v>
      </c>
      <c r="F574" s="1">
        <v>9250</v>
      </c>
      <c r="G574" s="1">
        <v>49785700</v>
      </c>
      <c r="H574" s="4">
        <f t="shared" si="18"/>
        <v>-5.3763440860215058E-3</v>
      </c>
      <c r="I574" s="4">
        <f t="shared" si="19"/>
        <v>0.64444444444444449</v>
      </c>
    </row>
    <row r="575" spans="1:9" x14ac:dyDescent="0.2">
      <c r="A575" s="2">
        <f ca="1">IFERROR(__xludf.DUMMYFUNCTION("""COMPUTED_VALUE"""),45456.6666666666)</f>
        <v>45456.666666666599</v>
      </c>
      <c r="B575" s="2" t="s">
        <v>54</v>
      </c>
      <c r="C575" s="1">
        <v>9475</v>
      </c>
      <c r="D575" s="1">
        <v>9475</v>
      </c>
      <c r="E575" s="1">
        <v>9200</v>
      </c>
      <c r="F575" s="1">
        <v>9200</v>
      </c>
      <c r="G575" s="1">
        <v>84652200</v>
      </c>
      <c r="H575" s="4">
        <f t="shared" si="18"/>
        <v>-5.4054054054054057E-3</v>
      </c>
      <c r="I575" s="4">
        <f t="shared" si="19"/>
        <v>0.63555555555555554</v>
      </c>
    </row>
    <row r="576" spans="1:9" x14ac:dyDescent="0.2">
      <c r="A576" s="2">
        <f ca="1">IFERROR(__xludf.DUMMYFUNCTION("""COMPUTED_VALUE"""),45457.6666666666)</f>
        <v>45457.666666666599</v>
      </c>
      <c r="B576" s="2" t="s">
        <v>54</v>
      </c>
      <c r="C576" s="1">
        <v>9200</v>
      </c>
      <c r="D576" s="1">
        <v>9250</v>
      </c>
      <c r="E576" s="1">
        <v>9100</v>
      </c>
      <c r="F576" s="1">
        <v>9200</v>
      </c>
      <c r="G576" s="1">
        <v>52986300</v>
      </c>
      <c r="H576" s="4">
        <f t="shared" si="18"/>
        <v>0</v>
      </c>
      <c r="I576" s="4">
        <f t="shared" si="19"/>
        <v>0.63555555555555554</v>
      </c>
    </row>
    <row r="577" spans="1:9" x14ac:dyDescent="0.2">
      <c r="A577" s="2">
        <f ca="1">IFERROR(__xludf.DUMMYFUNCTION("""COMPUTED_VALUE"""),45462.6666666666)</f>
        <v>45462.666666666599</v>
      </c>
      <c r="B577" s="2" t="s">
        <v>54</v>
      </c>
      <c r="C577" s="1">
        <v>9250</v>
      </c>
      <c r="D577" s="1">
        <v>9250</v>
      </c>
      <c r="E577" s="1">
        <v>9050</v>
      </c>
      <c r="F577" s="1">
        <v>9050</v>
      </c>
      <c r="G577" s="1">
        <v>100051000</v>
      </c>
      <c r="H577" s="4">
        <f t="shared" si="18"/>
        <v>-1.6304347826086956E-2</v>
      </c>
      <c r="I577" s="4">
        <f t="shared" si="19"/>
        <v>0.60888888888888892</v>
      </c>
    </row>
    <row r="578" spans="1:9" x14ac:dyDescent="0.2">
      <c r="A578" s="2">
        <f ca="1">IFERROR(__xludf.DUMMYFUNCTION("""COMPUTED_VALUE"""),45463.6666666666)</f>
        <v>45463.666666666599</v>
      </c>
      <c r="B578" s="2" t="s">
        <v>54</v>
      </c>
      <c r="C578" s="1">
        <v>9150</v>
      </c>
      <c r="D578" s="1">
        <v>9425</v>
      </c>
      <c r="E578" s="1">
        <v>9100</v>
      </c>
      <c r="F578" s="1">
        <v>9425</v>
      </c>
      <c r="G578" s="1">
        <v>81474800</v>
      </c>
      <c r="H578" s="4">
        <f t="shared" si="18"/>
        <v>4.1436464088397788E-2</v>
      </c>
      <c r="I578" s="4">
        <f t="shared" si="19"/>
        <v>0.67555555555555558</v>
      </c>
    </row>
    <row r="579" spans="1:9" x14ac:dyDescent="0.2">
      <c r="A579" s="2">
        <f ca="1">IFERROR(__xludf.DUMMYFUNCTION("""COMPUTED_VALUE"""),45464.6666666666)</f>
        <v>45464.666666666599</v>
      </c>
      <c r="B579" s="2" t="s">
        <v>54</v>
      </c>
      <c r="C579" s="1">
        <v>9475</v>
      </c>
      <c r="D579" s="1">
        <v>9675</v>
      </c>
      <c r="E579" s="1">
        <v>9400</v>
      </c>
      <c r="F579" s="1">
        <v>9600</v>
      </c>
      <c r="G579" s="1">
        <v>166841200</v>
      </c>
      <c r="H579" s="4">
        <f t="shared" si="18"/>
        <v>1.8567639257294429E-2</v>
      </c>
      <c r="I579" s="4">
        <f t="shared" si="19"/>
        <v>0.70666666666666667</v>
      </c>
    </row>
    <row r="580" spans="1:9" x14ac:dyDescent="0.2">
      <c r="A580" s="2">
        <f ca="1">IFERROR(__xludf.DUMMYFUNCTION("""COMPUTED_VALUE"""),45467.6666666666)</f>
        <v>45467.666666666599</v>
      </c>
      <c r="B580" s="2" t="s">
        <v>54</v>
      </c>
      <c r="C580" s="1">
        <v>9600</v>
      </c>
      <c r="D580" s="1">
        <v>9750</v>
      </c>
      <c r="E580" s="1">
        <v>9575</v>
      </c>
      <c r="F580" s="1">
        <v>9600</v>
      </c>
      <c r="G580" s="1">
        <v>79592300</v>
      </c>
      <c r="H580" s="4">
        <f t="shared" si="18"/>
        <v>0</v>
      </c>
      <c r="I580" s="4">
        <f t="shared" si="19"/>
        <v>0.70666666666666667</v>
      </c>
    </row>
    <row r="581" spans="1:9" x14ac:dyDescent="0.2">
      <c r="A581" s="2">
        <f ca="1">IFERROR(__xludf.DUMMYFUNCTION("""COMPUTED_VALUE"""),45468.6666666666)</f>
        <v>45468.666666666599</v>
      </c>
      <c r="B581" s="2" t="s">
        <v>54</v>
      </c>
      <c r="C581" s="1">
        <v>9600</v>
      </c>
      <c r="D581" s="1">
        <v>9600</v>
      </c>
      <c r="E581" s="1">
        <v>9450</v>
      </c>
      <c r="F581" s="1">
        <v>9600</v>
      </c>
      <c r="G581" s="1">
        <v>80029000</v>
      </c>
      <c r="H581" s="4">
        <f t="shared" si="18"/>
        <v>0</v>
      </c>
      <c r="I581" s="4">
        <f t="shared" si="19"/>
        <v>0.70666666666666667</v>
      </c>
    </row>
    <row r="582" spans="1:9" x14ac:dyDescent="0.2">
      <c r="A582" s="2">
        <f ca="1">IFERROR(__xludf.DUMMYFUNCTION("""COMPUTED_VALUE"""),45469.6666666666)</f>
        <v>45469.666666666599</v>
      </c>
      <c r="B582" s="2" t="s">
        <v>54</v>
      </c>
      <c r="C582" s="1">
        <v>9525</v>
      </c>
      <c r="D582" s="1">
        <v>9650</v>
      </c>
      <c r="E582" s="1">
        <v>9450</v>
      </c>
      <c r="F582" s="1">
        <v>9500</v>
      </c>
      <c r="G582" s="1">
        <v>77913200</v>
      </c>
      <c r="H582" s="4">
        <f t="shared" si="18"/>
        <v>-1.0416666666666666E-2</v>
      </c>
      <c r="I582" s="4">
        <f t="shared" si="19"/>
        <v>0.68888888888888888</v>
      </c>
    </row>
    <row r="583" spans="1:9" x14ac:dyDescent="0.2">
      <c r="A583" s="2">
        <f ca="1">IFERROR(__xludf.DUMMYFUNCTION("""COMPUTED_VALUE"""),45470.6666666666)</f>
        <v>45470.666666666599</v>
      </c>
      <c r="B583" s="2" t="s">
        <v>54</v>
      </c>
      <c r="C583" s="1">
        <v>9575</v>
      </c>
      <c r="D583" s="1">
        <v>9750</v>
      </c>
      <c r="E583" s="1">
        <v>9550</v>
      </c>
      <c r="F583" s="1">
        <v>9750</v>
      </c>
      <c r="G583" s="1">
        <v>89150700</v>
      </c>
      <c r="H583" s="4">
        <f t="shared" si="18"/>
        <v>2.6315789473684209E-2</v>
      </c>
      <c r="I583" s="4">
        <f t="shared" si="19"/>
        <v>0.73333333333333328</v>
      </c>
    </row>
    <row r="584" spans="1:9" x14ac:dyDescent="0.2">
      <c r="A584" s="2">
        <f ca="1">IFERROR(__xludf.DUMMYFUNCTION("""COMPUTED_VALUE"""),45471.6666666666)</f>
        <v>45471.666666666599</v>
      </c>
      <c r="B584" s="2" t="s">
        <v>54</v>
      </c>
      <c r="C584" s="1">
        <v>9800</v>
      </c>
      <c r="D584" s="1">
        <v>9975</v>
      </c>
      <c r="E584" s="1">
        <v>9775</v>
      </c>
      <c r="F584" s="1">
        <v>9925</v>
      </c>
      <c r="G584" s="1">
        <v>166172300</v>
      </c>
      <c r="H584" s="4">
        <f t="shared" si="18"/>
        <v>1.7948717948717947E-2</v>
      </c>
      <c r="I584" s="4">
        <f t="shared" si="19"/>
        <v>0.76444444444444448</v>
      </c>
    </row>
    <row r="585" spans="1:9" x14ac:dyDescent="0.2">
      <c r="A585" s="2">
        <f ca="1">IFERROR(__xludf.DUMMYFUNCTION("""COMPUTED_VALUE"""),45474.6666666666)</f>
        <v>45474.666666666599</v>
      </c>
      <c r="B585" s="2" t="s">
        <v>54</v>
      </c>
      <c r="C585" s="1">
        <v>9850</v>
      </c>
      <c r="D585" s="1">
        <v>9900</v>
      </c>
      <c r="E585" s="1">
        <v>9825</v>
      </c>
      <c r="F585" s="1">
        <v>9875</v>
      </c>
      <c r="G585" s="1">
        <v>68634600</v>
      </c>
      <c r="H585" s="4">
        <f t="shared" si="18"/>
        <v>-5.0377833753148613E-3</v>
      </c>
      <c r="I585" s="4">
        <f t="shared" si="19"/>
        <v>0.75555555555555554</v>
      </c>
    </row>
    <row r="586" spans="1:9" x14ac:dyDescent="0.2">
      <c r="A586" s="2">
        <f ca="1">IFERROR(__xludf.DUMMYFUNCTION("""COMPUTED_VALUE"""),45475.6666666666)</f>
        <v>45475.666666666599</v>
      </c>
      <c r="B586" s="2" t="s">
        <v>54</v>
      </c>
      <c r="C586" s="1">
        <v>10000</v>
      </c>
      <c r="D586" s="1">
        <v>10000</v>
      </c>
      <c r="E586" s="1">
        <v>9850</v>
      </c>
      <c r="F586" s="1">
        <v>9900</v>
      </c>
      <c r="G586" s="1">
        <v>78848500</v>
      </c>
      <c r="H586" s="4">
        <f t="shared" si="18"/>
        <v>2.5316455696202532E-3</v>
      </c>
      <c r="I586" s="4">
        <f t="shared" si="19"/>
        <v>0.76</v>
      </c>
    </row>
    <row r="587" spans="1:9" x14ac:dyDescent="0.2">
      <c r="A587" s="2">
        <f ca="1">IFERROR(__xludf.DUMMYFUNCTION("""COMPUTED_VALUE"""),45476.6666666666)</f>
        <v>45476.666666666599</v>
      </c>
      <c r="B587" s="2" t="s">
        <v>54</v>
      </c>
      <c r="C587" s="1">
        <v>9975</v>
      </c>
      <c r="D587" s="1">
        <v>10000</v>
      </c>
      <c r="E587" s="1">
        <v>9925</v>
      </c>
      <c r="F587" s="1">
        <v>10000</v>
      </c>
      <c r="G587" s="1">
        <v>55860200</v>
      </c>
      <c r="H587" s="4">
        <f t="shared" si="18"/>
        <v>1.0101010101010102E-2</v>
      </c>
      <c r="I587" s="4">
        <f t="shared" si="19"/>
        <v>0.77777777777777779</v>
      </c>
    </row>
    <row r="588" spans="1:9" x14ac:dyDescent="0.2">
      <c r="A588" s="2">
        <f ca="1">IFERROR(__xludf.DUMMYFUNCTION("""COMPUTED_VALUE"""),45477.6666666666)</f>
        <v>45477.666666666599</v>
      </c>
      <c r="B588" s="2" t="s">
        <v>54</v>
      </c>
      <c r="C588" s="1">
        <v>9975</v>
      </c>
      <c r="D588" s="1">
        <v>10000</v>
      </c>
      <c r="E588" s="1">
        <v>9825</v>
      </c>
      <c r="F588" s="1">
        <v>9825</v>
      </c>
      <c r="G588" s="1">
        <v>67054000</v>
      </c>
      <c r="H588" s="4">
        <f t="shared" si="18"/>
        <v>-1.7500000000000002E-2</v>
      </c>
      <c r="I588" s="4">
        <f t="shared" si="19"/>
        <v>0.7466666666666667</v>
      </c>
    </row>
    <row r="589" spans="1:9" x14ac:dyDescent="0.2">
      <c r="A589" s="2">
        <f ca="1">IFERROR(__xludf.DUMMYFUNCTION("""COMPUTED_VALUE"""),45478.6666666666)</f>
        <v>45478.666666666599</v>
      </c>
      <c r="B589" s="2" t="s">
        <v>54</v>
      </c>
      <c r="C589" s="1">
        <v>9925</v>
      </c>
      <c r="D589" s="1">
        <v>9975</v>
      </c>
      <c r="E589" s="1">
        <v>9875</v>
      </c>
      <c r="F589" s="1">
        <v>9950</v>
      </c>
      <c r="G589" s="1">
        <v>36946900</v>
      </c>
      <c r="H589" s="4">
        <f t="shared" si="18"/>
        <v>1.2722646310432569E-2</v>
      </c>
      <c r="I589" s="4">
        <f t="shared" si="19"/>
        <v>0.76888888888888884</v>
      </c>
    </row>
    <row r="590" spans="1:9" x14ac:dyDescent="0.2">
      <c r="A590" s="2">
        <f ca="1">IFERROR(__xludf.DUMMYFUNCTION("""COMPUTED_VALUE"""),45481.6666666666)</f>
        <v>45481.666666666599</v>
      </c>
      <c r="B590" s="2" t="s">
        <v>54</v>
      </c>
      <c r="C590" s="1">
        <v>10000</v>
      </c>
      <c r="D590" s="1">
        <v>10050</v>
      </c>
      <c r="E590" s="1">
        <v>9950</v>
      </c>
      <c r="F590" s="1">
        <v>10050</v>
      </c>
      <c r="G590" s="1">
        <v>72903600</v>
      </c>
      <c r="H590" s="4">
        <f t="shared" si="18"/>
        <v>1.0050251256281407E-2</v>
      </c>
      <c r="I590" s="4">
        <f t="shared" si="19"/>
        <v>0.78666666666666663</v>
      </c>
    </row>
    <row r="591" spans="1:9" x14ac:dyDescent="0.2">
      <c r="A591" s="2">
        <f ca="1">IFERROR(__xludf.DUMMYFUNCTION("""COMPUTED_VALUE"""),45482.6666666666)</f>
        <v>45482.666666666599</v>
      </c>
      <c r="B591" s="2" t="s">
        <v>54</v>
      </c>
      <c r="C591" s="1">
        <v>10100</v>
      </c>
      <c r="D591" s="1">
        <v>10150</v>
      </c>
      <c r="E591" s="1">
        <v>10075</v>
      </c>
      <c r="F591" s="1">
        <v>10075</v>
      </c>
      <c r="G591" s="1">
        <v>61853200</v>
      </c>
      <c r="H591" s="4">
        <f t="shared" si="18"/>
        <v>2.4875621890547263E-3</v>
      </c>
      <c r="I591" s="4">
        <f t="shared" si="19"/>
        <v>0.7911111111111111</v>
      </c>
    </row>
    <row r="592" spans="1:9" x14ac:dyDescent="0.2">
      <c r="A592" s="2">
        <f ca="1">IFERROR(__xludf.DUMMYFUNCTION("""COMPUTED_VALUE"""),45483.6666666666)</f>
        <v>45483.666666666599</v>
      </c>
      <c r="B592" s="2" t="s">
        <v>54</v>
      </c>
      <c r="C592" s="1">
        <v>10175</v>
      </c>
      <c r="D592" s="1">
        <v>10225</v>
      </c>
      <c r="E592" s="1">
        <v>10050</v>
      </c>
      <c r="F592" s="1">
        <v>10100</v>
      </c>
      <c r="G592" s="1">
        <v>62325900</v>
      </c>
      <c r="H592" s="4">
        <f t="shared" si="18"/>
        <v>2.4813895781637717E-3</v>
      </c>
      <c r="I592" s="4">
        <f t="shared" si="19"/>
        <v>0.79555555555555557</v>
      </c>
    </row>
    <row r="593" spans="1:9" x14ac:dyDescent="0.2">
      <c r="A593" s="2">
        <f ca="1">IFERROR(__xludf.DUMMYFUNCTION("""COMPUTED_VALUE"""),45484.6666666666)</f>
        <v>45484.666666666599</v>
      </c>
      <c r="B593" s="2" t="s">
        <v>54</v>
      </c>
      <c r="C593" s="1">
        <v>10000</v>
      </c>
      <c r="D593" s="1">
        <v>10125</v>
      </c>
      <c r="E593" s="1">
        <v>10000</v>
      </c>
      <c r="F593" s="1">
        <v>10075</v>
      </c>
      <c r="G593" s="1">
        <v>55908400</v>
      </c>
      <c r="H593" s="4">
        <f t="shared" si="18"/>
        <v>-2.4752475247524753E-3</v>
      </c>
      <c r="I593" s="4">
        <f t="shared" si="19"/>
        <v>0.7911111111111111</v>
      </c>
    </row>
    <row r="594" spans="1:9" x14ac:dyDescent="0.2">
      <c r="A594" s="2">
        <f ca="1">IFERROR(__xludf.DUMMYFUNCTION("""COMPUTED_VALUE"""),45485.6666666666)</f>
        <v>45485.666666666599</v>
      </c>
      <c r="B594" s="2" t="s">
        <v>54</v>
      </c>
      <c r="C594" s="1">
        <v>10050</v>
      </c>
      <c r="D594" s="1">
        <v>10100</v>
      </c>
      <c r="E594" s="1">
        <v>10025</v>
      </c>
      <c r="F594" s="1">
        <v>10075</v>
      </c>
      <c r="G594" s="1">
        <v>62646500</v>
      </c>
      <c r="H594" s="4">
        <f t="shared" si="18"/>
        <v>0</v>
      </c>
      <c r="I594" s="4">
        <f t="shared" si="19"/>
        <v>0.7911111111111111</v>
      </c>
    </row>
    <row r="595" spans="1:9" x14ac:dyDescent="0.2">
      <c r="A595" s="2">
        <f ca="1">IFERROR(__xludf.DUMMYFUNCTION("""COMPUTED_VALUE"""),45488.6666666666)</f>
        <v>45488.666666666599</v>
      </c>
      <c r="B595" s="2" t="s">
        <v>54</v>
      </c>
      <c r="C595" s="1">
        <v>10050</v>
      </c>
      <c r="D595" s="1">
        <v>10075</v>
      </c>
      <c r="E595" s="1">
        <v>9950</v>
      </c>
      <c r="F595" s="1">
        <v>10050</v>
      </c>
      <c r="G595" s="1">
        <v>36682600</v>
      </c>
      <c r="H595" s="4">
        <f t="shared" si="18"/>
        <v>-2.4813895781637717E-3</v>
      </c>
      <c r="I595" s="4">
        <f t="shared" si="19"/>
        <v>0.78666666666666663</v>
      </c>
    </row>
    <row r="596" spans="1:9" x14ac:dyDescent="0.2">
      <c r="A596" s="2">
        <f ca="1">IFERROR(__xludf.DUMMYFUNCTION("""COMPUTED_VALUE"""),45489.6666666666)</f>
        <v>45489.666666666599</v>
      </c>
      <c r="B596" s="2" t="s">
        <v>54</v>
      </c>
      <c r="C596" s="1">
        <v>9975</v>
      </c>
      <c r="D596" s="1">
        <v>10025</v>
      </c>
      <c r="E596" s="1">
        <v>9950</v>
      </c>
      <c r="F596" s="1">
        <v>9950</v>
      </c>
      <c r="G596" s="1">
        <v>37192700</v>
      </c>
      <c r="H596" s="4">
        <f t="shared" si="18"/>
        <v>-9.9502487562189053E-3</v>
      </c>
      <c r="I596" s="4">
        <f t="shared" si="19"/>
        <v>0.76888888888888884</v>
      </c>
    </row>
    <row r="597" spans="1:9" x14ac:dyDescent="0.2">
      <c r="A597" s="2">
        <f ca="1">IFERROR(__xludf.DUMMYFUNCTION("""COMPUTED_VALUE"""),45490.6666666666)</f>
        <v>45490.666666666599</v>
      </c>
      <c r="B597" s="2" t="s">
        <v>54</v>
      </c>
      <c r="C597" s="1">
        <v>9900</v>
      </c>
      <c r="D597" s="1">
        <v>9950</v>
      </c>
      <c r="E597" s="1">
        <v>9800</v>
      </c>
      <c r="F597" s="1">
        <v>9800</v>
      </c>
      <c r="G597" s="1">
        <v>90666000</v>
      </c>
      <c r="H597" s="4">
        <f t="shared" si="18"/>
        <v>-1.507537688442211E-2</v>
      </c>
      <c r="I597" s="4">
        <f t="shared" si="19"/>
        <v>0.74222222222222223</v>
      </c>
    </row>
    <row r="598" spans="1:9" x14ac:dyDescent="0.2">
      <c r="A598" s="2">
        <f ca="1">IFERROR(__xludf.DUMMYFUNCTION("""COMPUTED_VALUE"""),45491.6666666666)</f>
        <v>45491.666666666599</v>
      </c>
      <c r="B598" s="2" t="s">
        <v>54</v>
      </c>
      <c r="C598" s="1">
        <v>9800</v>
      </c>
      <c r="D598" s="1">
        <v>10100</v>
      </c>
      <c r="E598" s="1">
        <v>9800</v>
      </c>
      <c r="F598" s="1">
        <v>10100</v>
      </c>
      <c r="G598" s="1">
        <v>65383200</v>
      </c>
      <c r="H598" s="4">
        <f t="shared" si="18"/>
        <v>3.0612244897959183E-2</v>
      </c>
      <c r="I598" s="4">
        <f t="shared" si="19"/>
        <v>0.79555555555555557</v>
      </c>
    </row>
    <row r="599" spans="1:9" x14ac:dyDescent="0.2">
      <c r="A599" s="2">
        <f ca="1">IFERROR(__xludf.DUMMYFUNCTION("""COMPUTED_VALUE"""),45492.6666666666)</f>
        <v>45492.666666666599</v>
      </c>
      <c r="B599" s="2" t="s">
        <v>54</v>
      </c>
      <c r="C599" s="1">
        <v>10050</v>
      </c>
      <c r="D599" s="1">
        <v>10125</v>
      </c>
      <c r="E599" s="1">
        <v>9975</v>
      </c>
      <c r="F599" s="1">
        <v>10125</v>
      </c>
      <c r="G599" s="1">
        <v>53880300</v>
      </c>
      <c r="H599" s="4">
        <f t="shared" si="18"/>
        <v>2.4752475247524753E-3</v>
      </c>
      <c r="I599" s="4">
        <f t="shared" si="19"/>
        <v>0.8</v>
      </c>
    </row>
    <row r="600" spans="1:9" x14ac:dyDescent="0.2">
      <c r="A600" s="2">
        <f ca="1">IFERROR(__xludf.DUMMYFUNCTION("""COMPUTED_VALUE"""),45495.6666666666)</f>
        <v>45495.666666666599</v>
      </c>
      <c r="B600" s="2" t="s">
        <v>54</v>
      </c>
      <c r="C600" s="1">
        <v>10125</v>
      </c>
      <c r="D600" s="1">
        <v>10150</v>
      </c>
      <c r="E600" s="1">
        <v>10100</v>
      </c>
      <c r="F600" s="1">
        <v>10100</v>
      </c>
      <c r="G600" s="1">
        <v>31285300</v>
      </c>
      <c r="H600" s="4">
        <f t="shared" si="18"/>
        <v>-2.4691358024691358E-3</v>
      </c>
      <c r="I600" s="4">
        <f t="shared" si="19"/>
        <v>0.79555555555555557</v>
      </c>
    </row>
    <row r="601" spans="1:9" x14ac:dyDescent="0.2">
      <c r="A601" s="2">
        <f ca="1">IFERROR(__xludf.DUMMYFUNCTION("""COMPUTED_VALUE"""),45496.6666666666)</f>
        <v>45496.666666666599</v>
      </c>
      <c r="B601" s="2" t="s">
        <v>54</v>
      </c>
      <c r="C601" s="1">
        <v>10200</v>
      </c>
      <c r="D601" s="1">
        <v>10200</v>
      </c>
      <c r="E601" s="1">
        <v>10125</v>
      </c>
      <c r="F601" s="1">
        <v>10175</v>
      </c>
      <c r="G601" s="1">
        <v>39321100</v>
      </c>
      <c r="H601" s="4">
        <f t="shared" si="18"/>
        <v>7.4257425742574254E-3</v>
      </c>
      <c r="I601" s="4">
        <f t="shared" si="19"/>
        <v>0.80888888888888888</v>
      </c>
    </row>
    <row r="602" spans="1:9" x14ac:dyDescent="0.2">
      <c r="A602" s="2">
        <f ca="1">IFERROR(__xludf.DUMMYFUNCTION("""COMPUTED_VALUE"""),45497.6666666666)</f>
        <v>45497.666666666599</v>
      </c>
      <c r="B602" s="2" t="s">
        <v>54</v>
      </c>
      <c r="C602" s="1">
        <v>10125</v>
      </c>
      <c r="D602" s="1">
        <v>10175</v>
      </c>
      <c r="E602" s="1">
        <v>10075</v>
      </c>
      <c r="F602" s="1">
        <v>10075</v>
      </c>
      <c r="G602" s="1">
        <v>24658000</v>
      </c>
      <c r="H602" s="4">
        <f t="shared" si="18"/>
        <v>-9.8280098280098278E-3</v>
      </c>
      <c r="I602" s="4">
        <f t="shared" si="19"/>
        <v>0.7911111111111111</v>
      </c>
    </row>
    <row r="603" spans="1:9" x14ac:dyDescent="0.2">
      <c r="A603" s="2">
        <f ca="1">IFERROR(__xludf.DUMMYFUNCTION("""COMPUTED_VALUE"""),45498.6666666666)</f>
        <v>45498.666666666599</v>
      </c>
      <c r="B603" s="2" t="s">
        <v>54</v>
      </c>
      <c r="C603" s="1">
        <v>10225</v>
      </c>
      <c r="D603" s="1">
        <v>10300</v>
      </c>
      <c r="E603" s="1">
        <v>10200</v>
      </c>
      <c r="F603" s="1">
        <v>10300</v>
      </c>
      <c r="G603" s="1">
        <v>98088100</v>
      </c>
      <c r="H603" s="4">
        <f t="shared" si="18"/>
        <v>2.2332506203473945E-2</v>
      </c>
      <c r="I603" s="4">
        <f t="shared" si="19"/>
        <v>0.83111111111111113</v>
      </c>
    </row>
    <row r="604" spans="1:9" x14ac:dyDescent="0.2">
      <c r="A604" s="2">
        <f ca="1">IFERROR(__xludf.DUMMYFUNCTION("""COMPUTED_VALUE"""),45499.6666666666)</f>
        <v>45499.666666666599</v>
      </c>
      <c r="B604" s="2" t="s">
        <v>54</v>
      </c>
      <c r="C604" s="1">
        <v>10375</v>
      </c>
      <c r="D604" s="1">
        <v>10400</v>
      </c>
      <c r="E604" s="1">
        <v>10300</v>
      </c>
      <c r="F604" s="1">
        <v>10325</v>
      </c>
      <c r="G604" s="1">
        <v>75565800</v>
      </c>
      <c r="H604" s="4">
        <f t="shared" si="18"/>
        <v>2.4271844660194173E-3</v>
      </c>
      <c r="I604" s="4">
        <f t="shared" si="19"/>
        <v>0.83555555555555561</v>
      </c>
    </row>
    <row r="605" spans="1:9" x14ac:dyDescent="0.2">
      <c r="A605" s="2">
        <f ca="1">IFERROR(__xludf.DUMMYFUNCTION("""COMPUTED_VALUE"""),45502.6666666666)</f>
        <v>45502.666666666599</v>
      </c>
      <c r="B605" s="2" t="s">
        <v>54</v>
      </c>
      <c r="C605" s="1">
        <v>10400</v>
      </c>
      <c r="D605" s="1">
        <v>10425</v>
      </c>
      <c r="E605" s="1">
        <v>10175</v>
      </c>
      <c r="F605" s="1">
        <v>10250</v>
      </c>
      <c r="G605" s="1">
        <v>69092500</v>
      </c>
      <c r="H605" s="4">
        <f t="shared" ref="H605:H668" si="20">(F605-F604)/F604</f>
        <v>-7.2639225181598066E-3</v>
      </c>
      <c r="I605" s="4">
        <f t="shared" ref="I605:I668" si="21">(F605-$E$2)/$E$2</f>
        <v>0.82222222222222219</v>
      </c>
    </row>
    <row r="606" spans="1:9" x14ac:dyDescent="0.2">
      <c r="A606" s="2">
        <f ca="1">IFERROR(__xludf.DUMMYFUNCTION("""COMPUTED_VALUE"""),45503.6666666666)</f>
        <v>45503.666666666599</v>
      </c>
      <c r="B606" s="2" t="s">
        <v>54</v>
      </c>
      <c r="C606" s="1">
        <v>10300</v>
      </c>
      <c r="D606" s="1">
        <v>10300</v>
      </c>
      <c r="E606" s="1">
        <v>10175</v>
      </c>
      <c r="F606" s="1">
        <v>10175</v>
      </c>
      <c r="G606" s="1">
        <v>32122900</v>
      </c>
      <c r="H606" s="4">
        <f t="shared" si="20"/>
        <v>-7.3170731707317077E-3</v>
      </c>
      <c r="I606" s="4">
        <f t="shared" si="21"/>
        <v>0.80888888888888888</v>
      </c>
    </row>
    <row r="607" spans="1:9" x14ac:dyDescent="0.2">
      <c r="A607" s="2">
        <f ca="1">IFERROR(__xludf.DUMMYFUNCTION("""COMPUTED_VALUE"""),45504.6666666666)</f>
        <v>45504.666666666599</v>
      </c>
      <c r="B607" s="2" t="s">
        <v>54</v>
      </c>
      <c r="C607" s="1">
        <v>10350</v>
      </c>
      <c r="D607" s="1">
        <v>10350</v>
      </c>
      <c r="E607" s="1">
        <v>10225</v>
      </c>
      <c r="F607" s="1">
        <v>10275</v>
      </c>
      <c r="G607" s="1">
        <v>82519900</v>
      </c>
      <c r="H607" s="4">
        <f t="shared" si="20"/>
        <v>9.8280098280098278E-3</v>
      </c>
      <c r="I607" s="4">
        <f t="shared" si="21"/>
        <v>0.82666666666666666</v>
      </c>
    </row>
    <row r="608" spans="1:9" x14ac:dyDescent="0.2">
      <c r="A608" s="2">
        <f ca="1">IFERROR(__xludf.DUMMYFUNCTION("""COMPUTED_VALUE"""),45505.6666666666)</f>
        <v>45505.666666666599</v>
      </c>
      <c r="B608" s="2" t="s">
        <v>54</v>
      </c>
      <c r="C608" s="1">
        <v>10200</v>
      </c>
      <c r="D608" s="1">
        <v>10375</v>
      </c>
      <c r="E608" s="1">
        <v>10200</v>
      </c>
      <c r="F608" s="1">
        <v>10375</v>
      </c>
      <c r="G608" s="1">
        <v>61176200</v>
      </c>
      <c r="H608" s="4">
        <f t="shared" si="20"/>
        <v>9.7323600973236012E-3</v>
      </c>
      <c r="I608" s="4">
        <f t="shared" si="21"/>
        <v>0.84444444444444444</v>
      </c>
    </row>
    <row r="609" spans="1:9" x14ac:dyDescent="0.2">
      <c r="A609" s="2">
        <f ca="1">IFERROR(__xludf.DUMMYFUNCTION("""COMPUTED_VALUE"""),45506.6666666666)</f>
        <v>45506.666666666599</v>
      </c>
      <c r="B609" s="2" t="s">
        <v>54</v>
      </c>
      <c r="C609" s="1">
        <v>10275</v>
      </c>
      <c r="D609" s="1">
        <v>10350</v>
      </c>
      <c r="E609" s="1">
        <v>10200</v>
      </c>
      <c r="F609" s="1">
        <v>10200</v>
      </c>
      <c r="G609" s="1">
        <v>55774800</v>
      </c>
      <c r="H609" s="4">
        <f t="shared" si="20"/>
        <v>-1.6867469879518072E-2</v>
      </c>
      <c r="I609" s="4">
        <f t="shared" si="21"/>
        <v>0.81333333333333335</v>
      </c>
    </row>
    <row r="610" spans="1:9" x14ac:dyDescent="0.2">
      <c r="A610" s="2">
        <f ca="1">IFERROR(__xludf.DUMMYFUNCTION("""COMPUTED_VALUE"""),45509.6666666666)</f>
        <v>45509.666666666599</v>
      </c>
      <c r="B610" s="2" t="s">
        <v>54</v>
      </c>
      <c r="C610" s="1">
        <v>10000</v>
      </c>
      <c r="D610" s="1">
        <v>10150</v>
      </c>
      <c r="E610" s="1">
        <v>9875</v>
      </c>
      <c r="F610" s="1">
        <v>9875</v>
      </c>
      <c r="G610" s="1">
        <v>126328300</v>
      </c>
      <c r="H610" s="4">
        <f t="shared" si="20"/>
        <v>-3.1862745098039214E-2</v>
      </c>
      <c r="I610" s="4">
        <f t="shared" si="21"/>
        <v>0.75555555555555554</v>
      </c>
    </row>
    <row r="611" spans="1:9" x14ac:dyDescent="0.2">
      <c r="A611" s="2">
        <f ca="1">IFERROR(__xludf.DUMMYFUNCTION("""COMPUTED_VALUE"""),45510.6666666666)</f>
        <v>45510.666666666599</v>
      </c>
      <c r="B611" s="2" t="s">
        <v>54</v>
      </c>
      <c r="C611" s="1">
        <v>10075</v>
      </c>
      <c r="D611" s="1">
        <v>10075</v>
      </c>
      <c r="E611" s="1">
        <v>9950</v>
      </c>
      <c r="F611" s="1">
        <v>10000</v>
      </c>
      <c r="G611" s="1">
        <v>78473900</v>
      </c>
      <c r="H611" s="4">
        <f t="shared" si="20"/>
        <v>1.2658227848101266E-2</v>
      </c>
      <c r="I611" s="4">
        <f t="shared" si="21"/>
        <v>0.77777777777777779</v>
      </c>
    </row>
    <row r="612" spans="1:9" x14ac:dyDescent="0.2">
      <c r="A612" s="2">
        <f ca="1">IFERROR(__xludf.DUMMYFUNCTION("""COMPUTED_VALUE"""),45511.6666666666)</f>
        <v>45511.666666666599</v>
      </c>
      <c r="B612" s="2" t="s">
        <v>54</v>
      </c>
      <c r="C612" s="1">
        <v>10000</v>
      </c>
      <c r="D612" s="1">
        <v>10100</v>
      </c>
      <c r="E612" s="1">
        <v>10000</v>
      </c>
      <c r="F612" s="1">
        <v>10100</v>
      </c>
      <c r="G612" s="1">
        <v>52347100</v>
      </c>
      <c r="H612" s="4">
        <f t="shared" si="20"/>
        <v>0.01</v>
      </c>
      <c r="I612" s="4">
        <f t="shared" si="21"/>
        <v>0.79555555555555557</v>
      </c>
    </row>
    <row r="613" spans="1:9" x14ac:dyDescent="0.2">
      <c r="A613" s="2">
        <f ca="1">IFERROR(__xludf.DUMMYFUNCTION("""COMPUTED_VALUE"""),45512.6666666666)</f>
        <v>45512.666666666599</v>
      </c>
      <c r="B613" s="2" t="s">
        <v>54</v>
      </c>
      <c r="C613" s="1">
        <v>10150</v>
      </c>
      <c r="D613" s="1">
        <v>10225</v>
      </c>
      <c r="E613" s="1">
        <v>10075</v>
      </c>
      <c r="F613" s="1">
        <v>10225</v>
      </c>
      <c r="G613" s="1">
        <v>54162100</v>
      </c>
      <c r="H613" s="4">
        <f t="shared" si="20"/>
        <v>1.2376237623762377E-2</v>
      </c>
      <c r="I613" s="4">
        <f t="shared" si="21"/>
        <v>0.81777777777777783</v>
      </c>
    </row>
    <row r="614" spans="1:9" x14ac:dyDescent="0.2">
      <c r="A614" s="2">
        <f ca="1">IFERROR(__xludf.DUMMYFUNCTION("""COMPUTED_VALUE"""),45513.6666666666)</f>
        <v>45513.666666666599</v>
      </c>
      <c r="B614" s="2" t="s">
        <v>54</v>
      </c>
      <c r="C614" s="1">
        <v>10225</v>
      </c>
      <c r="D614" s="1">
        <v>10250</v>
      </c>
      <c r="E614" s="1">
        <v>10100</v>
      </c>
      <c r="F614" s="1">
        <v>10150</v>
      </c>
      <c r="G614" s="1">
        <v>47062400</v>
      </c>
      <c r="H614" s="4">
        <f t="shared" si="20"/>
        <v>-7.3349633251833741E-3</v>
      </c>
      <c r="I614" s="4">
        <f t="shared" si="21"/>
        <v>0.80444444444444441</v>
      </c>
    </row>
    <row r="615" spans="1:9" x14ac:dyDescent="0.2">
      <c r="A615" s="2">
        <f ca="1">IFERROR(__xludf.DUMMYFUNCTION("""COMPUTED_VALUE"""),45516.6666666666)</f>
        <v>45516.666666666599</v>
      </c>
      <c r="B615" s="2" t="s">
        <v>54</v>
      </c>
      <c r="C615" s="1">
        <v>10100</v>
      </c>
      <c r="D615" s="1">
        <v>10200</v>
      </c>
      <c r="E615" s="1">
        <v>10075</v>
      </c>
      <c r="F615" s="1">
        <v>10200</v>
      </c>
      <c r="G615" s="1">
        <v>40364100</v>
      </c>
      <c r="H615" s="4">
        <f t="shared" si="20"/>
        <v>4.9261083743842365E-3</v>
      </c>
      <c r="I615" s="4">
        <f t="shared" si="21"/>
        <v>0.81333333333333335</v>
      </c>
    </row>
    <row r="616" spans="1:9" x14ac:dyDescent="0.2">
      <c r="A616" s="2">
        <f ca="1">IFERROR(__xludf.DUMMYFUNCTION("""COMPUTED_VALUE"""),45517.6666666666)</f>
        <v>45517.666666666599</v>
      </c>
      <c r="B616" s="2" t="s">
        <v>54</v>
      </c>
      <c r="C616" s="1">
        <v>10250</v>
      </c>
      <c r="D616" s="1">
        <v>10300</v>
      </c>
      <c r="E616" s="1">
        <v>10175</v>
      </c>
      <c r="F616" s="1">
        <v>10300</v>
      </c>
      <c r="G616" s="1">
        <v>55207100</v>
      </c>
      <c r="H616" s="4">
        <f t="shared" si="20"/>
        <v>9.8039215686274508E-3</v>
      </c>
      <c r="I616" s="4">
        <f t="shared" si="21"/>
        <v>0.83111111111111113</v>
      </c>
    </row>
    <row r="617" spans="1:9" x14ac:dyDescent="0.2">
      <c r="A617" s="2">
        <f ca="1">IFERROR(__xludf.DUMMYFUNCTION("""COMPUTED_VALUE"""),45518.6666666666)</f>
        <v>45518.666666666599</v>
      </c>
      <c r="B617" s="2" t="s">
        <v>54</v>
      </c>
      <c r="C617" s="1">
        <v>10300</v>
      </c>
      <c r="D617" s="1">
        <v>10300</v>
      </c>
      <c r="E617" s="1">
        <v>10200</v>
      </c>
      <c r="F617" s="1">
        <v>10200</v>
      </c>
      <c r="G617" s="1">
        <v>47999100</v>
      </c>
      <c r="H617" s="4">
        <f t="shared" si="20"/>
        <v>-9.7087378640776691E-3</v>
      </c>
      <c r="I617" s="4">
        <f t="shared" si="21"/>
        <v>0.81333333333333335</v>
      </c>
    </row>
    <row r="618" spans="1:9" x14ac:dyDescent="0.2">
      <c r="A618" s="2">
        <f ca="1">IFERROR(__xludf.DUMMYFUNCTION("""COMPUTED_VALUE"""),45519.6666666666)</f>
        <v>45519.666666666599</v>
      </c>
      <c r="B618" s="2" t="s">
        <v>54</v>
      </c>
      <c r="C618" s="1">
        <v>10200</v>
      </c>
      <c r="D618" s="1">
        <v>10300</v>
      </c>
      <c r="E618" s="1">
        <v>10175</v>
      </c>
      <c r="F618" s="1">
        <v>10225</v>
      </c>
      <c r="G618" s="1">
        <v>33396600</v>
      </c>
      <c r="H618" s="4">
        <f t="shared" si="20"/>
        <v>2.4509803921568627E-3</v>
      </c>
      <c r="I618" s="4">
        <f t="shared" si="21"/>
        <v>0.81777777777777783</v>
      </c>
    </row>
    <row r="619" spans="1:9" x14ac:dyDescent="0.2">
      <c r="A619" s="2">
        <f ca="1">IFERROR(__xludf.DUMMYFUNCTION("""COMPUTED_VALUE"""),45520.6666666666)</f>
        <v>45520.666666666599</v>
      </c>
      <c r="B619" s="2" t="s">
        <v>54</v>
      </c>
      <c r="C619" s="1">
        <v>10300</v>
      </c>
      <c r="D619" s="1">
        <v>10325</v>
      </c>
      <c r="E619" s="1">
        <v>10250</v>
      </c>
      <c r="F619" s="1">
        <v>10325</v>
      </c>
      <c r="G619" s="1">
        <v>40731400</v>
      </c>
      <c r="H619" s="4">
        <f t="shared" si="20"/>
        <v>9.7799511002444987E-3</v>
      </c>
      <c r="I619" s="4">
        <f t="shared" si="21"/>
        <v>0.83555555555555561</v>
      </c>
    </row>
    <row r="620" spans="1:9" x14ac:dyDescent="0.2">
      <c r="A620" s="2">
        <f ca="1">IFERROR(__xludf.DUMMYFUNCTION("""COMPUTED_VALUE"""),45523.6666666666)</f>
        <v>45523.666666666599</v>
      </c>
      <c r="B620" s="2" t="s">
        <v>54</v>
      </c>
      <c r="C620" s="1">
        <v>10325</v>
      </c>
      <c r="D620" s="1">
        <v>10425</v>
      </c>
      <c r="E620" s="1">
        <v>10275</v>
      </c>
      <c r="F620" s="1">
        <v>10375</v>
      </c>
      <c r="G620" s="1">
        <v>51054400</v>
      </c>
      <c r="H620" s="4">
        <f t="shared" si="20"/>
        <v>4.8426150121065378E-3</v>
      </c>
      <c r="I620" s="4">
        <f t="shared" si="21"/>
        <v>0.84444444444444444</v>
      </c>
    </row>
    <row r="621" spans="1:9" x14ac:dyDescent="0.2">
      <c r="A621" s="2">
        <f ca="1">IFERROR(__xludf.DUMMYFUNCTION("""COMPUTED_VALUE"""),45524.6666666666)</f>
        <v>45524.666666666599</v>
      </c>
      <c r="B621" s="2" t="s">
        <v>54</v>
      </c>
      <c r="C621" s="1">
        <v>10325</v>
      </c>
      <c r="D621" s="1">
        <v>10450</v>
      </c>
      <c r="E621" s="1">
        <v>10300</v>
      </c>
      <c r="F621" s="1">
        <v>10425</v>
      </c>
      <c r="G621" s="1">
        <v>60304400</v>
      </c>
      <c r="H621" s="4">
        <f t="shared" si="20"/>
        <v>4.8192771084337354E-3</v>
      </c>
      <c r="I621" s="4">
        <f t="shared" si="21"/>
        <v>0.85333333333333339</v>
      </c>
    </row>
    <row r="622" spans="1:9" x14ac:dyDescent="0.2">
      <c r="A622" s="2">
        <f ca="1">IFERROR(__xludf.DUMMYFUNCTION("""COMPUTED_VALUE"""),45525.6666666666)</f>
        <v>45525.666666666599</v>
      </c>
      <c r="B622" s="2" t="s">
        <v>54</v>
      </c>
      <c r="C622" s="1">
        <v>10500</v>
      </c>
      <c r="D622" s="1">
        <v>10500</v>
      </c>
      <c r="E622" s="1">
        <v>10425</v>
      </c>
      <c r="F622" s="1">
        <v>10425</v>
      </c>
      <c r="G622" s="1">
        <v>84848800</v>
      </c>
      <c r="H622" s="4">
        <f t="shared" si="20"/>
        <v>0</v>
      </c>
      <c r="I622" s="4">
        <f t="shared" si="21"/>
        <v>0.85333333333333339</v>
      </c>
    </row>
    <row r="623" spans="1:9" x14ac:dyDescent="0.2">
      <c r="A623" s="2">
        <f ca="1">IFERROR(__xludf.DUMMYFUNCTION("""COMPUTED_VALUE"""),45526.6666666666)</f>
        <v>45526.666666666599</v>
      </c>
      <c r="B623" s="2" t="s">
        <v>54</v>
      </c>
      <c r="C623" s="1">
        <v>10350</v>
      </c>
      <c r="D623" s="1">
        <v>10400</v>
      </c>
      <c r="E623" s="1">
        <v>10225</v>
      </c>
      <c r="F623" s="1">
        <v>10325</v>
      </c>
      <c r="G623" s="1">
        <v>56611600</v>
      </c>
      <c r="H623" s="4">
        <f t="shared" si="20"/>
        <v>-9.5923261390887284E-3</v>
      </c>
      <c r="I623" s="4">
        <f t="shared" si="21"/>
        <v>0.83555555555555561</v>
      </c>
    </row>
    <row r="624" spans="1:9" x14ac:dyDescent="0.2">
      <c r="A624" s="2">
        <f ca="1">IFERROR(__xludf.DUMMYFUNCTION("""COMPUTED_VALUE"""),45527.6666666666)</f>
        <v>45527.666666666599</v>
      </c>
      <c r="B624" s="2" t="s">
        <v>54</v>
      </c>
      <c r="C624" s="1">
        <v>10325</v>
      </c>
      <c r="D624" s="1">
        <v>10375</v>
      </c>
      <c r="E624" s="1">
        <v>10300</v>
      </c>
      <c r="F624" s="1">
        <v>10325</v>
      </c>
      <c r="G624" s="1">
        <v>46651600</v>
      </c>
      <c r="H624" s="4">
        <f t="shared" si="20"/>
        <v>0</v>
      </c>
      <c r="I624" s="4">
        <f t="shared" si="21"/>
        <v>0.83555555555555561</v>
      </c>
    </row>
    <row r="625" spans="1:9" x14ac:dyDescent="0.2">
      <c r="A625" s="2">
        <f ca="1">IFERROR(__xludf.DUMMYFUNCTION("""COMPUTED_VALUE"""),45530.6666666666)</f>
        <v>45530.666666666599</v>
      </c>
      <c r="B625" s="2" t="s">
        <v>54</v>
      </c>
      <c r="C625" s="1">
        <v>10275</v>
      </c>
      <c r="D625" s="1">
        <v>10375</v>
      </c>
      <c r="E625" s="1">
        <v>10250</v>
      </c>
      <c r="F625" s="1">
        <v>10325</v>
      </c>
      <c r="G625" s="1">
        <v>35145600</v>
      </c>
      <c r="H625" s="4">
        <f t="shared" si="20"/>
        <v>0</v>
      </c>
      <c r="I625" s="4">
        <f t="shared" si="21"/>
        <v>0.83555555555555561</v>
      </c>
    </row>
    <row r="626" spans="1:9" x14ac:dyDescent="0.2">
      <c r="A626" s="2">
        <f ca="1">IFERROR(__xludf.DUMMYFUNCTION("""COMPUTED_VALUE"""),45531.6666666666)</f>
        <v>45531.666666666599</v>
      </c>
      <c r="B626" s="2" t="s">
        <v>54</v>
      </c>
      <c r="C626" s="1">
        <v>10275</v>
      </c>
      <c r="D626" s="1">
        <v>10300</v>
      </c>
      <c r="E626" s="1">
        <v>10175</v>
      </c>
      <c r="F626" s="1">
        <v>10200</v>
      </c>
      <c r="G626" s="1">
        <v>60448400</v>
      </c>
      <c r="H626" s="4">
        <f t="shared" si="20"/>
        <v>-1.2106537530266344E-2</v>
      </c>
      <c r="I626" s="4">
        <f t="shared" si="21"/>
        <v>0.81333333333333335</v>
      </c>
    </row>
    <row r="627" spans="1:9" x14ac:dyDescent="0.2">
      <c r="A627" s="2">
        <f ca="1">IFERROR(__xludf.DUMMYFUNCTION("""COMPUTED_VALUE"""),45532.6666666666)</f>
        <v>45532.666666666599</v>
      </c>
      <c r="B627" s="2" t="s">
        <v>54</v>
      </c>
      <c r="C627" s="1">
        <v>10300</v>
      </c>
      <c r="D627" s="1">
        <v>10350</v>
      </c>
      <c r="E627" s="1">
        <v>10250</v>
      </c>
      <c r="F627" s="1">
        <v>10350</v>
      </c>
      <c r="G627" s="1">
        <v>38489900</v>
      </c>
      <c r="H627" s="4">
        <f t="shared" si="20"/>
        <v>1.4705882352941176E-2</v>
      </c>
      <c r="I627" s="4">
        <f t="shared" si="21"/>
        <v>0.84</v>
      </c>
    </row>
    <row r="628" spans="1:9" x14ac:dyDescent="0.2">
      <c r="A628" s="2">
        <f ca="1">IFERROR(__xludf.DUMMYFUNCTION("""COMPUTED_VALUE"""),45533.6666666666)</f>
        <v>45533.666666666599</v>
      </c>
      <c r="B628" s="2" t="s">
        <v>54</v>
      </c>
      <c r="C628" s="1">
        <v>10500</v>
      </c>
      <c r="D628" s="1">
        <v>10500</v>
      </c>
      <c r="E628" s="1">
        <v>10225</v>
      </c>
      <c r="F628" s="1">
        <v>10225</v>
      </c>
      <c r="G628" s="1">
        <v>53004700</v>
      </c>
      <c r="H628" s="4">
        <f t="shared" si="20"/>
        <v>-1.2077294685990338E-2</v>
      </c>
      <c r="I628" s="4">
        <f t="shared" si="21"/>
        <v>0.81777777777777783</v>
      </c>
    </row>
    <row r="629" spans="1:9" x14ac:dyDescent="0.2">
      <c r="A629" s="2">
        <f ca="1">IFERROR(__xludf.DUMMYFUNCTION("""COMPUTED_VALUE"""),45534.6666666666)</f>
        <v>45534.666666666599</v>
      </c>
      <c r="B629" s="2" t="s">
        <v>54</v>
      </c>
      <c r="C629" s="1">
        <v>10325</v>
      </c>
      <c r="D629" s="1">
        <v>10325</v>
      </c>
      <c r="E629" s="1">
        <v>10200</v>
      </c>
      <c r="F629" s="1">
        <v>10325</v>
      </c>
      <c r="G629" s="1">
        <v>158403700</v>
      </c>
      <c r="H629" s="4">
        <f t="shared" si="20"/>
        <v>9.7799511002444987E-3</v>
      </c>
      <c r="I629" s="4">
        <f t="shared" si="21"/>
        <v>0.83555555555555561</v>
      </c>
    </row>
    <row r="630" spans="1:9" x14ac:dyDescent="0.2">
      <c r="A630" s="2">
        <f ca="1">IFERROR(__xludf.DUMMYFUNCTION("""COMPUTED_VALUE"""),45537.6666666666)</f>
        <v>45537.666666666599</v>
      </c>
      <c r="B630" s="2" t="s">
        <v>54</v>
      </c>
      <c r="C630" s="1">
        <v>10375</v>
      </c>
      <c r="D630" s="1">
        <v>10375</v>
      </c>
      <c r="E630" s="1">
        <v>10200</v>
      </c>
      <c r="F630" s="1">
        <v>10275</v>
      </c>
      <c r="G630" s="1">
        <v>72008600</v>
      </c>
      <c r="H630" s="4">
        <f t="shared" si="20"/>
        <v>-4.8426150121065378E-3</v>
      </c>
      <c r="I630" s="4">
        <f t="shared" si="21"/>
        <v>0.82666666666666666</v>
      </c>
    </row>
    <row r="631" spans="1:9" x14ac:dyDescent="0.2">
      <c r="A631" s="2">
        <f ca="1">IFERROR(__xludf.DUMMYFUNCTION("""COMPUTED_VALUE"""),45538.6666666666)</f>
        <v>45538.666666666599</v>
      </c>
      <c r="B631" s="2" t="s">
        <v>54</v>
      </c>
      <c r="C631" s="1">
        <v>10325</v>
      </c>
      <c r="D631" s="1">
        <v>10325</v>
      </c>
      <c r="E631" s="1">
        <v>10150</v>
      </c>
      <c r="F631" s="1">
        <v>10175</v>
      </c>
      <c r="G631" s="1">
        <v>50950200</v>
      </c>
      <c r="H631" s="4">
        <f t="shared" si="20"/>
        <v>-9.7323600973236012E-3</v>
      </c>
      <c r="I631" s="4">
        <f t="shared" si="21"/>
        <v>0.80888888888888888</v>
      </c>
    </row>
    <row r="632" spans="1:9" x14ac:dyDescent="0.2">
      <c r="A632" s="2">
        <f ca="1">IFERROR(__xludf.DUMMYFUNCTION("""COMPUTED_VALUE"""),45539.6666666666)</f>
        <v>45539.666666666599</v>
      </c>
      <c r="B632" s="2" t="s">
        <v>54</v>
      </c>
      <c r="C632" s="1">
        <v>10150</v>
      </c>
      <c r="D632" s="1">
        <v>10300</v>
      </c>
      <c r="E632" s="1">
        <v>10125</v>
      </c>
      <c r="F632" s="1">
        <v>10300</v>
      </c>
      <c r="G632" s="1">
        <v>44817000</v>
      </c>
      <c r="H632" s="4">
        <f t="shared" si="20"/>
        <v>1.2285012285012284E-2</v>
      </c>
      <c r="I632" s="4">
        <f t="shared" si="21"/>
        <v>0.83111111111111113</v>
      </c>
    </row>
    <row r="633" spans="1:9" x14ac:dyDescent="0.2">
      <c r="A633" s="2">
        <f ca="1">IFERROR(__xludf.DUMMYFUNCTION("""COMPUTED_VALUE"""),45540.6666666666)</f>
        <v>45540.666666666599</v>
      </c>
      <c r="B633" s="2" t="s">
        <v>54</v>
      </c>
      <c r="C633" s="1">
        <v>10350</v>
      </c>
      <c r="D633" s="1">
        <v>10350</v>
      </c>
      <c r="E633" s="1">
        <v>10250</v>
      </c>
      <c r="F633" s="1">
        <v>10250</v>
      </c>
      <c r="G633" s="1">
        <v>39332900</v>
      </c>
      <c r="H633" s="4">
        <f t="shared" si="20"/>
        <v>-4.8543689320388345E-3</v>
      </c>
      <c r="I633" s="4">
        <f t="shared" si="21"/>
        <v>0.82222222222222219</v>
      </c>
    </row>
    <row r="634" spans="1:9" x14ac:dyDescent="0.2">
      <c r="A634" s="2">
        <f ca="1">IFERROR(__xludf.DUMMYFUNCTION("""COMPUTED_VALUE"""),45541.6666666666)</f>
        <v>45541.666666666599</v>
      </c>
      <c r="B634" s="2" t="s">
        <v>54</v>
      </c>
      <c r="C634" s="1">
        <v>10225</v>
      </c>
      <c r="D634" s="1">
        <v>10300</v>
      </c>
      <c r="E634" s="1">
        <v>10225</v>
      </c>
      <c r="F634" s="1">
        <v>10300</v>
      </c>
      <c r="G634" s="1">
        <v>31541800</v>
      </c>
      <c r="H634" s="4">
        <f t="shared" si="20"/>
        <v>4.8780487804878049E-3</v>
      </c>
      <c r="I634" s="4">
        <f t="shared" si="21"/>
        <v>0.83111111111111113</v>
      </c>
    </row>
    <row r="635" spans="1:9" x14ac:dyDescent="0.2">
      <c r="A635" s="2">
        <f ca="1">IFERROR(__xludf.DUMMYFUNCTION("""COMPUTED_VALUE"""),45544.6666666666)</f>
        <v>45544.666666666599</v>
      </c>
      <c r="B635" s="2" t="s">
        <v>54</v>
      </c>
      <c r="C635" s="1">
        <v>10300</v>
      </c>
      <c r="D635" s="1">
        <v>10350</v>
      </c>
      <c r="E635" s="1">
        <v>10200</v>
      </c>
      <c r="F635" s="1">
        <v>10275</v>
      </c>
      <c r="G635" s="1">
        <v>36185100</v>
      </c>
      <c r="H635" s="4">
        <f t="shared" si="20"/>
        <v>-2.4271844660194173E-3</v>
      </c>
      <c r="I635" s="4">
        <f t="shared" si="21"/>
        <v>0.82666666666666666</v>
      </c>
    </row>
    <row r="636" spans="1:9" x14ac:dyDescent="0.2">
      <c r="A636" s="2">
        <f ca="1">IFERROR(__xludf.DUMMYFUNCTION("""COMPUTED_VALUE"""),45545.6666666666)</f>
        <v>45545.666666666599</v>
      </c>
      <c r="B636" s="2" t="s">
        <v>54</v>
      </c>
      <c r="C636" s="1">
        <v>10350</v>
      </c>
      <c r="D636" s="1">
        <v>10350</v>
      </c>
      <c r="E636" s="1">
        <v>10275</v>
      </c>
      <c r="F636" s="1">
        <v>10350</v>
      </c>
      <c r="G636" s="1">
        <v>55093100</v>
      </c>
      <c r="H636" s="4">
        <f t="shared" si="20"/>
        <v>7.2992700729927005E-3</v>
      </c>
      <c r="I636" s="4">
        <f t="shared" si="21"/>
        <v>0.84</v>
      </c>
    </row>
    <row r="637" spans="1:9" x14ac:dyDescent="0.2">
      <c r="A637" s="2">
        <f ca="1">IFERROR(__xludf.DUMMYFUNCTION("""COMPUTED_VALUE"""),45546.6666666666)</f>
        <v>45546.666666666599</v>
      </c>
      <c r="B637" s="2" t="s">
        <v>54</v>
      </c>
      <c r="C637" s="1">
        <v>10425</v>
      </c>
      <c r="D637" s="1">
        <v>10425</v>
      </c>
      <c r="E637" s="1">
        <v>10350</v>
      </c>
      <c r="F637" s="1">
        <v>10425</v>
      </c>
      <c r="G637" s="1">
        <v>64621300</v>
      </c>
      <c r="H637" s="4">
        <f t="shared" si="20"/>
        <v>7.246376811594203E-3</v>
      </c>
      <c r="I637" s="4">
        <f t="shared" si="21"/>
        <v>0.85333333333333339</v>
      </c>
    </row>
    <row r="638" spans="1:9" x14ac:dyDescent="0.2">
      <c r="A638" s="2">
        <f ca="1">IFERROR(__xludf.DUMMYFUNCTION("""COMPUTED_VALUE"""),45547.6666666666)</f>
        <v>45547.666666666599</v>
      </c>
      <c r="B638" s="2" t="s">
        <v>54</v>
      </c>
      <c r="C638" s="1">
        <v>10450</v>
      </c>
      <c r="D638" s="1">
        <v>10500</v>
      </c>
      <c r="E638" s="1">
        <v>10375</v>
      </c>
      <c r="F638" s="1">
        <v>10475</v>
      </c>
      <c r="G638" s="1">
        <v>70759100</v>
      </c>
      <c r="H638" s="4">
        <f t="shared" si="20"/>
        <v>4.7961630695443642E-3</v>
      </c>
      <c r="I638" s="4">
        <f t="shared" si="21"/>
        <v>0.86222222222222222</v>
      </c>
    </row>
    <row r="639" spans="1:9" x14ac:dyDescent="0.2">
      <c r="A639" s="2">
        <f ca="1">IFERROR(__xludf.DUMMYFUNCTION("""COMPUTED_VALUE"""),45548.6666666666)</f>
        <v>45548.666666666599</v>
      </c>
      <c r="B639" s="2" t="s">
        <v>54</v>
      </c>
      <c r="C639" s="1">
        <v>10400</v>
      </c>
      <c r="D639" s="1">
        <v>10425</v>
      </c>
      <c r="E639" s="1">
        <v>10325</v>
      </c>
      <c r="F639" s="1">
        <v>10425</v>
      </c>
      <c r="G639" s="1">
        <v>70057100</v>
      </c>
      <c r="H639" s="4">
        <f t="shared" si="20"/>
        <v>-4.7732696897374704E-3</v>
      </c>
      <c r="I639" s="4">
        <f t="shared" si="21"/>
        <v>0.85333333333333339</v>
      </c>
    </row>
    <row r="640" spans="1:9" x14ac:dyDescent="0.2">
      <c r="A640" s="2">
        <f ca="1">IFERROR(__xludf.DUMMYFUNCTION("""COMPUTED_VALUE"""),45552.6666666666)</f>
        <v>45552.666666666599</v>
      </c>
      <c r="B640" s="2" t="s">
        <v>54</v>
      </c>
      <c r="C640" s="1">
        <v>10450</v>
      </c>
      <c r="D640" s="1">
        <v>10500</v>
      </c>
      <c r="E640" s="1">
        <v>10350</v>
      </c>
      <c r="F640" s="1">
        <v>10500</v>
      </c>
      <c r="G640" s="1">
        <v>89745000</v>
      </c>
      <c r="H640" s="4">
        <f t="shared" si="20"/>
        <v>7.1942446043165471E-3</v>
      </c>
      <c r="I640" s="4">
        <f t="shared" si="21"/>
        <v>0.8666666666666667</v>
      </c>
    </row>
    <row r="641" spans="1:9" x14ac:dyDescent="0.2">
      <c r="A641" s="2">
        <f ca="1">IFERROR(__xludf.DUMMYFUNCTION("""COMPUTED_VALUE"""),45553.6666666666)</f>
        <v>45553.666666666599</v>
      </c>
      <c r="B641" s="2" t="s">
        <v>54</v>
      </c>
      <c r="C641" s="1">
        <v>10500</v>
      </c>
      <c r="D641" s="1">
        <v>10625</v>
      </c>
      <c r="E641" s="1">
        <v>10450</v>
      </c>
      <c r="F641" s="1">
        <v>10625</v>
      </c>
      <c r="G641" s="1">
        <v>65420200</v>
      </c>
      <c r="H641" s="4">
        <f t="shared" si="20"/>
        <v>1.1904761904761904E-2</v>
      </c>
      <c r="I641" s="4">
        <f t="shared" si="21"/>
        <v>0.88888888888888884</v>
      </c>
    </row>
    <row r="642" spans="1:9" x14ac:dyDescent="0.2">
      <c r="A642" s="2">
        <f ca="1">IFERROR(__xludf.DUMMYFUNCTION("""COMPUTED_VALUE"""),45554.6666666666)</f>
        <v>45554.666666666599</v>
      </c>
      <c r="B642" s="2" t="s">
        <v>54</v>
      </c>
      <c r="C642" s="1">
        <v>10700</v>
      </c>
      <c r="D642" s="1">
        <v>10900</v>
      </c>
      <c r="E642" s="1">
        <v>10650</v>
      </c>
      <c r="F642" s="1">
        <v>10900</v>
      </c>
      <c r="G642" s="1">
        <v>140886600</v>
      </c>
      <c r="H642" s="4">
        <f t="shared" si="20"/>
        <v>2.5882352941176471E-2</v>
      </c>
      <c r="I642" s="4">
        <f t="shared" si="21"/>
        <v>0.93777777777777782</v>
      </c>
    </row>
    <row r="643" spans="1:9" x14ac:dyDescent="0.2">
      <c r="A643" s="2">
        <f ca="1">IFERROR(__xludf.DUMMYFUNCTION("""COMPUTED_VALUE"""),45555.6666666666)</f>
        <v>45555.666666666599</v>
      </c>
      <c r="B643" s="2" t="s">
        <v>54</v>
      </c>
      <c r="C643" s="1">
        <v>10900</v>
      </c>
      <c r="D643" s="1">
        <v>10900</v>
      </c>
      <c r="E643" s="1">
        <v>10775</v>
      </c>
      <c r="F643" s="1">
        <v>10775</v>
      </c>
      <c r="G643" s="1">
        <v>142194600</v>
      </c>
      <c r="H643" s="4">
        <f t="shared" si="20"/>
        <v>-1.1467889908256881E-2</v>
      </c>
      <c r="I643" s="4">
        <f t="shared" si="21"/>
        <v>0.91555555555555557</v>
      </c>
    </row>
    <row r="644" spans="1:9" x14ac:dyDescent="0.2">
      <c r="A644" s="2">
        <f ca="1">IFERROR(__xludf.DUMMYFUNCTION("""COMPUTED_VALUE"""),45558.6666666666)</f>
        <v>45558.666666666599</v>
      </c>
      <c r="B644" s="2" t="s">
        <v>54</v>
      </c>
      <c r="C644" s="1">
        <v>10725</v>
      </c>
      <c r="D644" s="1">
        <v>10950</v>
      </c>
      <c r="E644" s="1">
        <v>10725</v>
      </c>
      <c r="F644" s="1">
        <v>10950</v>
      </c>
      <c r="G644" s="1">
        <v>72553800</v>
      </c>
      <c r="H644" s="4">
        <f t="shared" si="20"/>
        <v>1.6241299303944315E-2</v>
      </c>
      <c r="I644" s="4">
        <f t="shared" si="21"/>
        <v>0.94666666666666666</v>
      </c>
    </row>
    <row r="645" spans="1:9" x14ac:dyDescent="0.2">
      <c r="A645" s="2">
        <f ca="1">IFERROR(__xludf.DUMMYFUNCTION("""COMPUTED_VALUE"""),45559.6666666666)</f>
        <v>45559.666666666599</v>
      </c>
      <c r="B645" s="2" t="s">
        <v>54</v>
      </c>
      <c r="C645" s="1">
        <v>10775</v>
      </c>
      <c r="D645" s="1">
        <v>10950</v>
      </c>
      <c r="E645" s="1">
        <v>10775</v>
      </c>
      <c r="F645" s="1">
        <v>10800</v>
      </c>
      <c r="G645" s="1">
        <v>105191100</v>
      </c>
      <c r="H645" s="4">
        <f t="shared" si="20"/>
        <v>-1.3698630136986301E-2</v>
      </c>
      <c r="I645" s="4">
        <f t="shared" si="21"/>
        <v>0.92</v>
      </c>
    </row>
    <row r="646" spans="1:9" x14ac:dyDescent="0.2">
      <c r="A646" s="2">
        <f ca="1">IFERROR(__xludf.DUMMYFUNCTION("""COMPUTED_VALUE"""),45560.6666666666)</f>
        <v>45560.666666666599</v>
      </c>
      <c r="B646" s="2" t="s">
        <v>54</v>
      </c>
      <c r="C646" s="1">
        <v>10675</v>
      </c>
      <c r="D646" s="1">
        <v>10850</v>
      </c>
      <c r="E646" s="1">
        <v>10525</v>
      </c>
      <c r="F646" s="1">
        <v>10850</v>
      </c>
      <c r="G646" s="1">
        <v>158369100</v>
      </c>
      <c r="H646" s="4">
        <f t="shared" si="20"/>
        <v>4.6296296296296294E-3</v>
      </c>
      <c r="I646" s="4">
        <f t="shared" si="21"/>
        <v>0.92888888888888888</v>
      </c>
    </row>
    <row r="647" spans="1:9" x14ac:dyDescent="0.2">
      <c r="A647" s="2">
        <f ca="1">IFERROR(__xludf.DUMMYFUNCTION("""COMPUTED_VALUE"""),45561.6666666666)</f>
        <v>45561.666666666599</v>
      </c>
      <c r="B647" s="2" t="s">
        <v>54</v>
      </c>
      <c r="C647" s="1">
        <v>10875</v>
      </c>
      <c r="D647" s="1">
        <v>10875</v>
      </c>
      <c r="E647" s="1">
        <v>10675</v>
      </c>
      <c r="F647" s="1">
        <v>10700</v>
      </c>
      <c r="G647" s="1">
        <v>84960100</v>
      </c>
      <c r="H647" s="4">
        <f t="shared" si="20"/>
        <v>-1.3824884792626729E-2</v>
      </c>
      <c r="I647" s="4">
        <f t="shared" si="21"/>
        <v>0.90222222222222226</v>
      </c>
    </row>
    <row r="648" spans="1:9" x14ac:dyDescent="0.2">
      <c r="A648" s="2">
        <f ca="1">IFERROR(__xludf.DUMMYFUNCTION("""COMPUTED_VALUE"""),45562.6666666666)</f>
        <v>45562.666666666599</v>
      </c>
      <c r="B648" s="2" t="s">
        <v>54</v>
      </c>
      <c r="C648" s="1">
        <v>10500</v>
      </c>
      <c r="D648" s="1">
        <v>10750</v>
      </c>
      <c r="E648" s="1">
        <v>10400</v>
      </c>
      <c r="F648" s="1">
        <v>10650</v>
      </c>
      <c r="G648" s="1">
        <v>93027400</v>
      </c>
      <c r="H648" s="4">
        <f t="shared" si="20"/>
        <v>-4.6728971962616819E-3</v>
      </c>
      <c r="I648" s="4">
        <f t="shared" si="21"/>
        <v>0.89333333333333331</v>
      </c>
    </row>
    <row r="649" spans="1:9" x14ac:dyDescent="0.2">
      <c r="A649" s="2">
        <f ca="1">IFERROR(__xludf.DUMMYFUNCTION("""COMPUTED_VALUE"""),45565.6666666666)</f>
        <v>45565.666666666599</v>
      </c>
      <c r="B649" s="2" t="s">
        <v>54</v>
      </c>
      <c r="C649" s="1">
        <v>10475</v>
      </c>
      <c r="D649" s="1">
        <v>10550</v>
      </c>
      <c r="E649" s="1">
        <v>10325</v>
      </c>
      <c r="F649" s="1">
        <v>10325</v>
      </c>
      <c r="G649" s="1">
        <v>144692100</v>
      </c>
      <c r="H649" s="4">
        <f t="shared" si="20"/>
        <v>-3.0516431924882629E-2</v>
      </c>
      <c r="I649" s="4">
        <f t="shared" si="21"/>
        <v>0.83555555555555561</v>
      </c>
    </row>
    <row r="650" spans="1:9" x14ac:dyDescent="0.2">
      <c r="A650" s="2">
        <f ca="1">IFERROR(__xludf.DUMMYFUNCTION("""COMPUTED_VALUE"""),45566.6666666666)</f>
        <v>45566.666666666599</v>
      </c>
      <c r="B650" s="2" t="s">
        <v>54</v>
      </c>
      <c r="C650" s="1">
        <v>10400</v>
      </c>
      <c r="D650" s="1">
        <v>10550</v>
      </c>
      <c r="E650" s="1">
        <v>10375</v>
      </c>
      <c r="F650" s="1">
        <v>10550</v>
      </c>
      <c r="G650" s="1">
        <v>59797700</v>
      </c>
      <c r="H650" s="4">
        <f t="shared" si="20"/>
        <v>2.1791767554479417E-2</v>
      </c>
      <c r="I650" s="4">
        <f t="shared" si="21"/>
        <v>0.87555555555555553</v>
      </c>
    </row>
    <row r="651" spans="1:9" x14ac:dyDescent="0.2">
      <c r="A651" s="2">
        <f ca="1">IFERROR(__xludf.DUMMYFUNCTION("""COMPUTED_VALUE"""),45567.6666666666)</f>
        <v>45567.666666666599</v>
      </c>
      <c r="B651" s="2" t="s">
        <v>54</v>
      </c>
      <c r="C651" s="1">
        <v>10325</v>
      </c>
      <c r="D651" s="1">
        <v>10550</v>
      </c>
      <c r="E651" s="1">
        <v>10325</v>
      </c>
      <c r="F651" s="1">
        <v>10500</v>
      </c>
      <c r="G651" s="1">
        <v>86746200</v>
      </c>
      <c r="H651" s="4">
        <f t="shared" si="20"/>
        <v>-4.7393364928909956E-3</v>
      </c>
      <c r="I651" s="4">
        <f t="shared" si="21"/>
        <v>0.8666666666666667</v>
      </c>
    </row>
    <row r="652" spans="1:9" x14ac:dyDescent="0.2">
      <c r="A652" s="2">
        <f ca="1">IFERROR(__xludf.DUMMYFUNCTION("""COMPUTED_VALUE"""),45568.6666666666)</f>
        <v>45568.666666666599</v>
      </c>
      <c r="B652" s="2" t="s">
        <v>54</v>
      </c>
      <c r="C652" s="1">
        <v>10450</v>
      </c>
      <c r="D652" s="1">
        <v>10525</v>
      </c>
      <c r="E652" s="1">
        <v>10400</v>
      </c>
      <c r="F652" s="1">
        <v>10450</v>
      </c>
      <c r="G652" s="1">
        <v>60887000</v>
      </c>
      <c r="H652" s="4">
        <f t="shared" si="20"/>
        <v>-4.7619047619047623E-3</v>
      </c>
      <c r="I652" s="4">
        <f t="shared" si="21"/>
        <v>0.85777777777777775</v>
      </c>
    </row>
    <row r="653" spans="1:9" x14ac:dyDescent="0.2">
      <c r="A653" s="2">
        <f ca="1">IFERROR(__xludf.DUMMYFUNCTION("""COMPUTED_VALUE"""),45569.6666666666)</f>
        <v>45569.666666666599</v>
      </c>
      <c r="B653" s="2" t="s">
        <v>54</v>
      </c>
      <c r="C653" s="1">
        <v>10400</v>
      </c>
      <c r="D653" s="1">
        <v>10475</v>
      </c>
      <c r="E653" s="1">
        <v>10350</v>
      </c>
      <c r="F653" s="1">
        <v>10475</v>
      </c>
      <c r="G653" s="1">
        <v>58500400</v>
      </c>
      <c r="H653" s="4">
        <f t="shared" si="20"/>
        <v>2.3923444976076554E-3</v>
      </c>
      <c r="I653" s="4">
        <f t="shared" si="21"/>
        <v>0.86222222222222222</v>
      </c>
    </row>
    <row r="654" spans="1:9" x14ac:dyDescent="0.2">
      <c r="A654" s="2">
        <f ca="1">IFERROR(__xludf.DUMMYFUNCTION("""COMPUTED_VALUE"""),45572.6666666666)</f>
        <v>45572.666666666599</v>
      </c>
      <c r="B654" s="2" t="s">
        <v>54</v>
      </c>
      <c r="C654" s="1">
        <v>10350</v>
      </c>
      <c r="D654" s="1">
        <v>10375</v>
      </c>
      <c r="E654" s="1">
        <v>10250</v>
      </c>
      <c r="F654" s="1">
        <v>10300</v>
      </c>
      <c r="G654" s="1">
        <v>91867900</v>
      </c>
      <c r="H654" s="4">
        <f t="shared" si="20"/>
        <v>-1.6706443914081145E-2</v>
      </c>
      <c r="I654" s="4">
        <f t="shared" si="21"/>
        <v>0.83111111111111113</v>
      </c>
    </row>
    <row r="655" spans="1:9" x14ac:dyDescent="0.2">
      <c r="A655" s="2">
        <f ca="1">IFERROR(__xludf.DUMMYFUNCTION("""COMPUTED_VALUE"""),45573.6666666666)</f>
        <v>45573.666666666599</v>
      </c>
      <c r="B655" s="2" t="s">
        <v>54</v>
      </c>
      <c r="C655" s="1">
        <v>10200</v>
      </c>
      <c r="D655" s="1">
        <v>10500</v>
      </c>
      <c r="E655" s="1">
        <v>10150</v>
      </c>
      <c r="F655" s="1">
        <v>10400</v>
      </c>
      <c r="G655" s="1">
        <v>99622900</v>
      </c>
      <c r="H655" s="4">
        <f t="shared" si="20"/>
        <v>9.7087378640776691E-3</v>
      </c>
      <c r="I655" s="4">
        <f t="shared" si="21"/>
        <v>0.84888888888888892</v>
      </c>
    </row>
    <row r="656" spans="1:9" x14ac:dyDescent="0.2">
      <c r="A656" s="2">
        <f ca="1">IFERROR(__xludf.DUMMYFUNCTION("""COMPUTED_VALUE"""),45574.6666666666)</f>
        <v>45574.666666666599</v>
      </c>
      <c r="B656" s="2" t="s">
        <v>54</v>
      </c>
      <c r="C656" s="1">
        <v>10400</v>
      </c>
      <c r="D656" s="1">
        <v>10525</v>
      </c>
      <c r="E656" s="1">
        <v>10400</v>
      </c>
      <c r="F656" s="1">
        <v>10425</v>
      </c>
      <c r="G656" s="1">
        <v>56835200</v>
      </c>
      <c r="H656" s="4">
        <f t="shared" si="20"/>
        <v>2.403846153846154E-3</v>
      </c>
      <c r="I656" s="4">
        <f t="shared" si="21"/>
        <v>0.85333333333333339</v>
      </c>
    </row>
    <row r="657" spans="1:9" x14ac:dyDescent="0.2">
      <c r="A657" s="2">
        <f ca="1">IFERROR(__xludf.DUMMYFUNCTION("""COMPUTED_VALUE"""),45575.6666666666)</f>
        <v>45575.666666666599</v>
      </c>
      <c r="B657" s="2" t="s">
        <v>54</v>
      </c>
      <c r="C657" s="1">
        <v>10425</v>
      </c>
      <c r="D657" s="1">
        <v>10500</v>
      </c>
      <c r="E657" s="1">
        <v>10400</v>
      </c>
      <c r="F657" s="1">
        <v>10500</v>
      </c>
      <c r="G657" s="1">
        <v>51080000</v>
      </c>
      <c r="H657" s="4">
        <f t="shared" si="20"/>
        <v>7.1942446043165471E-3</v>
      </c>
      <c r="I657" s="4">
        <f t="shared" si="21"/>
        <v>0.8666666666666667</v>
      </c>
    </row>
    <row r="658" spans="1:9" x14ac:dyDescent="0.2">
      <c r="A658" s="2">
        <f ca="1">IFERROR(__xludf.DUMMYFUNCTION("""COMPUTED_VALUE"""),45576.6666666666)</f>
        <v>45576.666666666599</v>
      </c>
      <c r="B658" s="2" t="s">
        <v>54</v>
      </c>
      <c r="C658" s="1">
        <v>10575</v>
      </c>
      <c r="D658" s="1">
        <v>10575</v>
      </c>
      <c r="E658" s="1">
        <v>10375</v>
      </c>
      <c r="F658" s="1">
        <v>10375</v>
      </c>
      <c r="G658" s="1">
        <v>44632100</v>
      </c>
      <c r="H658" s="4">
        <f t="shared" si="20"/>
        <v>-1.1904761904761904E-2</v>
      </c>
      <c r="I658" s="4">
        <f t="shared" si="21"/>
        <v>0.84444444444444444</v>
      </c>
    </row>
    <row r="659" spans="1:9" x14ac:dyDescent="0.2">
      <c r="A659" s="2">
        <f ca="1">IFERROR(__xludf.DUMMYFUNCTION("""COMPUTED_VALUE"""),45579.6666666666)</f>
        <v>45579.666666666599</v>
      </c>
      <c r="B659" s="2" t="s">
        <v>54</v>
      </c>
      <c r="C659" s="1">
        <v>10375</v>
      </c>
      <c r="D659" s="1">
        <v>10500</v>
      </c>
      <c r="E659" s="1">
        <v>10375</v>
      </c>
      <c r="F659" s="1">
        <v>10500</v>
      </c>
      <c r="G659" s="1">
        <v>31738600</v>
      </c>
      <c r="H659" s="4">
        <f t="shared" si="20"/>
        <v>1.2048192771084338E-2</v>
      </c>
      <c r="I659" s="4">
        <f t="shared" si="21"/>
        <v>0.8666666666666667</v>
      </c>
    </row>
    <row r="660" spans="1:9" x14ac:dyDescent="0.2">
      <c r="A660" s="2">
        <f ca="1">IFERROR(__xludf.DUMMYFUNCTION("""COMPUTED_VALUE"""),45580.6666666666)</f>
        <v>45580.666666666599</v>
      </c>
      <c r="B660" s="2" t="s">
        <v>54</v>
      </c>
      <c r="C660" s="1">
        <v>10550</v>
      </c>
      <c r="D660" s="1">
        <v>10625</v>
      </c>
      <c r="E660" s="1">
        <v>10450</v>
      </c>
      <c r="F660" s="1">
        <v>10625</v>
      </c>
      <c r="G660" s="1">
        <v>66635200</v>
      </c>
      <c r="H660" s="4">
        <f t="shared" si="20"/>
        <v>1.1904761904761904E-2</v>
      </c>
      <c r="I660" s="4">
        <f t="shared" si="21"/>
        <v>0.88888888888888884</v>
      </c>
    </row>
    <row r="661" spans="1:9" x14ac:dyDescent="0.2">
      <c r="A661" s="2">
        <f ca="1">IFERROR(__xludf.DUMMYFUNCTION("""COMPUTED_VALUE"""),45581.6666666666)</f>
        <v>45581.666666666599</v>
      </c>
      <c r="B661" s="2" t="s">
        <v>54</v>
      </c>
      <c r="C661" s="1">
        <v>10700</v>
      </c>
      <c r="D661" s="1">
        <v>10725</v>
      </c>
      <c r="E661" s="1">
        <v>10475</v>
      </c>
      <c r="F661" s="1">
        <v>10475</v>
      </c>
      <c r="G661" s="1">
        <v>63255900</v>
      </c>
      <c r="H661" s="4">
        <f t="shared" si="20"/>
        <v>-1.411764705882353E-2</v>
      </c>
      <c r="I661" s="4">
        <f t="shared" si="21"/>
        <v>0.86222222222222222</v>
      </c>
    </row>
    <row r="662" spans="1:9" x14ac:dyDescent="0.2">
      <c r="A662" s="2">
        <f ca="1">IFERROR(__xludf.DUMMYFUNCTION("""COMPUTED_VALUE"""),45582.6666666666)</f>
        <v>45582.666666666599</v>
      </c>
      <c r="B662" s="2" t="s">
        <v>54</v>
      </c>
      <c r="C662" s="1">
        <v>10550</v>
      </c>
      <c r="D662" s="1">
        <v>10800</v>
      </c>
      <c r="E662" s="1">
        <v>10500</v>
      </c>
      <c r="F662" s="1">
        <v>10725</v>
      </c>
      <c r="G662" s="1">
        <v>66993300</v>
      </c>
      <c r="H662" s="4">
        <f t="shared" si="20"/>
        <v>2.386634844868735E-2</v>
      </c>
      <c r="I662" s="4">
        <f t="shared" si="21"/>
        <v>0.90666666666666662</v>
      </c>
    </row>
    <row r="663" spans="1:9" x14ac:dyDescent="0.2">
      <c r="A663" s="2">
        <f ca="1">IFERROR(__xludf.DUMMYFUNCTION("""COMPUTED_VALUE"""),45583.6666666666)</f>
        <v>45583.666666666599</v>
      </c>
      <c r="B663" s="2" t="s">
        <v>54</v>
      </c>
      <c r="C663" s="1">
        <v>10875</v>
      </c>
      <c r="D663" s="1">
        <v>10875</v>
      </c>
      <c r="E663" s="1">
        <v>10725</v>
      </c>
      <c r="F663" s="1">
        <v>10750</v>
      </c>
      <c r="G663" s="1">
        <v>56299600</v>
      </c>
      <c r="H663" s="4">
        <f t="shared" si="20"/>
        <v>2.331002331002331E-3</v>
      </c>
      <c r="I663" s="4">
        <f t="shared" si="21"/>
        <v>0.91111111111111109</v>
      </c>
    </row>
    <row r="664" spans="1:9" x14ac:dyDescent="0.2">
      <c r="A664" s="2">
        <f ca="1">IFERROR(__xludf.DUMMYFUNCTION("""COMPUTED_VALUE"""),45586.6666666666)</f>
        <v>45586.666666666599</v>
      </c>
      <c r="B664" s="2" t="s">
        <v>54</v>
      </c>
      <c r="C664" s="1">
        <v>10850</v>
      </c>
      <c r="D664" s="1">
        <v>10850</v>
      </c>
      <c r="E664" s="1">
        <v>10675</v>
      </c>
      <c r="F664" s="1">
        <v>10675</v>
      </c>
      <c r="G664" s="1">
        <v>36472500</v>
      </c>
      <c r="H664" s="4">
        <f t="shared" si="20"/>
        <v>-6.9767441860465115E-3</v>
      </c>
      <c r="I664" s="4">
        <f t="shared" si="21"/>
        <v>0.89777777777777779</v>
      </c>
    </row>
    <row r="665" spans="1:9" x14ac:dyDescent="0.2">
      <c r="A665" s="2">
        <f ca="1">IFERROR(__xludf.DUMMYFUNCTION("""COMPUTED_VALUE"""),45587.6666666666)</f>
        <v>45587.666666666599</v>
      </c>
      <c r="B665" s="2" t="s">
        <v>54</v>
      </c>
      <c r="C665" s="1">
        <v>10475</v>
      </c>
      <c r="D665" s="1">
        <v>10600</v>
      </c>
      <c r="E665" s="1">
        <v>10475</v>
      </c>
      <c r="F665" s="1">
        <v>10500</v>
      </c>
      <c r="G665" s="1">
        <v>94799500</v>
      </c>
      <c r="H665" s="4">
        <f t="shared" si="20"/>
        <v>-1.6393442622950821E-2</v>
      </c>
      <c r="I665" s="4">
        <f t="shared" si="21"/>
        <v>0.8666666666666667</v>
      </c>
    </row>
    <row r="666" spans="1:9" x14ac:dyDescent="0.2">
      <c r="A666" s="2">
        <f ca="1">IFERROR(__xludf.DUMMYFUNCTION("""COMPUTED_VALUE"""),45588.6666666666)</f>
        <v>45588.666666666599</v>
      </c>
      <c r="B666" s="2" t="s">
        <v>54</v>
      </c>
      <c r="C666" s="1">
        <v>10475</v>
      </c>
      <c r="D666" s="1">
        <v>10650</v>
      </c>
      <c r="E666" s="1">
        <v>10475</v>
      </c>
      <c r="F666" s="1">
        <v>10650</v>
      </c>
      <c r="G666" s="1">
        <v>48903000</v>
      </c>
      <c r="H666" s="4">
        <f t="shared" si="20"/>
        <v>1.4285714285714285E-2</v>
      </c>
      <c r="I666" s="4">
        <f t="shared" si="21"/>
        <v>0.89333333333333331</v>
      </c>
    </row>
    <row r="667" spans="1:9" x14ac:dyDescent="0.2">
      <c r="A667" s="2">
        <f ca="1">IFERROR(__xludf.DUMMYFUNCTION("""COMPUTED_VALUE"""),45589.6666666666)</f>
        <v>45589.666666666599</v>
      </c>
      <c r="B667" s="2" t="s">
        <v>54</v>
      </c>
      <c r="C667" s="1">
        <v>10725</v>
      </c>
      <c r="D667" s="1">
        <v>10850</v>
      </c>
      <c r="E667" s="1">
        <v>10700</v>
      </c>
      <c r="F667" s="1">
        <v>10700</v>
      </c>
      <c r="G667" s="1">
        <v>85341200</v>
      </c>
      <c r="H667" s="4">
        <f t="shared" si="20"/>
        <v>4.6948356807511738E-3</v>
      </c>
      <c r="I667" s="4">
        <f t="shared" si="21"/>
        <v>0.90222222222222226</v>
      </c>
    </row>
    <row r="668" spans="1:9" x14ac:dyDescent="0.2">
      <c r="A668" s="2">
        <f ca="1">IFERROR(__xludf.DUMMYFUNCTION("""COMPUTED_VALUE"""),45590.6666666666)</f>
        <v>45590.666666666599</v>
      </c>
      <c r="B668" s="2" t="s">
        <v>54</v>
      </c>
      <c r="C668" s="1">
        <v>10650</v>
      </c>
      <c r="D668" s="1">
        <v>10750</v>
      </c>
      <c r="E668" s="1">
        <v>10625</v>
      </c>
      <c r="F668" s="1">
        <v>10750</v>
      </c>
      <c r="G668" s="1">
        <v>34847500</v>
      </c>
      <c r="H668" s="4">
        <f t="shared" si="20"/>
        <v>4.6728971962616819E-3</v>
      </c>
      <c r="I668" s="4">
        <f t="shared" si="21"/>
        <v>0.91111111111111109</v>
      </c>
    </row>
    <row r="669" spans="1:9" x14ac:dyDescent="0.2">
      <c r="A669" s="2">
        <f ca="1">IFERROR(__xludf.DUMMYFUNCTION("""COMPUTED_VALUE"""),45593.6666666666)</f>
        <v>45593.666666666599</v>
      </c>
      <c r="B669" s="2" t="s">
        <v>54</v>
      </c>
      <c r="C669" s="1">
        <v>10825</v>
      </c>
      <c r="D669" s="1">
        <v>10825</v>
      </c>
      <c r="E669" s="1">
        <v>10600</v>
      </c>
      <c r="F669" s="1">
        <v>10600</v>
      </c>
      <c r="G669" s="1">
        <v>39061500</v>
      </c>
      <c r="H669" s="4">
        <f t="shared" ref="H669:H732" si="22">(F669-F668)/F668</f>
        <v>-1.3953488372093023E-2</v>
      </c>
      <c r="I669" s="4">
        <f t="shared" ref="I669:I732" si="23">(F669-$E$2)/$E$2</f>
        <v>0.88444444444444448</v>
      </c>
    </row>
    <row r="670" spans="1:9" x14ac:dyDescent="0.2">
      <c r="A670" s="2">
        <f ca="1">IFERROR(__xludf.DUMMYFUNCTION("""COMPUTED_VALUE"""),45594.6666666666)</f>
        <v>45594.666666666599</v>
      </c>
      <c r="B670" s="2" t="s">
        <v>54</v>
      </c>
      <c r="C670" s="1">
        <v>10525</v>
      </c>
      <c r="D670" s="1">
        <v>10575</v>
      </c>
      <c r="E670" s="1">
        <v>10500</v>
      </c>
      <c r="F670" s="1">
        <v>10500</v>
      </c>
      <c r="G670" s="1">
        <v>49680100</v>
      </c>
      <c r="H670" s="4">
        <f t="shared" si="22"/>
        <v>-9.433962264150943E-3</v>
      </c>
      <c r="I670" s="4">
        <f t="shared" si="23"/>
        <v>0.8666666666666667</v>
      </c>
    </row>
    <row r="671" spans="1:9" x14ac:dyDescent="0.2">
      <c r="A671" s="2">
        <f ca="1">IFERROR(__xludf.DUMMYFUNCTION("""COMPUTED_VALUE"""),45595.6666666666)</f>
        <v>45595.666666666599</v>
      </c>
      <c r="B671" s="2" t="s">
        <v>54</v>
      </c>
      <c r="C671" s="1">
        <v>10350</v>
      </c>
      <c r="D671" s="1">
        <v>10375</v>
      </c>
      <c r="E671" s="1">
        <v>10325</v>
      </c>
      <c r="F671" s="1">
        <v>10350</v>
      </c>
      <c r="G671" s="1">
        <v>32114000</v>
      </c>
      <c r="H671" s="4">
        <f t="shared" si="22"/>
        <v>-1.4285714285714285E-2</v>
      </c>
      <c r="I671" s="4">
        <f t="shared" si="23"/>
        <v>0.84</v>
      </c>
    </row>
    <row r="672" spans="1:9" x14ac:dyDescent="0.2">
      <c r="A672" s="2">
        <f ca="1">IFERROR(__xludf.DUMMYFUNCTION("""COMPUTED_VALUE"""),45596.6666666666)</f>
        <v>45596.666666666599</v>
      </c>
      <c r="B672" s="2" t="s">
        <v>54</v>
      </c>
      <c r="C672" s="1">
        <v>10325</v>
      </c>
      <c r="D672" s="1">
        <v>10475</v>
      </c>
      <c r="E672" s="1">
        <v>10250</v>
      </c>
      <c r="F672" s="1">
        <v>10250</v>
      </c>
      <c r="G672" s="1">
        <v>97553400</v>
      </c>
      <c r="H672" s="4">
        <f t="shared" si="22"/>
        <v>-9.6618357487922701E-3</v>
      </c>
      <c r="I672" s="4">
        <f t="shared" si="23"/>
        <v>0.82222222222222219</v>
      </c>
    </row>
    <row r="673" spans="1:9" x14ac:dyDescent="0.2">
      <c r="A673" s="2">
        <f ca="1">IFERROR(__xludf.DUMMYFUNCTION("""COMPUTED_VALUE"""),45597.6666666666)</f>
        <v>45597.666666666599</v>
      </c>
      <c r="B673" s="2" t="s">
        <v>54</v>
      </c>
      <c r="C673" s="1">
        <v>10275</v>
      </c>
      <c r="D673" s="1">
        <v>10425</v>
      </c>
      <c r="E673" s="1">
        <v>10275</v>
      </c>
      <c r="F673" s="1">
        <v>10425</v>
      </c>
      <c r="G673" s="1">
        <v>47710000</v>
      </c>
      <c r="H673" s="4">
        <f t="shared" si="22"/>
        <v>1.7073170731707318E-2</v>
      </c>
      <c r="I673" s="4">
        <f t="shared" si="23"/>
        <v>0.85333333333333339</v>
      </c>
    </row>
    <row r="674" spans="1:9" x14ac:dyDescent="0.2">
      <c r="A674" s="2">
        <f ca="1">IFERROR(__xludf.DUMMYFUNCTION("""COMPUTED_VALUE"""),45600.6666666666)</f>
        <v>45600.666666666599</v>
      </c>
      <c r="B674" s="2" t="s">
        <v>54</v>
      </c>
      <c r="C674" s="1">
        <v>10425</v>
      </c>
      <c r="D674" s="1">
        <v>10500</v>
      </c>
      <c r="E674" s="1">
        <v>10300</v>
      </c>
      <c r="F674" s="1">
        <v>10375</v>
      </c>
      <c r="G674" s="1">
        <v>49275700</v>
      </c>
      <c r="H674" s="4">
        <f t="shared" si="22"/>
        <v>-4.7961630695443642E-3</v>
      </c>
      <c r="I674" s="4">
        <f t="shared" si="23"/>
        <v>0.84444444444444444</v>
      </c>
    </row>
    <row r="675" spans="1:9" x14ac:dyDescent="0.2">
      <c r="A675" s="2">
        <f ca="1">IFERROR(__xludf.DUMMYFUNCTION("""COMPUTED_VALUE"""),45601.6666666666)</f>
        <v>45601.666666666599</v>
      </c>
      <c r="B675" s="2" t="s">
        <v>54</v>
      </c>
      <c r="C675" s="1">
        <v>10300</v>
      </c>
      <c r="D675" s="1">
        <v>10575</v>
      </c>
      <c r="E675" s="1">
        <v>10300</v>
      </c>
      <c r="F675" s="1">
        <v>10500</v>
      </c>
      <c r="G675" s="1">
        <v>50296500</v>
      </c>
      <c r="H675" s="4">
        <f t="shared" si="22"/>
        <v>1.2048192771084338E-2</v>
      </c>
      <c r="I675" s="4">
        <f t="shared" si="23"/>
        <v>0.8666666666666667</v>
      </c>
    </row>
    <row r="676" spans="1:9" x14ac:dyDescent="0.2">
      <c r="A676" s="2">
        <f ca="1">IFERROR(__xludf.DUMMYFUNCTION("""COMPUTED_VALUE"""),45602.6666666666)</f>
        <v>45602.666666666599</v>
      </c>
      <c r="B676" s="2" t="s">
        <v>54</v>
      </c>
      <c r="C676" s="1">
        <v>10475</v>
      </c>
      <c r="D676" s="1">
        <v>10500</v>
      </c>
      <c r="E676" s="1">
        <v>10375</v>
      </c>
      <c r="F676" s="1">
        <v>10450</v>
      </c>
      <c r="G676" s="1">
        <v>50324900</v>
      </c>
      <c r="H676" s="4">
        <f t="shared" si="22"/>
        <v>-4.7619047619047623E-3</v>
      </c>
      <c r="I676" s="4">
        <f t="shared" si="23"/>
        <v>0.85777777777777775</v>
      </c>
    </row>
    <row r="677" spans="1:9" x14ac:dyDescent="0.2">
      <c r="A677" s="2">
        <f ca="1">IFERROR(__xludf.DUMMYFUNCTION("""COMPUTED_VALUE"""),45603.6666666666)</f>
        <v>45603.666666666599</v>
      </c>
      <c r="B677" s="2" t="s">
        <v>54</v>
      </c>
      <c r="C677" s="1">
        <v>10325</v>
      </c>
      <c r="D677" s="1">
        <v>10450</v>
      </c>
      <c r="E677" s="1">
        <v>10175</v>
      </c>
      <c r="F677" s="1">
        <v>10175</v>
      </c>
      <c r="G677" s="1">
        <v>131579100</v>
      </c>
      <c r="H677" s="4">
        <f t="shared" si="22"/>
        <v>-2.6315789473684209E-2</v>
      </c>
      <c r="I677" s="4">
        <f t="shared" si="23"/>
        <v>0.80888888888888888</v>
      </c>
    </row>
    <row r="678" spans="1:9" x14ac:dyDescent="0.2">
      <c r="A678" s="2">
        <f ca="1">IFERROR(__xludf.DUMMYFUNCTION("""COMPUTED_VALUE"""),45604.6666666666)</f>
        <v>45604.666666666599</v>
      </c>
      <c r="B678" s="2" t="s">
        <v>54</v>
      </c>
      <c r="C678" s="1">
        <v>10200</v>
      </c>
      <c r="D678" s="1">
        <v>10225</v>
      </c>
      <c r="E678" s="1">
        <v>10050</v>
      </c>
      <c r="F678" s="1">
        <v>10075</v>
      </c>
      <c r="G678" s="1">
        <v>92166100</v>
      </c>
      <c r="H678" s="4">
        <f t="shared" si="22"/>
        <v>-9.8280098280098278E-3</v>
      </c>
      <c r="I678" s="4">
        <f t="shared" si="23"/>
        <v>0.7911111111111111</v>
      </c>
    </row>
    <row r="679" spans="1:9" x14ac:dyDescent="0.2">
      <c r="A679" s="2">
        <f ca="1">IFERROR(__xludf.DUMMYFUNCTION("""COMPUTED_VALUE"""),45607.6666666666)</f>
        <v>45607.666666666599</v>
      </c>
      <c r="B679" s="2" t="s">
        <v>54</v>
      </c>
      <c r="C679" s="1">
        <v>9800</v>
      </c>
      <c r="D679" s="1">
        <v>10050</v>
      </c>
      <c r="E679" s="1">
        <v>9800</v>
      </c>
      <c r="F679" s="1">
        <v>10050</v>
      </c>
      <c r="G679" s="1">
        <v>128707600</v>
      </c>
      <c r="H679" s="4">
        <f t="shared" si="22"/>
        <v>-2.4813895781637717E-3</v>
      </c>
      <c r="I679" s="4">
        <f t="shared" si="23"/>
        <v>0.78666666666666663</v>
      </c>
    </row>
    <row r="680" spans="1:9" x14ac:dyDescent="0.2">
      <c r="A680" s="2">
        <f ca="1">IFERROR(__xludf.DUMMYFUNCTION("""COMPUTED_VALUE"""),45608.6666666666)</f>
        <v>45608.666666666599</v>
      </c>
      <c r="B680" s="2" t="s">
        <v>54</v>
      </c>
      <c r="C680" s="1">
        <v>10100</v>
      </c>
      <c r="D680" s="1">
        <v>10225</v>
      </c>
      <c r="E680" s="1">
        <v>10000</v>
      </c>
      <c r="F680" s="1">
        <v>10150</v>
      </c>
      <c r="G680" s="1">
        <v>80378500</v>
      </c>
      <c r="H680" s="4">
        <f t="shared" si="22"/>
        <v>9.9502487562189053E-3</v>
      </c>
      <c r="I680" s="4">
        <f t="shared" si="23"/>
        <v>0.80444444444444441</v>
      </c>
    </row>
    <row r="681" spans="1:9" x14ac:dyDescent="0.2">
      <c r="A681" s="2">
        <f ca="1">IFERROR(__xludf.DUMMYFUNCTION("""COMPUTED_VALUE"""),45609.6666666666)</f>
        <v>45609.666666666599</v>
      </c>
      <c r="B681" s="2" t="s">
        <v>54</v>
      </c>
      <c r="C681" s="1">
        <v>10225</v>
      </c>
      <c r="D681" s="1">
        <v>10250</v>
      </c>
      <c r="E681" s="1">
        <v>10150</v>
      </c>
      <c r="F681" s="1">
        <v>10150</v>
      </c>
      <c r="G681" s="1">
        <v>62933100</v>
      </c>
      <c r="H681" s="4">
        <f t="shared" si="22"/>
        <v>0</v>
      </c>
      <c r="I681" s="4">
        <f t="shared" si="23"/>
        <v>0.80444444444444441</v>
      </c>
    </row>
    <row r="682" spans="1:9" x14ac:dyDescent="0.2">
      <c r="A682" s="2">
        <f ca="1">IFERROR(__xludf.DUMMYFUNCTION("""COMPUTED_VALUE"""),45610.6666666666)</f>
        <v>45610.666666666599</v>
      </c>
      <c r="B682" s="2" t="s">
        <v>54</v>
      </c>
      <c r="C682" s="1">
        <v>10125</v>
      </c>
      <c r="D682" s="1">
        <v>10175</v>
      </c>
      <c r="E682" s="1">
        <v>10050</v>
      </c>
      <c r="F682" s="1">
        <v>10100</v>
      </c>
      <c r="G682" s="1">
        <v>56381400</v>
      </c>
      <c r="H682" s="4">
        <f t="shared" si="22"/>
        <v>-4.9261083743842365E-3</v>
      </c>
      <c r="I682" s="4">
        <f t="shared" si="23"/>
        <v>0.79555555555555557</v>
      </c>
    </row>
    <row r="683" spans="1:9" x14ac:dyDescent="0.2">
      <c r="A683" s="2">
        <f ca="1">IFERROR(__xludf.DUMMYFUNCTION("""COMPUTED_VALUE"""),45611.6666666666)</f>
        <v>45611.666666666599</v>
      </c>
      <c r="B683" s="2" t="s">
        <v>54</v>
      </c>
      <c r="C683" s="1">
        <v>10050</v>
      </c>
      <c r="D683" s="1">
        <v>10275</v>
      </c>
      <c r="E683" s="1">
        <v>10050</v>
      </c>
      <c r="F683" s="1">
        <v>10175</v>
      </c>
      <c r="G683" s="1">
        <v>63598200</v>
      </c>
      <c r="H683" s="4">
        <f t="shared" si="22"/>
        <v>7.4257425742574254E-3</v>
      </c>
      <c r="I683" s="4">
        <f t="shared" si="23"/>
        <v>0.80888888888888888</v>
      </c>
    </row>
    <row r="684" spans="1:9" x14ac:dyDescent="0.2">
      <c r="A684" s="2">
        <f ca="1">IFERROR(__xludf.DUMMYFUNCTION("""COMPUTED_VALUE"""),45614.6666666666)</f>
        <v>45614.666666666599</v>
      </c>
      <c r="B684" s="2" t="s">
        <v>54</v>
      </c>
      <c r="C684" s="1">
        <v>10075</v>
      </c>
      <c r="D684" s="1">
        <v>10125</v>
      </c>
      <c r="E684" s="1">
        <v>10000</v>
      </c>
      <c r="F684" s="1">
        <v>10000</v>
      </c>
      <c r="G684" s="1">
        <v>65716200</v>
      </c>
      <c r="H684" s="4">
        <f t="shared" si="22"/>
        <v>-1.7199017199017199E-2</v>
      </c>
      <c r="I684" s="4">
        <f t="shared" si="23"/>
        <v>0.77777777777777779</v>
      </c>
    </row>
    <row r="685" spans="1:9" x14ac:dyDescent="0.2">
      <c r="A685" s="2">
        <f ca="1">IFERROR(__xludf.DUMMYFUNCTION("""COMPUTED_VALUE"""),45615.6666666666)</f>
        <v>45615.666666666599</v>
      </c>
      <c r="B685" s="2" t="s">
        <v>54</v>
      </c>
      <c r="C685" s="1">
        <v>9900</v>
      </c>
      <c r="D685" s="1">
        <v>10025</v>
      </c>
      <c r="E685" s="1">
        <v>9900</v>
      </c>
      <c r="F685" s="1">
        <v>9925</v>
      </c>
      <c r="G685" s="1">
        <v>85295300</v>
      </c>
      <c r="H685" s="4">
        <f t="shared" si="22"/>
        <v>-7.4999999999999997E-3</v>
      </c>
      <c r="I685" s="4">
        <f t="shared" si="23"/>
        <v>0.76444444444444448</v>
      </c>
    </row>
    <row r="686" spans="1:9" x14ac:dyDescent="0.2">
      <c r="A686" s="2">
        <f ca="1">IFERROR(__xludf.DUMMYFUNCTION("""COMPUTED_VALUE"""),45616.6666666666)</f>
        <v>45616.666666666599</v>
      </c>
      <c r="B686" s="2" t="s">
        <v>54</v>
      </c>
      <c r="C686" s="1">
        <v>10025</v>
      </c>
      <c r="D686" s="1">
        <v>10150</v>
      </c>
      <c r="E686" s="1">
        <v>10000</v>
      </c>
      <c r="F686" s="1">
        <v>10075</v>
      </c>
      <c r="G686" s="1">
        <v>58584400</v>
      </c>
      <c r="H686" s="4">
        <f t="shared" si="22"/>
        <v>1.5113350125944584E-2</v>
      </c>
      <c r="I686" s="4">
        <f t="shared" si="23"/>
        <v>0.7911111111111111</v>
      </c>
    </row>
    <row r="687" spans="1:9" x14ac:dyDescent="0.2">
      <c r="A687" s="2">
        <f ca="1">IFERROR(__xludf.DUMMYFUNCTION("""COMPUTED_VALUE"""),45617.6666666666)</f>
        <v>45617.666666666599</v>
      </c>
      <c r="B687" s="2" t="s">
        <v>54</v>
      </c>
      <c r="C687" s="1">
        <v>10000</v>
      </c>
      <c r="D687" s="1">
        <v>10000</v>
      </c>
      <c r="E687" s="1">
        <v>9850</v>
      </c>
      <c r="F687" s="1">
        <v>9850</v>
      </c>
      <c r="G687" s="1">
        <v>93181200</v>
      </c>
      <c r="H687" s="4">
        <f t="shared" si="22"/>
        <v>-2.2332506203473945E-2</v>
      </c>
      <c r="I687" s="4">
        <f t="shared" si="23"/>
        <v>0.75111111111111106</v>
      </c>
    </row>
    <row r="688" spans="1:9" x14ac:dyDescent="0.2">
      <c r="A688" s="2">
        <f ca="1">IFERROR(__xludf.DUMMYFUNCTION("""COMPUTED_VALUE"""),45618.6666666666)</f>
        <v>45618.666666666599</v>
      </c>
      <c r="B688" s="2" t="s">
        <v>54</v>
      </c>
      <c r="C688" s="1">
        <v>9925</v>
      </c>
      <c r="D688" s="1">
        <v>9950</v>
      </c>
      <c r="E688" s="1">
        <v>9850</v>
      </c>
      <c r="F688" s="1">
        <v>9850</v>
      </c>
      <c r="G688" s="1">
        <v>58396100</v>
      </c>
      <c r="H688" s="4">
        <f t="shared" si="22"/>
        <v>0</v>
      </c>
      <c r="I688" s="4">
        <f t="shared" si="23"/>
        <v>0.75111111111111106</v>
      </c>
    </row>
    <row r="689" spans="1:9" x14ac:dyDescent="0.2">
      <c r="A689" s="2">
        <f ca="1">IFERROR(__xludf.DUMMYFUNCTION("""COMPUTED_VALUE"""),45621.6666666666)</f>
        <v>45621.666666666599</v>
      </c>
      <c r="B689" s="2" t="s">
        <v>54</v>
      </c>
      <c r="C689" s="1">
        <v>9950</v>
      </c>
      <c r="D689" s="1">
        <v>10200</v>
      </c>
      <c r="E689" s="1">
        <v>9900</v>
      </c>
      <c r="F689" s="1">
        <v>10175</v>
      </c>
      <c r="G689" s="1">
        <v>165369400</v>
      </c>
      <c r="H689" s="4">
        <f t="shared" si="22"/>
        <v>3.2994923857868022E-2</v>
      </c>
      <c r="I689" s="4">
        <f t="shared" si="23"/>
        <v>0.80888888888888888</v>
      </c>
    </row>
    <row r="690" spans="1:9" x14ac:dyDescent="0.2">
      <c r="A690" s="2">
        <f ca="1">IFERROR(__xludf.DUMMYFUNCTION("""COMPUTED_VALUE"""),45622.6666666666)</f>
        <v>45622.666666666599</v>
      </c>
      <c r="B690" s="2" t="s">
        <v>54</v>
      </c>
      <c r="C690" s="1">
        <v>10250</v>
      </c>
      <c r="D690" s="1">
        <v>10250</v>
      </c>
      <c r="E690" s="1">
        <v>10000</v>
      </c>
      <c r="F690" s="1">
        <v>10000</v>
      </c>
      <c r="G690" s="1">
        <v>62310100</v>
      </c>
      <c r="H690" s="4">
        <f t="shared" si="22"/>
        <v>-1.7199017199017199E-2</v>
      </c>
      <c r="I690" s="4">
        <f t="shared" si="23"/>
        <v>0.77777777777777779</v>
      </c>
    </row>
    <row r="691" spans="1:9" x14ac:dyDescent="0.2">
      <c r="A691" s="2">
        <f ca="1">IFERROR(__xludf.DUMMYFUNCTION("""COMPUTED_VALUE"""),45624.6666666666)</f>
        <v>45624.666666666599</v>
      </c>
      <c r="B691" s="2" t="s">
        <v>54</v>
      </c>
      <c r="C691" s="1">
        <v>9975</v>
      </c>
      <c r="D691" s="1">
        <v>10075</v>
      </c>
      <c r="E691" s="1">
        <v>9925</v>
      </c>
      <c r="F691" s="1">
        <v>10000</v>
      </c>
      <c r="G691" s="1">
        <v>57443500</v>
      </c>
      <c r="H691" s="4">
        <f t="shared" si="22"/>
        <v>0</v>
      </c>
      <c r="I691" s="4">
        <f t="shared" si="23"/>
        <v>0.77777777777777779</v>
      </c>
    </row>
    <row r="692" spans="1:9" x14ac:dyDescent="0.2">
      <c r="A692" s="2">
        <f ca="1">IFERROR(__xludf.DUMMYFUNCTION("""COMPUTED_VALUE"""),45625.6666666666)</f>
        <v>45625.666666666599</v>
      </c>
      <c r="B692" s="2" t="s">
        <v>54</v>
      </c>
      <c r="C692" s="1">
        <v>10000</v>
      </c>
      <c r="D692" s="1">
        <v>10100</v>
      </c>
      <c r="E692" s="1">
        <v>9950</v>
      </c>
      <c r="F692" s="1">
        <v>10000</v>
      </c>
      <c r="G692" s="1">
        <v>76886000</v>
      </c>
      <c r="H692" s="4">
        <f t="shared" si="22"/>
        <v>0</v>
      </c>
      <c r="I692" s="4">
        <f t="shared" si="23"/>
        <v>0.77777777777777779</v>
      </c>
    </row>
    <row r="693" spans="1:9" x14ac:dyDescent="0.2">
      <c r="A693" s="2">
        <f ca="1">IFERROR(__xludf.DUMMYFUNCTION("""COMPUTED_VALUE"""),45628.6666666666)</f>
        <v>45628.666666666599</v>
      </c>
      <c r="B693" s="2" t="s">
        <v>54</v>
      </c>
      <c r="C693" s="1">
        <v>10000</v>
      </c>
      <c r="D693" s="1">
        <v>10050</v>
      </c>
      <c r="E693" s="1">
        <v>9750</v>
      </c>
      <c r="F693" s="1">
        <v>9750</v>
      </c>
      <c r="G693" s="1">
        <v>87879600</v>
      </c>
      <c r="H693" s="4">
        <f t="shared" si="22"/>
        <v>-2.5000000000000001E-2</v>
      </c>
      <c r="I693" s="4">
        <f t="shared" si="23"/>
        <v>0.73333333333333328</v>
      </c>
    </row>
    <row r="694" spans="1:9" x14ac:dyDescent="0.2">
      <c r="A694" s="2">
        <f ca="1">IFERROR(__xludf.DUMMYFUNCTION("""COMPUTED_VALUE"""),45629.6666666666)</f>
        <v>45629.666666666599</v>
      </c>
      <c r="B694" s="2" t="s">
        <v>54</v>
      </c>
      <c r="C694" s="1">
        <v>10025</v>
      </c>
      <c r="D694" s="1">
        <v>10225</v>
      </c>
      <c r="E694" s="1">
        <v>9900</v>
      </c>
      <c r="F694" s="1">
        <v>10200</v>
      </c>
      <c r="G694" s="1">
        <v>126087100</v>
      </c>
      <c r="H694" s="4">
        <f t="shared" si="22"/>
        <v>4.6153846153846156E-2</v>
      </c>
      <c r="I694" s="4">
        <f t="shared" si="23"/>
        <v>0.81333333333333335</v>
      </c>
    </row>
    <row r="695" spans="1:9" x14ac:dyDescent="0.2">
      <c r="A695" s="2">
        <f ca="1">IFERROR(__xludf.DUMMYFUNCTION("""COMPUTED_VALUE"""),45630.6666666666)</f>
        <v>45630.666666666599</v>
      </c>
      <c r="B695" s="2" t="s">
        <v>54</v>
      </c>
      <c r="C695" s="1">
        <v>10175</v>
      </c>
      <c r="D695" s="1">
        <v>10250</v>
      </c>
      <c r="E695" s="1">
        <v>10050</v>
      </c>
      <c r="F695" s="1">
        <v>10200</v>
      </c>
      <c r="G695" s="1">
        <v>97876300</v>
      </c>
      <c r="H695" s="4">
        <f t="shared" si="22"/>
        <v>0</v>
      </c>
      <c r="I695" s="4">
        <f t="shared" si="23"/>
        <v>0.81333333333333335</v>
      </c>
    </row>
    <row r="696" spans="1:9" x14ac:dyDescent="0.2">
      <c r="A696" s="2">
        <f ca="1">IFERROR(__xludf.DUMMYFUNCTION("""COMPUTED_VALUE"""),45631.6666666666)</f>
        <v>45631.666666666599</v>
      </c>
      <c r="B696" s="2" t="s">
        <v>54</v>
      </c>
      <c r="C696" s="1">
        <v>10250</v>
      </c>
      <c r="D696" s="1">
        <v>10350</v>
      </c>
      <c r="E696" s="1">
        <v>10225</v>
      </c>
      <c r="F696" s="1">
        <v>10250</v>
      </c>
      <c r="G696" s="1">
        <v>96904400</v>
      </c>
      <c r="H696" s="4">
        <f t="shared" si="22"/>
        <v>4.9019607843137254E-3</v>
      </c>
      <c r="I696" s="4">
        <f t="shared" si="23"/>
        <v>0.82222222222222219</v>
      </c>
    </row>
    <row r="697" spans="1:9" x14ac:dyDescent="0.2">
      <c r="A697" s="2">
        <f ca="1">IFERROR(__xludf.DUMMYFUNCTION("""COMPUTED_VALUE"""),45632.6666666666)</f>
        <v>45632.666666666599</v>
      </c>
      <c r="B697" s="2" t="s">
        <v>54</v>
      </c>
      <c r="C697" s="1">
        <v>10100</v>
      </c>
      <c r="D697" s="1">
        <v>10175</v>
      </c>
      <c r="E697" s="1">
        <v>10050</v>
      </c>
      <c r="F697" s="1">
        <v>10075</v>
      </c>
      <c r="G697" s="1">
        <v>68247200</v>
      </c>
      <c r="H697" s="4">
        <f t="shared" si="22"/>
        <v>-1.7073170731707318E-2</v>
      </c>
      <c r="I697" s="4">
        <f t="shared" si="23"/>
        <v>0.7911111111111111</v>
      </c>
    </row>
    <row r="698" spans="1:9" x14ac:dyDescent="0.2">
      <c r="A698" s="2">
        <f ca="1">IFERROR(__xludf.DUMMYFUNCTION("""COMPUTED_VALUE"""),45635.6666666666)</f>
        <v>45635.666666666599</v>
      </c>
      <c r="B698" s="2" t="s">
        <v>54</v>
      </c>
      <c r="C698" s="1">
        <v>10025</v>
      </c>
      <c r="D698" s="1">
        <v>10350</v>
      </c>
      <c r="E698" s="1">
        <v>10000</v>
      </c>
      <c r="F698" s="1">
        <v>10350</v>
      </c>
      <c r="G698" s="1">
        <v>64458400</v>
      </c>
      <c r="H698" s="4">
        <f t="shared" si="22"/>
        <v>2.729528535980149E-2</v>
      </c>
      <c r="I698" s="4">
        <f t="shared" si="23"/>
        <v>0.84</v>
      </c>
    </row>
    <row r="699" spans="1:9" x14ac:dyDescent="0.2">
      <c r="A699" s="2">
        <f ca="1">IFERROR(__xludf.DUMMYFUNCTION("""COMPUTED_VALUE"""),45636.6666666666)</f>
        <v>45636.666666666599</v>
      </c>
      <c r="B699" s="2" t="s">
        <v>54</v>
      </c>
      <c r="C699" s="1">
        <v>10325</v>
      </c>
      <c r="D699" s="1">
        <v>10350</v>
      </c>
      <c r="E699" s="1">
        <v>10275</v>
      </c>
      <c r="F699" s="1">
        <v>10350</v>
      </c>
      <c r="G699" s="1">
        <v>61230400</v>
      </c>
      <c r="H699" s="4">
        <f t="shared" si="22"/>
        <v>0</v>
      </c>
      <c r="I699" s="4">
        <f t="shared" si="23"/>
        <v>0.84</v>
      </c>
    </row>
    <row r="700" spans="1:9" x14ac:dyDescent="0.2">
      <c r="A700" s="2">
        <f ca="1">IFERROR(__xludf.DUMMYFUNCTION("""COMPUTED_VALUE"""),45637.6666666666)</f>
        <v>45637.666666666599</v>
      </c>
      <c r="B700" s="2" t="s">
        <v>54</v>
      </c>
      <c r="C700" s="1">
        <v>10225</v>
      </c>
      <c r="D700" s="1">
        <v>10425</v>
      </c>
      <c r="E700" s="1">
        <v>10225</v>
      </c>
      <c r="F700" s="1">
        <v>10425</v>
      </c>
      <c r="G700" s="1">
        <v>37934300</v>
      </c>
      <c r="H700" s="4">
        <f t="shared" si="22"/>
        <v>7.246376811594203E-3</v>
      </c>
      <c r="I700" s="4">
        <f t="shared" si="23"/>
        <v>0.85333333333333339</v>
      </c>
    </row>
    <row r="701" spans="1:9" x14ac:dyDescent="0.2">
      <c r="A701" s="2">
        <f ca="1">IFERROR(__xludf.DUMMYFUNCTION("""COMPUTED_VALUE"""),45638.6666666666)</f>
        <v>45638.666666666599</v>
      </c>
      <c r="B701" s="2" t="s">
        <v>54</v>
      </c>
      <c r="C701" s="1">
        <v>10300</v>
      </c>
      <c r="D701" s="1">
        <v>10375</v>
      </c>
      <c r="E701" s="1">
        <v>10175</v>
      </c>
      <c r="F701" s="1">
        <v>10175</v>
      </c>
      <c r="G701" s="1">
        <v>44780100</v>
      </c>
      <c r="H701" s="4">
        <f t="shared" si="22"/>
        <v>-2.3980815347721823E-2</v>
      </c>
      <c r="I701" s="4">
        <f t="shared" si="23"/>
        <v>0.80888888888888888</v>
      </c>
    </row>
    <row r="702" spans="1:9" x14ac:dyDescent="0.2">
      <c r="A702" s="2">
        <f ca="1">IFERROR(__xludf.DUMMYFUNCTION("""COMPUTED_VALUE"""),45639.6666666666)</f>
        <v>45639.666666666599</v>
      </c>
      <c r="B702" s="2" t="s">
        <v>54</v>
      </c>
      <c r="C702" s="1">
        <v>10125</v>
      </c>
      <c r="D702" s="1">
        <v>10225</v>
      </c>
      <c r="E702" s="1">
        <v>10025</v>
      </c>
      <c r="F702" s="1">
        <v>10050</v>
      </c>
      <c r="G702" s="1">
        <v>75126400</v>
      </c>
      <c r="H702" s="4">
        <f t="shared" si="22"/>
        <v>-1.2285012285012284E-2</v>
      </c>
      <c r="I702" s="4">
        <f t="shared" si="23"/>
        <v>0.78666666666666663</v>
      </c>
    </row>
    <row r="703" spans="1:9" x14ac:dyDescent="0.2">
      <c r="A703" s="2">
        <f ca="1">IFERROR(__xludf.DUMMYFUNCTION("""COMPUTED_VALUE"""),45642.6666666666)</f>
        <v>45642.666666666599</v>
      </c>
      <c r="B703" s="2" t="s">
        <v>54</v>
      </c>
      <c r="C703" s="1">
        <v>10000</v>
      </c>
      <c r="D703" s="1">
        <v>10125</v>
      </c>
      <c r="E703" s="1">
        <v>10000</v>
      </c>
      <c r="F703" s="1">
        <v>10100</v>
      </c>
      <c r="G703" s="1">
        <v>57746100</v>
      </c>
      <c r="H703" s="4">
        <f t="shared" si="22"/>
        <v>4.9751243781094526E-3</v>
      </c>
      <c r="I703" s="4">
        <f t="shared" si="23"/>
        <v>0.79555555555555557</v>
      </c>
    </row>
    <row r="704" spans="1:9" x14ac:dyDescent="0.2">
      <c r="A704" s="2">
        <f ca="1">IFERROR(__xludf.DUMMYFUNCTION("""COMPUTED_VALUE"""),45643.6666666666)</f>
        <v>45643.666666666599</v>
      </c>
      <c r="B704" s="2" t="s">
        <v>54</v>
      </c>
      <c r="C704" s="1">
        <v>9950</v>
      </c>
      <c r="D704" s="1">
        <v>10050</v>
      </c>
      <c r="E704" s="1">
        <v>9900</v>
      </c>
      <c r="F704" s="1">
        <v>9900</v>
      </c>
      <c r="G704" s="1">
        <v>99845900</v>
      </c>
      <c r="H704" s="4">
        <f t="shared" si="22"/>
        <v>-1.9801980198019802E-2</v>
      </c>
      <c r="I704" s="4">
        <f t="shared" si="23"/>
        <v>0.76</v>
      </c>
    </row>
    <row r="705" spans="1:9" x14ac:dyDescent="0.2">
      <c r="A705" s="2">
        <f ca="1">IFERROR(__xludf.DUMMYFUNCTION("""COMPUTED_VALUE"""),45644.6666666666)</f>
        <v>45644.666666666599</v>
      </c>
      <c r="B705" s="2" t="s">
        <v>54</v>
      </c>
      <c r="C705" s="1">
        <v>9900</v>
      </c>
      <c r="D705" s="1">
        <v>10025</v>
      </c>
      <c r="E705" s="1">
        <v>9800</v>
      </c>
      <c r="F705" s="1">
        <v>9800</v>
      </c>
      <c r="G705" s="1">
        <v>84868500</v>
      </c>
      <c r="H705" s="4">
        <f t="shared" si="22"/>
        <v>-1.0101010101010102E-2</v>
      </c>
      <c r="I705" s="4">
        <f t="shared" si="23"/>
        <v>0.74222222222222223</v>
      </c>
    </row>
    <row r="706" spans="1:9" x14ac:dyDescent="0.2">
      <c r="A706" s="2">
        <f ca="1">IFERROR(__xludf.DUMMYFUNCTION("""COMPUTED_VALUE"""),45645.6666666666)</f>
        <v>45645.666666666599</v>
      </c>
      <c r="B706" s="2" t="s">
        <v>54</v>
      </c>
      <c r="C706" s="1">
        <v>9700</v>
      </c>
      <c r="D706" s="1">
        <v>9775</v>
      </c>
      <c r="E706" s="1">
        <v>9550</v>
      </c>
      <c r="F706" s="1">
        <v>9675</v>
      </c>
      <c r="G706" s="1">
        <v>104254100</v>
      </c>
      <c r="H706" s="4">
        <f t="shared" si="22"/>
        <v>-1.2755102040816327E-2</v>
      </c>
      <c r="I706" s="4">
        <f t="shared" si="23"/>
        <v>0.72</v>
      </c>
    </row>
    <row r="707" spans="1:9" x14ac:dyDescent="0.2">
      <c r="A707" s="2">
        <f ca="1">IFERROR(__xludf.DUMMYFUNCTION("""COMPUTED_VALUE"""),45646.6666666666)</f>
        <v>45646.666666666599</v>
      </c>
      <c r="B707" s="2" t="s">
        <v>54</v>
      </c>
      <c r="C707" s="1">
        <v>9650</v>
      </c>
      <c r="D707" s="1">
        <v>9750</v>
      </c>
      <c r="E707" s="1">
        <v>9625</v>
      </c>
      <c r="F707" s="1">
        <v>9650</v>
      </c>
      <c r="G707" s="1">
        <v>91576900</v>
      </c>
      <c r="H707" s="4">
        <f t="shared" si="22"/>
        <v>-2.5839793281653748E-3</v>
      </c>
      <c r="I707" s="4">
        <f t="shared" si="23"/>
        <v>0.7155555555555555</v>
      </c>
    </row>
    <row r="708" spans="1:9" x14ac:dyDescent="0.2">
      <c r="A708" s="2">
        <f ca="1">IFERROR(__xludf.DUMMYFUNCTION("""COMPUTED_VALUE"""),45649.6666666666)</f>
        <v>45649.666666666599</v>
      </c>
      <c r="B708" s="2" t="s">
        <v>54</v>
      </c>
      <c r="C708" s="1">
        <v>9700</v>
      </c>
      <c r="D708" s="1">
        <v>9850</v>
      </c>
      <c r="E708" s="1">
        <v>9700</v>
      </c>
      <c r="F708" s="1">
        <v>9775</v>
      </c>
      <c r="G708" s="1">
        <v>43292100</v>
      </c>
      <c r="H708" s="4">
        <f t="shared" si="22"/>
        <v>1.2953367875647668E-2</v>
      </c>
      <c r="I708" s="4">
        <f t="shared" si="23"/>
        <v>0.73777777777777775</v>
      </c>
    </row>
    <row r="709" spans="1:9" x14ac:dyDescent="0.2">
      <c r="A709" s="2">
        <f ca="1">IFERROR(__xludf.DUMMYFUNCTION("""COMPUTED_VALUE"""),45650.6666666666)</f>
        <v>45650.666666666599</v>
      </c>
      <c r="B709" s="2" t="s">
        <v>54</v>
      </c>
      <c r="C709" s="1">
        <v>9850</v>
      </c>
      <c r="D709" s="1">
        <v>9900</v>
      </c>
      <c r="E709" s="1">
        <v>9750</v>
      </c>
      <c r="F709" s="1">
        <v>9750</v>
      </c>
      <c r="G709" s="1">
        <v>32415700</v>
      </c>
      <c r="H709" s="4">
        <f t="shared" si="22"/>
        <v>-2.5575447570332483E-3</v>
      </c>
      <c r="I709" s="4">
        <f t="shared" si="23"/>
        <v>0.73333333333333328</v>
      </c>
    </row>
    <row r="710" spans="1:9" x14ac:dyDescent="0.2">
      <c r="A710" s="2">
        <f ca="1">IFERROR(__xludf.DUMMYFUNCTION("""COMPUTED_VALUE"""),45653.6666666666)</f>
        <v>45653.666666666599</v>
      </c>
      <c r="B710" s="2" t="s">
        <v>54</v>
      </c>
      <c r="C710" s="1">
        <v>9800</v>
      </c>
      <c r="D710" s="1">
        <v>9825</v>
      </c>
      <c r="E710" s="1">
        <v>9725</v>
      </c>
      <c r="F710" s="1">
        <v>9800</v>
      </c>
      <c r="G710" s="1">
        <v>24016700</v>
      </c>
      <c r="H710" s="4">
        <f t="shared" si="22"/>
        <v>5.1282051282051282E-3</v>
      </c>
      <c r="I710" s="4">
        <f t="shared" si="23"/>
        <v>0.74222222222222223</v>
      </c>
    </row>
    <row r="711" spans="1:9" x14ac:dyDescent="0.2">
      <c r="A711" s="2">
        <f ca="1">IFERROR(__xludf.DUMMYFUNCTION("""COMPUTED_VALUE"""),45656.6666666666)</f>
        <v>45656.666666666599</v>
      </c>
      <c r="B711" s="2" t="s">
        <v>54</v>
      </c>
      <c r="C711" s="1">
        <v>9800</v>
      </c>
      <c r="D711" s="1">
        <v>9825</v>
      </c>
      <c r="E711" s="1">
        <v>9675</v>
      </c>
      <c r="F711" s="1">
        <v>9675</v>
      </c>
      <c r="G711" s="1">
        <v>56350100</v>
      </c>
      <c r="H711" s="4">
        <f t="shared" si="22"/>
        <v>-1.2755102040816327E-2</v>
      </c>
      <c r="I711" s="4">
        <f t="shared" si="23"/>
        <v>0.72</v>
      </c>
    </row>
    <row r="712" spans="1:9" x14ac:dyDescent="0.2">
      <c r="A712" s="2">
        <f ca="1">IFERROR(__xludf.DUMMYFUNCTION("""COMPUTED_VALUE"""),45659.6666666666)</f>
        <v>45659.666666666599</v>
      </c>
      <c r="B712" s="2" t="s">
        <v>54</v>
      </c>
      <c r="C712" s="1">
        <v>9650</v>
      </c>
      <c r="D712" s="1">
        <v>9900</v>
      </c>
      <c r="E712" s="1">
        <v>9650</v>
      </c>
      <c r="F712" s="1">
        <v>9900</v>
      </c>
      <c r="G712" s="1">
        <v>38124800</v>
      </c>
      <c r="H712" s="4">
        <f t="shared" si="22"/>
        <v>2.3255813953488372E-2</v>
      </c>
      <c r="I712" s="4">
        <f t="shared" si="23"/>
        <v>0.76</v>
      </c>
    </row>
    <row r="713" spans="1:9" x14ac:dyDescent="0.2">
      <c r="A713" s="2">
        <f ca="1">IFERROR(__xludf.DUMMYFUNCTION("""COMPUTED_VALUE"""),45660.6666666666)</f>
        <v>45660.666666666599</v>
      </c>
      <c r="B713" s="2" t="s">
        <v>54</v>
      </c>
      <c r="C713" s="1">
        <v>9850</v>
      </c>
      <c r="D713" s="1">
        <v>9925</v>
      </c>
      <c r="E713" s="1">
        <v>9825</v>
      </c>
      <c r="F713" s="1">
        <v>9850</v>
      </c>
      <c r="G713" s="1">
        <v>41916000</v>
      </c>
      <c r="H713" s="4">
        <f t="shared" si="22"/>
        <v>-5.0505050505050509E-3</v>
      </c>
      <c r="I713" s="4">
        <f t="shared" si="23"/>
        <v>0.75111111111111106</v>
      </c>
    </row>
    <row r="714" spans="1:9" x14ac:dyDescent="0.2">
      <c r="A714" s="2">
        <f ca="1">IFERROR(__xludf.DUMMYFUNCTION("""COMPUTED_VALUE"""),45663.6666666666)</f>
        <v>45663.666666666599</v>
      </c>
      <c r="B714" s="2" t="s">
        <v>54</v>
      </c>
      <c r="C714" s="1">
        <v>9850</v>
      </c>
      <c r="D714" s="1">
        <v>9875</v>
      </c>
      <c r="E714" s="1">
        <v>9650</v>
      </c>
      <c r="F714" s="1">
        <v>9675</v>
      </c>
      <c r="G714" s="1">
        <v>41593900</v>
      </c>
      <c r="H714" s="4">
        <f t="shared" si="22"/>
        <v>-1.7766497461928935E-2</v>
      </c>
      <c r="I714" s="4">
        <f t="shared" si="23"/>
        <v>0.72</v>
      </c>
    </row>
    <row r="715" spans="1:9" x14ac:dyDescent="0.2">
      <c r="A715" s="2">
        <f ca="1">IFERROR(__xludf.DUMMYFUNCTION("""COMPUTED_VALUE"""),45664.6666666666)</f>
        <v>45664.666666666599</v>
      </c>
      <c r="B715" s="2" t="s">
        <v>54</v>
      </c>
      <c r="C715" s="1">
        <v>9675</v>
      </c>
      <c r="D715" s="1">
        <v>9725</v>
      </c>
      <c r="E715" s="1">
        <v>9525</v>
      </c>
      <c r="F715" s="1">
        <v>9525</v>
      </c>
      <c r="G715" s="1">
        <v>71318600</v>
      </c>
      <c r="H715" s="4">
        <f t="shared" si="22"/>
        <v>-1.5503875968992248E-2</v>
      </c>
      <c r="I715" s="4">
        <f t="shared" si="23"/>
        <v>0.69333333333333336</v>
      </c>
    </row>
    <row r="716" spans="1:9" x14ac:dyDescent="0.2">
      <c r="A716" s="2">
        <f ca="1">IFERROR(__xludf.DUMMYFUNCTION("""COMPUTED_VALUE"""),45665.6666666666)</f>
        <v>45665.666666666599</v>
      </c>
      <c r="B716" s="2" t="s">
        <v>54</v>
      </c>
      <c r="C716" s="1">
        <v>9675</v>
      </c>
      <c r="D716" s="1">
        <v>9775</v>
      </c>
      <c r="E716" s="1">
        <v>9575</v>
      </c>
      <c r="F716" s="1">
        <v>9675</v>
      </c>
      <c r="G716" s="1">
        <v>55943100</v>
      </c>
      <c r="H716" s="4">
        <f t="shared" si="22"/>
        <v>1.5748031496062992E-2</v>
      </c>
      <c r="I716" s="4">
        <f t="shared" si="23"/>
        <v>0.72</v>
      </c>
    </row>
    <row r="717" spans="1:9" x14ac:dyDescent="0.2">
      <c r="A717" s="2">
        <f ca="1">IFERROR(__xludf.DUMMYFUNCTION("""COMPUTED_VALUE"""),45666.6666666666)</f>
        <v>45666.666666666599</v>
      </c>
      <c r="B717" s="2" t="s">
        <v>54</v>
      </c>
      <c r="C717" s="1">
        <v>9750</v>
      </c>
      <c r="D717" s="1">
        <v>9875</v>
      </c>
      <c r="E717" s="1">
        <v>9725</v>
      </c>
      <c r="F717" s="1">
        <v>9850</v>
      </c>
      <c r="G717" s="1">
        <v>42733800</v>
      </c>
      <c r="H717" s="4">
        <f t="shared" si="22"/>
        <v>1.8087855297157621E-2</v>
      </c>
      <c r="I717" s="4">
        <f t="shared" si="23"/>
        <v>0.75111111111111106</v>
      </c>
    </row>
    <row r="718" spans="1:9" x14ac:dyDescent="0.2">
      <c r="A718" s="2">
        <f ca="1">IFERROR(__xludf.DUMMYFUNCTION("""COMPUTED_VALUE"""),45667.6666666666)</f>
        <v>45667.666666666599</v>
      </c>
      <c r="B718" s="2" t="s">
        <v>54</v>
      </c>
      <c r="C718" s="1">
        <v>9800</v>
      </c>
      <c r="D718" s="1">
        <v>9925</v>
      </c>
      <c r="E718" s="1">
        <v>9725</v>
      </c>
      <c r="F718" s="1">
        <v>9725</v>
      </c>
      <c r="G718" s="1">
        <v>72531300</v>
      </c>
      <c r="H718" s="4">
        <f t="shared" si="22"/>
        <v>-1.2690355329949238E-2</v>
      </c>
      <c r="I718" s="4">
        <f t="shared" si="23"/>
        <v>0.72888888888888892</v>
      </c>
    </row>
    <row r="719" spans="1:9" x14ac:dyDescent="0.2">
      <c r="A719" s="2">
        <f ca="1">IFERROR(__xludf.DUMMYFUNCTION("""COMPUTED_VALUE"""),45670.6666666666)</f>
        <v>45670.666666666599</v>
      </c>
      <c r="B719" s="2" t="s">
        <v>54</v>
      </c>
      <c r="C719" s="1">
        <v>9625</v>
      </c>
      <c r="D719" s="1">
        <v>9725</v>
      </c>
      <c r="E719" s="1">
        <v>9625</v>
      </c>
      <c r="F719" s="1">
        <v>9675</v>
      </c>
      <c r="G719" s="1">
        <v>88270100</v>
      </c>
      <c r="H719" s="4">
        <f t="shared" si="22"/>
        <v>-5.1413881748071976E-3</v>
      </c>
      <c r="I719" s="4">
        <f t="shared" si="23"/>
        <v>0.72</v>
      </c>
    </row>
    <row r="720" spans="1:9" x14ac:dyDescent="0.2">
      <c r="A720" s="2">
        <f ca="1">IFERROR(__xludf.DUMMYFUNCTION("""COMPUTED_VALUE"""),45671.6666666666)</f>
        <v>45671.666666666599</v>
      </c>
      <c r="B720" s="2" t="s">
        <v>54</v>
      </c>
      <c r="C720" s="1">
        <v>9600</v>
      </c>
      <c r="D720" s="1">
        <v>9725</v>
      </c>
      <c r="E720" s="1">
        <v>9525</v>
      </c>
      <c r="F720" s="1">
        <v>9525</v>
      </c>
      <c r="G720" s="1">
        <v>70942600</v>
      </c>
      <c r="H720" s="4">
        <f t="shared" si="22"/>
        <v>-1.5503875968992248E-2</v>
      </c>
      <c r="I720" s="4">
        <f t="shared" si="23"/>
        <v>0.69333333333333336</v>
      </c>
    </row>
    <row r="721" spans="1:9" x14ac:dyDescent="0.2">
      <c r="A721" s="2">
        <f ca="1">IFERROR(__xludf.DUMMYFUNCTION("""COMPUTED_VALUE"""),45672.6666666666)</f>
        <v>45672.666666666599</v>
      </c>
      <c r="B721" s="2" t="s">
        <v>54</v>
      </c>
      <c r="C721" s="1">
        <v>9575</v>
      </c>
      <c r="D721" s="1">
        <v>9800</v>
      </c>
      <c r="E721" s="1">
        <v>9550</v>
      </c>
      <c r="F721" s="1">
        <v>9800</v>
      </c>
      <c r="G721" s="1">
        <v>77098000</v>
      </c>
      <c r="H721" s="4">
        <f t="shared" si="22"/>
        <v>2.8871391076115485E-2</v>
      </c>
      <c r="I721" s="4">
        <f t="shared" si="23"/>
        <v>0.74222222222222223</v>
      </c>
    </row>
    <row r="722" spans="1:9" x14ac:dyDescent="0.2">
      <c r="A722" s="2">
        <f ca="1">IFERROR(__xludf.DUMMYFUNCTION("""COMPUTED_VALUE"""),45673.6666666666)</f>
        <v>45673.666666666599</v>
      </c>
      <c r="B722" s="2" t="s">
        <v>54</v>
      </c>
      <c r="C722" s="1">
        <v>9850</v>
      </c>
      <c r="D722" s="1">
        <v>9925</v>
      </c>
      <c r="E722" s="1">
        <v>9750</v>
      </c>
      <c r="F722" s="1">
        <v>9750</v>
      </c>
      <c r="G722" s="1">
        <v>76979000</v>
      </c>
      <c r="H722" s="4">
        <f t="shared" si="22"/>
        <v>-5.1020408163265302E-3</v>
      </c>
      <c r="I722" s="4">
        <f t="shared" si="23"/>
        <v>0.73333333333333328</v>
      </c>
    </row>
    <row r="723" spans="1:9" x14ac:dyDescent="0.2">
      <c r="A723" s="2">
        <f ca="1">IFERROR(__xludf.DUMMYFUNCTION("""COMPUTED_VALUE"""),45674.6666666666)</f>
        <v>45674.666666666599</v>
      </c>
      <c r="B723" s="2" t="s">
        <v>54</v>
      </c>
      <c r="C723" s="1">
        <v>9750</v>
      </c>
      <c r="D723" s="1">
        <v>9900</v>
      </c>
      <c r="E723" s="1">
        <v>9650</v>
      </c>
      <c r="F723" s="1">
        <v>9900</v>
      </c>
      <c r="G723" s="1">
        <v>71033100</v>
      </c>
      <c r="H723" s="4">
        <f t="shared" si="22"/>
        <v>1.5384615384615385E-2</v>
      </c>
      <c r="I723" s="4">
        <f t="shared" si="23"/>
        <v>0.76</v>
      </c>
    </row>
    <row r="724" spans="1:9" x14ac:dyDescent="0.2">
      <c r="A724" s="2">
        <f ca="1">IFERROR(__xludf.DUMMYFUNCTION("""COMPUTED_VALUE"""),45677.6666666666)</f>
        <v>45677.666666666599</v>
      </c>
      <c r="B724" s="2" t="s">
        <v>54</v>
      </c>
      <c r="C724" s="1">
        <v>9850</v>
      </c>
      <c r="D724" s="1">
        <v>9875</v>
      </c>
      <c r="E724" s="1">
        <v>9625</v>
      </c>
      <c r="F724" s="1">
        <v>9625</v>
      </c>
      <c r="G724" s="1">
        <v>112111200</v>
      </c>
      <c r="H724" s="4">
        <f t="shared" si="22"/>
        <v>-2.7777777777777776E-2</v>
      </c>
      <c r="I724" s="4">
        <f t="shared" si="23"/>
        <v>0.71111111111111114</v>
      </c>
    </row>
    <row r="725" spans="1:9" x14ac:dyDescent="0.2">
      <c r="A725" s="2">
        <f ca="1">IFERROR(__xludf.DUMMYFUNCTION("""COMPUTED_VALUE"""),45678.6666666666)</f>
        <v>45678.666666666599</v>
      </c>
      <c r="B725" s="2" t="s">
        <v>54</v>
      </c>
      <c r="C725" s="1">
        <v>9600</v>
      </c>
      <c r="D725" s="1">
        <v>9675</v>
      </c>
      <c r="E725" s="1">
        <v>9550</v>
      </c>
      <c r="F725" s="1">
        <v>9575</v>
      </c>
      <c r="G725" s="1">
        <v>124547900</v>
      </c>
      <c r="H725" s="4">
        <f t="shared" si="22"/>
        <v>-5.1948051948051948E-3</v>
      </c>
      <c r="I725" s="4">
        <f t="shared" si="23"/>
        <v>0.70222222222222219</v>
      </c>
    </row>
    <row r="726" spans="1:9" x14ac:dyDescent="0.2">
      <c r="A726" s="2">
        <f ca="1">IFERROR(__xludf.DUMMYFUNCTION("""COMPUTED_VALUE"""),45679.6666666666)</f>
        <v>45679.666666666599</v>
      </c>
      <c r="B726" s="2" t="s">
        <v>54</v>
      </c>
      <c r="C726" s="1">
        <v>9650</v>
      </c>
      <c r="D726" s="1">
        <v>9675</v>
      </c>
      <c r="E726" s="1">
        <v>9575</v>
      </c>
      <c r="F726" s="1">
        <v>9600</v>
      </c>
      <c r="G726" s="1">
        <v>90154800</v>
      </c>
      <c r="H726" s="4">
        <f t="shared" si="22"/>
        <v>2.6109660574412533E-3</v>
      </c>
      <c r="I726" s="4">
        <f t="shared" si="23"/>
        <v>0.70666666666666667</v>
      </c>
    </row>
    <row r="727" spans="1:9" x14ac:dyDescent="0.2">
      <c r="A727" s="2">
        <f ca="1">IFERROR(__xludf.DUMMYFUNCTION("""COMPUTED_VALUE"""),45680.6666666666)</f>
        <v>45680.666666666599</v>
      </c>
      <c r="B727" s="2" t="s">
        <v>54</v>
      </c>
      <c r="C727" s="1">
        <v>9600</v>
      </c>
      <c r="D727" s="1">
        <v>9750</v>
      </c>
      <c r="E727" s="1">
        <v>9600</v>
      </c>
      <c r="F727" s="1">
        <v>9600</v>
      </c>
      <c r="G727" s="1">
        <v>120515400</v>
      </c>
      <c r="H727" s="4">
        <f t="shared" si="22"/>
        <v>0</v>
      </c>
      <c r="I727" s="4">
        <f t="shared" si="23"/>
        <v>0.70666666666666667</v>
      </c>
    </row>
    <row r="728" spans="1:9" x14ac:dyDescent="0.2">
      <c r="A728" s="2">
        <f ca="1">IFERROR(__xludf.DUMMYFUNCTION("""COMPUTED_VALUE"""),45681.6666666666)</f>
        <v>45681.666666666599</v>
      </c>
      <c r="B728" s="2" t="s">
        <v>54</v>
      </c>
      <c r="C728" s="1">
        <v>9625</v>
      </c>
      <c r="D728" s="1">
        <v>9650</v>
      </c>
      <c r="E728" s="1">
        <v>9350</v>
      </c>
      <c r="F728" s="1">
        <v>9350</v>
      </c>
      <c r="G728" s="1">
        <v>152057000</v>
      </c>
      <c r="H728" s="4">
        <f t="shared" si="22"/>
        <v>-2.6041666666666668E-2</v>
      </c>
      <c r="I728" s="4">
        <f t="shared" si="23"/>
        <v>0.66222222222222227</v>
      </c>
    </row>
    <row r="729" spans="1:9" x14ac:dyDescent="0.2">
      <c r="A729" s="2">
        <f ca="1">IFERROR(__xludf.DUMMYFUNCTION("""COMPUTED_VALUE"""),45687.6666666666)</f>
        <v>45687.666666666599</v>
      </c>
      <c r="B729" s="2" t="s">
        <v>54</v>
      </c>
      <c r="C729" s="1">
        <v>9150</v>
      </c>
      <c r="D729" s="1">
        <v>9275</v>
      </c>
      <c r="E729" s="1">
        <v>9150</v>
      </c>
      <c r="F729" s="1">
        <v>9150</v>
      </c>
      <c r="G729" s="1">
        <v>154645800</v>
      </c>
      <c r="H729" s="4">
        <f t="shared" si="22"/>
        <v>-2.1390374331550801E-2</v>
      </c>
      <c r="I729" s="4">
        <f t="shared" si="23"/>
        <v>0.62666666666666671</v>
      </c>
    </row>
    <row r="730" spans="1:9" x14ac:dyDescent="0.2">
      <c r="A730" s="2">
        <f ca="1">IFERROR(__xludf.DUMMYFUNCTION("""COMPUTED_VALUE"""),45688.6666666666)</f>
        <v>45688.666666666599</v>
      </c>
      <c r="B730" s="2" t="s">
        <v>54</v>
      </c>
      <c r="C730" s="1">
        <v>9250</v>
      </c>
      <c r="D730" s="1">
        <v>9500</v>
      </c>
      <c r="E730" s="1">
        <v>9225</v>
      </c>
      <c r="F730" s="1">
        <v>9450</v>
      </c>
      <c r="G730" s="1">
        <v>112982800</v>
      </c>
      <c r="H730" s="4">
        <f t="shared" si="22"/>
        <v>3.2786885245901641E-2</v>
      </c>
      <c r="I730" s="4">
        <f t="shared" si="23"/>
        <v>0.68</v>
      </c>
    </row>
    <row r="731" spans="1:9" x14ac:dyDescent="0.2">
      <c r="A731" s="2">
        <f ca="1">IFERROR(__xludf.DUMMYFUNCTION("""COMPUTED_VALUE"""),45691.6666666666)</f>
        <v>45691.666666666599</v>
      </c>
      <c r="B731" s="2" t="s">
        <v>54</v>
      </c>
      <c r="C731" s="1">
        <v>9400</v>
      </c>
      <c r="D731" s="1">
        <v>9400</v>
      </c>
      <c r="E731" s="1">
        <v>9225</v>
      </c>
      <c r="F731" s="1">
        <v>9350</v>
      </c>
      <c r="G731" s="1">
        <v>90439900</v>
      </c>
      <c r="H731" s="4">
        <f t="shared" si="22"/>
        <v>-1.0582010582010581E-2</v>
      </c>
      <c r="I731" s="4">
        <f t="shared" si="23"/>
        <v>0.66222222222222227</v>
      </c>
    </row>
    <row r="732" spans="1:9" x14ac:dyDescent="0.2">
      <c r="A732" s="2">
        <f ca="1">IFERROR(__xludf.DUMMYFUNCTION("""COMPUTED_VALUE"""),45692.6666666666)</f>
        <v>45692.666666666599</v>
      </c>
      <c r="B732" s="2" t="s">
        <v>54</v>
      </c>
      <c r="C732" s="1">
        <v>9350</v>
      </c>
      <c r="D732" s="1">
        <v>9400</v>
      </c>
      <c r="E732" s="1">
        <v>9175</v>
      </c>
      <c r="F732" s="1">
        <v>9175</v>
      </c>
      <c r="G732" s="1">
        <v>94607700</v>
      </c>
      <c r="H732" s="4">
        <f t="shared" si="22"/>
        <v>-1.871657754010695E-2</v>
      </c>
      <c r="I732" s="4">
        <f t="shared" si="23"/>
        <v>0.63111111111111107</v>
      </c>
    </row>
    <row r="733" spans="1:9" x14ac:dyDescent="0.2">
      <c r="A733" s="2">
        <f ca="1">IFERROR(__xludf.DUMMYFUNCTION("""COMPUTED_VALUE"""),45693.6666666666)</f>
        <v>45693.666666666599</v>
      </c>
      <c r="B733" s="2" t="s">
        <v>54</v>
      </c>
      <c r="C733" s="1">
        <v>9100</v>
      </c>
      <c r="D733" s="1">
        <v>9175</v>
      </c>
      <c r="E733" s="1">
        <v>9100</v>
      </c>
      <c r="F733" s="1">
        <v>9125</v>
      </c>
      <c r="G733" s="1">
        <v>98229900</v>
      </c>
      <c r="H733" s="4">
        <f t="shared" ref="H733:H796" si="24">(F733-F732)/F732</f>
        <v>-5.4495912806539508E-3</v>
      </c>
      <c r="I733" s="4">
        <f t="shared" ref="I733:I796" si="25">(F733-$E$2)/$E$2</f>
        <v>0.62222222222222223</v>
      </c>
    </row>
    <row r="734" spans="1:9" x14ac:dyDescent="0.2">
      <c r="A734" s="2">
        <f ca="1">IFERROR(__xludf.DUMMYFUNCTION("""COMPUTED_VALUE"""),45694.6666666666)</f>
        <v>45694.666666666599</v>
      </c>
      <c r="B734" s="2" t="s">
        <v>54</v>
      </c>
      <c r="C734" s="1">
        <v>9075</v>
      </c>
      <c r="D734" s="1">
        <v>9100</v>
      </c>
      <c r="E734" s="1">
        <v>8850</v>
      </c>
      <c r="F734" s="1">
        <v>8950</v>
      </c>
      <c r="G734" s="1">
        <v>171477800</v>
      </c>
      <c r="H734" s="4">
        <f t="shared" si="24"/>
        <v>-1.9178082191780823E-2</v>
      </c>
      <c r="I734" s="4">
        <f t="shared" si="25"/>
        <v>0.59111111111111114</v>
      </c>
    </row>
    <row r="735" spans="1:9" x14ac:dyDescent="0.2">
      <c r="A735" s="2">
        <f ca="1">IFERROR(__xludf.DUMMYFUNCTION("""COMPUTED_VALUE"""),45695.6666666666)</f>
        <v>45695.666666666599</v>
      </c>
      <c r="B735" s="2" t="s">
        <v>54</v>
      </c>
      <c r="C735" s="1">
        <v>8950</v>
      </c>
      <c r="D735" s="1">
        <v>9350</v>
      </c>
      <c r="E735" s="1">
        <v>8825</v>
      </c>
      <c r="F735" s="1">
        <v>9350</v>
      </c>
      <c r="G735" s="1">
        <v>131162200</v>
      </c>
      <c r="H735" s="4">
        <f t="shared" si="24"/>
        <v>4.4692737430167599E-2</v>
      </c>
      <c r="I735" s="4">
        <f t="shared" si="25"/>
        <v>0.66222222222222227</v>
      </c>
    </row>
    <row r="736" spans="1:9" x14ac:dyDescent="0.2">
      <c r="A736" s="2">
        <f ca="1">IFERROR(__xludf.DUMMYFUNCTION("""COMPUTED_VALUE"""),45698.6666666666)</f>
        <v>45698.666666666599</v>
      </c>
      <c r="B736" s="2" t="s">
        <v>54</v>
      </c>
      <c r="C736" s="1">
        <v>9025</v>
      </c>
      <c r="D736" s="1">
        <v>9250</v>
      </c>
      <c r="E736" s="1">
        <v>9025</v>
      </c>
      <c r="F736" s="1">
        <v>9150</v>
      </c>
      <c r="G736" s="1">
        <v>76209100</v>
      </c>
      <c r="H736" s="4">
        <f t="shared" si="24"/>
        <v>-2.1390374331550801E-2</v>
      </c>
      <c r="I736" s="4">
        <f t="shared" si="25"/>
        <v>0.62666666666666671</v>
      </c>
    </row>
    <row r="737" spans="1:9" x14ac:dyDescent="0.2">
      <c r="A737" s="2">
        <f ca="1">IFERROR(__xludf.DUMMYFUNCTION("""COMPUTED_VALUE"""),45699.6666666666)</f>
        <v>45699.666666666599</v>
      </c>
      <c r="B737" s="2" t="s">
        <v>54</v>
      </c>
      <c r="C737" s="1">
        <v>9025</v>
      </c>
      <c r="D737" s="1">
        <v>9100</v>
      </c>
      <c r="E737" s="1">
        <v>9000</v>
      </c>
      <c r="F737" s="1">
        <v>9075</v>
      </c>
      <c r="G737" s="1">
        <v>71188300</v>
      </c>
      <c r="H737" s="4">
        <f t="shared" si="24"/>
        <v>-8.1967213114754103E-3</v>
      </c>
      <c r="I737" s="4">
        <f t="shared" si="25"/>
        <v>0.61333333333333329</v>
      </c>
    </row>
    <row r="738" spans="1:9" x14ac:dyDescent="0.2">
      <c r="A738" s="2">
        <f ca="1">IFERROR(__xludf.DUMMYFUNCTION("""COMPUTED_VALUE"""),45700.6666666666)</f>
        <v>45700.666666666599</v>
      </c>
      <c r="B738" s="2" t="s">
        <v>54</v>
      </c>
      <c r="C738" s="1">
        <v>8950</v>
      </c>
      <c r="D738" s="1">
        <v>9150</v>
      </c>
      <c r="E738" s="1">
        <v>8950</v>
      </c>
      <c r="F738" s="1">
        <v>9150</v>
      </c>
      <c r="G738" s="1">
        <v>121172600</v>
      </c>
      <c r="H738" s="4">
        <f t="shared" si="24"/>
        <v>8.2644628099173556E-3</v>
      </c>
      <c r="I738" s="4">
        <f t="shared" si="25"/>
        <v>0.62666666666666671</v>
      </c>
    </row>
    <row r="739" spans="1:9" x14ac:dyDescent="0.2">
      <c r="A739" s="2">
        <f ca="1">IFERROR(__xludf.DUMMYFUNCTION("""COMPUTED_VALUE"""),45701.6666666666)</f>
        <v>45701.666666666599</v>
      </c>
      <c r="B739" s="2" t="s">
        <v>54</v>
      </c>
      <c r="C739" s="1">
        <v>9100</v>
      </c>
      <c r="D739" s="1">
        <v>9150</v>
      </c>
      <c r="E739" s="1">
        <v>9000</v>
      </c>
      <c r="F739" s="1">
        <v>9000</v>
      </c>
      <c r="G739" s="1">
        <v>90439700</v>
      </c>
      <c r="H739" s="4">
        <f t="shared" si="24"/>
        <v>-1.6393442622950821E-2</v>
      </c>
      <c r="I739" s="4">
        <f t="shared" si="25"/>
        <v>0.6</v>
      </c>
    </row>
    <row r="740" spans="1:9" x14ac:dyDescent="0.2">
      <c r="A740" s="2">
        <f ca="1">IFERROR(__xludf.DUMMYFUNCTION("""COMPUTED_VALUE"""),45702.6666666666)</f>
        <v>45702.666666666599</v>
      </c>
      <c r="B740" s="2" t="s">
        <v>54</v>
      </c>
      <c r="C740" s="1">
        <v>9000</v>
      </c>
      <c r="D740" s="1">
        <v>9075</v>
      </c>
      <c r="E740" s="1">
        <v>8950</v>
      </c>
      <c r="F740" s="1">
        <v>8975</v>
      </c>
      <c r="G740" s="1">
        <v>116274500</v>
      </c>
      <c r="H740" s="4">
        <f t="shared" si="24"/>
        <v>-2.7777777777777779E-3</v>
      </c>
      <c r="I740" s="4">
        <f t="shared" si="25"/>
        <v>0.5955555555555555</v>
      </c>
    </row>
    <row r="741" spans="1:9" x14ac:dyDescent="0.2">
      <c r="A741" s="2">
        <f ca="1">IFERROR(__xludf.DUMMYFUNCTION("""COMPUTED_VALUE"""),45705.6666666666)</f>
        <v>45705.666666666599</v>
      </c>
      <c r="B741" s="2" t="s">
        <v>54</v>
      </c>
      <c r="C741" s="1">
        <v>8975</v>
      </c>
      <c r="D741" s="1">
        <v>9325</v>
      </c>
      <c r="E741" s="1">
        <v>8975</v>
      </c>
      <c r="F741" s="1">
        <v>9325</v>
      </c>
      <c r="G741" s="1">
        <v>89096400</v>
      </c>
      <c r="H741" s="4">
        <f t="shared" si="24"/>
        <v>3.8997214484679667E-2</v>
      </c>
      <c r="I741" s="4">
        <f t="shared" si="25"/>
        <v>0.65777777777777779</v>
      </c>
    </row>
    <row r="742" spans="1:9" x14ac:dyDescent="0.2">
      <c r="A742" s="2">
        <f ca="1">IFERROR(__xludf.DUMMYFUNCTION("""COMPUTED_VALUE"""),45706.6666666666)</f>
        <v>45706.666666666599</v>
      </c>
      <c r="B742" s="2" t="s">
        <v>54</v>
      </c>
      <c r="C742" s="1">
        <v>9325</v>
      </c>
      <c r="D742" s="1">
        <v>9575</v>
      </c>
      <c r="E742" s="1">
        <v>9250</v>
      </c>
      <c r="F742" s="1">
        <v>9300</v>
      </c>
      <c r="G742" s="1">
        <v>107318300</v>
      </c>
      <c r="H742" s="4">
        <f t="shared" si="24"/>
        <v>-2.6809651474530832E-3</v>
      </c>
      <c r="I742" s="4">
        <f t="shared" si="25"/>
        <v>0.65333333333333332</v>
      </c>
    </row>
    <row r="743" spans="1:9" x14ac:dyDescent="0.2">
      <c r="A743" s="2">
        <f ca="1">IFERROR(__xludf.DUMMYFUNCTION("""COMPUTED_VALUE"""),45707.6666666666)</f>
        <v>45707.666666666599</v>
      </c>
      <c r="B743" s="2" t="s">
        <v>54</v>
      </c>
      <c r="C743" s="1">
        <v>9225</v>
      </c>
      <c r="D743" s="1">
        <v>9250</v>
      </c>
      <c r="E743" s="1">
        <v>8950</v>
      </c>
      <c r="F743" s="1">
        <v>8950</v>
      </c>
      <c r="G743" s="1">
        <v>154438200</v>
      </c>
      <c r="H743" s="4">
        <f t="shared" si="24"/>
        <v>-3.7634408602150539E-2</v>
      </c>
      <c r="I743" s="4">
        <f t="shared" si="25"/>
        <v>0.59111111111111114</v>
      </c>
    </row>
    <row r="744" spans="1:9" x14ac:dyDescent="0.2">
      <c r="A744" s="2">
        <f ca="1">IFERROR(__xludf.DUMMYFUNCTION("""COMPUTED_VALUE"""),45708.6666666666)</f>
        <v>45708.666666666599</v>
      </c>
      <c r="B744" s="2" t="s">
        <v>54</v>
      </c>
      <c r="C744" s="1">
        <v>8975</v>
      </c>
      <c r="D744" s="1">
        <v>9025</v>
      </c>
      <c r="E744" s="1">
        <v>8950</v>
      </c>
      <c r="F744" s="1">
        <v>9000</v>
      </c>
      <c r="G744" s="1">
        <v>119260800</v>
      </c>
      <c r="H744" s="4">
        <f t="shared" si="24"/>
        <v>5.5865921787709499E-3</v>
      </c>
      <c r="I744" s="4">
        <f t="shared" si="25"/>
        <v>0.6</v>
      </c>
    </row>
    <row r="745" spans="1:9" x14ac:dyDescent="0.2">
      <c r="A745" s="2">
        <f ca="1">IFERROR(__xludf.DUMMYFUNCTION("""COMPUTED_VALUE"""),45709.6666666666)</f>
        <v>45709.666666666599</v>
      </c>
      <c r="B745" s="2" t="s">
        <v>54</v>
      </c>
      <c r="C745" s="1">
        <v>8950</v>
      </c>
      <c r="D745" s="1">
        <v>9000</v>
      </c>
      <c r="E745" s="1">
        <v>8925</v>
      </c>
      <c r="F745" s="1">
        <v>9000</v>
      </c>
      <c r="G745" s="1">
        <v>106054700</v>
      </c>
      <c r="H745" s="4">
        <f t="shared" si="24"/>
        <v>0</v>
      </c>
      <c r="I745" s="4">
        <f t="shared" si="25"/>
        <v>0.6</v>
      </c>
    </row>
    <row r="746" spans="1:9" x14ac:dyDescent="0.2">
      <c r="A746" s="2">
        <f ca="1">IFERROR(__xludf.DUMMYFUNCTION("""COMPUTED_VALUE"""),45712.6666666666)</f>
        <v>45712.666666666599</v>
      </c>
      <c r="B746" s="2" t="s">
        <v>54</v>
      </c>
      <c r="C746" s="1">
        <v>8925</v>
      </c>
      <c r="D746" s="1">
        <v>8975</v>
      </c>
      <c r="E746" s="1">
        <v>8875</v>
      </c>
      <c r="F746" s="1">
        <v>8925</v>
      </c>
      <c r="G746" s="1">
        <v>108530300</v>
      </c>
      <c r="H746" s="4">
        <f t="shared" si="24"/>
        <v>-8.3333333333333332E-3</v>
      </c>
      <c r="I746" s="4">
        <f t="shared" si="25"/>
        <v>0.58666666666666667</v>
      </c>
    </row>
    <row r="747" spans="1:9" x14ac:dyDescent="0.2">
      <c r="A747" s="2">
        <f ca="1">IFERROR(__xludf.DUMMYFUNCTION("""COMPUTED_VALUE"""),45713.6666666666)</f>
        <v>45713.666666666599</v>
      </c>
      <c r="B747" s="2" t="s">
        <v>54</v>
      </c>
      <c r="C747" s="1">
        <v>8900</v>
      </c>
      <c r="D747" s="1">
        <v>9000</v>
      </c>
      <c r="E747" s="1">
        <v>8825</v>
      </c>
      <c r="F747" s="1">
        <v>8825</v>
      </c>
      <c r="G747" s="1">
        <v>101592700</v>
      </c>
      <c r="H747" s="4">
        <f t="shared" si="24"/>
        <v>-1.1204481792717087E-2</v>
      </c>
      <c r="I747" s="4">
        <f t="shared" si="25"/>
        <v>0.56888888888888889</v>
      </c>
    </row>
    <row r="748" spans="1:9" x14ac:dyDescent="0.2">
      <c r="A748" s="2">
        <f ca="1">IFERROR(__xludf.DUMMYFUNCTION("""COMPUTED_VALUE"""),45714.6666666666)</f>
        <v>45714.666666666599</v>
      </c>
      <c r="B748" s="2" t="s">
        <v>54</v>
      </c>
      <c r="C748" s="1">
        <v>8800</v>
      </c>
      <c r="D748" s="1">
        <v>8900</v>
      </c>
      <c r="E748" s="1">
        <v>8725</v>
      </c>
      <c r="F748" s="1">
        <v>8775</v>
      </c>
      <c r="G748" s="1">
        <v>117843500</v>
      </c>
      <c r="H748" s="4">
        <f t="shared" si="24"/>
        <v>-5.6657223796033997E-3</v>
      </c>
      <c r="I748" s="4">
        <f t="shared" si="25"/>
        <v>0.56000000000000005</v>
      </c>
    </row>
    <row r="749" spans="1:9" x14ac:dyDescent="0.2">
      <c r="A749" s="2">
        <f ca="1">IFERROR(__xludf.DUMMYFUNCTION("""COMPUTED_VALUE"""),45715.6666666666)</f>
        <v>45715.666666666599</v>
      </c>
      <c r="B749" s="2" t="s">
        <v>54</v>
      </c>
      <c r="C749" s="1">
        <v>8800</v>
      </c>
      <c r="D749" s="1">
        <v>8800</v>
      </c>
      <c r="E749" s="1">
        <v>8500</v>
      </c>
      <c r="F749" s="1">
        <v>8525</v>
      </c>
      <c r="G749" s="1">
        <v>199991600</v>
      </c>
      <c r="H749" s="4">
        <f t="shared" si="24"/>
        <v>-2.8490028490028491E-2</v>
      </c>
      <c r="I749" s="4">
        <f t="shared" si="25"/>
        <v>0.51555555555555554</v>
      </c>
    </row>
    <row r="750" spans="1:9" x14ac:dyDescent="0.2">
      <c r="A750" s="2">
        <f ca="1">IFERROR(__xludf.DUMMYFUNCTION("""COMPUTED_VALUE"""),45716.6666666666)</f>
        <v>45716.666666666599</v>
      </c>
      <c r="B750" s="2" t="s">
        <v>54</v>
      </c>
      <c r="C750" s="1">
        <v>8525</v>
      </c>
      <c r="D750" s="1">
        <v>8675</v>
      </c>
      <c r="E750" s="1">
        <v>8425</v>
      </c>
      <c r="F750" s="1">
        <v>8425</v>
      </c>
      <c r="G750" s="1">
        <v>293095000</v>
      </c>
      <c r="H750" s="4">
        <f t="shared" si="24"/>
        <v>-1.1730205278592375E-2</v>
      </c>
      <c r="I750" s="4">
        <f t="shared" si="25"/>
        <v>0.49777777777777776</v>
      </c>
    </row>
    <row r="751" spans="1:9" x14ac:dyDescent="0.2">
      <c r="A751" s="2">
        <f ca="1">IFERROR(__xludf.DUMMYFUNCTION("""COMPUTED_VALUE"""),45719.6666666666)</f>
        <v>45719.666666666599</v>
      </c>
      <c r="B751" s="2" t="s">
        <v>54</v>
      </c>
      <c r="C751" s="1">
        <v>8600</v>
      </c>
      <c r="D751" s="1">
        <v>8900</v>
      </c>
      <c r="E751" s="1">
        <v>8550</v>
      </c>
      <c r="F751" s="1">
        <v>8800</v>
      </c>
      <c r="G751" s="1">
        <v>192944300</v>
      </c>
      <c r="H751" s="4">
        <f t="shared" si="24"/>
        <v>4.4510385756676561E-2</v>
      </c>
      <c r="I751" s="4">
        <f t="shared" si="25"/>
        <v>0.56444444444444442</v>
      </c>
    </row>
    <row r="752" spans="1:9" x14ac:dyDescent="0.2">
      <c r="A752" s="2">
        <f ca="1">IFERROR(__xludf.DUMMYFUNCTION("""COMPUTED_VALUE"""),45720.6666666666)</f>
        <v>45720.666666666599</v>
      </c>
      <c r="B752" s="2" t="s">
        <v>54</v>
      </c>
      <c r="C752" s="1">
        <v>8900</v>
      </c>
      <c r="D752" s="1">
        <v>8925</v>
      </c>
      <c r="E752" s="1">
        <v>8675</v>
      </c>
      <c r="F752" s="1">
        <v>8850</v>
      </c>
      <c r="G752" s="1">
        <v>125418500</v>
      </c>
      <c r="H752" s="4">
        <f t="shared" si="24"/>
        <v>5.681818181818182E-3</v>
      </c>
      <c r="I752" s="4">
        <f t="shared" si="25"/>
        <v>0.57333333333333336</v>
      </c>
    </row>
    <row r="753" spans="1:9" x14ac:dyDescent="0.2">
      <c r="A753" s="2">
        <f ca="1">IFERROR(__xludf.DUMMYFUNCTION("""COMPUTED_VALUE"""),45721.6666666666)</f>
        <v>45721.666666666599</v>
      </c>
      <c r="B753" s="2" t="s">
        <v>54</v>
      </c>
      <c r="C753" s="1">
        <v>8825</v>
      </c>
      <c r="D753" s="1">
        <v>9175</v>
      </c>
      <c r="E753" s="1">
        <v>8825</v>
      </c>
      <c r="F753" s="1">
        <v>9000</v>
      </c>
      <c r="G753" s="1">
        <v>155207900</v>
      </c>
      <c r="H753" s="4">
        <f t="shared" si="24"/>
        <v>1.6949152542372881E-2</v>
      </c>
      <c r="I753" s="4">
        <f t="shared" si="25"/>
        <v>0.6</v>
      </c>
    </row>
    <row r="754" spans="1:9" x14ac:dyDescent="0.2">
      <c r="A754" s="2">
        <f ca="1">IFERROR(__xludf.DUMMYFUNCTION("""COMPUTED_VALUE"""),45722.6666666666)</f>
        <v>45722.666666666599</v>
      </c>
      <c r="B754" s="2" t="s">
        <v>54</v>
      </c>
      <c r="C754" s="1">
        <v>9200</v>
      </c>
      <c r="D754" s="1">
        <v>9200</v>
      </c>
      <c r="E754" s="1">
        <v>8975</v>
      </c>
      <c r="F754" s="1">
        <v>8975</v>
      </c>
      <c r="G754" s="1">
        <v>96270100</v>
      </c>
      <c r="H754" s="4">
        <f t="shared" si="24"/>
        <v>-2.7777777777777779E-3</v>
      </c>
      <c r="I754" s="4">
        <f t="shared" si="25"/>
        <v>0.5955555555555555</v>
      </c>
    </row>
    <row r="755" spans="1:9" x14ac:dyDescent="0.2">
      <c r="A755" s="2">
        <f ca="1">IFERROR(__xludf.DUMMYFUNCTION("""COMPUTED_VALUE"""),45723.6666666666)</f>
        <v>45723.666666666599</v>
      </c>
      <c r="B755" s="2" t="s">
        <v>54</v>
      </c>
      <c r="C755" s="1">
        <v>9000</v>
      </c>
      <c r="D755" s="1">
        <v>9000</v>
      </c>
      <c r="E755" s="1">
        <v>8925</v>
      </c>
      <c r="F755" s="1">
        <v>8925</v>
      </c>
      <c r="G755" s="1">
        <v>82295300</v>
      </c>
      <c r="H755" s="4">
        <f t="shared" si="24"/>
        <v>-5.5710306406685237E-3</v>
      </c>
      <c r="I755" s="4">
        <f t="shared" si="25"/>
        <v>0.58666666666666667</v>
      </c>
    </row>
    <row r="756" spans="1:9" x14ac:dyDescent="0.2">
      <c r="A756" s="2">
        <f ca="1">IFERROR(__xludf.DUMMYFUNCTION("""COMPUTED_VALUE"""),45726.6666666666)</f>
        <v>45726.666666666599</v>
      </c>
      <c r="B756" s="2" t="s">
        <v>54</v>
      </c>
      <c r="C756" s="1">
        <v>8750</v>
      </c>
      <c r="D756" s="1">
        <v>8975</v>
      </c>
      <c r="E756" s="1">
        <v>8725</v>
      </c>
      <c r="F756" s="1">
        <v>8925</v>
      </c>
      <c r="G756" s="1">
        <v>97652100</v>
      </c>
      <c r="H756" s="4">
        <f t="shared" si="24"/>
        <v>0</v>
      </c>
      <c r="I756" s="4">
        <f t="shared" si="25"/>
        <v>0.58666666666666667</v>
      </c>
    </row>
    <row r="757" spans="1:9" x14ac:dyDescent="0.2">
      <c r="A757" s="2">
        <f ca="1">IFERROR(__xludf.DUMMYFUNCTION("""COMPUTED_VALUE"""),45727.6666666666)</f>
        <v>45727.666666666599</v>
      </c>
      <c r="B757" s="2" t="s">
        <v>54</v>
      </c>
      <c r="C757" s="1">
        <v>8950</v>
      </c>
      <c r="D757" s="1">
        <v>9050</v>
      </c>
      <c r="E757" s="1">
        <v>8875</v>
      </c>
      <c r="F757" s="1">
        <v>8925</v>
      </c>
      <c r="G757" s="1">
        <v>109295600</v>
      </c>
      <c r="H757" s="4">
        <f t="shared" si="24"/>
        <v>0</v>
      </c>
      <c r="I757" s="4">
        <f t="shared" si="25"/>
        <v>0.58666666666666667</v>
      </c>
    </row>
    <row r="758" spans="1:9" x14ac:dyDescent="0.2">
      <c r="A758" s="2">
        <f ca="1">IFERROR(__xludf.DUMMYFUNCTION("""COMPUTED_VALUE"""),45728.6666666666)</f>
        <v>45728.666666666599</v>
      </c>
      <c r="B758" s="2" t="s">
        <v>54</v>
      </c>
      <c r="C758" s="1">
        <v>9025</v>
      </c>
      <c r="D758" s="1">
        <v>9125</v>
      </c>
      <c r="E758" s="1">
        <v>8975</v>
      </c>
      <c r="F758" s="1">
        <v>9125</v>
      </c>
      <c r="G758" s="1">
        <v>87968900</v>
      </c>
      <c r="H758" s="4">
        <f t="shared" si="24"/>
        <v>2.2408963585434174E-2</v>
      </c>
      <c r="I758" s="4">
        <f t="shared" si="25"/>
        <v>0.62222222222222223</v>
      </c>
    </row>
    <row r="759" spans="1:9" x14ac:dyDescent="0.2">
      <c r="A759" s="2">
        <f ca="1">IFERROR(__xludf.DUMMYFUNCTION("""COMPUTED_VALUE"""),45729.6666666666)</f>
        <v>45729.666666666599</v>
      </c>
      <c r="B759" s="2" t="s">
        <v>54</v>
      </c>
      <c r="C759" s="1">
        <v>9150</v>
      </c>
      <c r="D759" s="1">
        <v>9175</v>
      </c>
      <c r="E759" s="1">
        <v>8975</v>
      </c>
      <c r="F759" s="1">
        <v>8975</v>
      </c>
      <c r="G759" s="1">
        <v>83030700</v>
      </c>
      <c r="H759" s="4">
        <f t="shared" si="24"/>
        <v>-1.643835616438356E-2</v>
      </c>
      <c r="I759" s="4">
        <f t="shared" si="25"/>
        <v>0.5955555555555555</v>
      </c>
    </row>
    <row r="760" spans="1:9" x14ac:dyDescent="0.2">
      <c r="A760" s="2">
        <f ca="1">IFERROR(__xludf.DUMMYFUNCTION("""COMPUTED_VALUE"""),45730.6666666666)</f>
        <v>45730.666666666599</v>
      </c>
      <c r="B760" s="2" t="s">
        <v>54</v>
      </c>
      <c r="C760" s="1">
        <v>8800</v>
      </c>
      <c r="D760" s="1">
        <v>8925</v>
      </c>
      <c r="E760" s="1">
        <v>8750</v>
      </c>
      <c r="F760" s="1">
        <v>8750</v>
      </c>
      <c r="G760" s="1">
        <v>111397800</v>
      </c>
      <c r="H760" s="4">
        <f t="shared" si="24"/>
        <v>-2.5069637883008356E-2</v>
      </c>
      <c r="I760" s="4">
        <f t="shared" si="25"/>
        <v>0.55555555555555558</v>
      </c>
    </row>
    <row r="761" spans="1:9" x14ac:dyDescent="0.2">
      <c r="A761" s="2">
        <f ca="1">IFERROR(__xludf.DUMMYFUNCTION("""COMPUTED_VALUE"""),45733.6666666666)</f>
        <v>45733.666666666599</v>
      </c>
      <c r="B761" s="2" t="s">
        <v>54</v>
      </c>
      <c r="C761" s="1">
        <v>8750</v>
      </c>
      <c r="D761" s="1">
        <v>8775</v>
      </c>
      <c r="E761" s="1">
        <v>8550</v>
      </c>
      <c r="F761" s="1">
        <v>8600</v>
      </c>
      <c r="G761" s="1">
        <v>151365700</v>
      </c>
      <c r="H761" s="4">
        <f t="shared" si="24"/>
        <v>-1.7142857142857144E-2</v>
      </c>
      <c r="I761" s="4">
        <f t="shared" si="25"/>
        <v>0.52888888888888885</v>
      </c>
    </row>
    <row r="762" spans="1:9" x14ac:dyDescent="0.2">
      <c r="A762" s="2">
        <f ca="1">IFERROR(__xludf.DUMMYFUNCTION("""COMPUTED_VALUE"""),45734.6666666666)</f>
        <v>45734.666666666599</v>
      </c>
      <c r="B762" s="2" t="s">
        <v>54</v>
      </c>
      <c r="C762" s="1">
        <v>8500</v>
      </c>
      <c r="D762" s="1">
        <v>8550</v>
      </c>
      <c r="E762" s="1">
        <v>8075</v>
      </c>
      <c r="F762" s="1">
        <v>8300</v>
      </c>
      <c r="G762" s="1">
        <v>417305700</v>
      </c>
      <c r="H762" s="4">
        <f t="shared" si="24"/>
        <v>-3.4883720930232558E-2</v>
      </c>
      <c r="I762" s="4">
        <f t="shared" si="25"/>
        <v>0.47555555555555556</v>
      </c>
    </row>
    <row r="763" spans="1:9" x14ac:dyDescent="0.2">
      <c r="A763" s="2">
        <f ca="1">IFERROR(__xludf.DUMMYFUNCTION("""COMPUTED_VALUE"""),45735.6666666666)</f>
        <v>45735.666666666599</v>
      </c>
      <c r="B763" s="2" t="s">
        <v>54</v>
      </c>
      <c r="C763" s="1">
        <v>8300</v>
      </c>
      <c r="D763" s="1">
        <v>8400</v>
      </c>
      <c r="E763" s="1">
        <v>8225</v>
      </c>
      <c r="F763" s="1">
        <v>8325</v>
      </c>
      <c r="G763" s="1">
        <v>214108200</v>
      </c>
      <c r="H763" s="4">
        <f t="shared" si="24"/>
        <v>3.0120481927710845E-3</v>
      </c>
      <c r="I763" s="4">
        <f t="shared" si="25"/>
        <v>0.48</v>
      </c>
    </row>
    <row r="764" spans="1:9" x14ac:dyDescent="0.2">
      <c r="A764" s="2">
        <f ca="1">IFERROR(__xludf.DUMMYFUNCTION("""COMPUTED_VALUE"""),45736.6666666666)</f>
        <v>45736.666666666599</v>
      </c>
      <c r="B764" s="2" t="s">
        <v>54</v>
      </c>
      <c r="C764" s="1">
        <v>8450</v>
      </c>
      <c r="D764" s="1">
        <v>8475</v>
      </c>
      <c r="E764" s="1">
        <v>8350</v>
      </c>
      <c r="F764" s="1">
        <v>8375</v>
      </c>
      <c r="G764" s="1">
        <v>152917300</v>
      </c>
      <c r="H764" s="4">
        <f t="shared" si="24"/>
        <v>6.006006006006006E-3</v>
      </c>
      <c r="I764" s="4">
        <f t="shared" si="25"/>
        <v>0.48888888888888887</v>
      </c>
    </row>
    <row r="765" spans="1:9" x14ac:dyDescent="0.2">
      <c r="A765" s="2">
        <f ca="1">IFERROR(__xludf.DUMMYFUNCTION("""COMPUTED_VALUE"""),45737.6666666666)</f>
        <v>45737.666666666599</v>
      </c>
      <c r="B765" s="2" t="s">
        <v>54</v>
      </c>
      <c r="C765" s="1">
        <v>8275</v>
      </c>
      <c r="D765" s="1">
        <v>8275</v>
      </c>
      <c r="E765" s="1">
        <v>7900</v>
      </c>
      <c r="F765" s="1">
        <v>7900</v>
      </c>
      <c r="G765" s="1">
        <v>377916400</v>
      </c>
      <c r="H765" s="4">
        <f t="shared" si="24"/>
        <v>-5.6716417910447764E-2</v>
      </c>
      <c r="I765" s="4">
        <f t="shared" si="25"/>
        <v>0.40444444444444444</v>
      </c>
    </row>
    <row r="766" spans="1:9" x14ac:dyDescent="0.2">
      <c r="A766" s="2">
        <f ca="1">IFERROR(__xludf.DUMMYFUNCTION("""COMPUTED_VALUE"""),45740.6666666666)</f>
        <v>45740.666666666599</v>
      </c>
      <c r="B766" s="2" t="s">
        <v>54</v>
      </c>
      <c r="C766" s="1">
        <v>7825</v>
      </c>
      <c r="D766" s="1">
        <v>8100</v>
      </c>
      <c r="E766" s="1">
        <v>7625</v>
      </c>
      <c r="F766" s="1">
        <v>7950</v>
      </c>
      <c r="G766" s="1">
        <v>331836800</v>
      </c>
      <c r="H766" s="4">
        <f t="shared" si="24"/>
        <v>6.3291139240506328E-3</v>
      </c>
      <c r="I766" s="4">
        <f t="shared" si="25"/>
        <v>0.41333333333333333</v>
      </c>
    </row>
    <row r="767" spans="1:9" x14ac:dyDescent="0.2">
      <c r="A767" s="2">
        <f ca="1">IFERROR(__xludf.DUMMYFUNCTION("""COMPUTED_VALUE"""),45741.6666666666)</f>
        <v>45741.666666666599</v>
      </c>
      <c r="B767" s="2" t="s">
        <v>54</v>
      </c>
      <c r="C767" s="1">
        <v>8075</v>
      </c>
      <c r="D767" s="1">
        <v>8150</v>
      </c>
      <c r="E767" s="1">
        <v>8000</v>
      </c>
      <c r="F767" s="1">
        <v>8050</v>
      </c>
      <c r="G767" s="1">
        <v>136341700</v>
      </c>
      <c r="H767" s="4">
        <f t="shared" si="24"/>
        <v>1.2578616352201259E-2</v>
      </c>
      <c r="I767" s="4">
        <f t="shared" si="25"/>
        <v>0.43111111111111111</v>
      </c>
    </row>
    <row r="768" spans="1:9" x14ac:dyDescent="0.2">
      <c r="A768" s="2">
        <f ca="1">IFERROR(__xludf.DUMMYFUNCTION("""COMPUTED_VALUE"""),45742.6666666666)</f>
        <v>45742.666666666599</v>
      </c>
      <c r="B768" s="2" t="s">
        <v>54</v>
      </c>
      <c r="C768" s="1">
        <v>8300</v>
      </c>
      <c r="D768" s="1">
        <v>8650</v>
      </c>
      <c r="E768" s="1">
        <v>8275</v>
      </c>
      <c r="F768" s="1">
        <v>8525</v>
      </c>
      <c r="G768" s="1">
        <v>283104600</v>
      </c>
      <c r="H768" s="4">
        <f t="shared" si="24"/>
        <v>5.9006211180124224E-2</v>
      </c>
      <c r="I768" s="4">
        <f t="shared" si="25"/>
        <v>0.51555555555555554</v>
      </c>
    </row>
    <row r="769" spans="1:9" x14ac:dyDescent="0.2">
      <c r="A769" s="2">
        <f ca="1">IFERROR(__xludf.DUMMYFUNCTION("""COMPUTED_VALUE"""),45743.6666666666)</f>
        <v>45743.666666666599</v>
      </c>
      <c r="B769" s="2" t="s">
        <v>54</v>
      </c>
      <c r="C769" s="1">
        <v>8425</v>
      </c>
      <c r="D769" s="1">
        <v>8575</v>
      </c>
      <c r="E769" s="1">
        <v>8375</v>
      </c>
      <c r="F769" s="1">
        <v>8500</v>
      </c>
      <c r="G769" s="1">
        <v>122943900</v>
      </c>
      <c r="H769" s="4">
        <f t="shared" si="24"/>
        <v>-2.9325513196480938E-3</v>
      </c>
      <c r="I769" s="4">
        <f t="shared" si="25"/>
        <v>0.51111111111111107</v>
      </c>
    </row>
    <row r="770" spans="1:9" x14ac:dyDescent="0.2">
      <c r="A770" s="2">
        <f ca="1">IFERROR(__xludf.DUMMYFUNCTION("""COMPUTED_VALUE"""),45755.6666666666)</f>
        <v>45755.666666666599</v>
      </c>
      <c r="B770" s="2" t="s">
        <v>54</v>
      </c>
      <c r="C770" s="1">
        <v>7400</v>
      </c>
      <c r="D770" s="1">
        <v>8000</v>
      </c>
      <c r="E770" s="1">
        <v>7275</v>
      </c>
      <c r="F770" s="1">
        <v>7775</v>
      </c>
      <c r="G770" s="1">
        <v>533073600</v>
      </c>
      <c r="H770" s="4">
        <f t="shared" si="24"/>
        <v>-8.5294117647058826E-2</v>
      </c>
      <c r="I770" s="4">
        <f t="shared" si="25"/>
        <v>0.38222222222222224</v>
      </c>
    </row>
    <row r="771" spans="1:9" x14ac:dyDescent="0.2">
      <c r="A771" s="2">
        <f ca="1">IFERROR(__xludf.DUMMYFUNCTION("""COMPUTED_VALUE"""),45756.6666666666)</f>
        <v>45756.666666666599</v>
      </c>
      <c r="B771" s="2" t="s">
        <v>54</v>
      </c>
      <c r="C771" s="1">
        <v>7700</v>
      </c>
      <c r="D771" s="1">
        <v>7950</v>
      </c>
      <c r="E771" s="1">
        <v>7675</v>
      </c>
      <c r="F771" s="1">
        <v>7925</v>
      </c>
      <c r="G771" s="1">
        <v>136753900</v>
      </c>
      <c r="H771" s="4">
        <f t="shared" si="24"/>
        <v>1.9292604501607719E-2</v>
      </c>
      <c r="I771" s="4">
        <f t="shared" si="25"/>
        <v>0.40888888888888891</v>
      </c>
    </row>
    <row r="772" spans="1:9" x14ac:dyDescent="0.2">
      <c r="A772" s="2">
        <f ca="1">IFERROR(__xludf.DUMMYFUNCTION("""COMPUTED_VALUE"""),45757.6666666666)</f>
        <v>45757.666666666599</v>
      </c>
      <c r="B772" s="2" t="s">
        <v>54</v>
      </c>
      <c r="C772" s="1">
        <v>8500</v>
      </c>
      <c r="D772" s="1">
        <v>8650</v>
      </c>
      <c r="E772" s="1">
        <v>8175</v>
      </c>
      <c r="F772" s="1">
        <v>8225</v>
      </c>
      <c r="G772" s="1">
        <v>144148600</v>
      </c>
      <c r="H772" s="4">
        <f t="shared" si="24"/>
        <v>3.7854889589905363E-2</v>
      </c>
      <c r="I772" s="4">
        <f t="shared" si="25"/>
        <v>0.4622222222222222</v>
      </c>
    </row>
    <row r="773" spans="1:9" x14ac:dyDescent="0.2">
      <c r="A773" s="2">
        <f ca="1">IFERROR(__xludf.DUMMYFUNCTION("""COMPUTED_VALUE"""),45758.6666666666)</f>
        <v>45758.666666666599</v>
      </c>
      <c r="B773" s="2" t="s">
        <v>54</v>
      </c>
      <c r="C773" s="1">
        <v>8200</v>
      </c>
      <c r="D773" s="1">
        <v>8325</v>
      </c>
      <c r="E773" s="1">
        <v>8050</v>
      </c>
      <c r="F773" s="1">
        <v>8275</v>
      </c>
      <c r="G773" s="1">
        <v>82603000</v>
      </c>
      <c r="H773" s="4">
        <f t="shared" si="24"/>
        <v>6.0790273556231003E-3</v>
      </c>
      <c r="I773" s="4">
        <f t="shared" si="25"/>
        <v>0.47111111111111109</v>
      </c>
    </row>
    <row r="774" spans="1:9" x14ac:dyDescent="0.2">
      <c r="A774" s="2">
        <f ca="1">IFERROR(__xludf.DUMMYFUNCTION("""COMPUTED_VALUE"""),45761.6666666666)</f>
        <v>45761.666666666599</v>
      </c>
      <c r="B774" s="2" t="s">
        <v>54</v>
      </c>
      <c r="C774" s="1">
        <v>8250</v>
      </c>
      <c r="D774" s="1">
        <v>8400</v>
      </c>
      <c r="E774" s="1">
        <v>8250</v>
      </c>
      <c r="F774" s="1">
        <v>8400</v>
      </c>
      <c r="G774" s="1">
        <v>83319300</v>
      </c>
      <c r="H774" s="4">
        <f t="shared" si="24"/>
        <v>1.5105740181268883E-2</v>
      </c>
      <c r="I774" s="4">
        <f t="shared" si="25"/>
        <v>0.49333333333333335</v>
      </c>
    </row>
    <row r="775" spans="1:9" x14ac:dyDescent="0.2">
      <c r="A775" s="2">
        <f ca="1">IFERROR(__xludf.DUMMYFUNCTION("""COMPUTED_VALUE"""),45762.6666666666)</f>
        <v>45762.666666666599</v>
      </c>
      <c r="B775" s="2" t="s">
        <v>54</v>
      </c>
      <c r="C775" s="1">
        <v>8575</v>
      </c>
      <c r="D775" s="1">
        <v>8600</v>
      </c>
      <c r="E775" s="1">
        <v>8450</v>
      </c>
      <c r="F775" s="1">
        <v>8575</v>
      </c>
      <c r="G775" s="1">
        <v>83431800</v>
      </c>
      <c r="H775" s="4">
        <f t="shared" si="24"/>
        <v>2.0833333333333332E-2</v>
      </c>
      <c r="I775" s="4">
        <f t="shared" si="25"/>
        <v>0.52444444444444449</v>
      </c>
    </row>
    <row r="776" spans="1:9" x14ac:dyDescent="0.2">
      <c r="A776" s="2">
        <f ca="1">IFERROR(__xludf.DUMMYFUNCTION("""COMPUTED_VALUE"""),45763.6666666666)</f>
        <v>45763.666666666599</v>
      </c>
      <c r="B776" s="2" t="s">
        <v>54</v>
      </c>
      <c r="C776" s="1">
        <v>8500</v>
      </c>
      <c r="D776" s="1">
        <v>8550</v>
      </c>
      <c r="E776" s="1">
        <v>8425</v>
      </c>
      <c r="F776" s="1">
        <v>8475</v>
      </c>
      <c r="G776" s="1">
        <v>76874900</v>
      </c>
      <c r="H776" s="4">
        <f t="shared" si="24"/>
        <v>-1.1661807580174927E-2</v>
      </c>
      <c r="I776" s="4">
        <f t="shared" si="25"/>
        <v>0.50666666666666671</v>
      </c>
    </row>
    <row r="777" spans="1:9" x14ac:dyDescent="0.2">
      <c r="A777" s="2">
        <f ca="1">IFERROR(__xludf.DUMMYFUNCTION("""COMPUTED_VALUE"""),45764.6666666666)</f>
        <v>45764.666666666599</v>
      </c>
      <c r="B777" s="2" t="s">
        <v>54</v>
      </c>
      <c r="C777" s="1">
        <v>8450</v>
      </c>
      <c r="D777" s="1">
        <v>8500</v>
      </c>
      <c r="E777" s="1">
        <v>8350</v>
      </c>
      <c r="F777" s="1">
        <v>8500</v>
      </c>
      <c r="G777" s="1">
        <v>83540600</v>
      </c>
      <c r="H777" s="4">
        <f t="shared" si="24"/>
        <v>2.9498525073746312E-3</v>
      </c>
      <c r="I777" s="4">
        <f t="shared" si="25"/>
        <v>0.51111111111111107</v>
      </c>
    </row>
    <row r="778" spans="1:9" x14ac:dyDescent="0.2">
      <c r="A778" s="2">
        <f ca="1">IFERROR(__xludf.DUMMYFUNCTION("""COMPUTED_VALUE"""),45768.6666666666)</f>
        <v>45768.666666666599</v>
      </c>
      <c r="B778" s="2" t="s">
        <v>54</v>
      </c>
      <c r="C778" s="1">
        <v>8500</v>
      </c>
      <c r="D778" s="1">
        <v>8500</v>
      </c>
      <c r="E778" s="1">
        <v>8300</v>
      </c>
      <c r="F778" s="1">
        <v>8300</v>
      </c>
      <c r="G778" s="1">
        <v>40683800</v>
      </c>
      <c r="H778" s="4">
        <f t="shared" si="24"/>
        <v>-2.3529411764705882E-2</v>
      </c>
      <c r="I778" s="4">
        <f t="shared" si="25"/>
        <v>0.47555555555555556</v>
      </c>
    </row>
    <row r="779" spans="1:9" x14ac:dyDescent="0.2">
      <c r="A779" s="2">
        <f ca="1">IFERROR(__xludf.DUMMYFUNCTION("""COMPUTED_VALUE"""),45769.6666666666)</f>
        <v>45769.666666666599</v>
      </c>
      <c r="B779" s="2" t="s">
        <v>54</v>
      </c>
      <c r="C779" s="1">
        <v>8325</v>
      </c>
      <c r="D779" s="1">
        <v>8500</v>
      </c>
      <c r="E779" s="1">
        <v>8325</v>
      </c>
      <c r="F779" s="1">
        <v>8500</v>
      </c>
      <c r="G779" s="1">
        <v>56537100</v>
      </c>
      <c r="H779" s="4">
        <f t="shared" si="24"/>
        <v>2.4096385542168676E-2</v>
      </c>
      <c r="I779" s="4">
        <f t="shared" si="25"/>
        <v>0.51111111111111107</v>
      </c>
    </row>
    <row r="780" spans="1:9" x14ac:dyDescent="0.2">
      <c r="A780" s="2">
        <f ca="1">IFERROR(__xludf.DUMMYFUNCTION("""COMPUTED_VALUE"""),45770.6666666666)</f>
        <v>45770.666666666599</v>
      </c>
      <c r="B780" s="2" t="s">
        <v>54</v>
      </c>
      <c r="C780" s="1">
        <v>8550</v>
      </c>
      <c r="D780" s="1">
        <v>8725</v>
      </c>
      <c r="E780" s="1">
        <v>8550</v>
      </c>
      <c r="F780" s="1">
        <v>8725</v>
      </c>
      <c r="G780" s="1">
        <v>92329600</v>
      </c>
      <c r="H780" s="4">
        <f t="shared" si="24"/>
        <v>2.6470588235294117E-2</v>
      </c>
      <c r="I780" s="4">
        <f t="shared" si="25"/>
        <v>0.55111111111111111</v>
      </c>
    </row>
    <row r="781" spans="1:9" x14ac:dyDescent="0.2">
      <c r="A781" s="2">
        <f ca="1">IFERROR(__xludf.DUMMYFUNCTION("""COMPUTED_VALUE"""),45771.6666666666)</f>
        <v>45771.666666666599</v>
      </c>
      <c r="B781" s="2" t="s">
        <v>54</v>
      </c>
      <c r="C781" s="1">
        <v>8850</v>
      </c>
      <c r="D781" s="1">
        <v>8850</v>
      </c>
      <c r="E781" s="1">
        <v>8475</v>
      </c>
      <c r="F781" s="1">
        <v>8475</v>
      </c>
      <c r="G781" s="1">
        <v>143675300</v>
      </c>
      <c r="H781" s="4">
        <f t="shared" si="24"/>
        <v>-2.865329512893983E-2</v>
      </c>
      <c r="I781" s="4">
        <f t="shared" si="25"/>
        <v>0.50666666666666671</v>
      </c>
    </row>
    <row r="782" spans="1:9" x14ac:dyDescent="0.2">
      <c r="A782" s="2">
        <f ca="1">IFERROR(__xludf.DUMMYFUNCTION("""COMPUTED_VALUE"""),45772.6666666666)</f>
        <v>45772.666666666599</v>
      </c>
      <c r="B782" s="2" t="s">
        <v>54</v>
      </c>
      <c r="C782" s="1">
        <v>8650</v>
      </c>
      <c r="D782" s="1">
        <v>8650</v>
      </c>
      <c r="E782" s="1">
        <v>8575</v>
      </c>
      <c r="F782" s="1">
        <v>8600</v>
      </c>
      <c r="G782" s="1">
        <v>58297000</v>
      </c>
      <c r="H782" s="4">
        <f t="shared" si="24"/>
        <v>1.4749262536873156E-2</v>
      </c>
      <c r="I782" s="4">
        <f t="shared" si="25"/>
        <v>0.52888888888888885</v>
      </c>
    </row>
    <row r="783" spans="1:9" x14ac:dyDescent="0.2">
      <c r="A783" s="2">
        <f ca="1">IFERROR(__xludf.DUMMYFUNCTION("""COMPUTED_VALUE"""),45775.6666666666)</f>
        <v>45775.666666666599</v>
      </c>
      <c r="B783" s="2" t="s">
        <v>54</v>
      </c>
      <c r="C783" s="1">
        <v>8750</v>
      </c>
      <c r="D783" s="1">
        <v>8775</v>
      </c>
      <c r="E783" s="1">
        <v>8650</v>
      </c>
      <c r="F783" s="1">
        <v>8775</v>
      </c>
      <c r="G783" s="1">
        <v>73235400</v>
      </c>
      <c r="H783" s="4">
        <f t="shared" si="24"/>
        <v>2.0348837209302327E-2</v>
      </c>
      <c r="I783" s="4">
        <f t="shared" si="25"/>
        <v>0.56000000000000005</v>
      </c>
    </row>
    <row r="784" spans="1:9" x14ac:dyDescent="0.2">
      <c r="A784" s="2">
        <f ca="1">IFERROR(__xludf.DUMMYFUNCTION("""COMPUTED_VALUE"""),45776.6666666666)</f>
        <v>45776.666666666599</v>
      </c>
      <c r="B784" s="2" t="s">
        <v>54</v>
      </c>
      <c r="C784" s="1">
        <v>8800</v>
      </c>
      <c r="D784" s="1">
        <v>8825</v>
      </c>
      <c r="E784" s="1">
        <v>8700</v>
      </c>
      <c r="F784" s="1">
        <v>8725</v>
      </c>
      <c r="G784" s="1">
        <v>60315700</v>
      </c>
      <c r="H784" s="4">
        <f t="shared" si="24"/>
        <v>-5.6980056980056983E-3</v>
      </c>
      <c r="I784" s="4">
        <f t="shared" si="25"/>
        <v>0.55111111111111111</v>
      </c>
    </row>
    <row r="785" spans="1:9" x14ac:dyDescent="0.2">
      <c r="A785" s="2">
        <f ca="1">IFERROR(__xludf.DUMMYFUNCTION("""COMPUTED_VALUE"""),45777.6666666666)</f>
        <v>45777.666666666599</v>
      </c>
      <c r="B785" s="2" t="s">
        <v>54</v>
      </c>
      <c r="C785" s="1">
        <v>8800</v>
      </c>
      <c r="D785" s="1">
        <v>8925</v>
      </c>
      <c r="E785" s="1">
        <v>8675</v>
      </c>
      <c r="F785" s="1">
        <v>8825</v>
      </c>
      <c r="G785" s="1">
        <v>164597500</v>
      </c>
      <c r="H785" s="4">
        <f t="shared" si="24"/>
        <v>1.1461318051575931E-2</v>
      </c>
      <c r="I785" s="4">
        <f t="shared" si="25"/>
        <v>0.56888888888888889</v>
      </c>
    </row>
    <row r="786" spans="1:9" x14ac:dyDescent="0.2">
      <c r="A786" s="2">
        <f ca="1">IFERROR(__xludf.DUMMYFUNCTION("""COMPUTED_VALUE"""),45779.6666666666)</f>
        <v>45779.666666666599</v>
      </c>
      <c r="B786" s="2" t="s">
        <v>54</v>
      </c>
      <c r="C786" s="1">
        <v>9000</v>
      </c>
      <c r="D786" s="1">
        <v>9000</v>
      </c>
      <c r="E786" s="1">
        <v>8850</v>
      </c>
      <c r="F786" s="1">
        <v>8975</v>
      </c>
      <c r="G786" s="1">
        <v>92219000</v>
      </c>
      <c r="H786" s="4">
        <f t="shared" si="24"/>
        <v>1.69971671388102E-2</v>
      </c>
      <c r="I786" s="4">
        <f t="shared" si="25"/>
        <v>0.5955555555555555</v>
      </c>
    </row>
    <row r="787" spans="1:9" x14ac:dyDescent="0.2">
      <c r="A787" s="2">
        <f ca="1">IFERROR(__xludf.DUMMYFUNCTION("""COMPUTED_VALUE"""),45782.6666666666)</f>
        <v>45782.666666666599</v>
      </c>
      <c r="B787" s="2" t="s">
        <v>54</v>
      </c>
      <c r="C787" s="1">
        <v>9000</v>
      </c>
      <c r="D787" s="1">
        <v>9050</v>
      </c>
      <c r="E787" s="1">
        <v>8975</v>
      </c>
      <c r="F787" s="1">
        <v>8975</v>
      </c>
      <c r="G787" s="1">
        <v>86385600</v>
      </c>
      <c r="H787" s="4">
        <f t="shared" si="24"/>
        <v>0</v>
      </c>
      <c r="I787" s="4">
        <f t="shared" si="25"/>
        <v>0.5955555555555555</v>
      </c>
    </row>
    <row r="788" spans="1:9" x14ac:dyDescent="0.2">
      <c r="A788" s="2">
        <f ca="1">IFERROR(__xludf.DUMMYFUNCTION("""COMPUTED_VALUE"""),45783.6666666666)</f>
        <v>45783.666666666599</v>
      </c>
      <c r="B788" s="2" t="s">
        <v>54</v>
      </c>
      <c r="C788" s="1">
        <v>9050</v>
      </c>
      <c r="D788" s="1">
        <v>9050</v>
      </c>
      <c r="E788" s="1">
        <v>8975</v>
      </c>
      <c r="F788" s="1">
        <v>9025</v>
      </c>
      <c r="G788" s="1">
        <v>48860500</v>
      </c>
      <c r="H788" s="4">
        <f t="shared" si="24"/>
        <v>5.5710306406685237E-3</v>
      </c>
      <c r="I788" s="4">
        <f t="shared" si="25"/>
        <v>0.60444444444444445</v>
      </c>
    </row>
    <row r="789" spans="1:9" x14ac:dyDescent="0.2">
      <c r="A789" s="2">
        <f ca="1">IFERROR(__xludf.DUMMYFUNCTION("""COMPUTED_VALUE"""),45784.6666666666)</f>
        <v>45784.666666666599</v>
      </c>
      <c r="B789" s="2" t="s">
        <v>54</v>
      </c>
      <c r="C789" s="1">
        <v>9075</v>
      </c>
      <c r="D789" s="1">
        <v>9100</v>
      </c>
      <c r="E789" s="1">
        <v>9000</v>
      </c>
      <c r="F789" s="1">
        <v>9075</v>
      </c>
      <c r="G789" s="1">
        <v>77382000</v>
      </c>
      <c r="H789" s="4">
        <f t="shared" si="24"/>
        <v>5.5401662049861496E-3</v>
      </c>
      <c r="I789" s="4">
        <f t="shared" si="25"/>
        <v>0.61333333333333329</v>
      </c>
    </row>
    <row r="790" spans="1:9" x14ac:dyDescent="0.2">
      <c r="A790" s="2">
        <f ca="1">IFERROR(__xludf.DUMMYFUNCTION("""COMPUTED_VALUE"""),45785.6666666666)</f>
        <v>45785.666666666599</v>
      </c>
      <c r="B790" s="2" t="s">
        <v>54</v>
      </c>
      <c r="C790" s="1">
        <v>9075</v>
      </c>
      <c r="D790" s="1">
        <v>9200</v>
      </c>
      <c r="E790" s="1">
        <v>8925</v>
      </c>
      <c r="F790" s="1">
        <v>8975</v>
      </c>
      <c r="G790" s="1">
        <v>99614500</v>
      </c>
      <c r="H790" s="4">
        <f t="shared" si="24"/>
        <v>-1.1019283746556474E-2</v>
      </c>
      <c r="I790" s="4">
        <f t="shared" si="25"/>
        <v>0.5955555555555555</v>
      </c>
    </row>
    <row r="791" spans="1:9" x14ac:dyDescent="0.2">
      <c r="A791" s="2">
        <f ca="1">IFERROR(__xludf.DUMMYFUNCTION("""COMPUTED_VALUE"""),45786.6666666666)</f>
        <v>45786.666666666599</v>
      </c>
      <c r="B791" s="2" t="s">
        <v>54</v>
      </c>
      <c r="C791" s="1">
        <v>9050</v>
      </c>
      <c r="D791" s="1">
        <v>9050</v>
      </c>
      <c r="E791" s="1">
        <v>8975</v>
      </c>
      <c r="F791" s="1">
        <v>9000</v>
      </c>
      <c r="G791" s="1">
        <v>47167500</v>
      </c>
      <c r="H791" s="4">
        <f t="shared" si="24"/>
        <v>2.7855153203342618E-3</v>
      </c>
      <c r="I791" s="4">
        <f t="shared" si="25"/>
        <v>0.6</v>
      </c>
    </row>
    <row r="792" spans="1:9" x14ac:dyDescent="0.2">
      <c r="A792" s="2">
        <f ca="1">IFERROR(__xludf.DUMMYFUNCTION("""COMPUTED_VALUE"""),45791.6666666666)</f>
        <v>45791.666666666599</v>
      </c>
      <c r="B792" s="2" t="s">
        <v>54</v>
      </c>
      <c r="C792" s="1">
        <v>9250</v>
      </c>
      <c r="D792" s="1">
        <v>9300</v>
      </c>
      <c r="E792" s="1">
        <v>9150</v>
      </c>
      <c r="F792" s="1">
        <v>9275</v>
      </c>
      <c r="G792" s="1">
        <v>149002900</v>
      </c>
      <c r="H792" s="4">
        <f t="shared" si="24"/>
        <v>3.0555555555555555E-2</v>
      </c>
      <c r="I792" s="4">
        <f t="shared" si="25"/>
        <v>0.64888888888888885</v>
      </c>
    </row>
    <row r="793" spans="1:9" x14ac:dyDescent="0.2">
      <c r="A793" s="2">
        <f ca="1">IFERROR(__xludf.DUMMYFUNCTION("""COMPUTED_VALUE"""),45792.6666666666)</f>
        <v>45792.666666666599</v>
      </c>
      <c r="B793" s="2" t="s">
        <v>54</v>
      </c>
      <c r="C793" s="1">
        <v>9275</v>
      </c>
      <c r="D793" s="1">
        <v>9400</v>
      </c>
      <c r="E793" s="1">
        <v>9250</v>
      </c>
      <c r="F793" s="1">
        <v>9275</v>
      </c>
      <c r="G793" s="1">
        <v>101401300</v>
      </c>
      <c r="H793" s="4">
        <f t="shared" si="24"/>
        <v>0</v>
      </c>
      <c r="I793" s="4">
        <f t="shared" si="25"/>
        <v>0.64888888888888885</v>
      </c>
    </row>
    <row r="794" spans="1:9" x14ac:dyDescent="0.2">
      <c r="A794" s="2">
        <f ca="1">IFERROR(__xludf.DUMMYFUNCTION("""COMPUTED_VALUE"""),45793.6666666666)</f>
        <v>45793.666666666599</v>
      </c>
      <c r="B794" s="2" t="s">
        <v>54</v>
      </c>
      <c r="C794" s="1">
        <v>9300</v>
      </c>
      <c r="D794" s="1">
        <v>9325</v>
      </c>
      <c r="E794" s="1">
        <v>9225</v>
      </c>
      <c r="F794" s="1">
        <v>9300</v>
      </c>
      <c r="G794" s="1">
        <v>63007500</v>
      </c>
      <c r="H794" s="4">
        <f t="shared" si="24"/>
        <v>2.6954177897574125E-3</v>
      </c>
      <c r="I794" s="4">
        <f t="shared" si="25"/>
        <v>0.65333333333333332</v>
      </c>
    </row>
    <row r="795" spans="1:9" x14ac:dyDescent="0.2">
      <c r="A795" s="2">
        <f ca="1">IFERROR(__xludf.DUMMYFUNCTION("""COMPUTED_VALUE"""),45796.6666666666)</f>
        <v>45796.666666666599</v>
      </c>
      <c r="B795" s="2" t="s">
        <v>54</v>
      </c>
      <c r="C795" s="1">
        <v>9275</v>
      </c>
      <c r="D795" s="1">
        <v>9500</v>
      </c>
      <c r="E795" s="1">
        <v>9250</v>
      </c>
      <c r="F795" s="1">
        <v>9500</v>
      </c>
      <c r="G795" s="1">
        <v>111597200</v>
      </c>
      <c r="H795" s="4">
        <f t="shared" si="24"/>
        <v>2.1505376344086023E-2</v>
      </c>
      <c r="I795" s="4">
        <f t="shared" si="25"/>
        <v>0.68888888888888888</v>
      </c>
    </row>
    <row r="796" spans="1:9" x14ac:dyDescent="0.2">
      <c r="A796" s="2">
        <f ca="1">IFERROR(__xludf.DUMMYFUNCTION("""COMPUTED_VALUE"""),45797.6666666666)</f>
        <v>45797.666666666599</v>
      </c>
      <c r="B796" s="2" t="s">
        <v>54</v>
      </c>
      <c r="C796" s="1">
        <v>9500</v>
      </c>
      <c r="D796" s="1">
        <v>9675</v>
      </c>
      <c r="E796" s="1">
        <v>9475</v>
      </c>
      <c r="F796" s="1">
        <v>9475</v>
      </c>
      <c r="G796" s="1">
        <v>160614800</v>
      </c>
      <c r="H796" s="4">
        <f t="shared" si="24"/>
        <v>-2.631578947368421E-3</v>
      </c>
      <c r="I796" s="4">
        <f t="shared" si="25"/>
        <v>0.68444444444444441</v>
      </c>
    </row>
    <row r="797" spans="1:9" x14ac:dyDescent="0.2">
      <c r="A797" s="2">
        <f ca="1">IFERROR(__xludf.DUMMYFUNCTION("""COMPUTED_VALUE"""),45798.6666666666)</f>
        <v>45798.666666666599</v>
      </c>
      <c r="B797" s="2" t="s">
        <v>54</v>
      </c>
      <c r="C797" s="1">
        <v>9700</v>
      </c>
      <c r="D797" s="1">
        <v>9725</v>
      </c>
      <c r="E797" s="1">
        <v>9550</v>
      </c>
      <c r="F797" s="1">
        <v>9700</v>
      </c>
      <c r="G797" s="1">
        <v>169735400</v>
      </c>
      <c r="H797" s="4">
        <f t="shared" ref="H797:H860" si="26">(F797-F796)/F796</f>
        <v>2.3746701846965697E-2</v>
      </c>
      <c r="I797" s="4">
        <f t="shared" ref="I797:I860" si="27">(F797-$E$2)/$E$2</f>
        <v>0.72444444444444445</v>
      </c>
    </row>
    <row r="798" spans="1:9" x14ac:dyDescent="0.2">
      <c r="A798" s="2">
        <f ca="1">IFERROR(__xludf.DUMMYFUNCTION("""COMPUTED_VALUE"""),45799.6666666666)</f>
        <v>45799.666666666599</v>
      </c>
      <c r="B798" s="2" t="s">
        <v>54</v>
      </c>
      <c r="C798" s="1">
        <v>9800</v>
      </c>
      <c r="D798" s="1">
        <v>9800</v>
      </c>
      <c r="E798" s="1">
        <v>9650</v>
      </c>
      <c r="F798" s="1">
        <v>9650</v>
      </c>
      <c r="G798" s="1">
        <v>103113000</v>
      </c>
      <c r="H798" s="4">
        <f t="shared" si="26"/>
        <v>-5.1546391752577319E-3</v>
      </c>
      <c r="I798" s="4">
        <f t="shared" si="27"/>
        <v>0.7155555555555555</v>
      </c>
    </row>
    <row r="799" spans="1:9" x14ac:dyDescent="0.2">
      <c r="A799" s="2">
        <f ca="1">IFERROR(__xludf.DUMMYFUNCTION("""COMPUTED_VALUE"""),45800.6666666666)</f>
        <v>45800.666666666599</v>
      </c>
      <c r="B799" s="2" t="s">
        <v>54</v>
      </c>
      <c r="C799" s="1">
        <v>9750</v>
      </c>
      <c r="D799" s="1">
        <v>9750</v>
      </c>
      <c r="E799" s="1">
        <v>9625</v>
      </c>
      <c r="F799" s="1">
        <v>9675</v>
      </c>
      <c r="G799" s="1">
        <v>56627400</v>
      </c>
      <c r="H799" s="4">
        <f t="shared" si="26"/>
        <v>2.5906735751295338E-3</v>
      </c>
      <c r="I799" s="4">
        <f t="shared" si="27"/>
        <v>0.72</v>
      </c>
    </row>
    <row r="800" spans="1:9" x14ac:dyDescent="0.2">
      <c r="A800" s="2">
        <f ca="1">IFERROR(__xludf.DUMMYFUNCTION("""COMPUTED_VALUE"""),45803.6666666666)</f>
        <v>45803.666666666599</v>
      </c>
      <c r="B800" s="2" t="s">
        <v>54</v>
      </c>
      <c r="C800" s="1">
        <v>9600</v>
      </c>
      <c r="D800" s="1">
        <v>9650</v>
      </c>
      <c r="E800" s="1">
        <v>9500</v>
      </c>
      <c r="F800" s="1">
        <v>9625</v>
      </c>
      <c r="G800" s="1">
        <v>56625300</v>
      </c>
      <c r="H800" s="4">
        <f t="shared" si="26"/>
        <v>-5.1679586563307496E-3</v>
      </c>
      <c r="I800" s="4">
        <f t="shared" si="27"/>
        <v>0.71111111111111114</v>
      </c>
    </row>
    <row r="801" spans="1:9" x14ac:dyDescent="0.2">
      <c r="A801" s="2">
        <f ca="1">IFERROR(__xludf.DUMMYFUNCTION("""COMPUTED_VALUE"""),45804.6666666666)</f>
        <v>45804.666666666599</v>
      </c>
      <c r="B801" s="2" t="s">
        <v>54</v>
      </c>
      <c r="C801" s="1">
        <v>9550</v>
      </c>
      <c r="D801" s="1">
        <v>9600</v>
      </c>
      <c r="E801" s="1">
        <v>9450</v>
      </c>
      <c r="F801" s="1">
        <v>9450</v>
      </c>
      <c r="G801" s="1">
        <v>93212000</v>
      </c>
      <c r="H801" s="4">
        <f t="shared" si="26"/>
        <v>-1.8181818181818181E-2</v>
      </c>
      <c r="I801" s="4">
        <f t="shared" si="27"/>
        <v>0.68</v>
      </c>
    </row>
    <row r="802" spans="1:9" x14ac:dyDescent="0.2">
      <c r="A802" s="2">
        <f ca="1">IFERROR(__xludf.DUMMYFUNCTION("""COMPUTED_VALUE"""),45805.6666666666)</f>
        <v>45805.666666666599</v>
      </c>
      <c r="B802" s="2" t="s">
        <v>54</v>
      </c>
      <c r="C802" s="1">
        <v>9450</v>
      </c>
      <c r="D802" s="1">
        <v>9550</v>
      </c>
      <c r="E802" s="1">
        <v>9400</v>
      </c>
      <c r="F802" s="1">
        <v>9400</v>
      </c>
      <c r="G802" s="1">
        <v>236950800</v>
      </c>
      <c r="H802" s="4">
        <f t="shared" si="26"/>
        <v>-5.2910052910052907E-3</v>
      </c>
      <c r="I802" s="4">
        <f t="shared" si="27"/>
        <v>0.6711111111111111</v>
      </c>
    </row>
    <row r="803" spans="1:9" x14ac:dyDescent="0.2">
      <c r="A803" s="2">
        <f ca="1">IFERROR(__xludf.DUMMYFUNCTION("""COMPUTED_VALUE"""),45810.6666666666)</f>
        <v>45810.666666666599</v>
      </c>
      <c r="B803" s="2" t="s">
        <v>54</v>
      </c>
      <c r="C803" s="1">
        <v>9025</v>
      </c>
      <c r="D803" s="1">
        <v>9175</v>
      </c>
      <c r="E803" s="1">
        <v>9025</v>
      </c>
      <c r="F803" s="1">
        <v>9100</v>
      </c>
      <c r="G803" s="1">
        <v>264428700</v>
      </c>
      <c r="H803" s="4">
        <f t="shared" si="26"/>
        <v>-3.1914893617021274E-2</v>
      </c>
      <c r="I803" s="4">
        <f t="shared" si="27"/>
        <v>0.61777777777777776</v>
      </c>
    </row>
    <row r="804" spans="1:9" x14ac:dyDescent="0.2">
      <c r="A804" s="2">
        <f ca="1">IFERROR(__xludf.DUMMYFUNCTION("""COMPUTED_VALUE"""),45811.6666666666)</f>
        <v>45811.666666666599</v>
      </c>
      <c r="B804" s="2" t="s">
        <v>54</v>
      </c>
      <c r="C804" s="1">
        <v>9050</v>
      </c>
      <c r="D804" s="1">
        <v>9125</v>
      </c>
      <c r="E804" s="1">
        <v>8950</v>
      </c>
      <c r="F804" s="1">
        <v>9050</v>
      </c>
      <c r="G804" s="1">
        <v>128318100</v>
      </c>
      <c r="H804" s="4">
        <f t="shared" si="26"/>
        <v>-5.4945054945054949E-3</v>
      </c>
      <c r="I804" s="4">
        <f t="shared" si="27"/>
        <v>0.60888888888888892</v>
      </c>
    </row>
    <row r="805" spans="1:9" x14ac:dyDescent="0.2">
      <c r="A805" s="2">
        <f ca="1">IFERROR(__xludf.DUMMYFUNCTION("""COMPUTED_VALUE"""),45812.6666666666)</f>
        <v>45812.666666666599</v>
      </c>
      <c r="B805" s="2" t="s">
        <v>54</v>
      </c>
      <c r="C805" s="1">
        <v>9100</v>
      </c>
      <c r="D805" s="1">
        <v>9125</v>
      </c>
      <c r="E805" s="1">
        <v>8950</v>
      </c>
      <c r="F805" s="1">
        <v>8975</v>
      </c>
      <c r="G805" s="1">
        <v>93357200</v>
      </c>
      <c r="H805" s="4">
        <f t="shared" si="26"/>
        <v>-8.2872928176795577E-3</v>
      </c>
      <c r="I805" s="4">
        <f t="shared" si="27"/>
        <v>0.5955555555555555</v>
      </c>
    </row>
    <row r="806" spans="1:9" x14ac:dyDescent="0.2">
      <c r="A806" s="2">
        <f ca="1">IFERROR(__xludf.DUMMYFUNCTION("""COMPUTED_VALUE"""),45813.6666666666)</f>
        <v>45813.666666666599</v>
      </c>
      <c r="B806" s="2" t="s">
        <v>54</v>
      </c>
      <c r="C806" s="1">
        <v>9000</v>
      </c>
      <c r="D806" s="1">
        <v>9050</v>
      </c>
      <c r="E806" s="1">
        <v>8900</v>
      </c>
      <c r="F806" s="1">
        <v>8925</v>
      </c>
      <c r="G806" s="1">
        <v>95529000</v>
      </c>
      <c r="H806" s="4">
        <f t="shared" si="26"/>
        <v>-5.5710306406685237E-3</v>
      </c>
      <c r="I806" s="4">
        <f t="shared" si="27"/>
        <v>0.58666666666666667</v>
      </c>
    </row>
    <row r="807" spans="1:9" x14ac:dyDescent="0.2">
      <c r="A807" s="2">
        <f ca="1">IFERROR(__xludf.DUMMYFUNCTION("""COMPUTED_VALUE"""),45818.6666666666)</f>
        <v>45818.666666666599</v>
      </c>
      <c r="B807" s="2" t="s">
        <v>54</v>
      </c>
      <c r="C807" s="1">
        <v>8975</v>
      </c>
      <c r="D807" s="1">
        <v>9100</v>
      </c>
      <c r="E807" s="1">
        <v>8950</v>
      </c>
      <c r="F807" s="1">
        <v>9100</v>
      </c>
      <c r="G807" s="1">
        <v>80406400</v>
      </c>
      <c r="H807" s="4">
        <f t="shared" si="26"/>
        <v>1.9607843137254902E-2</v>
      </c>
      <c r="I807" s="4">
        <f t="shared" si="27"/>
        <v>0.61777777777777776</v>
      </c>
    </row>
    <row r="808" spans="1:9" x14ac:dyDescent="0.2">
      <c r="A808" s="2">
        <f ca="1">IFERROR(__xludf.DUMMYFUNCTION("""COMPUTED_VALUE"""),45819.6666666666)</f>
        <v>45819.666666666599</v>
      </c>
      <c r="B808" s="2" t="s">
        <v>54</v>
      </c>
      <c r="C808" s="1">
        <v>9100</v>
      </c>
      <c r="D808" s="1">
        <v>9125</v>
      </c>
      <c r="E808" s="1">
        <v>9050</v>
      </c>
      <c r="F808" s="1">
        <v>9050</v>
      </c>
      <c r="G808" s="1">
        <v>56632600</v>
      </c>
      <c r="H808" s="4">
        <f t="shared" si="26"/>
        <v>-5.4945054945054949E-3</v>
      </c>
      <c r="I808" s="4">
        <f t="shared" si="27"/>
        <v>0.60888888888888892</v>
      </c>
    </row>
    <row r="809" spans="1:9" x14ac:dyDescent="0.2">
      <c r="A809" s="2">
        <f ca="1">IFERROR(__xludf.DUMMYFUNCTION("""COMPUTED_VALUE"""),45820.6666666666)</f>
        <v>45820.666666666599</v>
      </c>
      <c r="B809" s="2" t="s">
        <v>54</v>
      </c>
      <c r="C809" s="1">
        <v>9000</v>
      </c>
      <c r="D809" s="1">
        <v>9125</v>
      </c>
      <c r="E809" s="1">
        <v>9000</v>
      </c>
      <c r="F809" s="1">
        <v>9125</v>
      </c>
      <c r="G809" s="1">
        <v>41337300</v>
      </c>
      <c r="H809" s="4">
        <f t="shared" si="26"/>
        <v>8.2872928176795577E-3</v>
      </c>
      <c r="I809" s="4">
        <f t="shared" si="27"/>
        <v>0.62222222222222223</v>
      </c>
    </row>
    <row r="810" spans="1:9" x14ac:dyDescent="0.2">
      <c r="A810" s="2">
        <f ca="1">IFERROR(__xludf.DUMMYFUNCTION("""COMPUTED_VALUE"""),45821.6666666666)</f>
        <v>45821.666666666599</v>
      </c>
      <c r="B810" s="2" t="s">
        <v>54</v>
      </c>
      <c r="C810" s="1">
        <v>9100</v>
      </c>
      <c r="D810" s="1">
        <v>9125</v>
      </c>
      <c r="E810" s="1">
        <v>8975</v>
      </c>
      <c r="F810" s="1">
        <v>9025</v>
      </c>
      <c r="G810" s="1">
        <v>83318000</v>
      </c>
      <c r="H810" s="4">
        <f t="shared" si="26"/>
        <v>-1.0958904109589041E-2</v>
      </c>
      <c r="I810" s="4">
        <f t="shared" si="27"/>
        <v>0.60444444444444445</v>
      </c>
    </row>
    <row r="811" spans="1:9" x14ac:dyDescent="0.2">
      <c r="A811" s="2">
        <f ca="1">IFERROR(__xludf.DUMMYFUNCTION("""COMPUTED_VALUE"""),45824.6666666666)</f>
        <v>45824.666666666599</v>
      </c>
      <c r="B811" s="2" t="s">
        <v>54</v>
      </c>
      <c r="C811" s="1">
        <v>8925</v>
      </c>
      <c r="D811" s="1">
        <v>9000</v>
      </c>
      <c r="E811" s="1">
        <v>8900</v>
      </c>
      <c r="F811" s="1">
        <v>8925</v>
      </c>
      <c r="G811" s="1">
        <v>57825000</v>
      </c>
      <c r="H811" s="4">
        <f t="shared" si="26"/>
        <v>-1.1080332409972299E-2</v>
      </c>
      <c r="I811" s="4">
        <f t="shared" si="27"/>
        <v>0.58666666666666667</v>
      </c>
    </row>
    <row r="812" spans="1:9" x14ac:dyDescent="0.2">
      <c r="A812" s="2">
        <f ca="1">IFERROR(__xludf.DUMMYFUNCTION("""COMPUTED_VALUE"""),45825.6666666666)</f>
        <v>45825.666666666599</v>
      </c>
      <c r="B812" s="2" t="s">
        <v>54</v>
      </c>
      <c r="C812" s="1">
        <v>8975</v>
      </c>
      <c r="D812" s="1">
        <v>9100</v>
      </c>
      <c r="E812" s="1">
        <v>8975</v>
      </c>
      <c r="F812" s="1">
        <v>9075</v>
      </c>
      <c r="G812" s="1">
        <v>54927900</v>
      </c>
      <c r="H812" s="4">
        <f t="shared" si="26"/>
        <v>1.680672268907563E-2</v>
      </c>
      <c r="I812" s="4">
        <f t="shared" si="27"/>
        <v>0.61333333333333329</v>
      </c>
    </row>
    <row r="813" spans="1:9" x14ac:dyDescent="0.2">
      <c r="A813" s="2">
        <f ca="1">IFERROR(__xludf.DUMMYFUNCTION("""COMPUTED_VALUE"""),45826.6666666666)</f>
        <v>45826.666666666599</v>
      </c>
      <c r="B813" s="2" t="s">
        <v>54</v>
      </c>
      <c r="C813" s="1">
        <v>8950</v>
      </c>
      <c r="D813" s="1">
        <v>9025</v>
      </c>
      <c r="E813" s="1">
        <v>8900</v>
      </c>
      <c r="F813" s="1">
        <v>8900</v>
      </c>
      <c r="G813" s="1">
        <v>86270200</v>
      </c>
      <c r="H813" s="4">
        <f t="shared" si="26"/>
        <v>-1.928374655647383E-2</v>
      </c>
      <c r="I813" s="4">
        <f t="shared" si="27"/>
        <v>0.5822222222222222</v>
      </c>
    </row>
    <row r="814" spans="1:9" x14ac:dyDescent="0.2">
      <c r="A814" s="2">
        <f ca="1">IFERROR(__xludf.DUMMYFUNCTION("""COMPUTED_VALUE"""),45827.6666666666)</f>
        <v>45827.666666666599</v>
      </c>
      <c r="B814" s="2" t="s">
        <v>54</v>
      </c>
      <c r="C814" s="1">
        <v>8900</v>
      </c>
      <c r="D814" s="1">
        <v>8925</v>
      </c>
      <c r="E814" s="1">
        <v>8750</v>
      </c>
      <c r="F814" s="1">
        <v>8775</v>
      </c>
      <c r="G814" s="1">
        <v>78879500</v>
      </c>
      <c r="H814" s="4">
        <f t="shared" si="26"/>
        <v>-1.4044943820224719E-2</v>
      </c>
      <c r="I814" s="4">
        <f t="shared" si="27"/>
        <v>0.56000000000000005</v>
      </c>
    </row>
    <row r="815" spans="1:9" x14ac:dyDescent="0.2">
      <c r="A815" s="2">
        <f ca="1">IFERROR(__xludf.DUMMYFUNCTION("""COMPUTED_VALUE"""),45828.6666666666)</f>
        <v>45828.666666666599</v>
      </c>
      <c r="B815" s="2" t="s">
        <v>54</v>
      </c>
      <c r="C815" s="1">
        <v>8700</v>
      </c>
      <c r="D815" s="1">
        <v>8875</v>
      </c>
      <c r="E815" s="1">
        <v>8625</v>
      </c>
      <c r="F815" s="1">
        <v>8700</v>
      </c>
      <c r="G815" s="1">
        <v>445915100</v>
      </c>
      <c r="H815" s="4">
        <f t="shared" si="26"/>
        <v>-8.5470085470085479E-3</v>
      </c>
      <c r="I815" s="4">
        <f t="shared" si="27"/>
        <v>0.54666666666666663</v>
      </c>
    </row>
    <row r="816" spans="1:9" x14ac:dyDescent="0.2">
      <c r="A816" s="2">
        <f ca="1">IFERROR(__xludf.DUMMYFUNCTION("""COMPUTED_VALUE"""),45831.6666666666)</f>
        <v>45831.666666666599</v>
      </c>
      <c r="B816" s="2" t="s">
        <v>54</v>
      </c>
      <c r="C816" s="1">
        <v>8575</v>
      </c>
      <c r="D816" s="1">
        <v>8700</v>
      </c>
      <c r="E816" s="1">
        <v>8500</v>
      </c>
      <c r="F816" s="1">
        <v>8625</v>
      </c>
      <c r="G816" s="1">
        <v>87324500</v>
      </c>
      <c r="H816" s="4">
        <f t="shared" si="26"/>
        <v>-8.6206896551724137E-3</v>
      </c>
      <c r="I816" s="4">
        <f t="shared" si="27"/>
        <v>0.53333333333333333</v>
      </c>
    </row>
    <row r="817" spans="1:9" x14ac:dyDescent="0.2">
      <c r="A817" s="2">
        <f ca="1">IFERROR(__xludf.DUMMYFUNCTION("""COMPUTED_VALUE"""),45832.6666666666)</f>
        <v>45832.666666666599</v>
      </c>
      <c r="B817" s="2" t="s">
        <v>54</v>
      </c>
      <c r="C817" s="1">
        <v>8725</v>
      </c>
      <c r="D817" s="1">
        <v>8850</v>
      </c>
      <c r="E817" s="1">
        <v>8700</v>
      </c>
      <c r="F817" s="1">
        <v>8775</v>
      </c>
      <c r="G817" s="1">
        <v>110158900</v>
      </c>
      <c r="H817" s="4">
        <f t="shared" si="26"/>
        <v>1.7391304347826087E-2</v>
      </c>
      <c r="I817" s="4">
        <f t="shared" si="27"/>
        <v>0.56000000000000005</v>
      </c>
    </row>
    <row r="818" spans="1:9" x14ac:dyDescent="0.2">
      <c r="A818" s="2">
        <f ca="1">IFERROR(__xludf.DUMMYFUNCTION("""COMPUTED_VALUE"""),45833.6666666666)</f>
        <v>45833.666666666599</v>
      </c>
      <c r="B818" s="2" t="s">
        <v>54</v>
      </c>
      <c r="C818" s="1">
        <v>8725</v>
      </c>
      <c r="D818" s="1">
        <v>8775</v>
      </c>
      <c r="E818" s="1">
        <v>8475</v>
      </c>
      <c r="F818" s="1">
        <v>8600</v>
      </c>
      <c r="G818" s="1">
        <v>117561000</v>
      </c>
      <c r="H818" s="4">
        <f t="shared" si="26"/>
        <v>-1.9943019943019943E-2</v>
      </c>
      <c r="I818" s="4">
        <f t="shared" si="27"/>
        <v>0.52888888888888885</v>
      </c>
    </row>
    <row r="819" spans="1:9" x14ac:dyDescent="0.2">
      <c r="A819" s="2">
        <f ca="1">IFERROR(__xludf.DUMMYFUNCTION("""COMPUTED_VALUE"""),45834.6666666666)</f>
        <v>45834.666666666599</v>
      </c>
      <c r="B819" s="2" t="s">
        <v>54</v>
      </c>
      <c r="C819" s="1">
        <v>8525</v>
      </c>
      <c r="D819" s="1">
        <v>8650</v>
      </c>
      <c r="E819" s="1">
        <v>8525</v>
      </c>
      <c r="F819" s="1">
        <v>8650</v>
      </c>
      <c r="G819" s="1">
        <v>117281700</v>
      </c>
      <c r="H819" s="4">
        <f t="shared" si="26"/>
        <v>5.8139534883720929E-3</v>
      </c>
      <c r="I819" s="4">
        <f t="shared" si="27"/>
        <v>0.5377777777777778</v>
      </c>
    </row>
    <row r="820" spans="1:9" x14ac:dyDescent="0.2">
      <c r="A820" s="2">
        <f ca="1">IFERROR(__xludf.DUMMYFUNCTION("""COMPUTED_VALUE"""),45838.6666666666)</f>
        <v>45838.666666666599</v>
      </c>
      <c r="B820" s="2" t="s">
        <v>54</v>
      </c>
      <c r="C820" s="1">
        <v>8575</v>
      </c>
      <c r="D820" s="1">
        <v>8825</v>
      </c>
      <c r="E820" s="1">
        <v>8550</v>
      </c>
      <c r="F820" s="1">
        <v>8675</v>
      </c>
      <c r="G820" s="1">
        <v>185441800</v>
      </c>
      <c r="H820" s="4">
        <f t="shared" si="26"/>
        <v>2.8901734104046241E-3</v>
      </c>
      <c r="I820" s="4">
        <f t="shared" si="27"/>
        <v>0.54222222222222227</v>
      </c>
    </row>
    <row r="821" spans="1:9" x14ac:dyDescent="0.2">
      <c r="A821" s="2">
        <f ca="1">IFERROR(__xludf.DUMMYFUNCTION("""COMPUTED_VALUE"""),45839.6666666666)</f>
        <v>45839.666666666599</v>
      </c>
      <c r="B821" s="2" t="s">
        <v>54</v>
      </c>
      <c r="C821" s="1">
        <v>8750</v>
      </c>
      <c r="D821" s="1">
        <v>8775</v>
      </c>
      <c r="E821" s="1">
        <v>8600</v>
      </c>
      <c r="F821" s="1">
        <v>8700</v>
      </c>
      <c r="G821" s="1">
        <v>82364500</v>
      </c>
      <c r="H821" s="4">
        <f t="shared" si="26"/>
        <v>2.881844380403458E-3</v>
      </c>
      <c r="I821" s="4">
        <f t="shared" si="27"/>
        <v>0.54666666666666663</v>
      </c>
    </row>
    <row r="822" spans="1:9" x14ac:dyDescent="0.2">
      <c r="A822" s="2">
        <f ca="1">IFERROR(__xludf.DUMMYFUNCTION("""COMPUTED_VALUE"""),45840.6666666666)</f>
        <v>45840.666666666599</v>
      </c>
      <c r="B822" s="2" t="s">
        <v>54</v>
      </c>
      <c r="C822" s="1">
        <v>8575</v>
      </c>
      <c r="D822" s="1">
        <v>8675</v>
      </c>
      <c r="E822" s="1">
        <v>8575</v>
      </c>
      <c r="F822" s="1">
        <v>8675</v>
      </c>
      <c r="G822" s="1">
        <v>68545100</v>
      </c>
      <c r="H822" s="4">
        <f t="shared" si="26"/>
        <v>-2.8735632183908046E-3</v>
      </c>
      <c r="I822" s="4">
        <f t="shared" si="27"/>
        <v>0.54222222222222227</v>
      </c>
    </row>
    <row r="823" spans="1:9" x14ac:dyDescent="0.2">
      <c r="A823" s="2">
        <f ca="1">IFERROR(__xludf.DUMMYFUNCTION("""COMPUTED_VALUE"""),45841.6666666666)</f>
        <v>45841.666666666599</v>
      </c>
      <c r="B823" s="2" t="s">
        <v>54</v>
      </c>
      <c r="C823" s="1">
        <v>8700</v>
      </c>
      <c r="D823" s="1">
        <v>8750</v>
      </c>
      <c r="E823" s="1">
        <v>8600</v>
      </c>
      <c r="F823" s="1">
        <v>8600</v>
      </c>
      <c r="G823" s="1">
        <v>50370800</v>
      </c>
      <c r="H823" s="4">
        <f t="shared" si="26"/>
        <v>-8.6455331412103754E-3</v>
      </c>
      <c r="I823" s="4">
        <f t="shared" si="27"/>
        <v>0.52888888888888885</v>
      </c>
    </row>
    <row r="824" spans="1:9" x14ac:dyDescent="0.2">
      <c r="A824" s="2">
        <f ca="1">IFERROR(__xludf.DUMMYFUNCTION("""COMPUTED_VALUE"""),45842.6666666666)</f>
        <v>45842.666666666599</v>
      </c>
      <c r="B824" s="2" t="s">
        <v>54</v>
      </c>
      <c r="C824" s="1">
        <v>8650</v>
      </c>
      <c r="D824" s="1">
        <v>8700</v>
      </c>
      <c r="E824" s="1">
        <v>8550</v>
      </c>
      <c r="F824" s="1">
        <v>8650</v>
      </c>
      <c r="G824" s="1">
        <v>43593300</v>
      </c>
      <c r="H824" s="4">
        <f t="shared" si="26"/>
        <v>5.8139534883720929E-3</v>
      </c>
      <c r="I824" s="4">
        <f t="shared" si="27"/>
        <v>0.5377777777777778</v>
      </c>
    </row>
    <row r="825" spans="1:9" x14ac:dyDescent="0.2">
      <c r="A825" s="2">
        <f ca="1">IFERROR(__xludf.DUMMYFUNCTION("""COMPUTED_VALUE"""),45845.6666666666)</f>
        <v>45845.666666666599</v>
      </c>
      <c r="B825" s="2" t="s">
        <v>54</v>
      </c>
      <c r="C825" s="1">
        <v>8625</v>
      </c>
      <c r="D825" s="1">
        <v>8650</v>
      </c>
      <c r="E825" s="1">
        <v>8550</v>
      </c>
      <c r="F825" s="1">
        <v>8625</v>
      </c>
      <c r="G825" s="1">
        <v>49936900</v>
      </c>
      <c r="H825" s="4">
        <f t="shared" si="26"/>
        <v>-2.8901734104046241E-3</v>
      </c>
      <c r="I825" s="4">
        <f t="shared" si="27"/>
        <v>0.53333333333333333</v>
      </c>
    </row>
    <row r="826" spans="1:9" x14ac:dyDescent="0.2">
      <c r="A826" s="2">
        <f ca="1">IFERROR(__xludf.DUMMYFUNCTION("""COMPUTED_VALUE"""),45846.6666666666)</f>
        <v>45846.666666666599</v>
      </c>
      <c r="B826" s="2" t="s">
        <v>54</v>
      </c>
      <c r="C826" s="1">
        <v>8550</v>
      </c>
      <c r="D826" s="1">
        <v>8600</v>
      </c>
      <c r="E826" s="1">
        <v>8425</v>
      </c>
      <c r="F826" s="1">
        <v>8500</v>
      </c>
      <c r="G826" s="1">
        <v>215611000</v>
      </c>
      <c r="H826" s="4">
        <f t="shared" si="26"/>
        <v>-1.4492753623188406E-2</v>
      </c>
      <c r="I826" s="4">
        <f t="shared" si="27"/>
        <v>0.51111111111111107</v>
      </c>
    </row>
    <row r="827" spans="1:9" x14ac:dyDescent="0.2">
      <c r="A827" s="2">
        <f ca="1">IFERROR(__xludf.DUMMYFUNCTION("""COMPUTED_VALUE"""),45847.6666666666)</f>
        <v>45847.666666666599</v>
      </c>
      <c r="B827" s="2" t="s">
        <v>54</v>
      </c>
      <c r="C827" s="1">
        <v>8500</v>
      </c>
      <c r="D827" s="1">
        <v>8550</v>
      </c>
      <c r="E827" s="1">
        <v>8450</v>
      </c>
      <c r="F827" s="1">
        <v>8500</v>
      </c>
      <c r="G827" s="1">
        <v>94459300</v>
      </c>
      <c r="H827" s="4">
        <f t="shared" si="26"/>
        <v>0</v>
      </c>
      <c r="I827" s="4">
        <f t="shared" si="27"/>
        <v>0.51111111111111107</v>
      </c>
    </row>
    <row r="828" spans="1:9" x14ac:dyDescent="0.2">
      <c r="A828" s="2">
        <f ca="1">IFERROR(__xludf.DUMMYFUNCTION("""COMPUTED_VALUE"""),45848.6666666666)</f>
        <v>45848.666666666599</v>
      </c>
      <c r="B828" s="2" t="s">
        <v>54</v>
      </c>
      <c r="C828" s="1">
        <v>8525</v>
      </c>
      <c r="D828" s="1">
        <v>8650</v>
      </c>
      <c r="E828" s="1">
        <v>8500</v>
      </c>
      <c r="F828" s="1">
        <v>8600</v>
      </c>
      <c r="G828" s="1">
        <v>111769400</v>
      </c>
      <c r="H828" s="4">
        <f t="shared" si="26"/>
        <v>1.1764705882352941E-2</v>
      </c>
      <c r="I828" s="4">
        <f t="shared" si="27"/>
        <v>0.52888888888888885</v>
      </c>
    </row>
    <row r="829" spans="1:9" x14ac:dyDescent="0.2">
      <c r="A829" s="2">
        <f ca="1">IFERROR(__xludf.DUMMYFUNCTION("""COMPUTED_VALUE"""),45849.6666666666)</f>
        <v>45849.666666666599</v>
      </c>
      <c r="B829" s="2" t="s">
        <v>54</v>
      </c>
      <c r="C829" s="1">
        <v>8575</v>
      </c>
      <c r="D829" s="1">
        <v>8675</v>
      </c>
      <c r="E829" s="1">
        <v>8575</v>
      </c>
      <c r="F829" s="1">
        <v>8625</v>
      </c>
      <c r="G829" s="1">
        <v>135986500</v>
      </c>
      <c r="H829" s="4">
        <f t="shared" si="26"/>
        <v>2.9069767441860465E-3</v>
      </c>
      <c r="I829" s="4">
        <f t="shared" si="27"/>
        <v>0.53333333333333333</v>
      </c>
    </row>
    <row r="830" spans="1:9" x14ac:dyDescent="0.2">
      <c r="A830" s="2">
        <f ca="1">IFERROR(__xludf.DUMMYFUNCTION("""COMPUTED_VALUE"""),45852.6666666666)</f>
        <v>45852.666666666599</v>
      </c>
      <c r="B830" s="2" t="s">
        <v>54</v>
      </c>
      <c r="C830" s="1">
        <v>8650</v>
      </c>
      <c r="D830" s="1">
        <v>8675</v>
      </c>
      <c r="E830" s="1">
        <v>8450</v>
      </c>
      <c r="F830" s="1">
        <v>8525</v>
      </c>
      <c r="G830" s="1">
        <v>125196000</v>
      </c>
      <c r="H830" s="4">
        <f t="shared" si="26"/>
        <v>-1.1594202898550725E-2</v>
      </c>
      <c r="I830" s="4">
        <f t="shared" si="27"/>
        <v>0.51555555555555554</v>
      </c>
    </row>
    <row r="831" spans="1:9" x14ac:dyDescent="0.2">
      <c r="A831" s="2">
        <f ca="1">IFERROR(__xludf.DUMMYFUNCTION("""COMPUTED_VALUE"""),45853.6666666666)</f>
        <v>45853.666666666599</v>
      </c>
      <c r="B831" s="2" t="s">
        <v>54</v>
      </c>
      <c r="C831" s="1">
        <v>8600</v>
      </c>
      <c r="D831" s="1">
        <v>8600</v>
      </c>
      <c r="E831" s="1">
        <v>8475</v>
      </c>
      <c r="F831" s="1">
        <v>8550</v>
      </c>
      <c r="G831" s="1">
        <v>77219300</v>
      </c>
      <c r="H831" s="4">
        <f t="shared" si="26"/>
        <v>2.9325513196480938E-3</v>
      </c>
      <c r="I831" s="4">
        <f t="shared" si="27"/>
        <v>0.52</v>
      </c>
    </row>
    <row r="832" spans="1:9" x14ac:dyDescent="0.2">
      <c r="A832" s="2">
        <f ca="1">IFERROR(__xludf.DUMMYFUNCTION("""COMPUTED_VALUE"""),45854.6666666666)</f>
        <v>45854.666666666599</v>
      </c>
      <c r="B832" s="2" t="s">
        <v>54</v>
      </c>
      <c r="C832" s="1">
        <v>8550</v>
      </c>
      <c r="D832" s="1">
        <v>8600</v>
      </c>
      <c r="E832" s="1">
        <v>8500</v>
      </c>
      <c r="F832" s="1">
        <v>8525</v>
      </c>
      <c r="G832" s="1">
        <v>97475300</v>
      </c>
      <c r="H832" s="4">
        <f t="shared" si="26"/>
        <v>-2.9239766081871343E-3</v>
      </c>
      <c r="I832" s="4">
        <f t="shared" si="27"/>
        <v>0.51555555555555554</v>
      </c>
    </row>
    <row r="833" spans="1:9" x14ac:dyDescent="0.2">
      <c r="A833" s="2">
        <f ca="1">IFERROR(__xludf.DUMMYFUNCTION("""COMPUTED_VALUE"""),45855.6666666666)</f>
        <v>45855.666666666599</v>
      </c>
      <c r="B833" s="2" t="s">
        <v>54</v>
      </c>
      <c r="C833" s="1">
        <v>8500</v>
      </c>
      <c r="D833" s="1">
        <v>8550</v>
      </c>
      <c r="E833" s="1">
        <v>8500</v>
      </c>
      <c r="F833" s="1">
        <v>8525</v>
      </c>
      <c r="G833" s="1">
        <v>86016400</v>
      </c>
      <c r="H833" s="4">
        <f t="shared" si="26"/>
        <v>0</v>
      </c>
      <c r="I833" s="4">
        <f t="shared" si="27"/>
        <v>0.51555555555555554</v>
      </c>
    </row>
    <row r="834" spans="1:9" x14ac:dyDescent="0.2">
      <c r="A834" s="2">
        <f ca="1">IFERROR(__xludf.DUMMYFUNCTION("""COMPUTED_VALUE"""),45856.6666666666)</f>
        <v>45856.666666666599</v>
      </c>
      <c r="B834" s="2" t="s">
        <v>54</v>
      </c>
      <c r="C834" s="1">
        <v>8550</v>
      </c>
      <c r="D834" s="1">
        <v>8575</v>
      </c>
      <c r="E834" s="1">
        <v>8425</v>
      </c>
      <c r="F834" s="1">
        <v>8425</v>
      </c>
      <c r="G834" s="1">
        <v>80432200</v>
      </c>
      <c r="H834" s="4">
        <f t="shared" si="26"/>
        <v>-1.1730205278592375E-2</v>
      </c>
      <c r="I834" s="4">
        <f t="shared" si="27"/>
        <v>0.49777777777777776</v>
      </c>
    </row>
    <row r="835" spans="1:9" x14ac:dyDescent="0.2">
      <c r="A835" s="2">
        <f ca="1">IFERROR(__xludf.DUMMYFUNCTION("""COMPUTED_VALUE"""),45859.6666666666)</f>
        <v>45859.666666666599</v>
      </c>
      <c r="B835" s="2" t="s">
        <v>54</v>
      </c>
      <c r="C835" s="1">
        <v>8450</v>
      </c>
      <c r="D835" s="1">
        <v>8500</v>
      </c>
      <c r="E835" s="1">
        <v>8375</v>
      </c>
      <c r="F835" s="1">
        <v>8450</v>
      </c>
      <c r="G835" s="1">
        <v>95383500</v>
      </c>
      <c r="H835" s="4">
        <f t="shared" si="26"/>
        <v>2.967359050445104E-3</v>
      </c>
      <c r="I835" s="4">
        <f t="shared" si="27"/>
        <v>0.50222222222222224</v>
      </c>
    </row>
    <row r="836" spans="1:9" x14ac:dyDescent="0.2">
      <c r="A836" s="2">
        <f ca="1">IFERROR(__xludf.DUMMYFUNCTION("""COMPUTED_VALUE"""),45860.6666666666)</f>
        <v>45860.666666666599</v>
      </c>
      <c r="B836" s="2" t="s">
        <v>54</v>
      </c>
      <c r="C836" s="1">
        <v>8450</v>
      </c>
      <c r="D836" s="1">
        <v>8475</v>
      </c>
      <c r="E836" s="1">
        <v>8400</v>
      </c>
      <c r="F836" s="1">
        <v>8400</v>
      </c>
      <c r="G836" s="1">
        <v>77981700</v>
      </c>
      <c r="H836" s="4">
        <f t="shared" si="26"/>
        <v>-5.9171597633136093E-3</v>
      </c>
      <c r="I836" s="4">
        <f t="shared" si="27"/>
        <v>0.49333333333333335</v>
      </c>
    </row>
    <row r="837" spans="1:9" x14ac:dyDescent="0.2">
      <c r="A837" s="2">
        <f ca="1">IFERROR(__xludf.DUMMYFUNCTION("""COMPUTED_VALUE"""),45861.6666666666)</f>
        <v>45861.666666666599</v>
      </c>
      <c r="B837" s="2" t="s">
        <v>54</v>
      </c>
      <c r="C837" s="1">
        <v>8450</v>
      </c>
      <c r="D837" s="1">
        <v>8500</v>
      </c>
      <c r="E837" s="1">
        <v>8400</v>
      </c>
      <c r="F837" s="1">
        <v>8425</v>
      </c>
      <c r="G837" s="1">
        <v>70969500</v>
      </c>
      <c r="H837" s="4">
        <f t="shared" si="26"/>
        <v>2.976190476190476E-3</v>
      </c>
      <c r="I837" s="4">
        <f t="shared" si="27"/>
        <v>0.49777777777777776</v>
      </c>
    </row>
    <row r="838" spans="1:9" x14ac:dyDescent="0.2">
      <c r="A838" s="2">
        <f ca="1">IFERROR(__xludf.DUMMYFUNCTION("""COMPUTED_VALUE"""),45862.6666666666)</f>
        <v>45862.666666666599</v>
      </c>
      <c r="B838" s="2" t="s">
        <v>54</v>
      </c>
      <c r="C838" s="1">
        <v>8475</v>
      </c>
      <c r="D838" s="1">
        <v>8550</v>
      </c>
      <c r="E838" s="1">
        <v>8450</v>
      </c>
      <c r="F838" s="1">
        <v>8500</v>
      </c>
      <c r="G838" s="1">
        <v>138256800</v>
      </c>
      <c r="H838" s="4">
        <f t="shared" si="26"/>
        <v>8.9020771513353119E-3</v>
      </c>
      <c r="I838" s="4">
        <f t="shared" si="27"/>
        <v>0.51111111111111107</v>
      </c>
    </row>
    <row r="839" spans="1:9" x14ac:dyDescent="0.2">
      <c r="A839" s="2">
        <f ca="1">IFERROR(__xludf.DUMMYFUNCTION("""COMPUTED_VALUE"""),45863.6666666666)</f>
        <v>45863.666666666599</v>
      </c>
      <c r="B839" s="2" t="s">
        <v>54</v>
      </c>
      <c r="C839" s="1">
        <v>8500</v>
      </c>
      <c r="D839" s="1">
        <v>8525</v>
      </c>
      <c r="E839" s="1">
        <v>8450</v>
      </c>
      <c r="F839" s="1">
        <v>8450</v>
      </c>
      <c r="G839" s="1">
        <v>58682800</v>
      </c>
      <c r="H839" s="4">
        <f t="shared" si="26"/>
        <v>-5.8823529411764705E-3</v>
      </c>
      <c r="I839" s="4">
        <f t="shared" si="27"/>
        <v>0.50222222222222224</v>
      </c>
    </row>
    <row r="840" spans="1:9" x14ac:dyDescent="0.2">
      <c r="A840" s="2">
        <f ca="1">IFERROR(__xludf.DUMMYFUNCTION("""COMPUTED_VALUE"""),45866.6666666666)</f>
        <v>45866.666666666599</v>
      </c>
      <c r="B840" s="2" t="s">
        <v>54</v>
      </c>
      <c r="C840" s="1">
        <v>8625</v>
      </c>
      <c r="D840" s="1">
        <v>8625</v>
      </c>
      <c r="E840" s="1">
        <v>8475</v>
      </c>
      <c r="F840" s="1">
        <v>8500</v>
      </c>
      <c r="G840" s="1">
        <v>99484300</v>
      </c>
      <c r="H840" s="4">
        <f t="shared" si="26"/>
        <v>5.9171597633136093E-3</v>
      </c>
      <c r="I840" s="4">
        <f t="shared" si="27"/>
        <v>0.51111111111111107</v>
      </c>
    </row>
    <row r="841" spans="1:9" x14ac:dyDescent="0.2">
      <c r="A841" s="2">
        <f ca="1">IFERROR(__xludf.DUMMYFUNCTION("""COMPUTED_VALUE"""),45867.6666666666)</f>
        <v>45867.666666666599</v>
      </c>
      <c r="B841" s="2" t="s">
        <v>54</v>
      </c>
      <c r="C841" s="1">
        <v>8500</v>
      </c>
      <c r="D841" s="1">
        <v>8500</v>
      </c>
      <c r="E841" s="1">
        <v>8375</v>
      </c>
      <c r="F841" s="1">
        <v>8400</v>
      </c>
      <c r="G841" s="1">
        <v>104240300</v>
      </c>
      <c r="H841" s="4">
        <f t="shared" si="26"/>
        <v>-1.1764705882352941E-2</v>
      </c>
      <c r="I841" s="4">
        <f t="shared" si="27"/>
        <v>0.49333333333333335</v>
      </c>
    </row>
    <row r="842" spans="1:9" x14ac:dyDescent="0.2">
      <c r="A842" s="2">
        <f ca="1">IFERROR(__xludf.DUMMYFUNCTION("""COMPUTED_VALUE"""),45868.6666666666)</f>
        <v>45868.666666666599</v>
      </c>
      <c r="B842" s="2" t="s">
        <v>54</v>
      </c>
      <c r="C842" s="1">
        <v>8475</v>
      </c>
      <c r="D842" s="1">
        <v>8475</v>
      </c>
      <c r="E842" s="1">
        <v>8325</v>
      </c>
      <c r="F842" s="1">
        <v>8375</v>
      </c>
      <c r="G842" s="1">
        <v>98098100</v>
      </c>
      <c r="H842" s="4">
        <f t="shared" si="26"/>
        <v>-2.976190476190476E-3</v>
      </c>
      <c r="I842" s="4">
        <f t="shared" si="27"/>
        <v>0.48888888888888887</v>
      </c>
    </row>
    <row r="843" spans="1:9" x14ac:dyDescent="0.2">
      <c r="A843" s="2">
        <f ca="1">IFERROR(__xludf.DUMMYFUNCTION("""COMPUTED_VALUE"""),45869.6666666666)</f>
        <v>45869.666666666599</v>
      </c>
      <c r="B843" s="2" t="s">
        <v>54</v>
      </c>
      <c r="C843" s="1">
        <v>8350</v>
      </c>
      <c r="D843" s="1">
        <v>8375</v>
      </c>
      <c r="E843" s="1">
        <v>8250</v>
      </c>
      <c r="F843" s="1">
        <v>8275</v>
      </c>
      <c r="G843" s="1">
        <v>206006300</v>
      </c>
      <c r="H843" s="4">
        <f t="shared" si="26"/>
        <v>-1.1940298507462687E-2</v>
      </c>
      <c r="I843" s="4">
        <f t="shared" si="27"/>
        <v>0.47111111111111109</v>
      </c>
    </row>
    <row r="844" spans="1:9" x14ac:dyDescent="0.2">
      <c r="A844" s="2">
        <f ca="1">IFERROR(__xludf.DUMMYFUNCTION("""COMPUTED_VALUE"""),45870.6666666666)</f>
        <v>45870.666666666599</v>
      </c>
      <c r="B844" s="2" t="s">
        <v>54</v>
      </c>
      <c r="C844" s="1">
        <v>8400</v>
      </c>
      <c r="D844" s="1">
        <v>8425</v>
      </c>
      <c r="E844" s="1">
        <v>8300</v>
      </c>
      <c r="F844" s="1">
        <v>8300</v>
      </c>
      <c r="G844" s="1">
        <v>86196100</v>
      </c>
      <c r="H844" s="4">
        <f t="shared" si="26"/>
        <v>3.0211480362537764E-3</v>
      </c>
      <c r="I844" s="4">
        <f t="shared" si="27"/>
        <v>0.47555555555555556</v>
      </c>
    </row>
    <row r="845" spans="1:9" x14ac:dyDescent="0.2">
      <c r="A845" s="2">
        <f ca="1">IFERROR(__xludf.DUMMYFUNCTION("""COMPUTED_VALUE"""),45873.6666666666)</f>
        <v>45873.666666666599</v>
      </c>
      <c r="B845" s="2" t="s">
        <v>54</v>
      </c>
      <c r="C845" s="1">
        <v>8325</v>
      </c>
      <c r="D845" s="1">
        <v>8350</v>
      </c>
      <c r="E845" s="1">
        <v>8275</v>
      </c>
      <c r="F845" s="1">
        <v>8275</v>
      </c>
      <c r="G845" s="1">
        <v>49054500</v>
      </c>
      <c r="H845" s="4">
        <f t="shared" si="26"/>
        <v>-3.0120481927710845E-3</v>
      </c>
      <c r="I845" s="4">
        <f t="shared" si="27"/>
        <v>0.47111111111111109</v>
      </c>
    </row>
    <row r="846" spans="1:9" x14ac:dyDescent="0.2">
      <c r="A846" s="2">
        <f ca="1">IFERROR(__xludf.DUMMYFUNCTION("""COMPUTED_VALUE"""),45874.6666666666)</f>
        <v>45874.666666666599</v>
      </c>
      <c r="B846" s="2" t="s">
        <v>54</v>
      </c>
      <c r="C846" s="1">
        <v>8350</v>
      </c>
      <c r="D846" s="1">
        <v>8450</v>
      </c>
      <c r="E846" s="1">
        <v>8325</v>
      </c>
      <c r="F846" s="1">
        <v>8425</v>
      </c>
      <c r="G846" s="1">
        <v>69475900</v>
      </c>
      <c r="H846" s="4">
        <f t="shared" si="26"/>
        <v>1.812688821752266E-2</v>
      </c>
      <c r="I846" s="4">
        <f t="shared" si="27"/>
        <v>0.49777777777777776</v>
      </c>
    </row>
    <row r="847" spans="1:9" x14ac:dyDescent="0.2">
      <c r="A847" s="2">
        <f ca="1">IFERROR(__xludf.DUMMYFUNCTION("""COMPUTED_VALUE"""),45875.6666666666)</f>
        <v>45875.666666666599</v>
      </c>
      <c r="B847" s="2" t="s">
        <v>54</v>
      </c>
      <c r="C847" s="1">
        <v>8425</v>
      </c>
      <c r="D847" s="1">
        <v>8425</v>
      </c>
      <c r="E847" s="1">
        <v>8300</v>
      </c>
      <c r="F847" s="1">
        <v>8300</v>
      </c>
      <c r="G847" s="1">
        <v>56325400</v>
      </c>
      <c r="H847" s="4">
        <f t="shared" si="26"/>
        <v>-1.483679525222552E-2</v>
      </c>
      <c r="I847" s="4">
        <f t="shared" si="27"/>
        <v>0.47555555555555556</v>
      </c>
    </row>
    <row r="848" spans="1:9" x14ac:dyDescent="0.2">
      <c r="A848" s="2">
        <f ca="1">IFERROR(__xludf.DUMMYFUNCTION("""COMPUTED_VALUE"""),45876.6666666666)</f>
        <v>45876.666666666599</v>
      </c>
      <c r="B848" s="2" t="s">
        <v>54</v>
      </c>
      <c r="C848" s="1">
        <v>8325</v>
      </c>
      <c r="D848" s="1">
        <v>8350</v>
      </c>
      <c r="E848" s="1">
        <v>8300</v>
      </c>
      <c r="F848" s="1">
        <v>8300</v>
      </c>
      <c r="G848" s="1">
        <v>43621300</v>
      </c>
      <c r="H848" s="4">
        <f t="shared" si="26"/>
        <v>0</v>
      </c>
      <c r="I848" s="4">
        <f t="shared" si="27"/>
        <v>0.47555555555555556</v>
      </c>
    </row>
    <row r="849" spans="1:9" x14ac:dyDescent="0.2">
      <c r="A849" s="2">
        <f ca="1">IFERROR(__xludf.DUMMYFUNCTION("""COMPUTED_VALUE"""),45877.6666666666)</f>
        <v>45877.666666666599</v>
      </c>
      <c r="B849" s="2" t="s">
        <v>54</v>
      </c>
      <c r="C849" s="1">
        <v>8325</v>
      </c>
      <c r="D849" s="1">
        <v>8400</v>
      </c>
      <c r="E849" s="1">
        <v>8300</v>
      </c>
      <c r="F849" s="1">
        <v>8300</v>
      </c>
      <c r="G849" s="1">
        <v>68378700</v>
      </c>
      <c r="H849" s="4">
        <f t="shared" si="26"/>
        <v>0</v>
      </c>
      <c r="I849" s="4">
        <f t="shared" si="27"/>
        <v>0.47555555555555556</v>
      </c>
    </row>
    <row r="850" spans="1:9" x14ac:dyDescent="0.2">
      <c r="A850" s="2">
        <f ca="1">IFERROR(__xludf.DUMMYFUNCTION("""COMPUTED_VALUE"""),45880.6666666666)</f>
        <v>45880.666666666599</v>
      </c>
      <c r="B850" s="2" t="s">
        <v>54</v>
      </c>
      <c r="C850" s="1">
        <v>8500</v>
      </c>
      <c r="D850" s="1">
        <v>8550</v>
      </c>
      <c r="E850" s="1">
        <v>8425</v>
      </c>
      <c r="F850" s="1">
        <v>8550</v>
      </c>
      <c r="G850" s="1">
        <v>128561300</v>
      </c>
      <c r="H850" s="4">
        <f t="shared" si="26"/>
        <v>3.0120481927710843E-2</v>
      </c>
      <c r="I850" s="4">
        <f t="shared" si="27"/>
        <v>0.52</v>
      </c>
    </row>
    <row r="851" spans="1:9" x14ac:dyDescent="0.2">
      <c r="A851" s="2">
        <f ca="1">IFERROR(__xludf.DUMMYFUNCTION("""COMPUTED_VALUE"""),45881.6666666666)</f>
        <v>45881.666666666599</v>
      </c>
      <c r="B851" s="2" t="s">
        <v>54</v>
      </c>
      <c r="C851" s="1">
        <v>8625</v>
      </c>
      <c r="D851" s="1">
        <v>8875</v>
      </c>
      <c r="E851" s="1">
        <v>8575</v>
      </c>
      <c r="F851" s="1">
        <v>8850</v>
      </c>
      <c r="G851" s="1">
        <v>171015700</v>
      </c>
      <c r="H851" s="4">
        <f t="shared" si="26"/>
        <v>3.5087719298245612E-2</v>
      </c>
      <c r="I851" s="4">
        <f t="shared" si="27"/>
        <v>0.57333333333333336</v>
      </c>
    </row>
    <row r="852" spans="1:9" x14ac:dyDescent="0.2">
      <c r="A852" s="2">
        <f ca="1">IFERROR(__xludf.DUMMYFUNCTION("""COMPUTED_VALUE"""),45882.6666666666)</f>
        <v>45882.666666666599</v>
      </c>
      <c r="B852" s="2" t="s">
        <v>54</v>
      </c>
      <c r="C852" s="1">
        <v>8975</v>
      </c>
      <c r="D852" s="1">
        <v>8975</v>
      </c>
      <c r="E852" s="1">
        <v>8725</v>
      </c>
      <c r="F852" s="1">
        <v>8925</v>
      </c>
      <c r="G852" s="1">
        <v>129083900</v>
      </c>
      <c r="H852" s="4">
        <f t="shared" si="26"/>
        <v>8.4745762711864406E-3</v>
      </c>
      <c r="I852" s="4">
        <f t="shared" si="27"/>
        <v>0.58666666666666667</v>
      </c>
    </row>
    <row r="853" spans="1:9" x14ac:dyDescent="0.2">
      <c r="A853" s="2">
        <f ca="1">IFERROR(__xludf.DUMMYFUNCTION("""COMPUTED_VALUE"""),45883.6666666666)</f>
        <v>45883.666666666599</v>
      </c>
      <c r="B853" s="2" t="s">
        <v>54</v>
      </c>
      <c r="C853" s="1">
        <v>8925</v>
      </c>
      <c r="D853" s="1">
        <v>8950</v>
      </c>
      <c r="E853" s="1">
        <v>8750</v>
      </c>
      <c r="F853" s="1">
        <v>8775</v>
      </c>
      <c r="G853" s="1">
        <v>122930900</v>
      </c>
      <c r="H853" s="4">
        <f t="shared" si="26"/>
        <v>-1.680672268907563E-2</v>
      </c>
      <c r="I853" s="4">
        <f t="shared" si="27"/>
        <v>0.56000000000000005</v>
      </c>
    </row>
    <row r="854" spans="1:9" x14ac:dyDescent="0.2">
      <c r="A854" s="2">
        <f ca="1">IFERROR(__xludf.DUMMYFUNCTION("""COMPUTED_VALUE"""),45884.6666666666)</f>
        <v>45884.666666666599</v>
      </c>
      <c r="B854" s="2" t="s">
        <v>54</v>
      </c>
      <c r="C854" s="1">
        <v>8825</v>
      </c>
      <c r="D854" s="1">
        <v>8850</v>
      </c>
      <c r="E854" s="1">
        <v>8700</v>
      </c>
      <c r="F854" s="1">
        <v>8700</v>
      </c>
      <c r="G854" s="1">
        <v>68754200</v>
      </c>
      <c r="H854" s="4">
        <f t="shared" si="26"/>
        <v>-8.5470085470085479E-3</v>
      </c>
      <c r="I854" s="4">
        <f t="shared" si="27"/>
        <v>0.54666666666666663</v>
      </c>
    </row>
    <row r="855" spans="1:9" x14ac:dyDescent="0.2">
      <c r="A855" s="2">
        <f ca="1">IFERROR(__xludf.DUMMYFUNCTION("""COMPUTED_VALUE"""),45888.6666666666)</f>
        <v>45888.666666666599</v>
      </c>
      <c r="B855" s="2" t="s">
        <v>54</v>
      </c>
      <c r="C855" s="1">
        <v>8600</v>
      </c>
      <c r="D855" s="1">
        <v>8600</v>
      </c>
      <c r="E855" s="1">
        <v>8450</v>
      </c>
      <c r="F855" s="1">
        <v>8500</v>
      </c>
      <c r="G855" s="1">
        <v>128591700</v>
      </c>
      <c r="H855" s="4">
        <f t="shared" si="26"/>
        <v>-2.2988505747126436E-2</v>
      </c>
      <c r="I855" s="4">
        <f t="shared" si="27"/>
        <v>0.51111111111111107</v>
      </c>
    </row>
    <row r="856" spans="1:9" x14ac:dyDescent="0.2">
      <c r="A856" s="2">
        <f ca="1">IFERROR(__xludf.DUMMYFUNCTION("""COMPUTED_VALUE"""),45889.6666666666)</f>
        <v>45889.666666666599</v>
      </c>
      <c r="B856" s="2" t="s">
        <v>54</v>
      </c>
      <c r="C856" s="1">
        <v>8375</v>
      </c>
      <c r="D856" s="1">
        <v>8600</v>
      </c>
      <c r="E856" s="1">
        <v>8350</v>
      </c>
      <c r="F856" s="1">
        <v>8525</v>
      </c>
      <c r="G856" s="1">
        <v>202260200</v>
      </c>
      <c r="H856" s="4">
        <f t="shared" si="26"/>
        <v>2.9411764705882353E-3</v>
      </c>
      <c r="I856" s="4">
        <f t="shared" si="27"/>
        <v>0.51555555555555554</v>
      </c>
    </row>
    <row r="857" spans="1:9" x14ac:dyDescent="0.2">
      <c r="A857" s="2">
        <f ca="1">IFERROR(__xludf.DUMMYFUNCTION("""COMPUTED_VALUE"""),45890.6666666666)</f>
        <v>45890.666666666599</v>
      </c>
      <c r="B857" s="2" t="s">
        <v>54</v>
      </c>
      <c r="C857" s="1">
        <v>8550</v>
      </c>
      <c r="D857" s="1">
        <v>8575</v>
      </c>
      <c r="E857" s="1">
        <v>8500</v>
      </c>
      <c r="F857" s="1">
        <v>8550</v>
      </c>
      <c r="G857" s="1">
        <v>69470200</v>
      </c>
      <c r="H857" s="4">
        <f t="shared" si="26"/>
        <v>2.9325513196480938E-3</v>
      </c>
      <c r="I857" s="4">
        <f t="shared" si="27"/>
        <v>0.52</v>
      </c>
    </row>
    <row r="858" spans="1:9" x14ac:dyDescent="0.2">
      <c r="A858" s="2">
        <f ca="1">IFERROR(__xludf.DUMMYFUNCTION("""COMPUTED_VALUE"""),45891.6666666666)</f>
        <v>45891.666666666599</v>
      </c>
      <c r="B858" s="2" t="s">
        <v>54</v>
      </c>
      <c r="C858" s="1">
        <v>8575</v>
      </c>
      <c r="D858" s="1">
        <v>8575</v>
      </c>
      <c r="E858" s="1">
        <v>8450</v>
      </c>
      <c r="F858" s="1">
        <v>8450</v>
      </c>
      <c r="G858" s="1">
        <v>66394100</v>
      </c>
      <c r="H858" s="4">
        <f t="shared" si="26"/>
        <v>-1.1695906432748537E-2</v>
      </c>
      <c r="I858" s="4">
        <f t="shared" si="27"/>
        <v>0.50222222222222224</v>
      </c>
    </row>
    <row r="859" spans="1:9" x14ac:dyDescent="0.2">
      <c r="A859" s="2">
        <f ca="1">IFERROR(__xludf.DUMMYFUNCTION("""COMPUTED_VALUE"""),45894.6666666666)</f>
        <v>45894.666666666599</v>
      </c>
      <c r="B859" s="2" t="s">
        <v>54</v>
      </c>
      <c r="C859" s="1">
        <v>8525</v>
      </c>
      <c r="D859" s="1">
        <v>8550</v>
      </c>
      <c r="E859" s="1">
        <v>8475</v>
      </c>
      <c r="F859" s="1">
        <v>8475</v>
      </c>
      <c r="G859" s="1">
        <v>64052700</v>
      </c>
      <c r="H859" s="4">
        <f t="shared" si="26"/>
        <v>2.9585798816568047E-3</v>
      </c>
      <c r="I859" s="4">
        <f t="shared" si="27"/>
        <v>0.50666666666666671</v>
      </c>
    </row>
    <row r="860" spans="1:9" x14ac:dyDescent="0.2">
      <c r="A860" s="2">
        <f ca="1">IFERROR(__xludf.DUMMYFUNCTION("""COMPUTED_VALUE"""),45895.6666666666)</f>
        <v>45895.666666666599</v>
      </c>
      <c r="B860" s="2" t="s">
        <v>54</v>
      </c>
      <c r="C860" s="1">
        <v>8450</v>
      </c>
      <c r="D860" s="1">
        <v>8475</v>
      </c>
      <c r="E860" s="1">
        <v>8250</v>
      </c>
      <c r="F860" s="1">
        <v>8250</v>
      </c>
      <c r="G860" s="1">
        <v>326794200</v>
      </c>
      <c r="H860" s="4">
        <f t="shared" si="26"/>
        <v>-2.6548672566371681E-2</v>
      </c>
      <c r="I860" s="4">
        <f t="shared" si="27"/>
        <v>0.46666666666666667</v>
      </c>
    </row>
    <row r="861" spans="1:9" x14ac:dyDescent="0.2">
      <c r="A861" s="2">
        <f ca="1">IFERROR(__xludf.DUMMYFUNCTION("""COMPUTED_VALUE"""),45896.6666666666)</f>
        <v>45896.666666666599</v>
      </c>
      <c r="B861" s="2" t="s">
        <v>54</v>
      </c>
      <c r="C861" s="1">
        <v>8250</v>
      </c>
      <c r="D861" s="1">
        <v>8350</v>
      </c>
      <c r="E861" s="1">
        <v>8200</v>
      </c>
      <c r="F861" s="1">
        <v>8300</v>
      </c>
      <c r="G861" s="1">
        <v>111915700</v>
      </c>
      <c r="H861" s="4">
        <f t="shared" ref="H861:H924" si="28">(F861-F860)/F860</f>
        <v>6.0606060606060606E-3</v>
      </c>
      <c r="I861" s="4">
        <f t="shared" ref="I861:I924" si="29">(F861-$E$2)/$E$2</f>
        <v>0.47555555555555556</v>
      </c>
    </row>
    <row r="862" spans="1:9" x14ac:dyDescent="0.2">
      <c r="A862" s="2">
        <f ca="1">IFERROR(__xludf.DUMMYFUNCTION("""COMPUTED_VALUE"""),45897.6666666666)</f>
        <v>45897.666666666599</v>
      </c>
      <c r="B862" s="2" t="s">
        <v>54</v>
      </c>
      <c r="C862" s="1">
        <v>8350</v>
      </c>
      <c r="D862" s="1">
        <v>8375</v>
      </c>
      <c r="E862" s="1">
        <v>8275</v>
      </c>
      <c r="F862" s="1">
        <v>8325</v>
      </c>
      <c r="G862" s="1">
        <v>81281400</v>
      </c>
      <c r="H862" s="4">
        <f t="shared" si="28"/>
        <v>3.0120481927710845E-3</v>
      </c>
      <c r="I862" s="4">
        <f t="shared" si="29"/>
        <v>0.48</v>
      </c>
    </row>
    <row r="863" spans="1:9" x14ac:dyDescent="0.2">
      <c r="A863" s="2">
        <f ca="1">IFERROR(__xludf.DUMMYFUNCTION("""COMPUTED_VALUE"""),45898.6666666666)</f>
        <v>45898.666666666599</v>
      </c>
      <c r="B863" s="2" t="s">
        <v>54</v>
      </c>
      <c r="C863" s="1">
        <v>8250</v>
      </c>
      <c r="D863" s="1">
        <v>8275</v>
      </c>
      <c r="E863" s="1">
        <v>8075</v>
      </c>
      <c r="F863" s="1">
        <v>8075</v>
      </c>
      <c r="G863" s="1">
        <v>236499300</v>
      </c>
      <c r="H863" s="4">
        <f t="shared" si="28"/>
        <v>-3.003003003003003E-2</v>
      </c>
      <c r="I863" s="4">
        <f t="shared" si="29"/>
        <v>0.43555555555555553</v>
      </c>
    </row>
    <row r="864" spans="1:9" x14ac:dyDescent="0.2">
      <c r="A864" s="2">
        <f ca="1">IFERROR(__xludf.DUMMYFUNCTION("""COMPUTED_VALUE"""),45901.6666666666)</f>
        <v>45901.666666666599</v>
      </c>
      <c r="B864" s="2" t="s">
        <v>54</v>
      </c>
      <c r="C864" s="1">
        <v>7650</v>
      </c>
      <c r="D864" s="1">
        <v>8050</v>
      </c>
      <c r="E864" s="1">
        <v>7600</v>
      </c>
      <c r="F864" s="1">
        <v>8000</v>
      </c>
      <c r="G864" s="1">
        <v>421127500</v>
      </c>
      <c r="H864" s="4">
        <f t="shared" si="28"/>
        <v>-9.2879256965944269E-3</v>
      </c>
      <c r="I864" s="4">
        <f t="shared" si="29"/>
        <v>0.42222222222222222</v>
      </c>
    </row>
    <row r="865" spans="1:9" x14ac:dyDescent="0.2">
      <c r="A865" s="2">
        <f ca="1">IFERROR(__xludf.DUMMYFUNCTION("""COMPUTED_VALUE"""),45902.6666666666)</f>
        <v>45902.666666666599</v>
      </c>
      <c r="B865" s="2" t="s">
        <v>54</v>
      </c>
      <c r="C865" s="1">
        <v>8000</v>
      </c>
      <c r="D865" s="1">
        <v>8175</v>
      </c>
      <c r="E865" s="1">
        <v>8000</v>
      </c>
      <c r="F865" s="1">
        <v>8000</v>
      </c>
      <c r="G865" s="1">
        <v>155531500</v>
      </c>
      <c r="H865" s="4">
        <f t="shared" si="28"/>
        <v>0</v>
      </c>
      <c r="I865" s="4">
        <f t="shared" si="29"/>
        <v>0.42222222222222222</v>
      </c>
    </row>
    <row r="866" spans="1:9" x14ac:dyDescent="0.2">
      <c r="A866" s="2">
        <f ca="1">IFERROR(__xludf.DUMMYFUNCTION("""COMPUTED_VALUE"""),45903.6666666666)</f>
        <v>45903.666666666599</v>
      </c>
      <c r="B866" s="2" t="s">
        <v>54</v>
      </c>
      <c r="C866" s="1">
        <v>7900</v>
      </c>
      <c r="D866" s="1">
        <v>8000</v>
      </c>
      <c r="E866" s="1">
        <v>7900</v>
      </c>
      <c r="F866" s="1">
        <v>7975</v>
      </c>
      <c r="G866" s="1">
        <v>212372700</v>
      </c>
      <c r="H866" s="4">
        <f t="shared" si="28"/>
        <v>-3.1250000000000002E-3</v>
      </c>
      <c r="I866" s="4">
        <f t="shared" si="29"/>
        <v>0.4177777777777778</v>
      </c>
    </row>
    <row r="867" spans="1:9" x14ac:dyDescent="0.2">
      <c r="A867" s="2">
        <f ca="1">IFERROR(__xludf.DUMMYFUNCTION("""COMPUTED_VALUE"""),45904.6666666666)</f>
        <v>45904.666666666599</v>
      </c>
      <c r="B867" s="2" t="s">
        <v>54</v>
      </c>
      <c r="C867" s="1">
        <v>7975</v>
      </c>
      <c r="D867" s="1">
        <v>8000</v>
      </c>
      <c r="E867" s="1">
        <v>7925</v>
      </c>
      <c r="F867" s="1">
        <v>8000</v>
      </c>
      <c r="G867" s="1">
        <v>103534800</v>
      </c>
      <c r="H867" s="4">
        <f t="shared" si="28"/>
        <v>3.134796238244514E-3</v>
      </c>
      <c r="I867" s="4">
        <f t="shared" si="29"/>
        <v>0.42222222222222222</v>
      </c>
    </row>
    <row r="868" spans="1:9" x14ac:dyDescent="0.2">
      <c r="A868" s="2">
        <f ca="1">IFERROR(__xludf.DUMMYFUNCTION("""COMPUTED_VALUE"""),45908.6666666666)</f>
        <v>45908.666666666599</v>
      </c>
      <c r="B868" s="2" t="s">
        <v>54</v>
      </c>
      <c r="C868" s="1">
        <v>8025</v>
      </c>
      <c r="D868" s="1">
        <v>8025</v>
      </c>
      <c r="E868" s="1">
        <v>7700</v>
      </c>
      <c r="F868" s="1">
        <v>7700</v>
      </c>
      <c r="G868" s="1">
        <v>321191900</v>
      </c>
      <c r="H868" s="4">
        <f t="shared" si="28"/>
        <v>-3.7499999999999999E-2</v>
      </c>
      <c r="I868" s="4">
        <f t="shared" si="29"/>
        <v>0.36888888888888888</v>
      </c>
    </row>
    <row r="869" spans="1:9" x14ac:dyDescent="0.2">
      <c r="A869" s="2">
        <f ca="1">IFERROR(__xludf.DUMMYFUNCTION("""COMPUTED_VALUE"""),45909.6666666666)</f>
        <v>45909.666666666599</v>
      </c>
      <c r="B869" s="2" t="s">
        <v>54</v>
      </c>
      <c r="C869" s="1">
        <v>7625</v>
      </c>
      <c r="D869" s="1">
        <v>7725</v>
      </c>
      <c r="E869" s="1">
        <v>7475</v>
      </c>
      <c r="F869" s="1">
        <v>7525</v>
      </c>
      <c r="G869" s="1">
        <v>595368700</v>
      </c>
      <c r="H869" s="4">
        <f t="shared" si="28"/>
        <v>-2.2727272727272728E-2</v>
      </c>
      <c r="I869" s="4">
        <f t="shared" si="29"/>
        <v>0.33777777777777779</v>
      </c>
    </row>
    <row r="870" spans="1:9" x14ac:dyDescent="0.2">
      <c r="A870" s="2">
        <f ca="1">IFERROR(__xludf.DUMMYFUNCTION("""COMPUTED_VALUE"""),45910.6666666666)</f>
        <v>45910.666666666599</v>
      </c>
      <c r="B870" s="2" t="s">
        <v>54</v>
      </c>
      <c r="C870" s="1">
        <v>7800</v>
      </c>
      <c r="D870" s="1">
        <v>7800</v>
      </c>
      <c r="E870" s="1">
        <v>7800</v>
      </c>
      <c r="F870" s="1">
        <v>7800</v>
      </c>
      <c r="G870" s="1">
        <v>354400</v>
      </c>
      <c r="H870" s="4">
        <f t="shared" si="28"/>
        <v>3.6544850498338874E-2</v>
      </c>
      <c r="I870" s="4">
        <f t="shared" si="29"/>
        <v>0.38666666666666666</v>
      </c>
    </row>
    <row r="871" spans="1:9" x14ac:dyDescent="0.2">
      <c r="A871" s="2">
        <f ca="1">IFERROR(__xludf.DUMMYFUNCTION("""COMPUTED_VALUE"""),45911.6666666666)</f>
        <v>45911.666666666599</v>
      </c>
      <c r="B871" s="2" t="s">
        <v>54</v>
      </c>
      <c r="C871" s="1">
        <v>7900</v>
      </c>
      <c r="D871" s="1">
        <v>7975</v>
      </c>
      <c r="E871" s="1">
        <v>7850</v>
      </c>
      <c r="F871" s="1">
        <v>7850</v>
      </c>
      <c r="G871" s="1">
        <v>235173400</v>
      </c>
      <c r="H871" s="4">
        <f t="shared" si="28"/>
        <v>6.41025641025641E-3</v>
      </c>
      <c r="I871" s="4">
        <f t="shared" si="29"/>
        <v>0.39555555555555555</v>
      </c>
    </row>
    <row r="872" spans="1:9" x14ac:dyDescent="0.2">
      <c r="A872" s="2">
        <f ca="1">IFERROR(__xludf.DUMMYFUNCTION("""COMPUTED_VALUE"""),45912.6666666666)</f>
        <v>45912.666666666599</v>
      </c>
      <c r="B872" s="2" t="s">
        <v>54</v>
      </c>
      <c r="C872" s="1">
        <v>7975</v>
      </c>
      <c r="D872" s="1">
        <v>7975</v>
      </c>
      <c r="E872" s="1">
        <v>7850</v>
      </c>
      <c r="F872" s="1">
        <v>7925</v>
      </c>
      <c r="G872" s="1">
        <v>156084700</v>
      </c>
      <c r="H872" s="4">
        <f t="shared" si="28"/>
        <v>9.5541401273885346E-3</v>
      </c>
      <c r="I872" s="4">
        <f t="shared" si="29"/>
        <v>0.40888888888888891</v>
      </c>
    </row>
    <row r="873" spans="1:9" x14ac:dyDescent="0.2">
      <c r="A873" s="2">
        <f ca="1">IFERROR(__xludf.DUMMYFUNCTION("""COMPUTED_VALUE"""),45915.6666666666)</f>
        <v>45915.666666666599</v>
      </c>
      <c r="B873" s="2" t="s">
        <v>54</v>
      </c>
      <c r="C873" s="1">
        <v>8000</v>
      </c>
      <c r="D873" s="1">
        <v>8100</v>
      </c>
      <c r="E873" s="1">
        <v>7975</v>
      </c>
      <c r="F873" s="1">
        <v>8025</v>
      </c>
      <c r="G873" s="1">
        <v>142567700</v>
      </c>
      <c r="H873" s="4">
        <f t="shared" si="28"/>
        <v>1.2618296529968454E-2</v>
      </c>
      <c r="I873" s="4">
        <f t="shared" si="29"/>
        <v>0.42666666666666669</v>
      </c>
    </row>
    <row r="874" spans="1:9" x14ac:dyDescent="0.2">
      <c r="A874" s="2">
        <f ca="1">IFERROR(__xludf.DUMMYFUNCTION("""COMPUTED_VALUE"""),45916.6666666666)</f>
        <v>45916.666666666599</v>
      </c>
      <c r="B874" s="2" t="s">
        <v>54</v>
      </c>
      <c r="C874" s="1">
        <v>8050</v>
      </c>
      <c r="D874" s="1">
        <v>8075</v>
      </c>
      <c r="E874" s="1">
        <v>7900</v>
      </c>
      <c r="F874" s="1">
        <v>7925</v>
      </c>
      <c r="G874" s="1">
        <v>129312900</v>
      </c>
      <c r="H874" s="4">
        <f t="shared" si="28"/>
        <v>-1.2461059190031152E-2</v>
      </c>
      <c r="I874" s="4">
        <f t="shared" si="29"/>
        <v>0.40888888888888891</v>
      </c>
    </row>
    <row r="875" spans="1:9" x14ac:dyDescent="0.2">
      <c r="A875" s="2">
        <f ca="1">IFERROR(__xludf.DUMMYFUNCTION("""COMPUTED_VALUE"""),45917.6666666666)</f>
        <v>45917.666666666599</v>
      </c>
      <c r="B875" s="2" t="s">
        <v>54</v>
      </c>
      <c r="C875" s="1">
        <v>7850</v>
      </c>
      <c r="D875" s="1">
        <v>7900</v>
      </c>
      <c r="E875" s="1">
        <v>7800</v>
      </c>
      <c r="F875" s="1">
        <v>7850</v>
      </c>
      <c r="G875" s="1">
        <v>183725900</v>
      </c>
      <c r="H875" s="4">
        <f t="shared" si="28"/>
        <v>-9.4637223974763408E-3</v>
      </c>
      <c r="I875" s="4">
        <f t="shared" si="29"/>
        <v>0.39555555555555555</v>
      </c>
    </row>
    <row r="876" spans="1:9" x14ac:dyDescent="0.2">
      <c r="A876" s="2">
        <f ca="1">IFERROR(__xludf.DUMMYFUNCTION("""COMPUTED_VALUE"""),45918.6666666666)</f>
        <v>45918.666666666599</v>
      </c>
      <c r="B876" s="2" t="s">
        <v>54</v>
      </c>
      <c r="C876" s="1">
        <v>7850</v>
      </c>
      <c r="D876" s="1">
        <v>7900</v>
      </c>
      <c r="E876" s="1">
        <v>7650</v>
      </c>
      <c r="F876" s="1">
        <v>7700</v>
      </c>
      <c r="G876" s="1">
        <v>275378700</v>
      </c>
      <c r="H876" s="4">
        <f t="shared" si="28"/>
        <v>-1.9108280254777069E-2</v>
      </c>
      <c r="I876" s="4">
        <f t="shared" si="29"/>
        <v>0.36888888888888888</v>
      </c>
    </row>
    <row r="877" spans="1:9" x14ac:dyDescent="0.2">
      <c r="A877" s="2">
        <f ca="1">IFERROR(__xludf.DUMMYFUNCTION("""COMPUTED_VALUE"""),45919.6666666666)</f>
        <v>45919.666666666599</v>
      </c>
      <c r="B877" s="2" t="s">
        <v>54</v>
      </c>
      <c r="C877" s="1">
        <v>7650</v>
      </c>
      <c r="D877" s="1">
        <v>7825</v>
      </c>
      <c r="E877" s="1">
        <v>7650</v>
      </c>
      <c r="F877" s="1">
        <v>7800</v>
      </c>
      <c r="G877" s="1">
        <v>149025300</v>
      </c>
      <c r="H877" s="4">
        <f t="shared" si="28"/>
        <v>1.2987012987012988E-2</v>
      </c>
      <c r="I877" s="4">
        <f t="shared" si="29"/>
        <v>0.38666666666666666</v>
      </c>
    </row>
    <row r="878" spans="1:9" x14ac:dyDescent="0.2">
      <c r="A878" s="2">
        <f ca="1">IFERROR(__xludf.DUMMYFUNCTION("""COMPUTED_VALUE"""),45922.6666666666)</f>
        <v>45922.666666666599</v>
      </c>
      <c r="B878" s="2" t="s">
        <v>54</v>
      </c>
      <c r="C878" s="1">
        <v>7800</v>
      </c>
      <c r="D878" s="1">
        <v>7825</v>
      </c>
      <c r="E878" s="1">
        <v>7725</v>
      </c>
      <c r="F878" s="1">
        <v>7725</v>
      </c>
      <c r="G878" s="1">
        <v>92588800</v>
      </c>
      <c r="H878" s="4">
        <f t="shared" si="28"/>
        <v>-9.6153846153846159E-3</v>
      </c>
      <c r="I878" s="4">
        <f t="shared" si="29"/>
        <v>0.37333333333333335</v>
      </c>
    </row>
    <row r="879" spans="1:9" x14ac:dyDescent="0.2">
      <c r="A879" s="2">
        <f ca="1">IFERROR(__xludf.DUMMYFUNCTION("""COMPUTED_VALUE"""),45923.6666666666)</f>
        <v>45923.666666666599</v>
      </c>
      <c r="B879" s="2" t="s">
        <v>54</v>
      </c>
      <c r="C879" s="1">
        <v>7750</v>
      </c>
      <c r="D879" s="1">
        <v>7900</v>
      </c>
      <c r="E879" s="1">
        <v>7750</v>
      </c>
      <c r="F879" s="1">
        <v>7875</v>
      </c>
      <c r="G879" s="1">
        <v>102606200</v>
      </c>
      <c r="H879" s="4">
        <f t="shared" si="28"/>
        <v>1.9417475728155338E-2</v>
      </c>
      <c r="I879" s="4">
        <f t="shared" si="29"/>
        <v>0.4</v>
      </c>
    </row>
    <row r="880" spans="1:9" x14ac:dyDescent="0.2">
      <c r="A880" s="2">
        <f ca="1">IFERROR(__xludf.DUMMYFUNCTION("""COMPUTED_VALUE"""),45924.6666666666)</f>
        <v>45924.666666666599</v>
      </c>
      <c r="B880" s="2" t="s">
        <v>54</v>
      </c>
      <c r="C880" s="1">
        <v>7950</v>
      </c>
      <c r="D880" s="1">
        <v>7950</v>
      </c>
      <c r="E880" s="1">
        <v>7725</v>
      </c>
      <c r="F880" s="1">
        <v>7775</v>
      </c>
      <c r="G880" s="1">
        <v>150428400</v>
      </c>
      <c r="H880" s="4">
        <f t="shared" si="28"/>
        <v>-1.2698412698412698E-2</v>
      </c>
      <c r="I880" s="4">
        <f t="shared" si="29"/>
        <v>0.38222222222222224</v>
      </c>
    </row>
    <row r="881" spans="1:9" x14ac:dyDescent="0.2">
      <c r="A881" s="2">
        <f ca="1">IFERROR(__xludf.DUMMYFUNCTION("""COMPUTED_VALUE"""),45925.6666666666)</f>
        <v>45925.666666666599</v>
      </c>
      <c r="B881" s="2" t="s">
        <v>54</v>
      </c>
      <c r="C881" s="1">
        <v>7725</v>
      </c>
      <c r="D881" s="1">
        <v>7775</v>
      </c>
      <c r="E881" s="1">
        <v>7700</v>
      </c>
      <c r="F881" s="1">
        <v>7700</v>
      </c>
      <c r="G881" s="1">
        <v>147986600</v>
      </c>
      <c r="H881" s="4">
        <f t="shared" si="28"/>
        <v>-9.6463022508038593E-3</v>
      </c>
      <c r="I881" s="4">
        <f t="shared" si="29"/>
        <v>0.36888888888888888</v>
      </c>
    </row>
    <row r="882" spans="1:9" x14ac:dyDescent="0.2">
      <c r="A882" s="2">
        <f ca="1">IFERROR(__xludf.DUMMYFUNCTION("""COMPUTED_VALUE"""),45926.6666666666)</f>
        <v>45926.666666666599</v>
      </c>
      <c r="B882" s="2" t="s">
        <v>54</v>
      </c>
      <c r="C882" s="1">
        <v>7575</v>
      </c>
      <c r="D882" s="1">
        <v>7700</v>
      </c>
      <c r="E882" s="1">
        <v>7575</v>
      </c>
      <c r="F882" s="1">
        <v>7625</v>
      </c>
      <c r="G882" s="1">
        <v>121657700</v>
      </c>
      <c r="H882" s="4">
        <f t="shared" si="28"/>
        <v>-9.74025974025974E-3</v>
      </c>
      <c r="I882" s="4">
        <f t="shared" si="29"/>
        <v>0.35555555555555557</v>
      </c>
    </row>
    <row r="883" spans="1:9" x14ac:dyDescent="0.2">
      <c r="A883" s="2">
        <f ca="1">IFERROR(__xludf.DUMMYFUNCTION("""COMPUTED_VALUE"""),45929.6666666666)</f>
        <v>45929.666666666599</v>
      </c>
      <c r="B883" s="2" t="s">
        <v>54</v>
      </c>
      <c r="C883" s="1">
        <v>7750</v>
      </c>
      <c r="D883" s="1">
        <v>7800</v>
      </c>
      <c r="E883" s="1">
        <v>7700</v>
      </c>
      <c r="F883" s="1">
        <v>7775</v>
      </c>
      <c r="G883" s="1">
        <v>116454700</v>
      </c>
      <c r="H883" s="4">
        <f t="shared" si="28"/>
        <v>1.9672131147540985E-2</v>
      </c>
      <c r="I883" s="4">
        <f t="shared" si="29"/>
        <v>0.38222222222222224</v>
      </c>
    </row>
    <row r="884" spans="1:9" x14ac:dyDescent="0.2">
      <c r="A884" s="2">
        <f ca="1">IFERROR(__xludf.DUMMYFUNCTION("""COMPUTED_VALUE"""),45930.6666666666)</f>
        <v>45930.666666666599</v>
      </c>
      <c r="B884" s="2" t="s">
        <v>54</v>
      </c>
      <c r="C884" s="1">
        <v>7700</v>
      </c>
      <c r="D884" s="1">
        <v>7775</v>
      </c>
      <c r="E884" s="1">
        <v>7625</v>
      </c>
      <c r="F884" s="1">
        <v>7625</v>
      </c>
      <c r="G884" s="1">
        <v>170666700</v>
      </c>
      <c r="H884" s="4">
        <f t="shared" si="28"/>
        <v>-1.9292604501607719E-2</v>
      </c>
      <c r="I884" s="4">
        <f t="shared" si="29"/>
        <v>0.35555555555555557</v>
      </c>
    </row>
    <row r="885" spans="1:9" x14ac:dyDescent="0.2">
      <c r="A885" s="2">
        <f ca="1">IFERROR(__xludf.DUMMYFUNCTION("""COMPUTED_VALUE"""),45931.6666666666)</f>
        <v>45931.666666666599</v>
      </c>
      <c r="B885" s="2" t="s">
        <v>54</v>
      </c>
      <c r="C885" s="1">
        <v>7600</v>
      </c>
      <c r="D885" s="1">
        <v>7675</v>
      </c>
      <c r="E885" s="1">
        <v>7500</v>
      </c>
      <c r="F885" s="1">
        <v>7500</v>
      </c>
      <c r="G885" s="1">
        <v>202433400</v>
      </c>
      <c r="H885" s="4">
        <f t="shared" si="28"/>
        <v>-1.6393442622950821E-2</v>
      </c>
      <c r="I885" s="4">
        <f t="shared" si="29"/>
        <v>0.33333333333333331</v>
      </c>
    </row>
    <row r="886" spans="1:9" x14ac:dyDescent="0.2">
      <c r="A886" s="2">
        <f ca="1">IFERROR(__xludf.DUMMYFUNCTION("""COMPUTED_VALUE"""),45932.6666666666)</f>
        <v>45932.666666666599</v>
      </c>
      <c r="B886" s="2" t="s">
        <v>54</v>
      </c>
      <c r="C886" s="1">
        <v>7500</v>
      </c>
      <c r="D886" s="1">
        <v>7600</v>
      </c>
      <c r="E886" s="1">
        <v>7500</v>
      </c>
      <c r="F886" s="1">
        <v>7500</v>
      </c>
      <c r="G886" s="1">
        <v>126952400</v>
      </c>
      <c r="H886" s="4">
        <f t="shared" si="28"/>
        <v>0</v>
      </c>
      <c r="I886" s="4">
        <f t="shared" si="29"/>
        <v>0.33333333333333331</v>
      </c>
    </row>
    <row r="887" spans="1:9" x14ac:dyDescent="0.2">
      <c r="A887" s="2">
        <f ca="1">IFERROR(__xludf.DUMMYFUNCTION("""COMPUTED_VALUE"""),45933.6666666666)</f>
        <v>45933.666666666599</v>
      </c>
      <c r="B887" s="2" t="s">
        <v>54</v>
      </c>
      <c r="C887" s="1">
        <v>7525</v>
      </c>
      <c r="D887" s="1">
        <v>7550</v>
      </c>
      <c r="E887" s="1">
        <v>7500</v>
      </c>
      <c r="F887" s="1">
        <v>7525</v>
      </c>
      <c r="G887" s="1">
        <v>76787500</v>
      </c>
      <c r="H887" s="4">
        <f t="shared" si="28"/>
        <v>3.3333333333333335E-3</v>
      </c>
      <c r="I887" s="4">
        <f t="shared" si="29"/>
        <v>0.33777777777777779</v>
      </c>
    </row>
    <row r="888" spans="1:9" x14ac:dyDescent="0.2">
      <c r="A888" s="2">
        <f ca="1">IFERROR(__xludf.DUMMYFUNCTION("""COMPUTED_VALUE"""),45936.6666666666)</f>
        <v>45936.666666666599</v>
      </c>
      <c r="B888" s="2" t="s">
        <v>54</v>
      </c>
      <c r="C888" s="1">
        <v>7500</v>
      </c>
      <c r="D888" s="1">
        <v>7550</v>
      </c>
      <c r="E888" s="1">
        <v>7450</v>
      </c>
      <c r="F888" s="1">
        <v>7500</v>
      </c>
      <c r="G888" s="1">
        <v>104032400</v>
      </c>
      <c r="H888" s="4">
        <f t="shared" si="28"/>
        <v>-3.3222591362126247E-3</v>
      </c>
      <c r="I888" s="4">
        <f t="shared" si="29"/>
        <v>0.33333333333333331</v>
      </c>
    </row>
    <row r="889" spans="1:9" x14ac:dyDescent="0.2">
      <c r="A889" s="2">
        <f ca="1">IFERROR(__xludf.DUMMYFUNCTION("""COMPUTED_VALUE"""),45937.6666666666)</f>
        <v>45937.666666666599</v>
      </c>
      <c r="B889" s="2" t="s">
        <v>54</v>
      </c>
      <c r="C889" s="1">
        <v>7550</v>
      </c>
      <c r="D889" s="1">
        <v>7600</v>
      </c>
      <c r="E889" s="1">
        <v>7500</v>
      </c>
      <c r="F889" s="1">
        <v>7575</v>
      </c>
      <c r="G889" s="1">
        <v>74282600</v>
      </c>
      <c r="H889" s="4">
        <f t="shared" si="28"/>
        <v>0.01</v>
      </c>
      <c r="I889" s="4">
        <f t="shared" si="29"/>
        <v>0.34666666666666668</v>
      </c>
    </row>
    <row r="890" spans="1:9" x14ac:dyDescent="0.2">
      <c r="A890" s="2">
        <f ca="1">IFERROR(__xludf.DUMMYFUNCTION("""COMPUTED_VALUE"""),45938.6666666666)</f>
        <v>45938.666666666599</v>
      </c>
      <c r="B890" s="2" t="s">
        <v>54</v>
      </c>
      <c r="C890" s="1">
        <v>7500</v>
      </c>
      <c r="D890" s="1">
        <v>7525</v>
      </c>
      <c r="E890" s="1">
        <v>7375</v>
      </c>
      <c r="F890" s="1">
        <v>7375</v>
      </c>
      <c r="G890" s="1">
        <v>168080800</v>
      </c>
      <c r="H890" s="4">
        <f t="shared" si="28"/>
        <v>-2.6402640264026403E-2</v>
      </c>
      <c r="I890" s="4">
        <f t="shared" si="29"/>
        <v>0.31111111111111112</v>
      </c>
    </row>
    <row r="891" spans="1:9" x14ac:dyDescent="0.2">
      <c r="A891" s="2">
        <f ca="1">IFERROR(__xludf.DUMMYFUNCTION("""COMPUTED_VALUE"""),45939.6666666666)</f>
        <v>45939.666666666599</v>
      </c>
      <c r="B891" s="2" t="s">
        <v>54</v>
      </c>
      <c r="C891" s="1">
        <v>7375</v>
      </c>
      <c r="D891" s="1">
        <v>7700</v>
      </c>
      <c r="E891" s="1">
        <v>7300</v>
      </c>
      <c r="F891" s="1">
        <v>7550</v>
      </c>
      <c r="G891" s="1">
        <v>293567400</v>
      </c>
      <c r="H891" s="4">
        <f t="shared" si="28"/>
        <v>2.3728813559322035E-2</v>
      </c>
      <c r="I891" s="4">
        <f t="shared" si="29"/>
        <v>0.34222222222222221</v>
      </c>
    </row>
    <row r="892" spans="1:9" x14ac:dyDescent="0.2">
      <c r="A892" s="2">
        <f ca="1">IFERROR(__xludf.DUMMYFUNCTION("""COMPUTED_VALUE"""),45940.6666666666)</f>
        <v>45940.666666666599</v>
      </c>
      <c r="B892" s="2" t="s">
        <v>54</v>
      </c>
      <c r="C892" s="1">
        <v>7450</v>
      </c>
      <c r="D892" s="1">
        <v>7450</v>
      </c>
      <c r="E892" s="1">
        <v>7350</v>
      </c>
      <c r="F892" s="1">
        <v>7400</v>
      </c>
      <c r="G892" s="1">
        <v>107426000</v>
      </c>
      <c r="H892" s="4">
        <f t="shared" si="28"/>
        <v>-1.9867549668874173E-2</v>
      </c>
      <c r="I892" s="4">
        <f t="shared" si="29"/>
        <v>0.31555555555555553</v>
      </c>
    </row>
    <row r="893" spans="1:9" x14ac:dyDescent="0.2">
      <c r="A893" s="2">
        <f ca="1">IFERROR(__xludf.DUMMYFUNCTION("""COMPUTED_VALUE"""),45943.6666666666)</f>
        <v>45943.666666666599</v>
      </c>
      <c r="B893" s="2" t="s">
        <v>54</v>
      </c>
      <c r="C893" s="1">
        <v>7300</v>
      </c>
      <c r="D893" s="1">
        <v>7375</v>
      </c>
      <c r="E893" s="1">
        <v>7300</v>
      </c>
      <c r="F893" s="1">
        <v>7325</v>
      </c>
      <c r="G893" s="1">
        <v>101847900</v>
      </c>
      <c r="H893" s="4">
        <f t="shared" si="28"/>
        <v>-1.0135135135135136E-2</v>
      </c>
      <c r="I893" s="4">
        <f t="shared" si="29"/>
        <v>0.30222222222222223</v>
      </c>
    </row>
    <row r="894" spans="1:9" x14ac:dyDescent="0.2">
      <c r="A894" s="2">
        <f ca="1">IFERROR(__xludf.DUMMYFUNCTION("""COMPUTED_VALUE"""),45944.6666666666)</f>
        <v>45944.666666666599</v>
      </c>
      <c r="B894" s="2" t="s">
        <v>54</v>
      </c>
      <c r="C894" s="1">
        <v>7275</v>
      </c>
      <c r="D894" s="1">
        <v>7350</v>
      </c>
      <c r="E894" s="1">
        <v>7250</v>
      </c>
      <c r="F894" s="1">
        <v>7250</v>
      </c>
      <c r="G894" s="1">
        <v>151862300</v>
      </c>
      <c r="H894" s="4">
        <f t="shared" si="28"/>
        <v>-1.0238907849829351E-2</v>
      </c>
      <c r="I894" s="4">
        <f t="shared" si="29"/>
        <v>0.28888888888888886</v>
      </c>
    </row>
    <row r="895" spans="1:9" x14ac:dyDescent="0.2">
      <c r="A895" s="2">
        <f ca="1">IFERROR(__xludf.DUMMYFUNCTION("""COMPUTED_VALUE"""),45945.6666666666)</f>
        <v>45945.666666666599</v>
      </c>
      <c r="B895" s="2" t="s">
        <v>54</v>
      </c>
      <c r="C895" s="1">
        <v>7250</v>
      </c>
      <c r="D895" s="1">
        <v>7350</v>
      </c>
      <c r="E895" s="1">
        <v>7225</v>
      </c>
      <c r="F895" s="1">
        <v>7250</v>
      </c>
      <c r="G895" s="1">
        <v>133206400</v>
      </c>
      <c r="H895" s="4">
        <f t="shared" si="28"/>
        <v>0</v>
      </c>
      <c r="I895" s="4">
        <f t="shared" si="29"/>
        <v>0.28888888888888886</v>
      </c>
    </row>
    <row r="896" spans="1:9" x14ac:dyDescent="0.2">
      <c r="A896" s="2">
        <f ca="1">IFERROR(__xludf.DUMMYFUNCTION("""COMPUTED_VALUE"""),45946.6666666666)</f>
        <v>45946.666666666599</v>
      </c>
      <c r="B896" s="2" t="s">
        <v>54</v>
      </c>
      <c r="C896" s="1">
        <v>7250</v>
      </c>
      <c r="D896" s="1">
        <v>7325</v>
      </c>
      <c r="E896" s="1">
        <v>7225</v>
      </c>
      <c r="F896" s="1">
        <v>7300</v>
      </c>
      <c r="G896" s="1">
        <v>120611200</v>
      </c>
      <c r="H896" s="4">
        <f t="shared" si="28"/>
        <v>6.8965517241379309E-3</v>
      </c>
      <c r="I896" s="4">
        <f t="shared" si="29"/>
        <v>0.29777777777777775</v>
      </c>
    </row>
    <row r="897" spans="1:9" x14ac:dyDescent="0.2">
      <c r="A897" s="2">
        <f ca="1">IFERROR(__xludf.DUMMYFUNCTION("""COMPUTED_VALUE"""),45947.6666666666)</f>
        <v>45947.666666666599</v>
      </c>
      <c r="B897" s="2" t="s">
        <v>54</v>
      </c>
      <c r="C897" s="1">
        <v>7300</v>
      </c>
      <c r="D897" s="1">
        <v>7525</v>
      </c>
      <c r="E897" s="1">
        <v>7275</v>
      </c>
      <c r="F897" s="1">
        <v>7500</v>
      </c>
      <c r="G897" s="1">
        <v>157334400</v>
      </c>
      <c r="H897" s="4">
        <f t="shared" si="28"/>
        <v>2.7397260273972601E-2</v>
      </c>
      <c r="I897" s="4">
        <f t="shared" si="29"/>
        <v>0.33333333333333331</v>
      </c>
    </row>
    <row r="898" spans="1:9" x14ac:dyDescent="0.2">
      <c r="A898" s="2">
        <f ca="1">IFERROR(__xludf.DUMMYFUNCTION("""COMPUTED_VALUE"""),45950.6666666666)</f>
        <v>45950.666666666599</v>
      </c>
      <c r="B898" s="2" t="s">
        <v>54</v>
      </c>
      <c r="C898" s="1">
        <v>7700</v>
      </c>
      <c r="D898" s="1">
        <v>8000</v>
      </c>
      <c r="E898" s="1">
        <v>7625</v>
      </c>
      <c r="F898" s="1">
        <v>7875</v>
      </c>
      <c r="G898" s="1">
        <v>393421800</v>
      </c>
      <c r="H898" s="4">
        <f t="shared" si="28"/>
        <v>0.05</v>
      </c>
      <c r="I898" s="4">
        <f t="shared" si="29"/>
        <v>0.4</v>
      </c>
    </row>
    <row r="899" spans="1:9" x14ac:dyDescent="0.2">
      <c r="A899" s="2">
        <f ca="1">IFERROR(__xludf.DUMMYFUNCTION("""COMPUTED_VALUE"""),45951.6666666666)</f>
        <v>45951.666666666599</v>
      </c>
      <c r="B899" s="2" t="s">
        <v>54</v>
      </c>
      <c r="C899" s="1">
        <v>8100</v>
      </c>
      <c r="D899" s="1">
        <v>8475</v>
      </c>
      <c r="E899" s="1">
        <v>8100</v>
      </c>
      <c r="F899" s="1">
        <v>8475</v>
      </c>
      <c r="G899" s="1">
        <v>529802600</v>
      </c>
      <c r="H899" s="4">
        <f t="shared" si="28"/>
        <v>7.6190476190476197E-2</v>
      </c>
      <c r="I899" s="4">
        <f t="shared" si="29"/>
        <v>0.50666666666666671</v>
      </c>
    </row>
    <row r="900" spans="1:9" x14ac:dyDescent="0.2">
      <c r="A900" s="2">
        <f ca="1">IFERROR(__xludf.DUMMYFUNCTION("""COMPUTED_VALUE"""),45952.6666666666)</f>
        <v>45952.666666666599</v>
      </c>
      <c r="B900" s="2" t="s">
        <v>54</v>
      </c>
      <c r="C900" s="1">
        <v>8700</v>
      </c>
      <c r="D900" s="1">
        <v>8700</v>
      </c>
      <c r="E900" s="1">
        <v>8200</v>
      </c>
      <c r="F900" s="1">
        <v>8200</v>
      </c>
      <c r="G900" s="1">
        <v>392957200</v>
      </c>
      <c r="H900" s="4">
        <f t="shared" si="28"/>
        <v>-3.2448377581120944E-2</v>
      </c>
      <c r="I900" s="4">
        <f t="shared" si="29"/>
        <v>0.45777777777777778</v>
      </c>
    </row>
    <row r="901" spans="1:9" x14ac:dyDescent="0.2">
      <c r="A901" s="2">
        <f ca="1">IFERROR(__xludf.DUMMYFUNCTION("""COMPUTED_VALUE"""),45953.6666666666)</f>
        <v>45953.666666666599</v>
      </c>
      <c r="B901" s="2" t="s">
        <v>54</v>
      </c>
      <c r="C901" s="1">
        <v>8200</v>
      </c>
      <c r="D901" s="1">
        <v>8350</v>
      </c>
      <c r="E901" s="1">
        <v>8150</v>
      </c>
      <c r="F901" s="1">
        <v>8325</v>
      </c>
      <c r="G901" s="1">
        <v>187003900</v>
      </c>
      <c r="H901" s="4">
        <f t="shared" si="28"/>
        <v>1.524390243902439E-2</v>
      </c>
      <c r="I901" s="4">
        <f t="shared" si="29"/>
        <v>0.48</v>
      </c>
    </row>
    <row r="902" spans="1:9" x14ac:dyDescent="0.2">
      <c r="A902" s="2">
        <f ca="1">IFERROR(__xludf.DUMMYFUNCTION("""COMPUTED_VALUE"""),45954.6666666666)</f>
        <v>45954.666666666599</v>
      </c>
      <c r="B902" s="2" t="s">
        <v>54</v>
      </c>
      <c r="C902" s="1">
        <v>8300</v>
      </c>
      <c r="D902" s="1">
        <v>8375</v>
      </c>
      <c r="E902" s="1">
        <v>8275</v>
      </c>
      <c r="F902" s="1">
        <v>8275</v>
      </c>
      <c r="G902" s="1">
        <v>133355100</v>
      </c>
      <c r="H902" s="4">
        <f t="shared" si="28"/>
        <v>-6.006006006006006E-3</v>
      </c>
      <c r="I902" s="4">
        <f t="shared" si="29"/>
        <v>0.47111111111111109</v>
      </c>
    </row>
    <row r="903" spans="1:9" x14ac:dyDescent="0.2">
      <c r="A903" s="2">
        <f ca="1">IFERROR(__xludf.DUMMYFUNCTION("""COMPUTED_VALUE"""),45957.6666666666)</f>
        <v>45957.666666666599</v>
      </c>
      <c r="B903" s="2" t="s">
        <v>54</v>
      </c>
      <c r="C903" s="1">
        <v>8325</v>
      </c>
      <c r="D903" s="1">
        <v>8425</v>
      </c>
      <c r="E903" s="1">
        <v>8200</v>
      </c>
      <c r="F903" s="1">
        <v>8350</v>
      </c>
      <c r="G903" s="1">
        <v>182275600</v>
      </c>
      <c r="H903" s="4">
        <f t="shared" si="28"/>
        <v>9.0634441087613302E-3</v>
      </c>
      <c r="I903" s="4">
        <f t="shared" si="29"/>
        <v>0.48444444444444446</v>
      </c>
    </row>
    <row r="904" spans="1:9" x14ac:dyDescent="0.2">
      <c r="A904" s="2">
        <f ca="1">IFERROR(__xludf.DUMMYFUNCTION("""COMPUTED_VALUE"""),45958.6666666666)</f>
        <v>45958.666666666599</v>
      </c>
      <c r="B904" s="2" t="s">
        <v>54</v>
      </c>
      <c r="C904" s="1">
        <v>8350</v>
      </c>
      <c r="D904" s="1">
        <v>8400</v>
      </c>
      <c r="E904" s="1">
        <v>8250</v>
      </c>
      <c r="F904" s="1">
        <v>8275</v>
      </c>
      <c r="G904" s="1">
        <v>180270000</v>
      </c>
      <c r="H904" s="4">
        <f t="shared" si="28"/>
        <v>-8.9820359281437123E-3</v>
      </c>
      <c r="I904" s="4">
        <f t="shared" si="29"/>
        <v>0.47111111111111109</v>
      </c>
    </row>
    <row r="905" spans="1:9" x14ac:dyDescent="0.2">
      <c r="A905" s="2">
        <f ca="1">IFERROR(__xludf.DUMMYFUNCTION("""COMPUTED_VALUE"""),45959.6666666666)</f>
        <v>45959.666666666599</v>
      </c>
      <c r="B905" s="2" t="s">
        <v>54</v>
      </c>
      <c r="C905" s="1">
        <v>8300</v>
      </c>
      <c r="D905" s="1">
        <v>8600</v>
      </c>
      <c r="E905" s="1">
        <v>8275</v>
      </c>
      <c r="F905" s="1">
        <v>8600</v>
      </c>
      <c r="G905" s="1">
        <v>239156800</v>
      </c>
      <c r="H905" s="4">
        <f t="shared" si="28"/>
        <v>3.9274924471299093E-2</v>
      </c>
      <c r="I905" s="4">
        <f t="shared" si="29"/>
        <v>0.52888888888888885</v>
      </c>
    </row>
    <row r="906" spans="1:9" x14ac:dyDescent="0.2">
      <c r="A906" s="2">
        <f ca="1">IFERROR(__xludf.DUMMYFUNCTION("""COMPUTED_VALUE"""),45960.6666666666)</f>
        <v>45960.666666666599</v>
      </c>
      <c r="B906" s="2" t="s">
        <v>54</v>
      </c>
      <c r="C906" s="1">
        <v>8575</v>
      </c>
      <c r="D906" s="1">
        <v>8750</v>
      </c>
      <c r="E906" s="1">
        <v>8475</v>
      </c>
      <c r="F906" s="1">
        <v>8525</v>
      </c>
      <c r="G906" s="1">
        <v>259009800</v>
      </c>
      <c r="H906" s="4">
        <f t="shared" si="28"/>
        <v>-8.7209302325581394E-3</v>
      </c>
      <c r="I906" s="4">
        <f t="shared" si="29"/>
        <v>0.51555555555555554</v>
      </c>
    </row>
    <row r="907" spans="1:9" x14ac:dyDescent="0.2">
      <c r="A907" s="2">
        <f ca="1">IFERROR(__xludf.DUMMYFUNCTION("""COMPUTED_VALUE"""),45961.6666666666)</f>
        <v>45961.666666666599</v>
      </c>
      <c r="B907" s="2" t="s">
        <v>54</v>
      </c>
      <c r="C907" s="1">
        <v>8550</v>
      </c>
      <c r="D907" s="1">
        <v>8650</v>
      </c>
      <c r="E907" s="1">
        <v>8525</v>
      </c>
      <c r="F907" s="1">
        <v>8525</v>
      </c>
      <c r="G907" s="1">
        <v>177088000</v>
      </c>
      <c r="H907" s="4">
        <f t="shared" si="28"/>
        <v>0</v>
      </c>
      <c r="I907" s="4">
        <f t="shared" si="29"/>
        <v>0.51555555555555554</v>
      </c>
    </row>
    <row r="908" spans="1:9" x14ac:dyDescent="0.2">
      <c r="A908" s="2">
        <f ca="1">IFERROR(__xludf.DUMMYFUNCTION("""COMPUTED_VALUE"""),45964.6666666666)</f>
        <v>45964.666666666599</v>
      </c>
      <c r="B908" s="2" t="s">
        <v>54</v>
      </c>
      <c r="C908" s="1">
        <v>8650</v>
      </c>
      <c r="D908" s="1">
        <v>8650</v>
      </c>
      <c r="E908" s="1">
        <v>8525</v>
      </c>
      <c r="F908" s="1">
        <v>8650</v>
      </c>
      <c r="G908" s="1">
        <v>115007100</v>
      </c>
      <c r="H908" s="4">
        <f t="shared" si="28"/>
        <v>1.466275659824047E-2</v>
      </c>
      <c r="I908" s="4">
        <f t="shared" si="29"/>
        <v>0.5377777777777778</v>
      </c>
    </row>
    <row r="909" spans="1:9" x14ac:dyDescent="0.2">
      <c r="A909" s="2">
        <f ca="1">IFERROR(__xludf.DUMMYFUNCTION("""COMPUTED_VALUE"""),45965.6666666666)</f>
        <v>45965.666666666599</v>
      </c>
      <c r="B909" s="2" t="s">
        <v>54</v>
      </c>
      <c r="C909" s="1">
        <v>8650</v>
      </c>
      <c r="D909" s="1">
        <v>8700</v>
      </c>
      <c r="E909" s="1">
        <v>8625</v>
      </c>
      <c r="F909" s="1">
        <v>8650</v>
      </c>
      <c r="G909" s="1">
        <v>155231500</v>
      </c>
      <c r="H909" s="4">
        <f t="shared" si="28"/>
        <v>0</v>
      </c>
      <c r="I909" s="4">
        <f t="shared" si="29"/>
        <v>0.5377777777777778</v>
      </c>
    </row>
    <row r="910" spans="1:9" x14ac:dyDescent="0.2">
      <c r="A910" s="2">
        <f ca="1">IFERROR(__xludf.DUMMYFUNCTION("""COMPUTED_VALUE"""),45966.6666666666)</f>
        <v>45966.666666666599</v>
      </c>
      <c r="B910" s="2" t="s">
        <v>54</v>
      </c>
      <c r="C910" s="1">
        <v>8625</v>
      </c>
      <c r="D910" s="1">
        <v>8700</v>
      </c>
      <c r="E910" s="1">
        <v>8600</v>
      </c>
      <c r="F910" s="1">
        <v>8700</v>
      </c>
      <c r="G910" s="1">
        <v>125731500</v>
      </c>
      <c r="H910" s="4">
        <f t="shared" si="28"/>
        <v>5.7803468208092483E-3</v>
      </c>
      <c r="I910" s="4">
        <f t="shared" si="29"/>
        <v>0.54666666666666663</v>
      </c>
    </row>
    <row r="911" spans="1:9" x14ac:dyDescent="0.2">
      <c r="A911" s="2">
        <f ca="1">IFERROR(__xludf.DUMMYFUNCTION("""COMPUTED_VALUE"""),45967.6666666666)</f>
        <v>45967.666666666599</v>
      </c>
      <c r="B911" s="2" t="s">
        <v>54</v>
      </c>
      <c r="C911" s="1">
        <v>8625</v>
      </c>
      <c r="D911" s="1">
        <v>8675</v>
      </c>
      <c r="E911" s="1">
        <v>8550</v>
      </c>
      <c r="F911" s="1">
        <v>8550</v>
      </c>
      <c r="G911" s="1">
        <v>89756900</v>
      </c>
      <c r="H911" s="4">
        <f t="shared" si="28"/>
        <v>-1.7241379310344827E-2</v>
      </c>
      <c r="I911" s="4">
        <f t="shared" si="29"/>
        <v>0.52</v>
      </c>
    </row>
    <row r="912" spans="1:9" x14ac:dyDescent="0.2">
      <c r="A912" s="2">
        <f ca="1">IFERROR(__xludf.DUMMYFUNCTION("""COMPUTED_VALUE"""),45968.6666666666)</f>
        <v>45968.666666666599</v>
      </c>
      <c r="B912" s="2" t="s">
        <v>54</v>
      </c>
      <c r="C912" s="1">
        <v>8550</v>
      </c>
      <c r="D912" s="1">
        <v>8675</v>
      </c>
      <c r="E912" s="1">
        <v>8550</v>
      </c>
      <c r="F912" s="1">
        <v>8675</v>
      </c>
      <c r="G912" s="1">
        <v>75241900</v>
      </c>
      <c r="H912" s="4">
        <f t="shared" si="28"/>
        <v>1.4619883040935672E-2</v>
      </c>
      <c r="I912" s="4">
        <f t="shared" si="29"/>
        <v>0.54222222222222227</v>
      </c>
    </row>
    <row r="913" spans="1:9" x14ac:dyDescent="0.2">
      <c r="A913" s="2">
        <f ca="1">IFERROR(__xludf.DUMMYFUNCTION("""COMPUTED_VALUE"""),45971.6666666666)</f>
        <v>45971.666666666599</v>
      </c>
      <c r="B913" s="2" t="s">
        <v>54</v>
      </c>
      <c r="C913" s="1">
        <v>8675</v>
      </c>
      <c r="D913" s="1">
        <v>8675</v>
      </c>
      <c r="E913" s="1">
        <v>8575</v>
      </c>
      <c r="F913" s="1">
        <v>8575</v>
      </c>
      <c r="G913" s="1">
        <v>79897700</v>
      </c>
      <c r="H913" s="4">
        <f t="shared" si="28"/>
        <v>-1.1527377521613832E-2</v>
      </c>
      <c r="I913" s="4">
        <f t="shared" si="29"/>
        <v>0.52444444444444449</v>
      </c>
    </row>
    <row r="914" spans="1:9" x14ac:dyDescent="0.2">
      <c r="A914" s="2">
        <f ca="1">IFERROR(__xludf.DUMMYFUNCTION("""COMPUTED_VALUE"""),45972.6666666666)</f>
        <v>45972.666666666599</v>
      </c>
      <c r="B914" s="2" t="s">
        <v>54</v>
      </c>
      <c r="C914" s="1">
        <v>8575</v>
      </c>
      <c r="D914" s="1">
        <v>8600</v>
      </c>
      <c r="E914" s="1">
        <v>8400</v>
      </c>
      <c r="F914" s="1">
        <v>8400</v>
      </c>
      <c r="G914" s="1">
        <v>130897600</v>
      </c>
      <c r="H914" s="4">
        <f t="shared" si="28"/>
        <v>-2.0408163265306121E-2</v>
      </c>
      <c r="I914" s="4">
        <f t="shared" si="29"/>
        <v>0.49333333333333335</v>
      </c>
    </row>
    <row r="915" spans="1:9" x14ac:dyDescent="0.2">
      <c r="A915" s="2">
        <f ca="1">IFERROR(__xludf.DUMMYFUNCTION("""COMPUTED_VALUE"""),45973.6666666666)</f>
        <v>45973.666666666599</v>
      </c>
      <c r="B915" s="2" t="s">
        <v>54</v>
      </c>
      <c r="C915" s="1">
        <v>8425</v>
      </c>
      <c r="D915" s="1">
        <v>8550</v>
      </c>
      <c r="E915" s="1">
        <v>8400</v>
      </c>
      <c r="F915" s="1">
        <v>8500</v>
      </c>
      <c r="G915" s="1">
        <v>85415600</v>
      </c>
      <c r="H915" s="4">
        <f t="shared" si="28"/>
        <v>1.1904761904761904E-2</v>
      </c>
      <c r="I915" s="4">
        <f t="shared" si="29"/>
        <v>0.51111111111111107</v>
      </c>
    </row>
    <row r="916" spans="1:9" x14ac:dyDescent="0.2">
      <c r="A916" s="2">
        <f ca="1">IFERROR(__xludf.DUMMYFUNCTION("""COMPUTED_VALUE"""),45974.6666666666)</f>
        <v>45974.666666666599</v>
      </c>
      <c r="B916" s="2" t="s">
        <v>54</v>
      </c>
      <c r="C916" s="1">
        <v>8400</v>
      </c>
      <c r="D916" s="1">
        <v>8475</v>
      </c>
      <c r="E916" s="1">
        <v>8375</v>
      </c>
      <c r="F916" s="1">
        <v>8375</v>
      </c>
      <c r="G916" s="1">
        <v>104113800</v>
      </c>
      <c r="H916" s="4">
        <f t="shared" si="28"/>
        <v>-1.4705882352941176E-2</v>
      </c>
      <c r="I916" s="4">
        <f t="shared" si="29"/>
        <v>0.48888888888888887</v>
      </c>
    </row>
    <row r="917" spans="1:9" x14ac:dyDescent="0.2">
      <c r="A917" s="2">
        <f ca="1">IFERROR(__xludf.DUMMYFUNCTION("""COMPUTED_VALUE"""),45975.6666666666)</f>
        <v>45975.666666666599</v>
      </c>
      <c r="B917" s="2" t="s">
        <v>54</v>
      </c>
      <c r="C917" s="1">
        <v>8375</v>
      </c>
      <c r="D917" s="1">
        <v>8500</v>
      </c>
      <c r="E917" s="1">
        <v>8375</v>
      </c>
      <c r="F917" s="1">
        <v>8425</v>
      </c>
      <c r="G917" s="1">
        <v>89815300</v>
      </c>
      <c r="H917" s="4">
        <f t="shared" si="28"/>
        <v>5.9701492537313433E-3</v>
      </c>
      <c r="I917" s="4">
        <f t="shared" si="29"/>
        <v>0.49777777777777776</v>
      </c>
    </row>
    <row r="918" spans="1:9" x14ac:dyDescent="0.2">
      <c r="A918" s="2">
        <f ca="1">IFERROR(__xludf.DUMMYFUNCTION("""COMPUTED_VALUE"""),45978.6666666666)</f>
        <v>45978.666666666599</v>
      </c>
      <c r="B918" s="2" t="s">
        <v>54</v>
      </c>
      <c r="C918" s="1">
        <v>8500</v>
      </c>
      <c r="D918" s="1">
        <v>8575</v>
      </c>
      <c r="E918" s="1">
        <v>8475</v>
      </c>
      <c r="F918" s="1">
        <v>8575</v>
      </c>
      <c r="G918" s="1">
        <v>129411100</v>
      </c>
      <c r="H918" s="4">
        <f t="shared" si="28"/>
        <v>1.7804154302670624E-2</v>
      </c>
      <c r="I918" s="4">
        <f t="shared" si="29"/>
        <v>0.52444444444444449</v>
      </c>
    </row>
    <row r="919" spans="1:9" x14ac:dyDescent="0.2">
      <c r="A919" s="2">
        <f ca="1">IFERROR(__xludf.DUMMYFUNCTION("""COMPUTED_VALUE"""),45979.6666666666)</f>
        <v>45979.666666666599</v>
      </c>
      <c r="B919" s="2" t="s">
        <v>54</v>
      </c>
      <c r="C919" s="1">
        <v>8550</v>
      </c>
      <c r="D919" s="1">
        <v>8575</v>
      </c>
      <c r="E919" s="1">
        <v>8400</v>
      </c>
      <c r="F919" s="1">
        <v>8400</v>
      </c>
      <c r="G919" s="1">
        <v>119377900</v>
      </c>
      <c r="H919" s="4">
        <f t="shared" si="28"/>
        <v>-2.0408163265306121E-2</v>
      </c>
      <c r="I919" s="4">
        <f t="shared" si="29"/>
        <v>0.49333333333333335</v>
      </c>
    </row>
    <row r="920" spans="1:9" x14ac:dyDescent="0.2">
      <c r="A920" s="2">
        <f ca="1">IFERROR(__xludf.DUMMYFUNCTION("""COMPUTED_VALUE"""),45980.6666666666)</f>
        <v>45980.666666666599</v>
      </c>
      <c r="B920" s="2" t="s">
        <v>54</v>
      </c>
      <c r="C920" s="1">
        <v>8350</v>
      </c>
      <c r="D920" s="1">
        <v>8500</v>
      </c>
      <c r="E920" s="1">
        <v>8325</v>
      </c>
      <c r="F920" s="1">
        <v>8475</v>
      </c>
      <c r="G920" s="1">
        <v>114209700</v>
      </c>
      <c r="H920" s="4">
        <f t="shared" si="28"/>
        <v>8.9285714285714281E-3</v>
      </c>
      <c r="I920" s="4">
        <f t="shared" si="29"/>
        <v>0.50666666666666671</v>
      </c>
    </row>
    <row r="921" spans="1:9" x14ac:dyDescent="0.2">
      <c r="A921" s="2">
        <f ca="1">IFERROR(__xludf.DUMMYFUNCTION("""COMPUTED_VALUE"""),45981.6666666666)</f>
        <v>45981.666666666599</v>
      </c>
      <c r="B921" s="2" t="s">
        <v>54</v>
      </c>
      <c r="C921" s="1">
        <v>8475</v>
      </c>
      <c r="D921" s="1">
        <v>8600</v>
      </c>
      <c r="E921" s="1">
        <v>8400</v>
      </c>
      <c r="F921" s="1">
        <v>8425</v>
      </c>
      <c r="G921" s="1">
        <v>124087400</v>
      </c>
      <c r="H921" s="4">
        <f t="shared" si="28"/>
        <v>-5.8997050147492625E-3</v>
      </c>
      <c r="I921" s="4">
        <f t="shared" si="29"/>
        <v>0.49777777777777776</v>
      </c>
    </row>
    <row r="922" spans="1:9" x14ac:dyDescent="0.2">
      <c r="A922" s="2">
        <f ca="1">IFERROR(__xludf.DUMMYFUNCTION("""COMPUTED_VALUE"""),45982.6666666666)</f>
        <v>45982.666666666599</v>
      </c>
      <c r="B922" s="2" t="s">
        <v>54</v>
      </c>
      <c r="C922" s="1">
        <v>8375</v>
      </c>
      <c r="D922" s="1">
        <v>8425</v>
      </c>
      <c r="E922" s="1">
        <v>8350</v>
      </c>
      <c r="F922" s="1">
        <v>8400</v>
      </c>
      <c r="G922" s="1">
        <v>103917100</v>
      </c>
      <c r="H922" s="4">
        <f t="shared" si="28"/>
        <v>-2.967359050445104E-3</v>
      </c>
      <c r="I922" s="4">
        <f t="shared" si="29"/>
        <v>0.49333333333333335</v>
      </c>
    </row>
    <row r="923" spans="1:9" x14ac:dyDescent="0.2">
      <c r="A923" s="2">
        <f ca="1">IFERROR(__xludf.DUMMYFUNCTION("""COMPUTED_VALUE"""),45985.6666666666)</f>
        <v>45985.666666666599</v>
      </c>
      <c r="B923" s="2" t="s">
        <v>54</v>
      </c>
      <c r="C923" s="1">
        <v>8400</v>
      </c>
      <c r="D923" s="1">
        <v>8475</v>
      </c>
      <c r="E923" s="1">
        <v>8350</v>
      </c>
      <c r="F923" s="1">
        <v>8475</v>
      </c>
      <c r="G923" s="1">
        <v>279590600</v>
      </c>
      <c r="H923" s="4">
        <f t="shared" si="28"/>
        <v>8.9285714285714281E-3</v>
      </c>
      <c r="I923" s="4">
        <f t="shared" si="29"/>
        <v>0.50666666666666671</v>
      </c>
    </row>
    <row r="924" spans="1:9" x14ac:dyDescent="0.2">
      <c r="A924" s="2">
        <f ca="1">IFERROR(__xludf.DUMMYFUNCTION("""COMPUTED_VALUE"""),45986.6666666666)</f>
        <v>45986.666666666599</v>
      </c>
      <c r="B924" s="2" t="s">
        <v>54</v>
      </c>
      <c r="C924" s="1">
        <v>8475</v>
      </c>
      <c r="D924" s="1">
        <v>8500</v>
      </c>
      <c r="E924" s="1">
        <v>8375</v>
      </c>
      <c r="F924" s="1">
        <v>8500</v>
      </c>
      <c r="G924" s="1">
        <v>98807700</v>
      </c>
      <c r="H924" s="4">
        <f t="shared" si="28"/>
        <v>2.9498525073746312E-3</v>
      </c>
      <c r="I924" s="4">
        <f t="shared" si="29"/>
        <v>0.51111111111111107</v>
      </c>
    </row>
    <row r="925" spans="1:9" x14ac:dyDescent="0.2">
      <c r="A925" s="2">
        <f ca="1">IFERROR(__xludf.DUMMYFUNCTION("""COMPUTED_VALUE"""),45987.6666666666)</f>
        <v>45987.666666666599</v>
      </c>
      <c r="B925" s="2" t="s">
        <v>54</v>
      </c>
      <c r="C925" s="1">
        <v>8400</v>
      </c>
      <c r="D925" s="1">
        <v>8450</v>
      </c>
      <c r="E925" s="1">
        <v>8375</v>
      </c>
      <c r="F925" s="1">
        <v>8425</v>
      </c>
      <c r="G925" s="1">
        <v>77094400</v>
      </c>
      <c r="H925" s="4">
        <f t="shared" ref="H925:H947" si="30">(F925-F924)/F924</f>
        <v>-8.8235294117647058E-3</v>
      </c>
      <c r="I925" s="4">
        <f t="shared" ref="I925:I947" si="31">(F925-$E$2)/$E$2</f>
        <v>0.49777777777777776</v>
      </c>
    </row>
    <row r="926" spans="1:9" x14ac:dyDescent="0.2">
      <c r="A926" s="2">
        <f ca="1">IFERROR(__xludf.DUMMYFUNCTION("""COMPUTED_VALUE"""),45988.6666666666)</f>
        <v>45988.666666666599</v>
      </c>
      <c r="B926" s="2" t="s">
        <v>54</v>
      </c>
      <c r="C926" s="1">
        <v>8425</v>
      </c>
      <c r="D926" s="1">
        <v>8450</v>
      </c>
      <c r="E926" s="1">
        <v>8325</v>
      </c>
      <c r="F926" s="1">
        <v>8325</v>
      </c>
      <c r="G926" s="1">
        <v>71051300</v>
      </c>
      <c r="H926" s="4">
        <f t="shared" si="30"/>
        <v>-1.1869436201780416E-2</v>
      </c>
      <c r="I926" s="4">
        <f t="shared" si="31"/>
        <v>0.48</v>
      </c>
    </row>
    <row r="927" spans="1:9" x14ac:dyDescent="0.2">
      <c r="A927" s="2">
        <f ca="1">IFERROR(__xludf.DUMMYFUNCTION("""COMPUTED_VALUE"""),45989.6666666666)</f>
        <v>45989.666666666599</v>
      </c>
      <c r="B927" s="2" t="s">
        <v>54</v>
      </c>
      <c r="C927" s="1">
        <v>8325</v>
      </c>
      <c r="D927" s="1">
        <v>8350</v>
      </c>
      <c r="E927" s="1">
        <v>8275</v>
      </c>
      <c r="F927" s="1">
        <v>8275</v>
      </c>
      <c r="G927" s="1">
        <v>67559300</v>
      </c>
      <c r="H927" s="4">
        <f t="shared" si="30"/>
        <v>-6.006006006006006E-3</v>
      </c>
      <c r="I927" s="4">
        <f t="shared" si="31"/>
        <v>0.47111111111111109</v>
      </c>
    </row>
    <row r="928" spans="1:9" x14ac:dyDescent="0.2">
      <c r="A928" s="2">
        <f ca="1">IFERROR(__xludf.DUMMYFUNCTION("""COMPUTED_VALUE"""),45992.6666666666)</f>
        <v>45992.666666666599</v>
      </c>
      <c r="B928" s="2" t="s">
        <v>54</v>
      </c>
      <c r="C928" s="1">
        <v>8450</v>
      </c>
      <c r="D928" s="1">
        <v>8450</v>
      </c>
      <c r="E928" s="1">
        <v>8350</v>
      </c>
      <c r="F928" s="1">
        <v>8400</v>
      </c>
      <c r="G928" s="1">
        <v>76359200</v>
      </c>
      <c r="H928" s="4">
        <f t="shared" si="30"/>
        <v>1.5105740181268883E-2</v>
      </c>
      <c r="I928" s="4">
        <f t="shared" si="31"/>
        <v>0.49333333333333335</v>
      </c>
    </row>
    <row r="929" spans="1:9" x14ac:dyDescent="0.2">
      <c r="A929" s="2">
        <f ca="1">IFERROR(__xludf.DUMMYFUNCTION("""COMPUTED_VALUE"""),45993.6666666666)</f>
        <v>45993.666666666599</v>
      </c>
      <c r="B929" s="2" t="s">
        <v>54</v>
      </c>
      <c r="C929" s="1">
        <v>8350</v>
      </c>
      <c r="D929" s="1">
        <v>8425</v>
      </c>
      <c r="E929" s="1">
        <v>8350</v>
      </c>
      <c r="F929" s="1">
        <v>8375</v>
      </c>
      <c r="G929" s="1">
        <v>97044000</v>
      </c>
      <c r="H929" s="4">
        <f t="shared" si="30"/>
        <v>-2.976190476190476E-3</v>
      </c>
      <c r="I929" s="4">
        <f t="shared" si="31"/>
        <v>0.48888888888888887</v>
      </c>
    </row>
    <row r="930" spans="1:9" x14ac:dyDescent="0.2">
      <c r="A930" s="2">
        <f ca="1">IFERROR(__xludf.DUMMYFUNCTION("""COMPUTED_VALUE"""),45994.6666666666)</f>
        <v>45994.666666666599</v>
      </c>
      <c r="B930" s="2" t="s">
        <v>54</v>
      </c>
      <c r="C930" s="1">
        <v>8350</v>
      </c>
      <c r="D930" s="1">
        <v>8400</v>
      </c>
      <c r="E930" s="1">
        <v>8300</v>
      </c>
      <c r="F930" s="1">
        <v>8300</v>
      </c>
      <c r="G930" s="1">
        <v>103550900</v>
      </c>
      <c r="H930" s="4">
        <f t="shared" si="30"/>
        <v>-8.9552238805970154E-3</v>
      </c>
      <c r="I930" s="4">
        <f t="shared" si="31"/>
        <v>0.47555555555555556</v>
      </c>
    </row>
    <row r="931" spans="1:9" x14ac:dyDescent="0.2">
      <c r="A931" s="2">
        <f ca="1">IFERROR(__xludf.DUMMYFUNCTION("""COMPUTED_VALUE"""),45995.6666666666)</f>
        <v>45995.666666666599</v>
      </c>
      <c r="B931" s="2" t="s">
        <v>54</v>
      </c>
      <c r="C931" s="1">
        <v>8325</v>
      </c>
      <c r="D931" s="1">
        <v>8350</v>
      </c>
      <c r="E931" s="1">
        <v>8225</v>
      </c>
      <c r="F931" s="1">
        <v>8225</v>
      </c>
      <c r="G931" s="1">
        <v>71410400</v>
      </c>
      <c r="H931" s="4">
        <f t="shared" si="30"/>
        <v>-9.0361445783132526E-3</v>
      </c>
      <c r="I931" s="4">
        <f t="shared" si="31"/>
        <v>0.4622222222222222</v>
      </c>
    </row>
    <row r="932" spans="1:9" x14ac:dyDescent="0.2">
      <c r="A932" s="2">
        <f ca="1">IFERROR(__xludf.DUMMYFUNCTION("""COMPUTED_VALUE"""),45996.6666666666)</f>
        <v>45996.666666666599</v>
      </c>
      <c r="B932" s="2" t="s">
        <v>54</v>
      </c>
      <c r="C932" s="1">
        <v>8200</v>
      </c>
      <c r="D932" s="1">
        <v>8300</v>
      </c>
      <c r="E932" s="1">
        <v>8200</v>
      </c>
      <c r="F932" s="1">
        <v>8300</v>
      </c>
      <c r="G932" s="1">
        <v>71162300</v>
      </c>
      <c r="H932" s="4">
        <f t="shared" si="30"/>
        <v>9.11854103343465E-3</v>
      </c>
      <c r="I932" s="4">
        <f t="shared" si="31"/>
        <v>0.47555555555555556</v>
      </c>
    </row>
    <row r="933" spans="1:9" x14ac:dyDescent="0.2">
      <c r="A933" s="2">
        <f ca="1">IFERROR(__xludf.DUMMYFUNCTION("""COMPUTED_VALUE"""),45999.6666666666)</f>
        <v>45999.666666666599</v>
      </c>
      <c r="B933" s="2" t="s">
        <v>54</v>
      </c>
      <c r="C933" s="1">
        <v>8350</v>
      </c>
      <c r="D933" s="1">
        <v>8350</v>
      </c>
      <c r="E933" s="1">
        <v>8250</v>
      </c>
      <c r="F933" s="1">
        <v>8300</v>
      </c>
      <c r="G933" s="1">
        <v>61745200</v>
      </c>
      <c r="H933" s="4">
        <f t="shared" si="30"/>
        <v>0</v>
      </c>
      <c r="I933" s="4">
        <f t="shared" si="31"/>
        <v>0.47555555555555556</v>
      </c>
    </row>
    <row r="934" spans="1:9" x14ac:dyDescent="0.2">
      <c r="A934" s="2">
        <f ca="1">IFERROR(__xludf.DUMMYFUNCTION("""COMPUTED_VALUE"""),46000.6666666666)</f>
        <v>46000.666666666599</v>
      </c>
      <c r="B934" s="2" t="s">
        <v>54</v>
      </c>
      <c r="C934" s="1">
        <v>8300</v>
      </c>
      <c r="D934" s="1">
        <v>8300</v>
      </c>
      <c r="E934" s="1">
        <v>8100</v>
      </c>
      <c r="F934" s="1">
        <v>8100</v>
      </c>
      <c r="G934" s="1">
        <v>113057200</v>
      </c>
      <c r="H934" s="4">
        <f t="shared" si="30"/>
        <v>-2.4096385542168676E-2</v>
      </c>
      <c r="I934" s="4">
        <f t="shared" si="31"/>
        <v>0.44</v>
      </c>
    </row>
    <row r="935" spans="1:9" x14ac:dyDescent="0.2">
      <c r="A935" s="2">
        <f ca="1">IFERROR(__xludf.DUMMYFUNCTION("""COMPUTED_VALUE"""),46001.6666666666)</f>
        <v>46001.666666666599</v>
      </c>
      <c r="B935" s="2" t="s">
        <v>54</v>
      </c>
      <c r="C935" s="1">
        <v>8100</v>
      </c>
      <c r="D935" s="1">
        <v>8175</v>
      </c>
      <c r="E935" s="1">
        <v>8025</v>
      </c>
      <c r="F935" s="1">
        <v>8075</v>
      </c>
      <c r="G935" s="1">
        <v>143418300</v>
      </c>
      <c r="H935" s="4">
        <f t="shared" si="30"/>
        <v>-3.0864197530864196E-3</v>
      </c>
      <c r="I935" s="4">
        <f t="shared" si="31"/>
        <v>0.43555555555555553</v>
      </c>
    </row>
    <row r="936" spans="1:9" x14ac:dyDescent="0.2">
      <c r="A936" s="2">
        <f ca="1">IFERROR(__xludf.DUMMYFUNCTION("""COMPUTED_VALUE"""),46002.6666666666)</f>
        <v>46002.666666666599</v>
      </c>
      <c r="B936" s="2" t="s">
        <v>54</v>
      </c>
      <c r="C936" s="1">
        <v>8175</v>
      </c>
      <c r="D936" s="1">
        <v>8200</v>
      </c>
      <c r="E936" s="1">
        <v>7900</v>
      </c>
      <c r="F936" s="1">
        <v>8000</v>
      </c>
      <c r="G936" s="1">
        <v>140766000</v>
      </c>
      <c r="H936" s="4">
        <f t="shared" si="30"/>
        <v>-9.2879256965944269E-3</v>
      </c>
      <c r="I936" s="4">
        <f t="shared" si="31"/>
        <v>0.42222222222222222</v>
      </c>
    </row>
    <row r="937" spans="1:9" x14ac:dyDescent="0.2">
      <c r="A937" s="2">
        <f ca="1">IFERROR(__xludf.DUMMYFUNCTION("""COMPUTED_VALUE"""),46003.6666666666)</f>
        <v>46003.666666666599</v>
      </c>
      <c r="B937" s="2" t="s">
        <v>54</v>
      </c>
      <c r="C937" s="1">
        <v>7900</v>
      </c>
      <c r="D937" s="1">
        <v>8000</v>
      </c>
      <c r="E937" s="1">
        <v>7850</v>
      </c>
      <c r="F937" s="1">
        <v>8000</v>
      </c>
      <c r="G937" s="1">
        <v>100006800</v>
      </c>
      <c r="H937" s="4">
        <f t="shared" si="30"/>
        <v>0</v>
      </c>
      <c r="I937" s="4">
        <f t="shared" si="31"/>
        <v>0.42222222222222222</v>
      </c>
    </row>
    <row r="938" spans="1:9" x14ac:dyDescent="0.2">
      <c r="A938" s="2">
        <f ca="1">IFERROR(__xludf.DUMMYFUNCTION("""COMPUTED_VALUE"""),46006.6666666666)</f>
        <v>46006.666666666599</v>
      </c>
      <c r="B938" s="2" t="s">
        <v>54</v>
      </c>
      <c r="C938" s="1">
        <v>7925</v>
      </c>
      <c r="D938" s="1">
        <v>8300</v>
      </c>
      <c r="E938" s="1">
        <v>7925</v>
      </c>
      <c r="F938" s="1">
        <v>8300</v>
      </c>
      <c r="G938" s="1">
        <v>143105700</v>
      </c>
      <c r="H938" s="4">
        <f t="shared" si="30"/>
        <v>3.7499999999999999E-2</v>
      </c>
      <c r="I938" s="4">
        <f t="shared" si="31"/>
        <v>0.47555555555555556</v>
      </c>
    </row>
    <row r="939" spans="1:9" x14ac:dyDescent="0.2">
      <c r="A939" s="2">
        <f ca="1">IFERROR(__xludf.DUMMYFUNCTION("""COMPUTED_VALUE"""),46007.6666666666)</f>
        <v>46007.666666666599</v>
      </c>
      <c r="B939" s="2" t="s">
        <v>54</v>
      </c>
      <c r="C939" s="1">
        <v>8375</v>
      </c>
      <c r="D939" s="1">
        <v>8375</v>
      </c>
      <c r="E939" s="1">
        <v>8025</v>
      </c>
      <c r="F939" s="1">
        <v>8075</v>
      </c>
      <c r="G939" s="1">
        <v>122332000</v>
      </c>
      <c r="H939" s="4">
        <f t="shared" si="30"/>
        <v>-2.710843373493976E-2</v>
      </c>
      <c r="I939" s="4">
        <f t="shared" si="31"/>
        <v>0.43555555555555553</v>
      </c>
    </row>
    <row r="940" spans="1:9" x14ac:dyDescent="0.2">
      <c r="A940" s="2">
        <f ca="1">IFERROR(__xludf.DUMMYFUNCTION("""COMPUTED_VALUE"""),46008.6666666666)</f>
        <v>46008.666666666599</v>
      </c>
      <c r="B940" s="2" t="s">
        <v>54</v>
      </c>
      <c r="C940" s="1">
        <v>8000</v>
      </c>
      <c r="D940" s="1">
        <v>8125</v>
      </c>
      <c r="E940" s="1">
        <v>7975</v>
      </c>
      <c r="F940" s="1">
        <v>8025</v>
      </c>
      <c r="G940" s="1">
        <v>89802700</v>
      </c>
      <c r="H940" s="4">
        <f t="shared" si="30"/>
        <v>-6.1919504643962852E-3</v>
      </c>
      <c r="I940" s="4">
        <f t="shared" si="31"/>
        <v>0.42666666666666669</v>
      </c>
    </row>
    <row r="941" spans="1:9" x14ac:dyDescent="0.2">
      <c r="A941" s="2">
        <f ca="1">IFERROR(__xludf.DUMMYFUNCTION("""COMPUTED_VALUE"""),46009.6666666666)</f>
        <v>46009.666666666599</v>
      </c>
      <c r="B941" s="2" t="s">
        <v>54</v>
      </c>
      <c r="C941" s="1">
        <v>8025</v>
      </c>
      <c r="D941" s="1">
        <v>8250</v>
      </c>
      <c r="E941" s="1">
        <v>8025</v>
      </c>
      <c r="F941" s="1">
        <v>8175</v>
      </c>
      <c r="G941" s="1">
        <v>88497200</v>
      </c>
      <c r="H941" s="4">
        <f t="shared" si="30"/>
        <v>1.8691588785046728E-2</v>
      </c>
      <c r="I941" s="4">
        <f t="shared" si="31"/>
        <v>0.45333333333333331</v>
      </c>
    </row>
    <row r="942" spans="1:9" x14ac:dyDescent="0.2">
      <c r="A942" s="2">
        <f ca="1">IFERROR(__xludf.DUMMYFUNCTION("""COMPUTED_VALUE"""),46010.6666666666)</f>
        <v>46010.666666666599</v>
      </c>
      <c r="B942" s="2" t="s">
        <v>54</v>
      </c>
      <c r="C942" s="1">
        <v>8200</v>
      </c>
      <c r="D942" s="1">
        <v>8225</v>
      </c>
      <c r="E942" s="1">
        <v>8050</v>
      </c>
      <c r="F942" s="1">
        <v>8050</v>
      </c>
      <c r="G942" s="1">
        <v>131069800</v>
      </c>
      <c r="H942" s="4">
        <f t="shared" si="30"/>
        <v>-1.5290519877675841E-2</v>
      </c>
      <c r="I942" s="4">
        <f t="shared" si="31"/>
        <v>0.43111111111111111</v>
      </c>
    </row>
    <row r="943" spans="1:9" x14ac:dyDescent="0.2">
      <c r="A943" s="2">
        <f ca="1">IFERROR(__xludf.DUMMYFUNCTION("""COMPUTED_VALUE"""),46013.6666666666)</f>
        <v>46013.666666666599</v>
      </c>
      <c r="B943" s="2" t="s">
        <v>54</v>
      </c>
      <c r="C943" s="1">
        <v>8050</v>
      </c>
      <c r="D943" s="1">
        <v>8175</v>
      </c>
      <c r="E943" s="1">
        <v>8025</v>
      </c>
      <c r="F943" s="1">
        <v>8175</v>
      </c>
      <c r="G943" s="1">
        <v>72424200</v>
      </c>
      <c r="H943" s="4">
        <f t="shared" si="30"/>
        <v>1.5527950310559006E-2</v>
      </c>
      <c r="I943" s="4">
        <f t="shared" si="31"/>
        <v>0.45333333333333331</v>
      </c>
    </row>
    <row r="944" spans="1:9" x14ac:dyDescent="0.2">
      <c r="A944" s="2">
        <f ca="1">IFERROR(__xludf.DUMMYFUNCTION("""COMPUTED_VALUE"""),46014.6666666666)</f>
        <v>46014.666666666599</v>
      </c>
      <c r="B944" s="2" t="s">
        <v>54</v>
      </c>
      <c r="C944" s="1">
        <v>8100</v>
      </c>
      <c r="D944" s="1">
        <v>8125</v>
      </c>
      <c r="E944" s="1">
        <v>7975</v>
      </c>
      <c r="F944" s="1">
        <v>8025</v>
      </c>
      <c r="G944" s="1">
        <v>85044100</v>
      </c>
      <c r="H944" s="4">
        <f t="shared" si="30"/>
        <v>-1.834862385321101E-2</v>
      </c>
      <c r="I944" s="4">
        <f t="shared" si="31"/>
        <v>0.42666666666666669</v>
      </c>
    </row>
    <row r="945" spans="1:9" x14ac:dyDescent="0.2">
      <c r="A945" s="2">
        <f ca="1">IFERROR(__xludf.DUMMYFUNCTION("""COMPUTED_VALUE"""),46015.6666666666)</f>
        <v>46015.666666666599</v>
      </c>
      <c r="B945" s="2" t="s">
        <v>54</v>
      </c>
      <c r="C945" s="1">
        <v>8025</v>
      </c>
      <c r="D945" s="1">
        <v>8075</v>
      </c>
      <c r="E945" s="1">
        <v>8000</v>
      </c>
      <c r="F945" s="1">
        <v>8025</v>
      </c>
      <c r="G945" s="1">
        <v>71260500</v>
      </c>
      <c r="H945" s="4">
        <f t="shared" si="30"/>
        <v>0</v>
      </c>
      <c r="I945" s="4">
        <f t="shared" si="31"/>
        <v>0.42666666666666669</v>
      </c>
    </row>
    <row r="946" spans="1:9" x14ac:dyDescent="0.2">
      <c r="A946" s="2">
        <f ca="1">IFERROR(__xludf.DUMMYFUNCTION("""COMPUTED_VALUE"""),46020.6666666666)</f>
        <v>46020.666666666599</v>
      </c>
      <c r="B946" s="2" t="s">
        <v>54</v>
      </c>
      <c r="C946" s="1">
        <v>8025</v>
      </c>
      <c r="D946" s="1">
        <v>8025</v>
      </c>
      <c r="E946" s="1">
        <v>7950</v>
      </c>
      <c r="F946" s="1">
        <v>8025</v>
      </c>
      <c r="G946" s="1">
        <v>78399400</v>
      </c>
      <c r="H946" s="4">
        <f t="shared" si="30"/>
        <v>0</v>
      </c>
      <c r="I946" s="4">
        <f t="shared" si="31"/>
        <v>0.42666666666666669</v>
      </c>
    </row>
    <row r="947" spans="1:9" x14ac:dyDescent="0.2">
      <c r="A947" s="2">
        <f ca="1">IFERROR(__xludf.DUMMYFUNCTION("""COMPUTED_VALUE"""),46021.6666666666)</f>
        <v>46021.666666666599</v>
      </c>
      <c r="B947" s="2" t="s">
        <v>54</v>
      </c>
      <c r="C947" s="1">
        <v>7950</v>
      </c>
      <c r="D947" s="1">
        <v>8175</v>
      </c>
      <c r="E947" s="1">
        <v>7950</v>
      </c>
      <c r="F947" s="1">
        <v>8075</v>
      </c>
      <c r="G947" s="1">
        <v>101995600</v>
      </c>
      <c r="H947" s="4">
        <f t="shared" si="30"/>
        <v>6.2305295950155761E-3</v>
      </c>
      <c r="I947" s="4">
        <f t="shared" si="31"/>
        <v>0.43555555555555553</v>
      </c>
    </row>
    <row r="948" spans="1:9" x14ac:dyDescent="0.2">
      <c r="A948" s="2">
        <f ca="1">IFERROR(__xludf.DUMMYFUNCTION("""COMPUTED_VALUE"""),45293.6666666666)</f>
        <v>45293.666666666599</v>
      </c>
      <c r="B948" s="2" t="s">
        <v>56</v>
      </c>
      <c r="C948" s="17">
        <v>6050</v>
      </c>
      <c r="D948" s="17">
        <v>6125</v>
      </c>
      <c r="E948" s="17">
        <v>6025</v>
      </c>
      <c r="F948" s="17">
        <v>6125</v>
      </c>
      <c r="G948" s="17">
        <v>26235700</v>
      </c>
      <c r="H948" s="4">
        <v>0</v>
      </c>
      <c r="I948" s="4">
        <v>0</v>
      </c>
    </row>
    <row r="949" spans="1:9" x14ac:dyDescent="0.2">
      <c r="A949" s="2">
        <f ca="1">IFERROR(__xludf.DUMMYFUNCTION("""COMPUTED_VALUE"""),45294.6666666666)</f>
        <v>45294.666666666599</v>
      </c>
      <c r="B949" s="2" t="s">
        <v>56</v>
      </c>
      <c r="C949" s="17">
        <v>6100</v>
      </c>
      <c r="D949" s="17">
        <v>6150</v>
      </c>
      <c r="E949" s="17">
        <v>6050</v>
      </c>
      <c r="F949" s="17">
        <v>6100</v>
      </c>
      <c r="G949" s="17">
        <v>30053900</v>
      </c>
      <c r="H949" s="4">
        <f>(F949-F948)/F948</f>
        <v>-4.0816326530612249E-3</v>
      </c>
      <c r="I949" s="4">
        <f>(F949-$F$2)/$F$2</f>
        <v>7.4889867841409691E-2</v>
      </c>
    </row>
    <row r="950" spans="1:9" x14ac:dyDescent="0.2">
      <c r="A950" s="2">
        <f ca="1">IFERROR(__xludf.DUMMYFUNCTION("""COMPUTED_VALUE"""),45295.6666666666)</f>
        <v>45295.666666666599</v>
      </c>
      <c r="B950" s="2" t="s">
        <v>56</v>
      </c>
      <c r="C950" s="17">
        <v>6125</v>
      </c>
      <c r="D950" s="17">
        <v>6400</v>
      </c>
      <c r="E950" s="17">
        <v>6100</v>
      </c>
      <c r="F950" s="17">
        <v>6350</v>
      </c>
      <c r="G950" s="17">
        <v>135344500</v>
      </c>
      <c r="H950" s="4">
        <f t="shared" ref="H950:H1013" si="32">(F950-F949)/F949</f>
        <v>4.0983606557377046E-2</v>
      </c>
      <c r="I950" s="4">
        <f t="shared" ref="I950:I1013" si="33">(F950-$F$2)/$F$2</f>
        <v>0.11894273127753303</v>
      </c>
    </row>
    <row r="951" spans="1:9" x14ac:dyDescent="0.2">
      <c r="A951" s="2">
        <f ca="1">IFERROR(__xludf.DUMMYFUNCTION("""COMPUTED_VALUE"""),45296.6666666666)</f>
        <v>45296.666666666599</v>
      </c>
      <c r="B951" s="2" t="s">
        <v>56</v>
      </c>
      <c r="C951" s="17">
        <v>6400</v>
      </c>
      <c r="D951" s="17">
        <v>6475</v>
      </c>
      <c r="E951" s="17">
        <v>6350</v>
      </c>
      <c r="F951" s="17">
        <v>6425</v>
      </c>
      <c r="G951" s="17">
        <v>114339400</v>
      </c>
      <c r="H951" s="4">
        <f t="shared" si="32"/>
        <v>1.1811023622047244E-2</v>
      </c>
      <c r="I951" s="4">
        <f t="shared" si="33"/>
        <v>0.13215859030837004</v>
      </c>
    </row>
    <row r="952" spans="1:9" x14ac:dyDescent="0.2">
      <c r="A952" s="2">
        <f ca="1">IFERROR(__xludf.DUMMYFUNCTION("""COMPUTED_VALUE"""),45299.6666666666)</f>
        <v>45299.666666666599</v>
      </c>
      <c r="B952" s="2" t="s">
        <v>56</v>
      </c>
      <c r="C952" s="17">
        <v>6500</v>
      </c>
      <c r="D952" s="17">
        <v>6600</v>
      </c>
      <c r="E952" s="17">
        <v>6375</v>
      </c>
      <c r="F952" s="17">
        <v>6400</v>
      </c>
      <c r="G952" s="17">
        <v>151018300</v>
      </c>
      <c r="H952" s="4">
        <f t="shared" si="32"/>
        <v>-3.8910505836575876E-3</v>
      </c>
      <c r="I952" s="4">
        <f t="shared" si="33"/>
        <v>0.1277533039647577</v>
      </c>
    </row>
    <row r="953" spans="1:9" x14ac:dyDescent="0.2">
      <c r="A953" s="2">
        <f ca="1">IFERROR(__xludf.DUMMYFUNCTION("""COMPUTED_VALUE"""),45300.6666666666)</f>
        <v>45300.666666666599</v>
      </c>
      <c r="B953" s="2" t="s">
        <v>56</v>
      </c>
      <c r="C953" s="17">
        <v>6425</v>
      </c>
      <c r="D953" s="17">
        <v>6450</v>
      </c>
      <c r="E953" s="17">
        <v>6350</v>
      </c>
      <c r="F953" s="17">
        <v>6375</v>
      </c>
      <c r="G953" s="17">
        <v>77953400</v>
      </c>
      <c r="H953" s="4">
        <f t="shared" si="32"/>
        <v>-3.90625E-3</v>
      </c>
      <c r="I953" s="4">
        <f t="shared" si="33"/>
        <v>0.12334801762114538</v>
      </c>
    </row>
    <row r="954" spans="1:9" x14ac:dyDescent="0.2">
      <c r="A954" s="2">
        <f ca="1">IFERROR(__xludf.DUMMYFUNCTION("""COMPUTED_VALUE"""),45301.6666666666)</f>
        <v>45301.666666666599</v>
      </c>
      <c r="B954" s="2" t="s">
        <v>56</v>
      </c>
      <c r="C954" s="17">
        <v>6375</v>
      </c>
      <c r="D954" s="17">
        <v>6450</v>
      </c>
      <c r="E954" s="17">
        <v>6325</v>
      </c>
      <c r="F954" s="17">
        <v>6425</v>
      </c>
      <c r="G954" s="17">
        <v>50019800</v>
      </c>
      <c r="H954" s="4">
        <f t="shared" si="32"/>
        <v>7.8431372549019607E-3</v>
      </c>
      <c r="I954" s="4">
        <f t="shared" si="33"/>
        <v>0.13215859030837004</v>
      </c>
    </row>
    <row r="955" spans="1:9" x14ac:dyDescent="0.2">
      <c r="A955" s="2">
        <f ca="1">IFERROR(__xludf.DUMMYFUNCTION("""COMPUTED_VALUE"""),45302.6666666666)</f>
        <v>45302.666666666599</v>
      </c>
      <c r="B955" s="2" t="s">
        <v>56</v>
      </c>
      <c r="C955" s="17">
        <v>6425</v>
      </c>
      <c r="D955" s="17">
        <v>6500</v>
      </c>
      <c r="E955" s="17">
        <v>6400</v>
      </c>
      <c r="F955" s="17">
        <v>6450</v>
      </c>
      <c r="G955" s="17">
        <v>32120200</v>
      </c>
      <c r="H955" s="4">
        <f t="shared" si="32"/>
        <v>3.8910505836575876E-3</v>
      </c>
      <c r="I955" s="4">
        <f t="shared" si="33"/>
        <v>0.13656387665198239</v>
      </c>
    </row>
    <row r="956" spans="1:9" x14ac:dyDescent="0.2">
      <c r="A956" s="2">
        <f ca="1">IFERROR(__xludf.DUMMYFUNCTION("""COMPUTED_VALUE"""),45303.6666666666)</f>
        <v>45303.666666666599</v>
      </c>
      <c r="B956" s="2" t="s">
        <v>56</v>
      </c>
      <c r="C956" s="17">
        <v>6575</v>
      </c>
      <c r="D956" s="17">
        <v>6675</v>
      </c>
      <c r="E956" s="17">
        <v>6525</v>
      </c>
      <c r="F956" s="17">
        <v>6575</v>
      </c>
      <c r="G956" s="17">
        <v>114039700</v>
      </c>
      <c r="H956" s="4">
        <f t="shared" si="32"/>
        <v>1.937984496124031E-2</v>
      </c>
      <c r="I956" s="4">
        <f t="shared" si="33"/>
        <v>0.15859030837004406</v>
      </c>
    </row>
    <row r="957" spans="1:9" x14ac:dyDescent="0.2">
      <c r="A957" s="2">
        <f ca="1">IFERROR(__xludf.DUMMYFUNCTION("""COMPUTED_VALUE"""),45306.6666666666)</f>
        <v>45306.666666666599</v>
      </c>
      <c r="B957" s="2" t="s">
        <v>56</v>
      </c>
      <c r="C957" s="17">
        <v>6575</v>
      </c>
      <c r="D957" s="17">
        <v>6625</v>
      </c>
      <c r="E957" s="17">
        <v>6475</v>
      </c>
      <c r="F957" s="17">
        <v>6500</v>
      </c>
      <c r="G957" s="17">
        <v>83066800</v>
      </c>
      <c r="H957" s="4">
        <f t="shared" si="32"/>
        <v>-1.1406844106463879E-2</v>
      </c>
      <c r="I957" s="4">
        <f t="shared" si="33"/>
        <v>0.14537444933920704</v>
      </c>
    </row>
    <row r="958" spans="1:9" x14ac:dyDescent="0.2">
      <c r="A958" s="2">
        <f ca="1">IFERROR(__xludf.DUMMYFUNCTION("""COMPUTED_VALUE"""),45307.6666666666)</f>
        <v>45307.666666666599</v>
      </c>
      <c r="B958" s="2" t="s">
        <v>56</v>
      </c>
      <c r="C958" s="17">
        <v>6525</v>
      </c>
      <c r="D958" s="17">
        <v>6625</v>
      </c>
      <c r="E958" s="17">
        <v>6500</v>
      </c>
      <c r="F958" s="17">
        <v>6525</v>
      </c>
      <c r="G958" s="17">
        <v>83516800</v>
      </c>
      <c r="H958" s="4">
        <f t="shared" si="32"/>
        <v>3.8461538461538464E-3</v>
      </c>
      <c r="I958" s="4">
        <f t="shared" si="33"/>
        <v>0.14977973568281938</v>
      </c>
    </row>
    <row r="959" spans="1:9" x14ac:dyDescent="0.2">
      <c r="A959" s="2">
        <f ca="1">IFERROR(__xludf.DUMMYFUNCTION("""COMPUTED_VALUE"""),45308.6666666666)</f>
        <v>45308.666666666599</v>
      </c>
      <c r="B959" s="2" t="s">
        <v>56</v>
      </c>
      <c r="C959" s="17">
        <v>6525</v>
      </c>
      <c r="D959" s="17">
        <v>6625</v>
      </c>
      <c r="E959" s="17">
        <v>6500</v>
      </c>
      <c r="F959" s="17">
        <v>6525</v>
      </c>
      <c r="G959" s="17">
        <v>80929000</v>
      </c>
      <c r="H959" s="4">
        <f t="shared" si="32"/>
        <v>0</v>
      </c>
      <c r="I959" s="4">
        <f t="shared" si="33"/>
        <v>0.14977973568281938</v>
      </c>
    </row>
    <row r="960" spans="1:9" x14ac:dyDescent="0.2">
      <c r="A960" s="2">
        <f ca="1">IFERROR(__xludf.DUMMYFUNCTION("""COMPUTED_VALUE"""),45309.6666666666)</f>
        <v>45309.666666666599</v>
      </c>
      <c r="B960" s="2" t="s">
        <v>56</v>
      </c>
      <c r="C960" s="17">
        <v>6525</v>
      </c>
      <c r="D960" s="17">
        <v>6550</v>
      </c>
      <c r="E960" s="17">
        <v>6475</v>
      </c>
      <c r="F960" s="17">
        <v>6525</v>
      </c>
      <c r="G960" s="17">
        <v>78209900</v>
      </c>
      <c r="H960" s="4">
        <f t="shared" si="32"/>
        <v>0</v>
      </c>
      <c r="I960" s="4">
        <f t="shared" si="33"/>
        <v>0.14977973568281938</v>
      </c>
    </row>
    <row r="961" spans="1:9" x14ac:dyDescent="0.2">
      <c r="A961" s="2">
        <f ca="1">IFERROR(__xludf.DUMMYFUNCTION("""COMPUTED_VALUE"""),45310.6666666666)</f>
        <v>45310.666666666599</v>
      </c>
      <c r="B961" s="2" t="s">
        <v>56</v>
      </c>
      <c r="C961" s="1">
        <v>6500</v>
      </c>
      <c r="D961" s="1">
        <v>6525</v>
      </c>
      <c r="E961" s="1">
        <v>6425</v>
      </c>
      <c r="F961" s="1">
        <v>6525</v>
      </c>
      <c r="G961" s="1">
        <v>74814000</v>
      </c>
      <c r="H961" s="4">
        <f t="shared" si="32"/>
        <v>0</v>
      </c>
      <c r="I961" s="4">
        <f t="shared" si="33"/>
        <v>0.14977973568281938</v>
      </c>
    </row>
    <row r="962" spans="1:9" x14ac:dyDescent="0.2">
      <c r="A962" s="2">
        <f ca="1">IFERROR(__xludf.DUMMYFUNCTION("""COMPUTED_VALUE"""),45313.6666666666)</f>
        <v>45313.666666666599</v>
      </c>
      <c r="B962" s="2" t="s">
        <v>56</v>
      </c>
      <c r="C962" s="1">
        <v>6500</v>
      </c>
      <c r="D962" s="1">
        <v>6550</v>
      </c>
      <c r="E962" s="1">
        <v>6450</v>
      </c>
      <c r="F962" s="1">
        <v>6500</v>
      </c>
      <c r="G962" s="1">
        <v>96993100</v>
      </c>
      <c r="H962" s="4">
        <f t="shared" si="32"/>
        <v>-3.8314176245210726E-3</v>
      </c>
      <c r="I962" s="4">
        <f t="shared" si="33"/>
        <v>0.14537444933920704</v>
      </c>
    </row>
    <row r="963" spans="1:9" x14ac:dyDescent="0.2">
      <c r="A963" s="2">
        <f ca="1">IFERROR(__xludf.DUMMYFUNCTION("""COMPUTED_VALUE"""),45314.6666666666)</f>
        <v>45314.666666666599</v>
      </c>
      <c r="B963" s="2" t="s">
        <v>56</v>
      </c>
      <c r="C963" s="1">
        <v>6525</v>
      </c>
      <c r="D963" s="1">
        <v>6550</v>
      </c>
      <c r="E963" s="1">
        <v>6450</v>
      </c>
      <c r="F963" s="1">
        <v>6500</v>
      </c>
      <c r="G963" s="1">
        <v>77037800</v>
      </c>
      <c r="H963" s="4">
        <f t="shared" si="32"/>
        <v>0</v>
      </c>
      <c r="I963" s="4">
        <f t="shared" si="33"/>
        <v>0.14537444933920704</v>
      </c>
    </row>
    <row r="964" spans="1:9" x14ac:dyDescent="0.2">
      <c r="A964" s="2">
        <f ca="1">IFERROR(__xludf.DUMMYFUNCTION("""COMPUTED_VALUE"""),45315.6666666666)</f>
        <v>45315.666666666599</v>
      </c>
      <c r="B964" s="2" t="s">
        <v>56</v>
      </c>
      <c r="C964" s="1">
        <v>6450</v>
      </c>
      <c r="D964" s="1">
        <v>6475</v>
      </c>
      <c r="E964" s="1">
        <v>6350</v>
      </c>
      <c r="F964" s="1">
        <v>6400</v>
      </c>
      <c r="G964" s="1">
        <v>97290600</v>
      </c>
      <c r="H964" s="4">
        <f t="shared" si="32"/>
        <v>-1.5384615384615385E-2</v>
      </c>
      <c r="I964" s="4">
        <f t="shared" si="33"/>
        <v>0.1277533039647577</v>
      </c>
    </row>
    <row r="965" spans="1:9" x14ac:dyDescent="0.2">
      <c r="A965" s="2">
        <f ca="1">IFERROR(__xludf.DUMMYFUNCTION("""COMPUTED_VALUE"""),45316.6666666666)</f>
        <v>45316.666666666599</v>
      </c>
      <c r="B965" s="2" t="s">
        <v>56</v>
      </c>
      <c r="C965" s="1">
        <v>6325</v>
      </c>
      <c r="D965" s="1">
        <v>6400</v>
      </c>
      <c r="E965" s="1">
        <v>6250</v>
      </c>
      <c r="F965" s="1">
        <v>6275</v>
      </c>
      <c r="G965" s="1">
        <v>99094100</v>
      </c>
      <c r="H965" s="4">
        <f t="shared" si="32"/>
        <v>-1.953125E-2</v>
      </c>
      <c r="I965" s="4">
        <f t="shared" si="33"/>
        <v>0.10572687224669604</v>
      </c>
    </row>
    <row r="966" spans="1:9" x14ac:dyDescent="0.2">
      <c r="A966" s="2">
        <f ca="1">IFERROR(__xludf.DUMMYFUNCTION("""COMPUTED_VALUE"""),45317.6666666666)</f>
        <v>45317.666666666599</v>
      </c>
      <c r="B966" s="2" t="s">
        <v>56</v>
      </c>
      <c r="C966" s="1">
        <v>6250</v>
      </c>
      <c r="D966" s="1">
        <v>6325</v>
      </c>
      <c r="E966" s="1">
        <v>6225</v>
      </c>
      <c r="F966" s="1">
        <v>6300</v>
      </c>
      <c r="G966" s="1">
        <v>77236800</v>
      </c>
      <c r="H966" s="4">
        <f t="shared" si="32"/>
        <v>3.9840637450199202E-3</v>
      </c>
      <c r="I966" s="4">
        <f t="shared" si="33"/>
        <v>0.11013215859030837</v>
      </c>
    </row>
    <row r="967" spans="1:9" x14ac:dyDescent="0.2">
      <c r="A967" s="2">
        <f ca="1">IFERROR(__xludf.DUMMYFUNCTION("""COMPUTED_VALUE"""),45320.6666666666)</f>
        <v>45320.666666666599</v>
      </c>
      <c r="B967" s="2" t="s">
        <v>56</v>
      </c>
      <c r="C967" s="1">
        <v>6350</v>
      </c>
      <c r="D967" s="1">
        <v>6475</v>
      </c>
      <c r="E967" s="1">
        <v>6275</v>
      </c>
      <c r="F967" s="1">
        <v>6475</v>
      </c>
      <c r="G967" s="1">
        <v>124753000</v>
      </c>
      <c r="H967" s="4">
        <f t="shared" si="32"/>
        <v>2.7777777777777776E-2</v>
      </c>
      <c r="I967" s="4">
        <f t="shared" si="33"/>
        <v>0.14096916299559473</v>
      </c>
    </row>
    <row r="968" spans="1:9" x14ac:dyDescent="0.2">
      <c r="A968" s="2">
        <f ca="1">IFERROR(__xludf.DUMMYFUNCTION("""COMPUTED_VALUE"""),45321.6666666666)</f>
        <v>45321.666666666599</v>
      </c>
      <c r="B968" s="2" t="s">
        <v>56</v>
      </c>
      <c r="C968" s="1">
        <v>6475</v>
      </c>
      <c r="D968" s="1">
        <v>6700</v>
      </c>
      <c r="E968" s="1">
        <v>6450</v>
      </c>
      <c r="F968" s="1">
        <v>6650</v>
      </c>
      <c r="G968" s="1">
        <v>123330900</v>
      </c>
      <c r="H968" s="4">
        <f t="shared" si="32"/>
        <v>2.7027027027027029E-2</v>
      </c>
      <c r="I968" s="4">
        <f t="shared" si="33"/>
        <v>0.17180616740088106</v>
      </c>
    </row>
    <row r="969" spans="1:9" x14ac:dyDescent="0.2">
      <c r="A969" s="2">
        <f ca="1">IFERROR(__xludf.DUMMYFUNCTION("""COMPUTED_VALUE"""),45322.6666666666)</f>
        <v>45322.666666666599</v>
      </c>
      <c r="B969" s="2" t="s">
        <v>56</v>
      </c>
      <c r="C969" s="1">
        <v>6650</v>
      </c>
      <c r="D969" s="1">
        <v>6700</v>
      </c>
      <c r="E969" s="1">
        <v>6650</v>
      </c>
      <c r="F969" s="1">
        <v>6650</v>
      </c>
      <c r="G969" s="1">
        <v>128185000</v>
      </c>
      <c r="H969" s="4">
        <f t="shared" si="32"/>
        <v>0</v>
      </c>
      <c r="I969" s="4">
        <f t="shared" si="33"/>
        <v>0.17180616740088106</v>
      </c>
    </row>
    <row r="970" spans="1:9" x14ac:dyDescent="0.2">
      <c r="A970" s="2">
        <f ca="1">IFERROR(__xludf.DUMMYFUNCTION("""COMPUTED_VALUE"""),45323.6666666666)</f>
        <v>45323.666666666599</v>
      </c>
      <c r="B970" s="2" t="s">
        <v>56</v>
      </c>
      <c r="C970" s="1">
        <v>6575</v>
      </c>
      <c r="D970" s="1">
        <v>6625</v>
      </c>
      <c r="E970" s="1">
        <v>6500</v>
      </c>
      <c r="F970" s="1">
        <v>6550</v>
      </c>
      <c r="G970" s="1">
        <v>168145800</v>
      </c>
      <c r="H970" s="4">
        <f t="shared" si="32"/>
        <v>-1.5037593984962405E-2</v>
      </c>
      <c r="I970" s="4">
        <f t="shared" si="33"/>
        <v>0.15418502202643172</v>
      </c>
    </row>
    <row r="971" spans="1:9" x14ac:dyDescent="0.2">
      <c r="A971" s="2">
        <f ca="1">IFERROR(__xludf.DUMMYFUNCTION("""COMPUTED_VALUE"""),45324.6666666666)</f>
        <v>45324.666666666599</v>
      </c>
      <c r="B971" s="2" t="s">
        <v>56</v>
      </c>
      <c r="C971" s="1">
        <v>6625</v>
      </c>
      <c r="D971" s="1">
        <v>6675</v>
      </c>
      <c r="E971" s="1">
        <v>6600</v>
      </c>
      <c r="F971" s="1">
        <v>6675</v>
      </c>
      <c r="G971" s="1">
        <v>120116200</v>
      </c>
      <c r="H971" s="4">
        <f t="shared" si="32"/>
        <v>1.9083969465648856E-2</v>
      </c>
      <c r="I971" s="4">
        <f t="shared" si="33"/>
        <v>0.1762114537444934</v>
      </c>
    </row>
    <row r="972" spans="1:9" x14ac:dyDescent="0.2">
      <c r="A972" s="2">
        <f ca="1">IFERROR(__xludf.DUMMYFUNCTION("""COMPUTED_VALUE"""),45327.6666666666)</f>
        <v>45327.666666666599</v>
      </c>
      <c r="B972" s="2" t="s">
        <v>56</v>
      </c>
      <c r="C972" s="1">
        <v>6700</v>
      </c>
      <c r="D972" s="1">
        <v>6950</v>
      </c>
      <c r="E972" s="1">
        <v>6675</v>
      </c>
      <c r="F972" s="1">
        <v>6825</v>
      </c>
      <c r="G972" s="1">
        <v>150535100</v>
      </c>
      <c r="H972" s="4">
        <f t="shared" si="32"/>
        <v>2.247191011235955E-2</v>
      </c>
      <c r="I972" s="4">
        <f t="shared" si="33"/>
        <v>0.20264317180616739</v>
      </c>
    </row>
    <row r="973" spans="1:9" x14ac:dyDescent="0.2">
      <c r="A973" s="2">
        <f ca="1">IFERROR(__xludf.DUMMYFUNCTION("""COMPUTED_VALUE"""),45328.6666666666)</f>
        <v>45328.666666666599</v>
      </c>
      <c r="B973" s="2" t="s">
        <v>56</v>
      </c>
      <c r="C973" s="1">
        <v>6825</v>
      </c>
      <c r="D973" s="1">
        <v>6925</v>
      </c>
      <c r="E973" s="1">
        <v>6775</v>
      </c>
      <c r="F973" s="1">
        <v>6850</v>
      </c>
      <c r="G973" s="1">
        <v>90146000</v>
      </c>
      <c r="H973" s="4">
        <f t="shared" si="32"/>
        <v>3.663003663003663E-3</v>
      </c>
      <c r="I973" s="4">
        <f t="shared" si="33"/>
        <v>0.20704845814977973</v>
      </c>
    </row>
    <row r="974" spans="1:9" x14ac:dyDescent="0.2">
      <c r="A974" s="2">
        <f ca="1">IFERROR(__xludf.DUMMYFUNCTION("""COMPUTED_VALUE"""),45329.6666666666)</f>
        <v>45329.666666666599</v>
      </c>
      <c r="B974" s="2" t="s">
        <v>56</v>
      </c>
      <c r="C974" s="1">
        <v>6875</v>
      </c>
      <c r="D974" s="1">
        <v>6950</v>
      </c>
      <c r="E974" s="1">
        <v>6850</v>
      </c>
      <c r="F974" s="1">
        <v>6950</v>
      </c>
      <c r="G974" s="1">
        <v>88745500</v>
      </c>
      <c r="H974" s="4">
        <f t="shared" si="32"/>
        <v>1.4598540145985401E-2</v>
      </c>
      <c r="I974" s="4">
        <f t="shared" si="33"/>
        <v>0.22466960352422907</v>
      </c>
    </row>
    <row r="975" spans="1:9" x14ac:dyDescent="0.2">
      <c r="A975" s="2">
        <f ca="1">IFERROR(__xludf.DUMMYFUNCTION("""COMPUTED_VALUE"""),45334.6666666666)</f>
        <v>45334.666666666599</v>
      </c>
      <c r="B975" s="2" t="s">
        <v>56</v>
      </c>
      <c r="C975" s="1">
        <v>7150</v>
      </c>
      <c r="D975" s="1">
        <v>7200</v>
      </c>
      <c r="E975" s="1">
        <v>7050</v>
      </c>
      <c r="F975" s="1">
        <v>7100</v>
      </c>
      <c r="G975" s="1">
        <v>162771300</v>
      </c>
      <c r="H975" s="4">
        <f t="shared" si="32"/>
        <v>2.1582733812949641E-2</v>
      </c>
      <c r="I975" s="4">
        <f t="shared" si="33"/>
        <v>0.25110132158590309</v>
      </c>
    </row>
    <row r="976" spans="1:9" x14ac:dyDescent="0.2">
      <c r="A976" s="2">
        <f ca="1">IFERROR(__xludf.DUMMYFUNCTION("""COMPUTED_VALUE"""),45335.6666666666)</f>
        <v>45335.666666666599</v>
      </c>
      <c r="B976" s="2" t="s">
        <v>56</v>
      </c>
      <c r="C976" s="1">
        <v>7100</v>
      </c>
      <c r="D976" s="1">
        <v>7125</v>
      </c>
      <c r="E976" s="1">
        <v>7025</v>
      </c>
      <c r="F976" s="1">
        <v>7025</v>
      </c>
      <c r="G976" s="1">
        <v>102668900</v>
      </c>
      <c r="H976" s="4">
        <f t="shared" si="32"/>
        <v>-1.0563380281690141E-2</v>
      </c>
      <c r="I976" s="4">
        <f t="shared" si="33"/>
        <v>0.23788546255506607</v>
      </c>
    </row>
    <row r="977" spans="1:9" x14ac:dyDescent="0.2">
      <c r="A977" s="2">
        <f ca="1">IFERROR(__xludf.DUMMYFUNCTION("""COMPUTED_VALUE"""),45337.6666666666)</f>
        <v>45337.666666666599</v>
      </c>
      <c r="B977" s="2" t="s">
        <v>56</v>
      </c>
      <c r="C977" s="1">
        <v>7300</v>
      </c>
      <c r="D977" s="1">
        <v>7375</v>
      </c>
      <c r="E977" s="1">
        <v>7150</v>
      </c>
      <c r="F977" s="1">
        <v>7200</v>
      </c>
      <c r="G977" s="1">
        <v>220530000</v>
      </c>
      <c r="H977" s="4">
        <f t="shared" si="32"/>
        <v>2.491103202846975E-2</v>
      </c>
      <c r="I977" s="4">
        <f t="shared" si="33"/>
        <v>0.2687224669603524</v>
      </c>
    </row>
    <row r="978" spans="1:9" x14ac:dyDescent="0.2">
      <c r="A978" s="2">
        <f ca="1">IFERROR(__xludf.DUMMYFUNCTION("""COMPUTED_VALUE"""),45338.6666666666)</f>
        <v>45338.666666666599</v>
      </c>
      <c r="B978" s="2" t="s">
        <v>56</v>
      </c>
      <c r="C978" s="1">
        <v>7375</v>
      </c>
      <c r="D978" s="1">
        <v>7400</v>
      </c>
      <c r="E978" s="1">
        <v>7200</v>
      </c>
      <c r="F978" s="1">
        <v>7200</v>
      </c>
      <c r="G978" s="1">
        <v>142022100</v>
      </c>
      <c r="H978" s="4">
        <f t="shared" si="32"/>
        <v>0</v>
      </c>
      <c r="I978" s="4">
        <f t="shared" si="33"/>
        <v>0.2687224669603524</v>
      </c>
    </row>
    <row r="979" spans="1:9" x14ac:dyDescent="0.2">
      <c r="A979" s="2">
        <f ca="1">IFERROR(__xludf.DUMMYFUNCTION("""COMPUTED_VALUE"""),45341.6666666666)</f>
        <v>45341.666666666599</v>
      </c>
      <c r="B979" s="2" t="s">
        <v>56</v>
      </c>
      <c r="C979" s="1">
        <v>7150</v>
      </c>
      <c r="D979" s="1">
        <v>7325</v>
      </c>
      <c r="E979" s="1">
        <v>7125</v>
      </c>
      <c r="F979" s="1">
        <v>7150</v>
      </c>
      <c r="G979" s="1">
        <v>83753500</v>
      </c>
      <c r="H979" s="4">
        <f t="shared" si="32"/>
        <v>-6.9444444444444441E-3</v>
      </c>
      <c r="I979" s="4">
        <f t="shared" si="33"/>
        <v>0.25991189427312777</v>
      </c>
    </row>
    <row r="980" spans="1:9" x14ac:dyDescent="0.2">
      <c r="A980" s="2">
        <f ca="1">IFERROR(__xludf.DUMMYFUNCTION("""COMPUTED_VALUE"""),45342.6666666666)</f>
        <v>45342.666666666599</v>
      </c>
      <c r="B980" s="2" t="s">
        <v>56</v>
      </c>
      <c r="C980" s="1">
        <v>7250</v>
      </c>
      <c r="D980" s="1">
        <v>7250</v>
      </c>
      <c r="E980" s="1">
        <v>7150</v>
      </c>
      <c r="F980" s="1">
        <v>7150</v>
      </c>
      <c r="G980" s="1">
        <v>87312000</v>
      </c>
      <c r="H980" s="4">
        <f t="shared" si="32"/>
        <v>0</v>
      </c>
      <c r="I980" s="4">
        <f t="shared" si="33"/>
        <v>0.25991189427312777</v>
      </c>
    </row>
    <row r="981" spans="1:9" x14ac:dyDescent="0.2">
      <c r="A981" s="2">
        <f ca="1">IFERROR(__xludf.DUMMYFUNCTION("""COMPUTED_VALUE"""),45343.6666666666)</f>
        <v>45343.666666666599</v>
      </c>
      <c r="B981" s="2" t="s">
        <v>56</v>
      </c>
      <c r="C981" s="1">
        <v>7125</v>
      </c>
      <c r="D981" s="1">
        <v>7250</v>
      </c>
      <c r="E981" s="1">
        <v>7075</v>
      </c>
      <c r="F981" s="1">
        <v>7250</v>
      </c>
      <c r="G981" s="1">
        <v>128063900</v>
      </c>
      <c r="H981" s="4">
        <f t="shared" si="32"/>
        <v>1.3986013986013986E-2</v>
      </c>
      <c r="I981" s="4">
        <f t="shared" si="33"/>
        <v>0.27753303964757708</v>
      </c>
    </row>
    <row r="982" spans="1:9" x14ac:dyDescent="0.2">
      <c r="A982" s="2">
        <f ca="1">IFERROR(__xludf.DUMMYFUNCTION("""COMPUTED_VALUE"""),45344.6666666666)</f>
        <v>45344.666666666599</v>
      </c>
      <c r="B982" s="2" t="s">
        <v>56</v>
      </c>
      <c r="C982" s="1">
        <v>7175</v>
      </c>
      <c r="D982" s="1">
        <v>7200</v>
      </c>
      <c r="E982" s="1">
        <v>7100</v>
      </c>
      <c r="F982" s="1">
        <v>7100</v>
      </c>
      <c r="G982" s="1">
        <v>85735800</v>
      </c>
      <c r="H982" s="4">
        <f t="shared" si="32"/>
        <v>-2.0689655172413793E-2</v>
      </c>
      <c r="I982" s="4">
        <f t="shared" si="33"/>
        <v>0.25110132158590309</v>
      </c>
    </row>
    <row r="983" spans="1:9" x14ac:dyDescent="0.2">
      <c r="A983" s="2">
        <f ca="1">IFERROR(__xludf.DUMMYFUNCTION("""COMPUTED_VALUE"""),45345.6666666666)</f>
        <v>45345.666666666599</v>
      </c>
      <c r="B983" s="2" t="s">
        <v>56</v>
      </c>
      <c r="C983" s="1">
        <v>7050</v>
      </c>
      <c r="D983" s="1">
        <v>7100</v>
      </c>
      <c r="E983" s="1">
        <v>7000</v>
      </c>
      <c r="F983" s="1">
        <v>7050</v>
      </c>
      <c r="G983" s="1">
        <v>109404700</v>
      </c>
      <c r="H983" s="4">
        <f t="shared" si="32"/>
        <v>-7.0422535211267607E-3</v>
      </c>
      <c r="I983" s="4">
        <f t="shared" si="33"/>
        <v>0.24229074889867841</v>
      </c>
    </row>
    <row r="984" spans="1:9" x14ac:dyDescent="0.2">
      <c r="A984" s="2">
        <f ca="1">IFERROR(__xludf.DUMMYFUNCTION("""COMPUTED_VALUE"""),45348.6666666666)</f>
        <v>45348.666666666599</v>
      </c>
      <c r="B984" s="2" t="s">
        <v>56</v>
      </c>
      <c r="C984" s="1">
        <v>6950</v>
      </c>
      <c r="D984" s="1">
        <v>7075</v>
      </c>
      <c r="E984" s="1">
        <v>6950</v>
      </c>
      <c r="F984" s="1">
        <v>7050</v>
      </c>
      <c r="G984" s="1">
        <v>65407700</v>
      </c>
      <c r="H984" s="4">
        <f t="shared" si="32"/>
        <v>0</v>
      </c>
      <c r="I984" s="4">
        <f t="shared" si="33"/>
        <v>0.24229074889867841</v>
      </c>
    </row>
    <row r="985" spans="1:9" x14ac:dyDescent="0.2">
      <c r="A985" s="2">
        <f ca="1">IFERROR(__xludf.DUMMYFUNCTION("""COMPUTED_VALUE"""),45349.6666666666)</f>
        <v>45349.666666666599</v>
      </c>
      <c r="B985" s="2" t="s">
        <v>56</v>
      </c>
      <c r="C985" s="1">
        <v>6975</v>
      </c>
      <c r="D985" s="1">
        <v>7100</v>
      </c>
      <c r="E985" s="1">
        <v>6975</v>
      </c>
      <c r="F985" s="1">
        <v>7075</v>
      </c>
      <c r="G985" s="1">
        <v>58066100</v>
      </c>
      <c r="H985" s="4">
        <f t="shared" si="32"/>
        <v>3.5460992907801418E-3</v>
      </c>
      <c r="I985" s="4">
        <f t="shared" si="33"/>
        <v>0.24669603524229075</v>
      </c>
    </row>
    <row r="986" spans="1:9" x14ac:dyDescent="0.2">
      <c r="A986" s="2">
        <f ca="1">IFERROR(__xludf.DUMMYFUNCTION("""COMPUTED_VALUE"""),45350.6666666666)</f>
        <v>45350.666666666599</v>
      </c>
      <c r="B986" s="2" t="s">
        <v>56</v>
      </c>
      <c r="C986" s="1">
        <v>7025</v>
      </c>
      <c r="D986" s="1">
        <v>7125</v>
      </c>
      <c r="E986" s="1">
        <v>7025</v>
      </c>
      <c r="F986" s="1">
        <v>7125</v>
      </c>
      <c r="G986" s="1">
        <v>49888400</v>
      </c>
      <c r="H986" s="4">
        <f t="shared" si="32"/>
        <v>7.0671378091872791E-3</v>
      </c>
      <c r="I986" s="4">
        <f t="shared" si="33"/>
        <v>0.25550660792951541</v>
      </c>
    </row>
    <row r="987" spans="1:9" x14ac:dyDescent="0.2">
      <c r="A987" s="2">
        <f ca="1">IFERROR(__xludf.DUMMYFUNCTION("""COMPUTED_VALUE"""),45351.6666666666)</f>
        <v>45351.666666666599</v>
      </c>
      <c r="B987" s="2" t="s">
        <v>56</v>
      </c>
      <c r="C987" s="1">
        <v>7125</v>
      </c>
      <c r="D987" s="1">
        <v>7150</v>
      </c>
      <c r="E987" s="1">
        <v>7000</v>
      </c>
      <c r="F987" s="1">
        <v>7000</v>
      </c>
      <c r="G987" s="1">
        <v>150713600</v>
      </c>
      <c r="H987" s="4">
        <f t="shared" si="32"/>
        <v>-1.7543859649122806E-2</v>
      </c>
      <c r="I987" s="4">
        <f t="shared" si="33"/>
        <v>0.23348017621145375</v>
      </c>
    </row>
    <row r="988" spans="1:9" x14ac:dyDescent="0.2">
      <c r="A988" s="2">
        <f ca="1">IFERROR(__xludf.DUMMYFUNCTION("""COMPUTED_VALUE"""),45352.6666666666)</f>
        <v>45352.666666666599</v>
      </c>
      <c r="B988" s="2" t="s">
        <v>56</v>
      </c>
      <c r="C988" s="1">
        <v>7050</v>
      </c>
      <c r="D988" s="1">
        <v>7075</v>
      </c>
      <c r="E988" s="1">
        <v>6975</v>
      </c>
      <c r="F988" s="1">
        <v>7025</v>
      </c>
      <c r="G988" s="1">
        <v>90739400</v>
      </c>
      <c r="H988" s="4">
        <f t="shared" si="32"/>
        <v>3.5714285714285713E-3</v>
      </c>
      <c r="I988" s="4">
        <f t="shared" si="33"/>
        <v>0.23788546255506607</v>
      </c>
    </row>
    <row r="989" spans="1:9" x14ac:dyDescent="0.2">
      <c r="A989" s="2">
        <f ca="1">IFERROR(__xludf.DUMMYFUNCTION("""COMPUTED_VALUE"""),45355.6666666666)</f>
        <v>45355.666666666599</v>
      </c>
      <c r="B989" s="2" t="s">
        <v>56</v>
      </c>
      <c r="C989" s="1">
        <v>7000</v>
      </c>
      <c r="D989" s="1">
        <v>7050</v>
      </c>
      <c r="E989" s="1">
        <v>6975</v>
      </c>
      <c r="F989" s="1">
        <v>7025</v>
      </c>
      <c r="G989" s="1">
        <v>44707200</v>
      </c>
      <c r="H989" s="4">
        <f t="shared" si="32"/>
        <v>0</v>
      </c>
      <c r="I989" s="4">
        <f t="shared" si="33"/>
        <v>0.23788546255506607</v>
      </c>
    </row>
    <row r="990" spans="1:9" x14ac:dyDescent="0.2">
      <c r="A990" s="2">
        <f ca="1">IFERROR(__xludf.DUMMYFUNCTION("""COMPUTED_VALUE"""),45356.6666666666)</f>
        <v>45356.666666666599</v>
      </c>
      <c r="B990" s="2" t="s">
        <v>56</v>
      </c>
      <c r="C990" s="1">
        <v>7075</v>
      </c>
      <c r="D990" s="1">
        <v>7100</v>
      </c>
      <c r="E990" s="1">
        <v>7000</v>
      </c>
      <c r="F990" s="1">
        <v>7025</v>
      </c>
      <c r="G990" s="1">
        <v>92557200</v>
      </c>
      <c r="H990" s="4">
        <f t="shared" si="32"/>
        <v>0</v>
      </c>
      <c r="I990" s="4">
        <f t="shared" si="33"/>
        <v>0.23788546255506607</v>
      </c>
    </row>
    <row r="991" spans="1:9" x14ac:dyDescent="0.2">
      <c r="A991" s="2">
        <f ca="1">IFERROR(__xludf.DUMMYFUNCTION("""COMPUTED_VALUE"""),45357.6666666666)</f>
        <v>45357.666666666599</v>
      </c>
      <c r="B991" s="2" t="s">
        <v>56</v>
      </c>
      <c r="C991" s="1">
        <v>7000</v>
      </c>
      <c r="D991" s="1">
        <v>7100</v>
      </c>
      <c r="E991" s="1">
        <v>7000</v>
      </c>
      <c r="F991" s="1">
        <v>7075</v>
      </c>
      <c r="G991" s="1">
        <v>74178100</v>
      </c>
      <c r="H991" s="4">
        <f t="shared" si="32"/>
        <v>7.1174377224199285E-3</v>
      </c>
      <c r="I991" s="4">
        <f t="shared" si="33"/>
        <v>0.24669603524229075</v>
      </c>
    </row>
    <row r="992" spans="1:9" x14ac:dyDescent="0.2">
      <c r="A992" s="2">
        <f ca="1">IFERROR(__xludf.DUMMYFUNCTION("""COMPUTED_VALUE"""),45358.6666666666)</f>
        <v>45358.666666666599</v>
      </c>
      <c r="B992" s="2" t="s">
        <v>56</v>
      </c>
      <c r="C992" s="1">
        <v>7075</v>
      </c>
      <c r="D992" s="1">
        <v>7125</v>
      </c>
      <c r="E992" s="1">
        <v>7025</v>
      </c>
      <c r="F992" s="1">
        <v>7100</v>
      </c>
      <c r="G992" s="1">
        <v>94950400</v>
      </c>
      <c r="H992" s="4">
        <f t="shared" si="32"/>
        <v>3.5335689045936395E-3</v>
      </c>
      <c r="I992" s="4">
        <f t="shared" si="33"/>
        <v>0.25110132158590309</v>
      </c>
    </row>
    <row r="993" spans="1:9" x14ac:dyDescent="0.2">
      <c r="A993" s="2">
        <f ca="1">IFERROR(__xludf.DUMMYFUNCTION("""COMPUTED_VALUE"""),45359.6666666666)</f>
        <v>45359.666666666599</v>
      </c>
      <c r="B993" s="2" t="s">
        <v>56</v>
      </c>
      <c r="C993" s="1">
        <v>7150</v>
      </c>
      <c r="D993" s="1">
        <v>7175</v>
      </c>
      <c r="E993" s="1">
        <v>7100</v>
      </c>
      <c r="F993" s="1">
        <v>7125</v>
      </c>
      <c r="G993" s="1">
        <v>109032400</v>
      </c>
      <c r="H993" s="4">
        <f t="shared" si="32"/>
        <v>3.5211267605633804E-3</v>
      </c>
      <c r="I993" s="4">
        <f t="shared" si="33"/>
        <v>0.25550660792951541</v>
      </c>
    </row>
    <row r="994" spans="1:9" x14ac:dyDescent="0.2">
      <c r="A994" s="2">
        <f ca="1">IFERROR(__xludf.DUMMYFUNCTION("""COMPUTED_VALUE"""),45364.6666666666)</f>
        <v>45364.666666666599</v>
      </c>
      <c r="B994" s="2" t="s">
        <v>56</v>
      </c>
      <c r="C994" s="1">
        <v>7250</v>
      </c>
      <c r="D994" s="1">
        <v>7275</v>
      </c>
      <c r="E994" s="1">
        <v>7150</v>
      </c>
      <c r="F994" s="1">
        <v>7275</v>
      </c>
      <c r="G994" s="1">
        <v>126022700</v>
      </c>
      <c r="H994" s="4">
        <f t="shared" si="32"/>
        <v>2.1052631578947368E-2</v>
      </c>
      <c r="I994" s="4">
        <f t="shared" si="33"/>
        <v>0.28193832599118945</v>
      </c>
    </row>
    <row r="995" spans="1:9" x14ac:dyDescent="0.2">
      <c r="A995" s="2">
        <f ca="1">IFERROR(__xludf.DUMMYFUNCTION("""COMPUTED_VALUE"""),45365.6666666666)</f>
        <v>45365.666666666599</v>
      </c>
      <c r="B995" s="2" t="s">
        <v>56</v>
      </c>
      <c r="C995" s="1">
        <v>7250</v>
      </c>
      <c r="D995" s="1">
        <v>7400</v>
      </c>
      <c r="E995" s="1">
        <v>7225</v>
      </c>
      <c r="F995" s="1">
        <v>7400</v>
      </c>
      <c r="G995" s="1">
        <v>161193000</v>
      </c>
      <c r="H995" s="4">
        <f t="shared" si="32"/>
        <v>1.7182130584192441E-2</v>
      </c>
      <c r="I995" s="4">
        <f t="shared" si="33"/>
        <v>0.30396475770925108</v>
      </c>
    </row>
    <row r="996" spans="1:9" x14ac:dyDescent="0.2">
      <c r="A996" s="2">
        <f ca="1">IFERROR(__xludf.DUMMYFUNCTION("""COMPUTED_VALUE"""),45366.6666666666)</f>
        <v>45366.666666666599</v>
      </c>
      <c r="B996" s="2" t="s">
        <v>56</v>
      </c>
      <c r="C996" s="1">
        <v>7450</v>
      </c>
      <c r="D996" s="1">
        <v>7500</v>
      </c>
      <c r="E996" s="1">
        <v>7275</v>
      </c>
      <c r="F996" s="1">
        <v>7400</v>
      </c>
      <c r="G996" s="1">
        <v>250581100</v>
      </c>
      <c r="H996" s="4">
        <f t="shared" si="32"/>
        <v>0</v>
      </c>
      <c r="I996" s="4">
        <f t="shared" si="33"/>
        <v>0.30396475770925108</v>
      </c>
    </row>
    <row r="997" spans="1:9" x14ac:dyDescent="0.2">
      <c r="A997" s="2">
        <f ca="1">IFERROR(__xludf.DUMMYFUNCTION("""COMPUTED_VALUE"""),45369.6666666666)</f>
        <v>45369.666666666599</v>
      </c>
      <c r="B997" s="2" t="s">
        <v>56</v>
      </c>
      <c r="C997" s="1">
        <v>7425</v>
      </c>
      <c r="D997" s="1">
        <v>7425</v>
      </c>
      <c r="E997" s="1">
        <v>7175</v>
      </c>
      <c r="F997" s="1">
        <v>7175</v>
      </c>
      <c r="G997" s="1">
        <v>105778200</v>
      </c>
      <c r="H997" s="4">
        <f t="shared" si="32"/>
        <v>-3.0405405405405407E-2</v>
      </c>
      <c r="I997" s="4">
        <f t="shared" si="33"/>
        <v>0.26431718061674009</v>
      </c>
    </row>
    <row r="998" spans="1:9" x14ac:dyDescent="0.2">
      <c r="A998" s="2">
        <f ca="1">IFERROR(__xludf.DUMMYFUNCTION("""COMPUTED_VALUE"""),45370.6666666666)</f>
        <v>45370.666666666599</v>
      </c>
      <c r="B998" s="2" t="s">
        <v>56</v>
      </c>
      <c r="C998" s="1">
        <v>7250</v>
      </c>
      <c r="D998" s="1">
        <v>7350</v>
      </c>
      <c r="E998" s="1">
        <v>7225</v>
      </c>
      <c r="F998" s="1">
        <v>7275</v>
      </c>
      <c r="G998" s="1">
        <v>100836600</v>
      </c>
      <c r="H998" s="4">
        <f t="shared" si="32"/>
        <v>1.3937282229965157E-2</v>
      </c>
      <c r="I998" s="4">
        <f t="shared" si="33"/>
        <v>0.28193832599118945</v>
      </c>
    </row>
    <row r="999" spans="1:9" x14ac:dyDescent="0.2">
      <c r="A999" s="2">
        <f ca="1">IFERROR(__xludf.DUMMYFUNCTION("""COMPUTED_VALUE"""),45371.6666666666)</f>
        <v>45371.666666666599</v>
      </c>
      <c r="B999" s="2" t="s">
        <v>56</v>
      </c>
      <c r="C999" s="1">
        <v>7050</v>
      </c>
      <c r="D999" s="1">
        <v>7050</v>
      </c>
      <c r="E999" s="1">
        <v>7000</v>
      </c>
      <c r="F999" s="1">
        <v>7050</v>
      </c>
      <c r="G999" s="1">
        <v>83416700</v>
      </c>
      <c r="H999" s="4">
        <f t="shared" si="32"/>
        <v>-3.0927835051546393E-2</v>
      </c>
      <c r="I999" s="4">
        <f t="shared" si="33"/>
        <v>0.24229074889867841</v>
      </c>
    </row>
    <row r="1000" spans="1:9" x14ac:dyDescent="0.2">
      <c r="A1000" s="2">
        <f ca="1">IFERROR(__xludf.DUMMYFUNCTION("""COMPUTED_VALUE"""),45372.6666666666)</f>
        <v>45372.666666666599</v>
      </c>
      <c r="B1000" s="2" t="s">
        <v>56</v>
      </c>
      <c r="C1000" s="1">
        <v>7100</v>
      </c>
      <c r="D1000" s="1">
        <v>7200</v>
      </c>
      <c r="E1000" s="1">
        <v>7050</v>
      </c>
      <c r="F1000" s="1">
        <v>7050</v>
      </c>
      <c r="G1000" s="1">
        <v>81774800</v>
      </c>
      <c r="H1000" s="4">
        <f t="shared" si="32"/>
        <v>0</v>
      </c>
      <c r="I1000" s="4">
        <f t="shared" si="33"/>
        <v>0.24229074889867841</v>
      </c>
    </row>
    <row r="1001" spans="1:9" x14ac:dyDescent="0.2">
      <c r="A1001" s="2">
        <f ca="1">IFERROR(__xludf.DUMMYFUNCTION("""COMPUTED_VALUE"""),45373.6666666666)</f>
        <v>45373.666666666599</v>
      </c>
      <c r="B1001" s="2" t="s">
        <v>56</v>
      </c>
      <c r="C1001" s="1">
        <v>7000</v>
      </c>
      <c r="D1001" s="1">
        <v>7075</v>
      </c>
      <c r="E1001" s="1">
        <v>6950</v>
      </c>
      <c r="F1001" s="1">
        <v>7050</v>
      </c>
      <c r="G1001" s="1">
        <v>65219900</v>
      </c>
      <c r="H1001" s="4">
        <f t="shared" si="32"/>
        <v>0</v>
      </c>
      <c r="I1001" s="4">
        <f t="shared" si="33"/>
        <v>0.24229074889867841</v>
      </c>
    </row>
    <row r="1002" spans="1:9" x14ac:dyDescent="0.2">
      <c r="A1002" s="2">
        <f ca="1">IFERROR(__xludf.DUMMYFUNCTION("""COMPUTED_VALUE"""),45376.6666666666)</f>
        <v>45376.666666666599</v>
      </c>
      <c r="B1002" s="2" t="s">
        <v>56</v>
      </c>
      <c r="C1002" s="1">
        <v>7250</v>
      </c>
      <c r="D1002" s="1">
        <v>7250</v>
      </c>
      <c r="E1002" s="1">
        <v>7000</v>
      </c>
      <c r="F1002" s="1">
        <v>7250</v>
      </c>
      <c r="G1002" s="1">
        <v>78212700</v>
      </c>
      <c r="H1002" s="4">
        <f t="shared" si="32"/>
        <v>2.8368794326241134E-2</v>
      </c>
      <c r="I1002" s="4">
        <f t="shared" si="33"/>
        <v>0.27753303964757708</v>
      </c>
    </row>
    <row r="1003" spans="1:9" x14ac:dyDescent="0.2">
      <c r="A1003" s="2">
        <f ca="1">IFERROR(__xludf.DUMMYFUNCTION("""COMPUTED_VALUE"""),45377.6666666666)</f>
        <v>45377.666666666599</v>
      </c>
      <c r="B1003" s="2" t="s">
        <v>56</v>
      </c>
      <c r="C1003" s="1">
        <v>7225</v>
      </c>
      <c r="D1003" s="1">
        <v>7225</v>
      </c>
      <c r="E1003" s="1">
        <v>7125</v>
      </c>
      <c r="F1003" s="1">
        <v>7175</v>
      </c>
      <c r="G1003" s="1">
        <v>74274300</v>
      </c>
      <c r="H1003" s="4">
        <f t="shared" si="32"/>
        <v>-1.0344827586206896E-2</v>
      </c>
      <c r="I1003" s="4">
        <f t="shared" si="33"/>
        <v>0.26431718061674009</v>
      </c>
    </row>
    <row r="1004" spans="1:9" x14ac:dyDescent="0.2">
      <c r="A1004" s="2">
        <f ca="1">IFERROR(__xludf.DUMMYFUNCTION("""COMPUTED_VALUE"""),45378.6666666666)</f>
        <v>45378.666666666599</v>
      </c>
      <c r="B1004" s="2" t="s">
        <v>56</v>
      </c>
      <c r="C1004" s="1">
        <v>7200</v>
      </c>
      <c r="D1004" s="1">
        <v>7250</v>
      </c>
      <c r="E1004" s="1">
        <v>7175</v>
      </c>
      <c r="F1004" s="1">
        <v>7175</v>
      </c>
      <c r="G1004" s="1">
        <v>46295700</v>
      </c>
      <c r="H1004" s="4">
        <f t="shared" si="32"/>
        <v>0</v>
      </c>
      <c r="I1004" s="4">
        <f t="shared" si="33"/>
        <v>0.26431718061674009</v>
      </c>
    </row>
    <row r="1005" spans="1:9" x14ac:dyDescent="0.2">
      <c r="A1005" s="2">
        <f ca="1">IFERROR(__xludf.DUMMYFUNCTION("""COMPUTED_VALUE"""),45379.6666666666)</f>
        <v>45379.666666666599</v>
      </c>
      <c r="B1005" s="2" t="s">
        <v>56</v>
      </c>
      <c r="C1005" s="1">
        <v>7150</v>
      </c>
      <c r="D1005" s="1">
        <v>7250</v>
      </c>
      <c r="E1005" s="1">
        <v>7125</v>
      </c>
      <c r="F1005" s="1">
        <v>7250</v>
      </c>
      <c r="G1005" s="1">
        <v>90900900</v>
      </c>
      <c r="H1005" s="4">
        <f t="shared" si="32"/>
        <v>1.0452961672473868E-2</v>
      </c>
      <c r="I1005" s="4">
        <f t="shared" si="33"/>
        <v>0.27753303964757708</v>
      </c>
    </row>
    <row r="1006" spans="1:9" x14ac:dyDescent="0.2">
      <c r="A1006" s="2">
        <f ca="1">IFERROR(__xludf.DUMMYFUNCTION("""COMPUTED_VALUE"""),45383.6666666666)</f>
        <v>45383.666666666599</v>
      </c>
      <c r="B1006" s="2" t="s">
        <v>56</v>
      </c>
      <c r="C1006" s="1">
        <v>7250</v>
      </c>
      <c r="D1006" s="1">
        <v>7250</v>
      </c>
      <c r="E1006" s="1">
        <v>6750</v>
      </c>
      <c r="F1006" s="1">
        <v>6900</v>
      </c>
      <c r="G1006" s="1">
        <v>158358600</v>
      </c>
      <c r="H1006" s="4">
        <f t="shared" si="32"/>
        <v>-4.8275862068965517E-2</v>
      </c>
      <c r="I1006" s="4">
        <f t="shared" si="33"/>
        <v>0.21585903083700442</v>
      </c>
    </row>
    <row r="1007" spans="1:9" x14ac:dyDescent="0.2">
      <c r="A1007" s="2">
        <f ca="1">IFERROR(__xludf.DUMMYFUNCTION("""COMPUTED_VALUE"""),45384.6666666666)</f>
        <v>45384.666666666599</v>
      </c>
      <c r="B1007" s="2" t="s">
        <v>56</v>
      </c>
      <c r="C1007" s="1">
        <v>6900</v>
      </c>
      <c r="D1007" s="1">
        <v>6900</v>
      </c>
      <c r="E1007" s="1">
        <v>6700</v>
      </c>
      <c r="F1007" s="1">
        <v>6900</v>
      </c>
      <c r="G1007" s="1">
        <v>135764900</v>
      </c>
      <c r="H1007" s="4">
        <f t="shared" si="32"/>
        <v>0</v>
      </c>
      <c r="I1007" s="4">
        <f t="shared" si="33"/>
        <v>0.21585903083700442</v>
      </c>
    </row>
    <row r="1008" spans="1:9" x14ac:dyDescent="0.2">
      <c r="A1008" s="2">
        <f ca="1">IFERROR(__xludf.DUMMYFUNCTION("""COMPUTED_VALUE"""),45385.6666666666)</f>
        <v>45385.666666666599</v>
      </c>
      <c r="B1008" s="2" t="s">
        <v>56</v>
      </c>
      <c r="C1008" s="1">
        <v>6950</v>
      </c>
      <c r="D1008" s="1">
        <v>6950</v>
      </c>
      <c r="E1008" s="1">
        <v>6675</v>
      </c>
      <c r="F1008" s="1">
        <v>6775</v>
      </c>
      <c r="G1008" s="1">
        <v>115372600</v>
      </c>
      <c r="H1008" s="4">
        <f t="shared" si="32"/>
        <v>-1.8115942028985508E-2</v>
      </c>
      <c r="I1008" s="4">
        <f t="shared" si="33"/>
        <v>0.19383259911894274</v>
      </c>
    </row>
    <row r="1009" spans="1:9" x14ac:dyDescent="0.2">
      <c r="A1009" s="2">
        <f ca="1">IFERROR(__xludf.DUMMYFUNCTION("""COMPUTED_VALUE"""),45386.6666666666)</f>
        <v>45386.666666666599</v>
      </c>
      <c r="B1009" s="2" t="s">
        <v>56</v>
      </c>
      <c r="C1009" s="1">
        <v>6750</v>
      </c>
      <c r="D1009" s="1">
        <v>6925</v>
      </c>
      <c r="E1009" s="1">
        <v>6750</v>
      </c>
      <c r="F1009" s="1">
        <v>6875</v>
      </c>
      <c r="G1009" s="1">
        <v>63174900</v>
      </c>
      <c r="H1009" s="4">
        <f t="shared" si="32"/>
        <v>1.4760147601476014E-2</v>
      </c>
      <c r="I1009" s="4">
        <f t="shared" si="33"/>
        <v>0.21145374449339208</v>
      </c>
    </row>
    <row r="1010" spans="1:9" x14ac:dyDescent="0.2">
      <c r="A1010" s="2">
        <f ca="1">IFERROR(__xludf.DUMMYFUNCTION("""COMPUTED_VALUE"""),45387.6666666666)</f>
        <v>45387.666666666599</v>
      </c>
      <c r="B1010" s="2" t="s">
        <v>56</v>
      </c>
      <c r="C1010" s="1">
        <v>6825</v>
      </c>
      <c r="D1010" s="1">
        <v>6900</v>
      </c>
      <c r="E1010" s="1">
        <v>6825</v>
      </c>
      <c r="F1010" s="1">
        <v>6825</v>
      </c>
      <c r="G1010" s="1">
        <v>46111500</v>
      </c>
      <c r="H1010" s="4">
        <f t="shared" si="32"/>
        <v>-7.2727272727272727E-3</v>
      </c>
      <c r="I1010" s="4">
        <f t="shared" si="33"/>
        <v>0.20264317180616739</v>
      </c>
    </row>
    <row r="1011" spans="1:9" x14ac:dyDescent="0.2">
      <c r="A1011" s="2">
        <f ca="1">IFERROR(__xludf.DUMMYFUNCTION("""COMPUTED_VALUE"""),45398.6666666666)</f>
        <v>45398.666666666599</v>
      </c>
      <c r="B1011" s="2" t="s">
        <v>56</v>
      </c>
      <c r="C1011" s="1">
        <v>6350</v>
      </c>
      <c r="D1011" s="1">
        <v>6725</v>
      </c>
      <c r="E1011" s="1">
        <v>6300</v>
      </c>
      <c r="F1011" s="1">
        <v>6625</v>
      </c>
      <c r="G1011" s="1">
        <v>180012400</v>
      </c>
      <c r="H1011" s="4">
        <f t="shared" si="32"/>
        <v>-2.9304029304029304E-2</v>
      </c>
      <c r="I1011" s="4">
        <f t="shared" si="33"/>
        <v>0.16740088105726872</v>
      </c>
    </row>
    <row r="1012" spans="1:9" x14ac:dyDescent="0.2">
      <c r="A1012" s="2">
        <f ca="1">IFERROR(__xludf.DUMMYFUNCTION("""COMPUTED_VALUE"""),45399.6666666666)</f>
        <v>45399.666666666599</v>
      </c>
      <c r="B1012" s="2" t="s">
        <v>56</v>
      </c>
      <c r="C1012" s="1">
        <v>6700</v>
      </c>
      <c r="D1012" s="1">
        <v>6775</v>
      </c>
      <c r="E1012" s="1">
        <v>6625</v>
      </c>
      <c r="F1012" s="1">
        <v>6625</v>
      </c>
      <c r="G1012" s="1">
        <v>83840200</v>
      </c>
      <c r="H1012" s="4">
        <f t="shared" si="32"/>
        <v>0</v>
      </c>
      <c r="I1012" s="4">
        <f t="shared" si="33"/>
        <v>0.16740088105726872</v>
      </c>
    </row>
    <row r="1013" spans="1:9" x14ac:dyDescent="0.2">
      <c r="A1013" s="2">
        <f ca="1">IFERROR(__xludf.DUMMYFUNCTION("""COMPUTED_VALUE"""),45400.6666666666)</f>
        <v>45400.666666666599</v>
      </c>
      <c r="B1013" s="2" t="s">
        <v>56</v>
      </c>
      <c r="C1013" s="1">
        <v>6800</v>
      </c>
      <c r="D1013" s="1">
        <v>6900</v>
      </c>
      <c r="E1013" s="1">
        <v>6725</v>
      </c>
      <c r="F1013" s="1">
        <v>6800</v>
      </c>
      <c r="G1013" s="1">
        <v>106893900</v>
      </c>
      <c r="H1013" s="4">
        <f t="shared" si="32"/>
        <v>2.6415094339622643E-2</v>
      </c>
      <c r="I1013" s="4">
        <f t="shared" si="33"/>
        <v>0.19823788546255505</v>
      </c>
    </row>
    <row r="1014" spans="1:9" x14ac:dyDescent="0.2">
      <c r="A1014" s="2">
        <f ca="1">IFERROR(__xludf.DUMMYFUNCTION("""COMPUTED_VALUE"""),45401.6666666666)</f>
        <v>45401.666666666599</v>
      </c>
      <c r="B1014" s="2" t="s">
        <v>56</v>
      </c>
      <c r="C1014" s="1">
        <v>6725</v>
      </c>
      <c r="D1014" s="1">
        <v>6800</v>
      </c>
      <c r="E1014" s="1">
        <v>6650</v>
      </c>
      <c r="F1014" s="1">
        <v>6725</v>
      </c>
      <c r="G1014" s="1">
        <v>47943300</v>
      </c>
      <c r="H1014" s="4">
        <f t="shared" ref="H1014:H1077" si="34">(F1014-F1013)/F1013</f>
        <v>-1.1029411764705883E-2</v>
      </c>
      <c r="I1014" s="4">
        <f t="shared" ref="I1014:I1077" si="35">(F1014-$F$2)/$F$2</f>
        <v>0.18502202643171806</v>
      </c>
    </row>
    <row r="1015" spans="1:9" x14ac:dyDescent="0.2">
      <c r="A1015" s="2">
        <f ca="1">IFERROR(__xludf.DUMMYFUNCTION("""COMPUTED_VALUE"""),45404.6666666666)</f>
        <v>45404.666666666599</v>
      </c>
      <c r="B1015" s="2" t="s">
        <v>56</v>
      </c>
      <c r="C1015" s="1">
        <v>6875</v>
      </c>
      <c r="D1015" s="1">
        <v>6875</v>
      </c>
      <c r="E1015" s="1">
        <v>6575</v>
      </c>
      <c r="F1015" s="1">
        <v>6725</v>
      </c>
      <c r="G1015" s="1">
        <v>121727900</v>
      </c>
      <c r="H1015" s="4">
        <f t="shared" si="34"/>
        <v>0</v>
      </c>
      <c r="I1015" s="4">
        <f t="shared" si="35"/>
        <v>0.18502202643171806</v>
      </c>
    </row>
    <row r="1016" spans="1:9" x14ac:dyDescent="0.2">
      <c r="A1016" s="2">
        <f ca="1">IFERROR(__xludf.DUMMYFUNCTION("""COMPUTED_VALUE"""),45405.6666666666)</f>
        <v>45405.666666666599</v>
      </c>
      <c r="B1016" s="2" t="s">
        <v>56</v>
      </c>
      <c r="C1016" s="1">
        <v>6850</v>
      </c>
      <c r="D1016" s="1">
        <v>6925</v>
      </c>
      <c r="E1016" s="1">
        <v>6725</v>
      </c>
      <c r="F1016" s="1">
        <v>6825</v>
      </c>
      <c r="G1016" s="1">
        <v>106699200</v>
      </c>
      <c r="H1016" s="4">
        <f t="shared" si="34"/>
        <v>1.4869888475836431E-2</v>
      </c>
      <c r="I1016" s="4">
        <f t="shared" si="35"/>
        <v>0.20264317180616739</v>
      </c>
    </row>
    <row r="1017" spans="1:9" x14ac:dyDescent="0.2">
      <c r="A1017" s="2">
        <f ca="1">IFERROR(__xludf.DUMMYFUNCTION("""COMPUTED_VALUE"""),45406.6666666666)</f>
        <v>45406.666666666599</v>
      </c>
      <c r="B1017" s="2" t="s">
        <v>56</v>
      </c>
      <c r="C1017" s="1">
        <v>6925</v>
      </c>
      <c r="D1017" s="1">
        <v>7050</v>
      </c>
      <c r="E1017" s="1">
        <v>6900</v>
      </c>
      <c r="F1017" s="1">
        <v>7050</v>
      </c>
      <c r="G1017" s="1">
        <v>117586500</v>
      </c>
      <c r="H1017" s="4">
        <f t="shared" si="34"/>
        <v>3.2967032967032968E-2</v>
      </c>
      <c r="I1017" s="4">
        <f t="shared" si="35"/>
        <v>0.24229074889867841</v>
      </c>
    </row>
    <row r="1018" spans="1:9" x14ac:dyDescent="0.2">
      <c r="A1018" s="2">
        <f ca="1">IFERROR(__xludf.DUMMYFUNCTION("""COMPUTED_VALUE"""),45407.6666666666)</f>
        <v>45407.666666666599</v>
      </c>
      <c r="B1018" s="2" t="s">
        <v>56</v>
      </c>
      <c r="C1018" s="1">
        <v>7050</v>
      </c>
      <c r="D1018" s="1">
        <v>7075</v>
      </c>
      <c r="E1018" s="1">
        <v>6925</v>
      </c>
      <c r="F1018" s="1">
        <v>6950</v>
      </c>
      <c r="G1018" s="1">
        <v>111803500</v>
      </c>
      <c r="H1018" s="4">
        <f t="shared" si="34"/>
        <v>-1.4184397163120567E-2</v>
      </c>
      <c r="I1018" s="4">
        <f t="shared" si="35"/>
        <v>0.22466960352422907</v>
      </c>
    </row>
    <row r="1019" spans="1:9" x14ac:dyDescent="0.2">
      <c r="A1019" s="2">
        <f ca="1">IFERROR(__xludf.DUMMYFUNCTION("""COMPUTED_VALUE"""),45408.6666666666)</f>
        <v>45408.666666666599</v>
      </c>
      <c r="B1019" s="2" t="s">
        <v>56</v>
      </c>
      <c r="C1019" s="1">
        <v>7000</v>
      </c>
      <c r="D1019" s="1">
        <v>7025</v>
      </c>
      <c r="E1019" s="1">
        <v>6750</v>
      </c>
      <c r="F1019" s="1">
        <v>6750</v>
      </c>
      <c r="G1019" s="1">
        <v>125875000</v>
      </c>
      <c r="H1019" s="4">
        <f t="shared" si="34"/>
        <v>-2.8776978417266189E-2</v>
      </c>
      <c r="I1019" s="4">
        <f t="shared" si="35"/>
        <v>0.1894273127753304</v>
      </c>
    </row>
    <row r="1020" spans="1:9" x14ac:dyDescent="0.2">
      <c r="A1020" s="2">
        <f ca="1">IFERROR(__xludf.DUMMYFUNCTION("""COMPUTED_VALUE"""),45411.6666666666)</f>
        <v>45411.666666666599</v>
      </c>
      <c r="B1020" s="2" t="s">
        <v>56</v>
      </c>
      <c r="C1020" s="1">
        <v>6650</v>
      </c>
      <c r="D1020" s="1">
        <v>6950</v>
      </c>
      <c r="E1020" s="1">
        <v>6650</v>
      </c>
      <c r="F1020" s="1">
        <v>6925</v>
      </c>
      <c r="G1020" s="1">
        <v>77938400</v>
      </c>
      <c r="H1020" s="4">
        <f t="shared" si="34"/>
        <v>2.5925925925925925E-2</v>
      </c>
      <c r="I1020" s="4">
        <f t="shared" si="35"/>
        <v>0.22026431718061673</v>
      </c>
    </row>
    <row r="1021" spans="1:9" x14ac:dyDescent="0.2">
      <c r="A1021" s="2">
        <f ca="1">IFERROR(__xludf.DUMMYFUNCTION("""COMPUTED_VALUE"""),45412.6666666666)</f>
        <v>45412.666666666599</v>
      </c>
      <c r="B1021" s="2" t="s">
        <v>56</v>
      </c>
      <c r="C1021" s="1">
        <v>6800</v>
      </c>
      <c r="D1021" s="1">
        <v>7050</v>
      </c>
      <c r="E1021" s="1">
        <v>6775</v>
      </c>
      <c r="F1021" s="1">
        <v>6900</v>
      </c>
      <c r="G1021" s="1">
        <v>189991300</v>
      </c>
      <c r="H1021" s="4">
        <f t="shared" si="34"/>
        <v>-3.6101083032490976E-3</v>
      </c>
      <c r="I1021" s="4">
        <f t="shared" si="35"/>
        <v>0.21585903083700442</v>
      </c>
    </row>
    <row r="1022" spans="1:9" x14ac:dyDescent="0.2">
      <c r="A1022" s="2">
        <f ca="1">IFERROR(__xludf.DUMMYFUNCTION("""COMPUTED_VALUE"""),45414.6666666666)</f>
        <v>45414.666666666599</v>
      </c>
      <c r="B1022" s="2" t="s">
        <v>56</v>
      </c>
      <c r="C1022" s="1">
        <v>6800</v>
      </c>
      <c r="D1022" s="1">
        <v>6800</v>
      </c>
      <c r="E1022" s="1">
        <v>6050</v>
      </c>
      <c r="F1022" s="1">
        <v>6325</v>
      </c>
      <c r="G1022" s="1">
        <v>501849300</v>
      </c>
      <c r="H1022" s="4">
        <f t="shared" si="34"/>
        <v>-8.3333333333333329E-2</v>
      </c>
      <c r="I1022" s="4">
        <f t="shared" si="35"/>
        <v>0.11453744493392071</v>
      </c>
    </row>
    <row r="1023" spans="1:9" x14ac:dyDescent="0.2">
      <c r="A1023" s="2">
        <f ca="1">IFERROR(__xludf.DUMMYFUNCTION("""COMPUTED_VALUE"""),45415.6666666666)</f>
        <v>45415.666666666599</v>
      </c>
      <c r="B1023" s="2" t="s">
        <v>56</v>
      </c>
      <c r="C1023" s="1">
        <v>6300</v>
      </c>
      <c r="D1023" s="1">
        <v>6425</v>
      </c>
      <c r="E1023" s="1">
        <v>6050</v>
      </c>
      <c r="F1023" s="1">
        <v>6150</v>
      </c>
      <c r="G1023" s="1">
        <v>269305400</v>
      </c>
      <c r="H1023" s="4">
        <f t="shared" si="34"/>
        <v>-2.766798418972332E-2</v>
      </c>
      <c r="I1023" s="4">
        <f t="shared" si="35"/>
        <v>8.3700440528634359E-2</v>
      </c>
    </row>
    <row r="1024" spans="1:9" x14ac:dyDescent="0.2">
      <c r="A1024" s="2">
        <f ca="1">IFERROR(__xludf.DUMMYFUNCTION("""COMPUTED_VALUE"""),45418.6666666666)</f>
        <v>45418.666666666599</v>
      </c>
      <c r="B1024" s="2" t="s">
        <v>56</v>
      </c>
      <c r="C1024" s="1">
        <v>6250</v>
      </c>
      <c r="D1024" s="1">
        <v>6400</v>
      </c>
      <c r="E1024" s="1">
        <v>6150</v>
      </c>
      <c r="F1024" s="1">
        <v>6275</v>
      </c>
      <c r="G1024" s="1">
        <v>184234200</v>
      </c>
      <c r="H1024" s="4">
        <f t="shared" si="34"/>
        <v>2.032520325203252E-2</v>
      </c>
      <c r="I1024" s="4">
        <f t="shared" si="35"/>
        <v>0.10572687224669604</v>
      </c>
    </row>
    <row r="1025" spans="1:9" x14ac:dyDescent="0.2">
      <c r="A1025" s="2">
        <f ca="1">IFERROR(__xludf.DUMMYFUNCTION("""COMPUTED_VALUE"""),45419.6666666666)</f>
        <v>45419.666666666599</v>
      </c>
      <c r="B1025" s="2" t="s">
        <v>56</v>
      </c>
      <c r="C1025" s="1">
        <v>6325</v>
      </c>
      <c r="D1025" s="1">
        <v>6400</v>
      </c>
      <c r="E1025" s="1">
        <v>6250</v>
      </c>
      <c r="F1025" s="1">
        <v>6275</v>
      </c>
      <c r="G1025" s="1">
        <v>130410300</v>
      </c>
      <c r="H1025" s="4">
        <f t="shared" si="34"/>
        <v>0</v>
      </c>
      <c r="I1025" s="4">
        <f t="shared" si="35"/>
        <v>0.10572687224669604</v>
      </c>
    </row>
    <row r="1026" spans="1:9" x14ac:dyDescent="0.2">
      <c r="A1026" s="2">
        <f ca="1">IFERROR(__xludf.DUMMYFUNCTION("""COMPUTED_VALUE"""),45420.6666666666)</f>
        <v>45420.666666666599</v>
      </c>
      <c r="B1026" s="2" t="s">
        <v>56</v>
      </c>
      <c r="C1026" s="1">
        <v>6325</v>
      </c>
      <c r="D1026" s="1">
        <v>6450</v>
      </c>
      <c r="E1026" s="1">
        <v>6250</v>
      </c>
      <c r="F1026" s="1">
        <v>6275</v>
      </c>
      <c r="G1026" s="1">
        <v>117065300</v>
      </c>
      <c r="H1026" s="4">
        <f t="shared" si="34"/>
        <v>0</v>
      </c>
      <c r="I1026" s="4">
        <f t="shared" si="35"/>
        <v>0.10572687224669604</v>
      </c>
    </row>
    <row r="1027" spans="1:9" x14ac:dyDescent="0.2">
      <c r="A1027" s="2">
        <f ca="1">IFERROR(__xludf.DUMMYFUNCTION("""COMPUTED_VALUE"""),45425.6666666666)</f>
        <v>45425.666666666599</v>
      </c>
      <c r="B1027" s="2" t="s">
        <v>56</v>
      </c>
      <c r="C1027" s="1">
        <v>6200</v>
      </c>
      <c r="D1027" s="1">
        <v>6275</v>
      </c>
      <c r="E1027" s="1">
        <v>6125</v>
      </c>
      <c r="F1027" s="1">
        <v>6200</v>
      </c>
      <c r="G1027" s="1">
        <v>128638300</v>
      </c>
      <c r="H1027" s="4">
        <f t="shared" si="34"/>
        <v>-1.1952191235059761E-2</v>
      </c>
      <c r="I1027" s="4">
        <f t="shared" si="35"/>
        <v>9.2511013215859028E-2</v>
      </c>
    </row>
    <row r="1028" spans="1:9" x14ac:dyDescent="0.2">
      <c r="A1028" s="2">
        <f ca="1">IFERROR(__xludf.DUMMYFUNCTION("""COMPUTED_VALUE"""),45426.6666666666)</f>
        <v>45426.666666666599</v>
      </c>
      <c r="B1028" s="2" t="s">
        <v>56</v>
      </c>
      <c r="C1028" s="1">
        <v>6175</v>
      </c>
      <c r="D1028" s="1">
        <v>6300</v>
      </c>
      <c r="E1028" s="1">
        <v>6175</v>
      </c>
      <c r="F1028" s="1">
        <v>6200</v>
      </c>
      <c r="G1028" s="1">
        <v>94048400</v>
      </c>
      <c r="H1028" s="4">
        <f t="shared" si="34"/>
        <v>0</v>
      </c>
      <c r="I1028" s="4">
        <f t="shared" si="35"/>
        <v>9.2511013215859028E-2</v>
      </c>
    </row>
    <row r="1029" spans="1:9" x14ac:dyDescent="0.2">
      <c r="A1029" s="2">
        <f ca="1">IFERROR(__xludf.DUMMYFUNCTION("""COMPUTED_VALUE"""),45427.6666666666)</f>
        <v>45427.666666666599</v>
      </c>
      <c r="B1029" s="2" t="s">
        <v>56</v>
      </c>
      <c r="C1029" s="1">
        <v>6200</v>
      </c>
      <c r="D1029" s="1">
        <v>6400</v>
      </c>
      <c r="E1029" s="1">
        <v>6200</v>
      </c>
      <c r="F1029" s="1">
        <v>6375</v>
      </c>
      <c r="G1029" s="1">
        <v>80923000</v>
      </c>
      <c r="H1029" s="4">
        <f t="shared" si="34"/>
        <v>2.8225806451612902E-2</v>
      </c>
      <c r="I1029" s="4">
        <f t="shared" si="35"/>
        <v>0.12334801762114538</v>
      </c>
    </row>
    <row r="1030" spans="1:9" x14ac:dyDescent="0.2">
      <c r="A1030" s="2">
        <f ca="1">IFERROR(__xludf.DUMMYFUNCTION("""COMPUTED_VALUE"""),45428.6666666666)</f>
        <v>45428.666666666599</v>
      </c>
      <c r="B1030" s="2" t="s">
        <v>56</v>
      </c>
      <c r="C1030" s="1">
        <v>6450</v>
      </c>
      <c r="D1030" s="1">
        <v>6500</v>
      </c>
      <c r="E1030" s="1">
        <v>6325</v>
      </c>
      <c r="F1030" s="1">
        <v>6350</v>
      </c>
      <c r="G1030" s="1">
        <v>114806300</v>
      </c>
      <c r="H1030" s="4">
        <f t="shared" si="34"/>
        <v>-3.9215686274509803E-3</v>
      </c>
      <c r="I1030" s="4">
        <f t="shared" si="35"/>
        <v>0.11894273127753303</v>
      </c>
    </row>
    <row r="1031" spans="1:9" x14ac:dyDescent="0.2">
      <c r="A1031" s="2">
        <f ca="1">IFERROR(__xludf.DUMMYFUNCTION("""COMPUTED_VALUE"""),45429.6666666666)</f>
        <v>45429.666666666599</v>
      </c>
      <c r="B1031" s="2" t="s">
        <v>56</v>
      </c>
      <c r="C1031" s="1">
        <v>6350</v>
      </c>
      <c r="D1031" s="1">
        <v>6650</v>
      </c>
      <c r="E1031" s="1">
        <v>6350</v>
      </c>
      <c r="F1031" s="1">
        <v>6575</v>
      </c>
      <c r="G1031" s="1">
        <v>133153900</v>
      </c>
      <c r="H1031" s="4">
        <f t="shared" si="34"/>
        <v>3.5433070866141732E-2</v>
      </c>
      <c r="I1031" s="4">
        <f t="shared" si="35"/>
        <v>0.15859030837004406</v>
      </c>
    </row>
    <row r="1032" spans="1:9" x14ac:dyDescent="0.2">
      <c r="A1032" s="2">
        <f ca="1">IFERROR(__xludf.DUMMYFUNCTION("""COMPUTED_VALUE"""),45432.6666666666)</f>
        <v>45432.666666666599</v>
      </c>
      <c r="B1032" s="2" t="s">
        <v>56</v>
      </c>
      <c r="C1032" s="1">
        <v>6550</v>
      </c>
      <c r="D1032" s="1">
        <v>6625</v>
      </c>
      <c r="E1032" s="1">
        <v>6200</v>
      </c>
      <c r="F1032" s="1">
        <v>6325</v>
      </c>
      <c r="G1032" s="1">
        <v>168796000</v>
      </c>
      <c r="H1032" s="4">
        <f t="shared" si="34"/>
        <v>-3.8022813688212927E-2</v>
      </c>
      <c r="I1032" s="4">
        <f t="shared" si="35"/>
        <v>0.11453744493392071</v>
      </c>
    </row>
    <row r="1033" spans="1:9" x14ac:dyDescent="0.2">
      <c r="A1033" s="2">
        <f ca="1">IFERROR(__xludf.DUMMYFUNCTION("""COMPUTED_VALUE"""),45433.6666666666)</f>
        <v>45433.666666666599</v>
      </c>
      <c r="B1033" s="2" t="s">
        <v>56</v>
      </c>
      <c r="C1033" s="1">
        <v>6225</v>
      </c>
      <c r="D1033" s="1">
        <v>6275</v>
      </c>
      <c r="E1033" s="1">
        <v>5975</v>
      </c>
      <c r="F1033" s="1">
        <v>6025</v>
      </c>
      <c r="G1033" s="1">
        <v>307362900</v>
      </c>
      <c r="H1033" s="4">
        <f t="shared" si="34"/>
        <v>-4.7430830039525688E-2</v>
      </c>
      <c r="I1033" s="4">
        <f t="shared" si="35"/>
        <v>6.1674008810572688E-2</v>
      </c>
    </row>
    <row r="1034" spans="1:9" x14ac:dyDescent="0.2">
      <c r="A1034" s="2">
        <f ca="1">IFERROR(__xludf.DUMMYFUNCTION("""COMPUTED_VALUE"""),45434.6666666666)</f>
        <v>45434.666666666599</v>
      </c>
      <c r="B1034" s="2" t="s">
        <v>56</v>
      </c>
      <c r="C1034" s="1">
        <v>6000</v>
      </c>
      <c r="D1034" s="1">
        <v>6150</v>
      </c>
      <c r="E1034" s="1">
        <v>5950</v>
      </c>
      <c r="F1034" s="1">
        <v>6050</v>
      </c>
      <c r="G1034" s="1">
        <v>171675900</v>
      </c>
      <c r="H1034" s="4">
        <f t="shared" si="34"/>
        <v>4.1493775933609959E-3</v>
      </c>
      <c r="I1034" s="4">
        <f t="shared" si="35"/>
        <v>6.6079295154185022E-2</v>
      </c>
    </row>
    <row r="1035" spans="1:9" x14ac:dyDescent="0.2">
      <c r="A1035" s="2">
        <f ca="1">IFERROR(__xludf.DUMMYFUNCTION("""COMPUTED_VALUE"""),45439.6666666666)</f>
        <v>45439.666666666599</v>
      </c>
      <c r="B1035" s="2" t="s">
        <v>56</v>
      </c>
      <c r="C1035" s="1">
        <v>6025</v>
      </c>
      <c r="D1035" s="1">
        <v>6050</v>
      </c>
      <c r="E1035" s="1">
        <v>5825</v>
      </c>
      <c r="F1035" s="1">
        <v>5825</v>
      </c>
      <c r="G1035" s="1">
        <v>258450900</v>
      </c>
      <c r="H1035" s="4">
        <f t="shared" si="34"/>
        <v>-3.71900826446281E-2</v>
      </c>
      <c r="I1035" s="4">
        <f t="shared" si="35"/>
        <v>2.643171806167401E-2</v>
      </c>
    </row>
    <row r="1036" spans="1:9" x14ac:dyDescent="0.2">
      <c r="A1036" s="2">
        <f ca="1">IFERROR(__xludf.DUMMYFUNCTION("""COMPUTED_VALUE"""),45440.6666666666)</f>
        <v>45440.666666666599</v>
      </c>
      <c r="B1036" s="2" t="s">
        <v>56</v>
      </c>
      <c r="C1036" s="1">
        <v>5850</v>
      </c>
      <c r="D1036" s="1">
        <v>6025</v>
      </c>
      <c r="E1036" s="1">
        <v>5825</v>
      </c>
      <c r="F1036" s="1">
        <v>5950</v>
      </c>
      <c r="G1036" s="1">
        <v>93701700</v>
      </c>
      <c r="H1036" s="4">
        <f t="shared" si="34"/>
        <v>2.1459227467811159E-2</v>
      </c>
      <c r="I1036" s="4">
        <f t="shared" si="35"/>
        <v>4.8458149779735685E-2</v>
      </c>
    </row>
    <row r="1037" spans="1:9" x14ac:dyDescent="0.2">
      <c r="A1037" s="2">
        <f ca="1">IFERROR(__xludf.DUMMYFUNCTION("""COMPUTED_VALUE"""),45441.6666666666)</f>
        <v>45441.666666666599</v>
      </c>
      <c r="B1037" s="2" t="s">
        <v>56</v>
      </c>
      <c r="C1037" s="1">
        <v>5825</v>
      </c>
      <c r="D1037" s="1">
        <v>5875</v>
      </c>
      <c r="E1037" s="1">
        <v>5700</v>
      </c>
      <c r="F1037" s="1">
        <v>5800</v>
      </c>
      <c r="G1037" s="1">
        <v>169386300</v>
      </c>
      <c r="H1037" s="4">
        <f t="shared" si="34"/>
        <v>-2.5210084033613446E-2</v>
      </c>
      <c r="I1037" s="4">
        <f t="shared" si="35"/>
        <v>2.2026431718061675E-2</v>
      </c>
    </row>
    <row r="1038" spans="1:9" x14ac:dyDescent="0.2">
      <c r="A1038" s="2">
        <f ca="1">IFERROR(__xludf.DUMMYFUNCTION("""COMPUTED_VALUE"""),45442.6666666666)</f>
        <v>45442.666666666599</v>
      </c>
      <c r="B1038" s="2" t="s">
        <v>56</v>
      </c>
      <c r="C1038" s="1">
        <v>5775</v>
      </c>
      <c r="D1038" s="1">
        <v>6000</v>
      </c>
      <c r="E1038" s="1">
        <v>5525</v>
      </c>
      <c r="F1038" s="1">
        <v>5875</v>
      </c>
      <c r="G1038" s="1">
        <v>236632600</v>
      </c>
      <c r="H1038" s="4">
        <f t="shared" si="34"/>
        <v>1.2931034482758621E-2</v>
      </c>
      <c r="I1038" s="4">
        <f t="shared" si="35"/>
        <v>3.5242290748898682E-2</v>
      </c>
    </row>
    <row r="1039" spans="1:9" x14ac:dyDescent="0.2">
      <c r="A1039" s="2">
        <f ca="1">IFERROR(__xludf.DUMMYFUNCTION("""COMPUTED_VALUE"""),45443.6666666666)</f>
        <v>45443.666666666599</v>
      </c>
      <c r="B1039" s="2" t="s">
        <v>56</v>
      </c>
      <c r="C1039" s="1">
        <v>6000</v>
      </c>
      <c r="D1039" s="1">
        <v>6025</v>
      </c>
      <c r="E1039" s="1">
        <v>5900</v>
      </c>
      <c r="F1039" s="1">
        <v>5900</v>
      </c>
      <c r="G1039" s="1">
        <v>169567000</v>
      </c>
      <c r="H1039" s="4">
        <f t="shared" si="34"/>
        <v>4.2553191489361703E-3</v>
      </c>
      <c r="I1039" s="4">
        <f t="shared" si="35"/>
        <v>3.9647577092511016E-2</v>
      </c>
    </row>
    <row r="1040" spans="1:9" x14ac:dyDescent="0.2">
      <c r="A1040" s="2">
        <f ca="1">IFERROR(__xludf.DUMMYFUNCTION("""COMPUTED_VALUE"""),45446.6666666666)</f>
        <v>45446.666666666599</v>
      </c>
      <c r="B1040" s="2" t="s">
        <v>56</v>
      </c>
      <c r="C1040" s="1">
        <v>6075</v>
      </c>
      <c r="D1040" s="1">
        <v>6150</v>
      </c>
      <c r="E1040" s="1">
        <v>6025</v>
      </c>
      <c r="F1040" s="1">
        <v>6100</v>
      </c>
      <c r="G1040" s="1">
        <v>92525600</v>
      </c>
      <c r="H1040" s="4">
        <f t="shared" si="34"/>
        <v>3.3898305084745763E-2</v>
      </c>
      <c r="I1040" s="4">
        <f t="shared" si="35"/>
        <v>7.4889867841409691E-2</v>
      </c>
    </row>
    <row r="1041" spans="1:9" x14ac:dyDescent="0.2">
      <c r="A1041" s="2">
        <f ca="1">IFERROR(__xludf.DUMMYFUNCTION("""COMPUTED_VALUE"""),45447.6666666666)</f>
        <v>45447.666666666599</v>
      </c>
      <c r="B1041" s="2" t="s">
        <v>56</v>
      </c>
      <c r="C1041" s="1">
        <v>6150</v>
      </c>
      <c r="D1041" s="1">
        <v>6275</v>
      </c>
      <c r="E1041" s="1">
        <v>6125</v>
      </c>
      <c r="F1041" s="1">
        <v>6150</v>
      </c>
      <c r="G1041" s="1">
        <v>137800600</v>
      </c>
      <c r="H1041" s="4">
        <f t="shared" si="34"/>
        <v>8.1967213114754103E-3</v>
      </c>
      <c r="I1041" s="4">
        <f t="shared" si="35"/>
        <v>8.3700440528634359E-2</v>
      </c>
    </row>
    <row r="1042" spans="1:9" x14ac:dyDescent="0.2">
      <c r="A1042" s="2">
        <f ca="1">IFERROR(__xludf.DUMMYFUNCTION("""COMPUTED_VALUE"""),45448.6666666666)</f>
        <v>45448.666666666599</v>
      </c>
      <c r="B1042" s="2" t="s">
        <v>56</v>
      </c>
      <c r="C1042" s="1">
        <v>6125</v>
      </c>
      <c r="D1042" s="1">
        <v>6150</v>
      </c>
      <c r="E1042" s="1">
        <v>5975</v>
      </c>
      <c r="F1042" s="1">
        <v>6000</v>
      </c>
      <c r="G1042" s="1">
        <v>102327300</v>
      </c>
      <c r="H1042" s="4">
        <f t="shared" si="34"/>
        <v>-2.4390243902439025E-2</v>
      </c>
      <c r="I1042" s="4">
        <f t="shared" si="35"/>
        <v>5.7268722466960353E-2</v>
      </c>
    </row>
    <row r="1043" spans="1:9" x14ac:dyDescent="0.2">
      <c r="A1043" s="2">
        <f ca="1">IFERROR(__xludf.DUMMYFUNCTION("""COMPUTED_VALUE"""),45449.6666666666)</f>
        <v>45449.666666666599</v>
      </c>
      <c r="B1043" s="2" t="s">
        <v>56</v>
      </c>
      <c r="C1043" s="1">
        <v>6125</v>
      </c>
      <c r="D1043" s="1">
        <v>6200</v>
      </c>
      <c r="E1043" s="1">
        <v>6075</v>
      </c>
      <c r="F1043" s="1">
        <v>6175</v>
      </c>
      <c r="G1043" s="1">
        <v>85735200</v>
      </c>
      <c r="H1043" s="4">
        <f t="shared" si="34"/>
        <v>2.9166666666666667E-2</v>
      </c>
      <c r="I1043" s="4">
        <f t="shared" si="35"/>
        <v>8.8105726872246701E-2</v>
      </c>
    </row>
    <row r="1044" spans="1:9" x14ac:dyDescent="0.2">
      <c r="A1044" s="2">
        <f ca="1">IFERROR(__xludf.DUMMYFUNCTION("""COMPUTED_VALUE"""),45450.6666666666)</f>
        <v>45450.666666666599</v>
      </c>
      <c r="B1044" s="2" t="s">
        <v>56</v>
      </c>
      <c r="C1044" s="1">
        <v>6250</v>
      </c>
      <c r="D1044" s="1">
        <v>6275</v>
      </c>
      <c r="E1044" s="1">
        <v>6150</v>
      </c>
      <c r="F1044" s="1">
        <v>6275</v>
      </c>
      <c r="G1044" s="1">
        <v>99092800</v>
      </c>
      <c r="H1044" s="4">
        <f t="shared" si="34"/>
        <v>1.6194331983805668E-2</v>
      </c>
      <c r="I1044" s="4">
        <f t="shared" si="35"/>
        <v>0.10572687224669604</v>
      </c>
    </row>
    <row r="1045" spans="1:9" x14ac:dyDescent="0.2">
      <c r="A1045" s="2">
        <f ca="1">IFERROR(__xludf.DUMMYFUNCTION("""COMPUTED_VALUE"""),45453.6666666666)</f>
        <v>45453.666666666599</v>
      </c>
      <c r="B1045" s="2" t="s">
        <v>56</v>
      </c>
      <c r="C1045" s="1">
        <v>6275</v>
      </c>
      <c r="D1045" s="1">
        <v>6350</v>
      </c>
      <c r="E1045" s="1">
        <v>6200</v>
      </c>
      <c r="F1045" s="1">
        <v>6275</v>
      </c>
      <c r="G1045" s="1">
        <v>80154400</v>
      </c>
      <c r="H1045" s="4">
        <f t="shared" si="34"/>
        <v>0</v>
      </c>
      <c r="I1045" s="4">
        <f t="shared" si="35"/>
        <v>0.10572687224669604</v>
      </c>
    </row>
    <row r="1046" spans="1:9" x14ac:dyDescent="0.2">
      <c r="A1046" s="2">
        <f ca="1">IFERROR(__xludf.DUMMYFUNCTION("""COMPUTED_VALUE"""),45454.6666666666)</f>
        <v>45454.666666666599</v>
      </c>
      <c r="B1046" s="2" t="s">
        <v>56</v>
      </c>
      <c r="C1046" s="1">
        <v>6200</v>
      </c>
      <c r="D1046" s="1">
        <v>6250</v>
      </c>
      <c r="E1046" s="1">
        <v>6125</v>
      </c>
      <c r="F1046" s="1">
        <v>6125</v>
      </c>
      <c r="G1046" s="1">
        <v>56254400</v>
      </c>
      <c r="H1046" s="4">
        <f t="shared" si="34"/>
        <v>-2.3904382470119521E-2</v>
      </c>
      <c r="I1046" s="4">
        <f t="shared" si="35"/>
        <v>7.9295154185022032E-2</v>
      </c>
    </row>
    <row r="1047" spans="1:9" x14ac:dyDescent="0.2">
      <c r="A1047" s="2">
        <f ca="1">IFERROR(__xludf.DUMMYFUNCTION("""COMPUTED_VALUE"""),45455.6666666666)</f>
        <v>45455.666666666599</v>
      </c>
      <c r="B1047" s="2" t="s">
        <v>56</v>
      </c>
      <c r="C1047" s="1">
        <v>6050</v>
      </c>
      <c r="D1047" s="1">
        <v>6075</v>
      </c>
      <c r="E1047" s="1">
        <v>5900</v>
      </c>
      <c r="F1047" s="1">
        <v>5925</v>
      </c>
      <c r="G1047" s="1">
        <v>120857200</v>
      </c>
      <c r="H1047" s="4">
        <f t="shared" si="34"/>
        <v>-3.2653061224489799E-2</v>
      </c>
      <c r="I1047" s="4">
        <f t="shared" si="35"/>
        <v>4.405286343612335E-2</v>
      </c>
    </row>
    <row r="1048" spans="1:9" x14ac:dyDescent="0.2">
      <c r="A1048" s="2">
        <f ca="1">IFERROR(__xludf.DUMMYFUNCTION("""COMPUTED_VALUE"""),45456.6666666666)</f>
        <v>45456.666666666599</v>
      </c>
      <c r="B1048" s="2" t="s">
        <v>56</v>
      </c>
      <c r="C1048" s="1">
        <v>5975</v>
      </c>
      <c r="D1048" s="1">
        <v>6000</v>
      </c>
      <c r="E1048" s="1">
        <v>5850</v>
      </c>
      <c r="F1048" s="1">
        <v>5875</v>
      </c>
      <c r="G1048" s="1">
        <v>162616700</v>
      </c>
      <c r="H1048" s="4">
        <f t="shared" si="34"/>
        <v>-8.4388185654008432E-3</v>
      </c>
      <c r="I1048" s="4">
        <f t="shared" si="35"/>
        <v>3.5242290748898682E-2</v>
      </c>
    </row>
    <row r="1049" spans="1:9" x14ac:dyDescent="0.2">
      <c r="A1049" s="2">
        <f ca="1">IFERROR(__xludf.DUMMYFUNCTION("""COMPUTED_VALUE"""),45457.6666666666)</f>
        <v>45457.666666666599</v>
      </c>
      <c r="B1049" s="2" t="s">
        <v>56</v>
      </c>
      <c r="C1049" s="1">
        <v>5850</v>
      </c>
      <c r="D1049" s="1">
        <v>5875</v>
      </c>
      <c r="E1049" s="1">
        <v>5650</v>
      </c>
      <c r="F1049" s="1">
        <v>5750</v>
      </c>
      <c r="G1049" s="1">
        <v>203241500</v>
      </c>
      <c r="H1049" s="4">
        <f t="shared" si="34"/>
        <v>-2.1276595744680851E-2</v>
      </c>
      <c r="I1049" s="4">
        <f t="shared" si="35"/>
        <v>1.3215859030837005E-2</v>
      </c>
    </row>
    <row r="1050" spans="1:9" x14ac:dyDescent="0.2">
      <c r="A1050" s="2">
        <f ca="1">IFERROR(__xludf.DUMMYFUNCTION("""COMPUTED_VALUE"""),45462.6666666666)</f>
        <v>45462.666666666599</v>
      </c>
      <c r="B1050" s="2" t="s">
        <v>56</v>
      </c>
      <c r="C1050" s="1">
        <v>5775</v>
      </c>
      <c r="D1050" s="1">
        <v>5850</v>
      </c>
      <c r="E1050" s="1">
        <v>5675</v>
      </c>
      <c r="F1050" s="1">
        <v>5750</v>
      </c>
      <c r="G1050" s="1">
        <v>116004200</v>
      </c>
      <c r="H1050" s="4">
        <f t="shared" si="34"/>
        <v>0</v>
      </c>
      <c r="I1050" s="4">
        <f t="shared" si="35"/>
        <v>1.3215859030837005E-2</v>
      </c>
    </row>
    <row r="1051" spans="1:9" x14ac:dyDescent="0.2">
      <c r="A1051" s="2">
        <f ca="1">IFERROR(__xludf.DUMMYFUNCTION("""COMPUTED_VALUE"""),45463.6666666666)</f>
        <v>45463.666666666599</v>
      </c>
      <c r="B1051" s="2" t="s">
        <v>56</v>
      </c>
      <c r="C1051" s="1">
        <v>5825</v>
      </c>
      <c r="D1051" s="1">
        <v>5950</v>
      </c>
      <c r="E1051" s="1">
        <v>5750</v>
      </c>
      <c r="F1051" s="1">
        <v>5950</v>
      </c>
      <c r="G1051" s="1">
        <v>82660000</v>
      </c>
      <c r="H1051" s="4">
        <f t="shared" si="34"/>
        <v>3.4782608695652174E-2</v>
      </c>
      <c r="I1051" s="4">
        <f t="shared" si="35"/>
        <v>4.8458149779735685E-2</v>
      </c>
    </row>
    <row r="1052" spans="1:9" x14ac:dyDescent="0.2">
      <c r="A1052" s="2">
        <f ca="1">IFERROR(__xludf.DUMMYFUNCTION("""COMPUTED_VALUE"""),45464.6666666666)</f>
        <v>45464.666666666599</v>
      </c>
      <c r="B1052" s="2" t="s">
        <v>56</v>
      </c>
      <c r="C1052" s="1">
        <v>6050</v>
      </c>
      <c r="D1052" s="1">
        <v>6200</v>
      </c>
      <c r="E1052" s="1">
        <v>6025</v>
      </c>
      <c r="F1052" s="1">
        <v>6125</v>
      </c>
      <c r="G1052" s="1">
        <v>184240600</v>
      </c>
      <c r="H1052" s="4">
        <f t="shared" si="34"/>
        <v>2.9411764705882353E-2</v>
      </c>
      <c r="I1052" s="4">
        <f t="shared" si="35"/>
        <v>7.9295154185022032E-2</v>
      </c>
    </row>
    <row r="1053" spans="1:9" x14ac:dyDescent="0.2">
      <c r="A1053" s="2">
        <f ca="1">IFERROR(__xludf.DUMMYFUNCTION("""COMPUTED_VALUE"""),45467.6666666666)</f>
        <v>45467.666666666599</v>
      </c>
      <c r="B1053" s="2" t="s">
        <v>56</v>
      </c>
      <c r="C1053" s="1">
        <v>6075</v>
      </c>
      <c r="D1053" s="1">
        <v>6125</v>
      </c>
      <c r="E1053" s="1">
        <v>6000</v>
      </c>
      <c r="F1053" s="1">
        <v>6000</v>
      </c>
      <c r="G1053" s="1">
        <v>58831900</v>
      </c>
      <c r="H1053" s="4">
        <f t="shared" si="34"/>
        <v>-2.0408163265306121E-2</v>
      </c>
      <c r="I1053" s="4">
        <f t="shared" si="35"/>
        <v>5.7268722466960353E-2</v>
      </c>
    </row>
    <row r="1054" spans="1:9" x14ac:dyDescent="0.2">
      <c r="A1054" s="2">
        <f ca="1">IFERROR(__xludf.DUMMYFUNCTION("""COMPUTED_VALUE"""),45468.6666666666)</f>
        <v>45468.666666666599</v>
      </c>
      <c r="B1054" s="2" t="s">
        <v>56</v>
      </c>
      <c r="C1054" s="1">
        <v>5925</v>
      </c>
      <c r="D1054" s="1">
        <v>5975</v>
      </c>
      <c r="E1054" s="1">
        <v>5825</v>
      </c>
      <c r="F1054" s="1">
        <v>5925</v>
      </c>
      <c r="G1054" s="1">
        <v>159983800</v>
      </c>
      <c r="H1054" s="4">
        <f t="shared" si="34"/>
        <v>-1.2500000000000001E-2</v>
      </c>
      <c r="I1054" s="4">
        <f t="shared" si="35"/>
        <v>4.405286343612335E-2</v>
      </c>
    </row>
    <row r="1055" spans="1:9" x14ac:dyDescent="0.2">
      <c r="A1055" s="2">
        <f ca="1">IFERROR(__xludf.DUMMYFUNCTION("""COMPUTED_VALUE"""),45469.6666666666)</f>
        <v>45469.666666666599</v>
      </c>
      <c r="B1055" s="2" t="s">
        <v>56</v>
      </c>
      <c r="C1055" s="1">
        <v>5950</v>
      </c>
      <c r="D1055" s="1">
        <v>6025</v>
      </c>
      <c r="E1055" s="1">
        <v>5850</v>
      </c>
      <c r="F1055" s="1">
        <v>5850</v>
      </c>
      <c r="G1055" s="1">
        <v>92895700</v>
      </c>
      <c r="H1055" s="4">
        <f t="shared" si="34"/>
        <v>-1.2658227848101266E-2</v>
      </c>
      <c r="I1055" s="4">
        <f t="shared" si="35"/>
        <v>3.0837004405286344E-2</v>
      </c>
    </row>
    <row r="1056" spans="1:9" x14ac:dyDescent="0.2">
      <c r="A1056" s="2">
        <f ca="1">IFERROR(__xludf.DUMMYFUNCTION("""COMPUTED_VALUE"""),45470.6666666666)</f>
        <v>45470.666666666599</v>
      </c>
      <c r="B1056" s="2" t="s">
        <v>56</v>
      </c>
      <c r="C1056" s="1">
        <v>5900</v>
      </c>
      <c r="D1056" s="1">
        <v>6075</v>
      </c>
      <c r="E1056" s="1">
        <v>5875</v>
      </c>
      <c r="F1056" s="1">
        <v>6000</v>
      </c>
      <c r="G1056" s="1">
        <v>117602400</v>
      </c>
      <c r="H1056" s="4">
        <f t="shared" si="34"/>
        <v>2.564102564102564E-2</v>
      </c>
      <c r="I1056" s="4">
        <f t="shared" si="35"/>
        <v>5.7268722466960353E-2</v>
      </c>
    </row>
    <row r="1057" spans="1:9" x14ac:dyDescent="0.2">
      <c r="A1057" s="2">
        <f ca="1">IFERROR(__xludf.DUMMYFUNCTION("""COMPUTED_VALUE"""),45471.6666666666)</f>
        <v>45471.666666666599</v>
      </c>
      <c r="B1057" s="2" t="s">
        <v>56</v>
      </c>
      <c r="C1057" s="1">
        <v>6000</v>
      </c>
      <c r="D1057" s="1">
        <v>6250</v>
      </c>
      <c r="E1057" s="1">
        <v>6000</v>
      </c>
      <c r="F1057" s="1">
        <v>6150</v>
      </c>
      <c r="G1057" s="1">
        <v>191371600</v>
      </c>
      <c r="H1057" s="4">
        <f t="shared" si="34"/>
        <v>2.5000000000000001E-2</v>
      </c>
      <c r="I1057" s="4">
        <f t="shared" si="35"/>
        <v>8.3700440528634359E-2</v>
      </c>
    </row>
    <row r="1058" spans="1:9" x14ac:dyDescent="0.2">
      <c r="A1058" s="2">
        <f ca="1">IFERROR(__xludf.DUMMYFUNCTION("""COMPUTED_VALUE"""),45474.6666666666)</f>
        <v>45474.666666666599</v>
      </c>
      <c r="B1058" s="2" t="s">
        <v>56</v>
      </c>
      <c r="C1058" s="1">
        <v>6175</v>
      </c>
      <c r="D1058" s="1">
        <v>6250</v>
      </c>
      <c r="E1058" s="1">
        <v>6100</v>
      </c>
      <c r="F1058" s="1">
        <v>6250</v>
      </c>
      <c r="G1058" s="1">
        <v>100408200</v>
      </c>
      <c r="H1058" s="4">
        <f t="shared" si="34"/>
        <v>1.6260162601626018E-2</v>
      </c>
      <c r="I1058" s="4">
        <f t="shared" si="35"/>
        <v>0.1013215859030837</v>
      </c>
    </row>
    <row r="1059" spans="1:9" x14ac:dyDescent="0.2">
      <c r="A1059" s="2">
        <f ca="1">IFERROR(__xludf.DUMMYFUNCTION("""COMPUTED_VALUE"""),45475.6666666666)</f>
        <v>45475.666666666599</v>
      </c>
      <c r="B1059" s="2" t="s">
        <v>56</v>
      </c>
      <c r="C1059" s="1">
        <v>6275</v>
      </c>
      <c r="D1059" s="1">
        <v>6350</v>
      </c>
      <c r="E1059" s="1">
        <v>6150</v>
      </c>
      <c r="F1059" s="1">
        <v>6200</v>
      </c>
      <c r="G1059" s="1">
        <v>159356600</v>
      </c>
      <c r="H1059" s="4">
        <f t="shared" si="34"/>
        <v>-8.0000000000000002E-3</v>
      </c>
      <c r="I1059" s="4">
        <f t="shared" si="35"/>
        <v>9.2511013215859028E-2</v>
      </c>
    </row>
    <row r="1060" spans="1:9" x14ac:dyDescent="0.2">
      <c r="A1060" s="2">
        <f ca="1">IFERROR(__xludf.DUMMYFUNCTION("""COMPUTED_VALUE"""),45476.6666666666)</f>
        <v>45476.666666666599</v>
      </c>
      <c r="B1060" s="2" t="s">
        <v>56</v>
      </c>
      <c r="C1060" s="1">
        <v>6275</v>
      </c>
      <c r="D1060" s="1">
        <v>6300</v>
      </c>
      <c r="E1060" s="1">
        <v>6100</v>
      </c>
      <c r="F1060" s="1">
        <v>6225</v>
      </c>
      <c r="G1060" s="1">
        <v>70017100</v>
      </c>
      <c r="H1060" s="4">
        <f t="shared" si="34"/>
        <v>4.0322580645161289E-3</v>
      </c>
      <c r="I1060" s="4">
        <f t="shared" si="35"/>
        <v>9.6916299559471369E-2</v>
      </c>
    </row>
    <row r="1061" spans="1:9" x14ac:dyDescent="0.2">
      <c r="A1061" s="2">
        <f ca="1">IFERROR(__xludf.DUMMYFUNCTION("""COMPUTED_VALUE"""),45477.6666666666)</f>
        <v>45477.666666666599</v>
      </c>
      <c r="B1061" s="2" t="s">
        <v>56</v>
      </c>
      <c r="C1061" s="1">
        <v>6250</v>
      </c>
      <c r="D1061" s="1">
        <v>6400</v>
      </c>
      <c r="E1061" s="1">
        <v>6225</v>
      </c>
      <c r="F1061" s="1">
        <v>6250</v>
      </c>
      <c r="G1061" s="1">
        <v>90147800</v>
      </c>
      <c r="H1061" s="4">
        <f t="shared" si="34"/>
        <v>4.0160642570281121E-3</v>
      </c>
      <c r="I1061" s="4">
        <f t="shared" si="35"/>
        <v>0.1013215859030837</v>
      </c>
    </row>
    <row r="1062" spans="1:9" x14ac:dyDescent="0.2">
      <c r="A1062" s="2">
        <f ca="1">IFERROR(__xludf.DUMMYFUNCTION("""COMPUTED_VALUE"""),45478.6666666666)</f>
        <v>45478.666666666599</v>
      </c>
      <c r="B1062" s="2" t="s">
        <v>56</v>
      </c>
      <c r="C1062" s="1">
        <v>6325</v>
      </c>
      <c r="D1062" s="1">
        <v>6500</v>
      </c>
      <c r="E1062" s="1">
        <v>6300</v>
      </c>
      <c r="F1062" s="1">
        <v>6425</v>
      </c>
      <c r="G1062" s="1">
        <v>111646800</v>
      </c>
      <c r="H1062" s="4">
        <f t="shared" si="34"/>
        <v>2.8000000000000001E-2</v>
      </c>
      <c r="I1062" s="4">
        <f t="shared" si="35"/>
        <v>0.13215859030837004</v>
      </c>
    </row>
    <row r="1063" spans="1:9" x14ac:dyDescent="0.2">
      <c r="A1063" s="2">
        <f ca="1">IFERROR(__xludf.DUMMYFUNCTION("""COMPUTED_VALUE"""),45481.6666666666)</f>
        <v>45481.666666666599</v>
      </c>
      <c r="B1063" s="2" t="s">
        <v>56</v>
      </c>
      <c r="C1063" s="1">
        <v>6400</v>
      </c>
      <c r="D1063" s="1">
        <v>6425</v>
      </c>
      <c r="E1063" s="1">
        <v>6200</v>
      </c>
      <c r="F1063" s="1">
        <v>6225</v>
      </c>
      <c r="G1063" s="1">
        <v>138144000</v>
      </c>
      <c r="H1063" s="4">
        <f t="shared" si="34"/>
        <v>-3.1128404669260701E-2</v>
      </c>
      <c r="I1063" s="4">
        <f t="shared" si="35"/>
        <v>9.6916299559471369E-2</v>
      </c>
    </row>
    <row r="1064" spans="1:9" x14ac:dyDescent="0.2">
      <c r="A1064" s="2">
        <f ca="1">IFERROR(__xludf.DUMMYFUNCTION("""COMPUTED_VALUE"""),45482.6666666666)</f>
        <v>45482.666666666599</v>
      </c>
      <c r="B1064" s="2" t="s">
        <v>56</v>
      </c>
      <c r="C1064" s="1">
        <v>6225</v>
      </c>
      <c r="D1064" s="1">
        <v>6400</v>
      </c>
      <c r="E1064" s="1">
        <v>6200</v>
      </c>
      <c r="F1064" s="1">
        <v>6375</v>
      </c>
      <c r="G1064" s="1">
        <v>84177600</v>
      </c>
      <c r="H1064" s="4">
        <f t="shared" si="34"/>
        <v>2.4096385542168676E-2</v>
      </c>
      <c r="I1064" s="4">
        <f t="shared" si="35"/>
        <v>0.12334801762114538</v>
      </c>
    </row>
    <row r="1065" spans="1:9" x14ac:dyDescent="0.2">
      <c r="A1065" s="2">
        <f ca="1">IFERROR(__xludf.DUMMYFUNCTION("""COMPUTED_VALUE"""),45483.6666666666)</f>
        <v>45483.666666666599</v>
      </c>
      <c r="B1065" s="2" t="s">
        <v>56</v>
      </c>
      <c r="C1065" s="1">
        <v>6375</v>
      </c>
      <c r="D1065" s="1">
        <v>6450</v>
      </c>
      <c r="E1065" s="1">
        <v>6300</v>
      </c>
      <c r="F1065" s="1">
        <v>6375</v>
      </c>
      <c r="G1065" s="1">
        <v>59685300</v>
      </c>
      <c r="H1065" s="4">
        <f t="shared" si="34"/>
        <v>0</v>
      </c>
      <c r="I1065" s="4">
        <f t="shared" si="35"/>
        <v>0.12334801762114538</v>
      </c>
    </row>
    <row r="1066" spans="1:9" x14ac:dyDescent="0.2">
      <c r="A1066" s="2">
        <f ca="1">IFERROR(__xludf.DUMMYFUNCTION("""COMPUTED_VALUE"""),45484.6666666666)</f>
        <v>45484.666666666599</v>
      </c>
      <c r="B1066" s="2" t="s">
        <v>56</v>
      </c>
      <c r="C1066" s="1">
        <v>6400</v>
      </c>
      <c r="D1066" s="1">
        <v>6425</v>
      </c>
      <c r="E1066" s="1">
        <v>6350</v>
      </c>
      <c r="F1066" s="1">
        <v>6400</v>
      </c>
      <c r="G1066" s="1">
        <v>66789800</v>
      </c>
      <c r="H1066" s="4">
        <f t="shared" si="34"/>
        <v>3.9215686274509803E-3</v>
      </c>
      <c r="I1066" s="4">
        <f t="shared" si="35"/>
        <v>0.1277533039647577</v>
      </c>
    </row>
    <row r="1067" spans="1:9" x14ac:dyDescent="0.2">
      <c r="A1067" s="2">
        <f ca="1">IFERROR(__xludf.DUMMYFUNCTION("""COMPUTED_VALUE"""),45485.6666666666)</f>
        <v>45485.666666666599</v>
      </c>
      <c r="B1067" s="2" t="s">
        <v>56</v>
      </c>
      <c r="C1067" s="1">
        <v>6450</v>
      </c>
      <c r="D1067" s="1">
        <v>6550</v>
      </c>
      <c r="E1067" s="1">
        <v>6400</v>
      </c>
      <c r="F1067" s="1">
        <v>6425</v>
      </c>
      <c r="G1067" s="1">
        <v>136132200</v>
      </c>
      <c r="H1067" s="4">
        <f t="shared" si="34"/>
        <v>3.90625E-3</v>
      </c>
      <c r="I1067" s="4">
        <f t="shared" si="35"/>
        <v>0.13215859030837004</v>
      </c>
    </row>
    <row r="1068" spans="1:9" x14ac:dyDescent="0.2">
      <c r="A1068" s="2">
        <f ca="1">IFERROR(__xludf.DUMMYFUNCTION("""COMPUTED_VALUE"""),45488.6666666666)</f>
        <v>45488.666666666599</v>
      </c>
      <c r="B1068" s="2" t="s">
        <v>56</v>
      </c>
      <c r="C1068" s="1">
        <v>6450</v>
      </c>
      <c r="D1068" s="1">
        <v>6450</v>
      </c>
      <c r="E1068" s="1">
        <v>6300</v>
      </c>
      <c r="F1068" s="1">
        <v>6350</v>
      </c>
      <c r="G1068" s="1">
        <v>66071800</v>
      </c>
      <c r="H1068" s="4">
        <f t="shared" si="34"/>
        <v>-1.1673151750972763E-2</v>
      </c>
      <c r="I1068" s="4">
        <f t="shared" si="35"/>
        <v>0.11894273127753303</v>
      </c>
    </row>
    <row r="1069" spans="1:9" x14ac:dyDescent="0.2">
      <c r="A1069" s="2">
        <f ca="1">IFERROR(__xludf.DUMMYFUNCTION("""COMPUTED_VALUE"""),45489.6666666666)</f>
        <v>45489.666666666599</v>
      </c>
      <c r="B1069" s="2" t="s">
        <v>56</v>
      </c>
      <c r="C1069" s="1">
        <v>6400</v>
      </c>
      <c r="D1069" s="1">
        <v>6400</v>
      </c>
      <c r="E1069" s="1">
        <v>6300</v>
      </c>
      <c r="F1069" s="1">
        <v>6350</v>
      </c>
      <c r="G1069" s="1">
        <v>64687900</v>
      </c>
      <c r="H1069" s="4">
        <f t="shared" si="34"/>
        <v>0</v>
      </c>
      <c r="I1069" s="4">
        <f t="shared" si="35"/>
        <v>0.11894273127753303</v>
      </c>
    </row>
    <row r="1070" spans="1:9" x14ac:dyDescent="0.2">
      <c r="A1070" s="2">
        <f ca="1">IFERROR(__xludf.DUMMYFUNCTION("""COMPUTED_VALUE"""),45490.6666666666)</f>
        <v>45490.666666666599</v>
      </c>
      <c r="B1070" s="2" t="s">
        <v>56</v>
      </c>
      <c r="C1070" s="1">
        <v>6450</v>
      </c>
      <c r="D1070" s="1">
        <v>6525</v>
      </c>
      <c r="E1070" s="1">
        <v>6375</v>
      </c>
      <c r="F1070" s="1">
        <v>6450</v>
      </c>
      <c r="G1070" s="1">
        <v>109729800</v>
      </c>
      <c r="H1070" s="4">
        <f t="shared" si="34"/>
        <v>1.5748031496062992E-2</v>
      </c>
      <c r="I1070" s="4">
        <f t="shared" si="35"/>
        <v>0.13656387665198239</v>
      </c>
    </row>
    <row r="1071" spans="1:9" x14ac:dyDescent="0.2">
      <c r="A1071" s="2">
        <f ca="1">IFERROR(__xludf.DUMMYFUNCTION("""COMPUTED_VALUE"""),45491.6666666666)</f>
        <v>45491.666666666599</v>
      </c>
      <c r="B1071" s="2" t="s">
        <v>56</v>
      </c>
      <c r="C1071" s="1">
        <v>6550</v>
      </c>
      <c r="D1071" s="1">
        <v>6600</v>
      </c>
      <c r="E1071" s="1">
        <v>6500</v>
      </c>
      <c r="F1071" s="1">
        <v>6550</v>
      </c>
      <c r="G1071" s="1">
        <v>132532000</v>
      </c>
      <c r="H1071" s="4">
        <f t="shared" si="34"/>
        <v>1.5503875968992248E-2</v>
      </c>
      <c r="I1071" s="4">
        <f t="shared" si="35"/>
        <v>0.15418502202643172</v>
      </c>
    </row>
    <row r="1072" spans="1:9" x14ac:dyDescent="0.2">
      <c r="A1072" s="2">
        <f ca="1">IFERROR(__xludf.DUMMYFUNCTION("""COMPUTED_VALUE"""),45492.6666666666)</f>
        <v>45492.666666666599</v>
      </c>
      <c r="B1072" s="2" t="s">
        <v>56</v>
      </c>
      <c r="C1072" s="1">
        <v>6500</v>
      </c>
      <c r="D1072" s="1">
        <v>6525</v>
      </c>
      <c r="E1072" s="1">
        <v>6450</v>
      </c>
      <c r="F1072" s="1">
        <v>6525</v>
      </c>
      <c r="G1072" s="1">
        <v>63165500</v>
      </c>
      <c r="H1072" s="4">
        <f t="shared" si="34"/>
        <v>-3.8167938931297708E-3</v>
      </c>
      <c r="I1072" s="4">
        <f t="shared" si="35"/>
        <v>0.14977973568281938</v>
      </c>
    </row>
    <row r="1073" spans="1:9" x14ac:dyDescent="0.2">
      <c r="A1073" s="2">
        <f ca="1">IFERROR(__xludf.DUMMYFUNCTION("""COMPUTED_VALUE"""),45495.6666666666)</f>
        <v>45495.666666666599</v>
      </c>
      <c r="B1073" s="2" t="s">
        <v>56</v>
      </c>
      <c r="C1073" s="1">
        <v>6575</v>
      </c>
      <c r="D1073" s="1">
        <v>6700</v>
      </c>
      <c r="E1073" s="1">
        <v>6525</v>
      </c>
      <c r="F1073" s="1">
        <v>6700</v>
      </c>
      <c r="G1073" s="1">
        <v>110467000</v>
      </c>
      <c r="H1073" s="4">
        <f t="shared" si="34"/>
        <v>2.681992337164751E-2</v>
      </c>
      <c r="I1073" s="4">
        <f t="shared" si="35"/>
        <v>0.18061674008810572</v>
      </c>
    </row>
    <row r="1074" spans="1:9" x14ac:dyDescent="0.2">
      <c r="A1074" s="2">
        <f ca="1">IFERROR(__xludf.DUMMYFUNCTION("""COMPUTED_VALUE"""),45496.6666666666)</f>
        <v>45496.666666666599</v>
      </c>
      <c r="B1074" s="2" t="s">
        <v>56</v>
      </c>
      <c r="C1074" s="1">
        <v>6750</v>
      </c>
      <c r="D1074" s="1">
        <v>6750</v>
      </c>
      <c r="E1074" s="1">
        <v>6550</v>
      </c>
      <c r="F1074" s="1">
        <v>6625</v>
      </c>
      <c r="G1074" s="1">
        <v>77861700</v>
      </c>
      <c r="H1074" s="4">
        <f t="shared" si="34"/>
        <v>-1.1194029850746268E-2</v>
      </c>
      <c r="I1074" s="4">
        <f t="shared" si="35"/>
        <v>0.16740088105726872</v>
      </c>
    </row>
    <row r="1075" spans="1:9" x14ac:dyDescent="0.2">
      <c r="A1075" s="2">
        <f ca="1">IFERROR(__xludf.DUMMYFUNCTION("""COMPUTED_VALUE"""),45497.6666666666)</f>
        <v>45497.666666666599</v>
      </c>
      <c r="B1075" s="2" t="s">
        <v>56</v>
      </c>
      <c r="C1075" s="1">
        <v>6500</v>
      </c>
      <c r="D1075" s="1">
        <v>6575</v>
      </c>
      <c r="E1075" s="1">
        <v>6475</v>
      </c>
      <c r="F1075" s="1">
        <v>6475</v>
      </c>
      <c r="G1075" s="1">
        <v>63940900</v>
      </c>
      <c r="H1075" s="4">
        <f t="shared" si="34"/>
        <v>-2.2641509433962263E-2</v>
      </c>
      <c r="I1075" s="4">
        <f t="shared" si="35"/>
        <v>0.14096916299559473</v>
      </c>
    </row>
    <row r="1076" spans="1:9" x14ac:dyDescent="0.2">
      <c r="A1076" s="2">
        <f ca="1">IFERROR(__xludf.DUMMYFUNCTION("""COMPUTED_VALUE"""),45498.6666666666)</f>
        <v>45498.666666666599</v>
      </c>
      <c r="B1076" s="2" t="s">
        <v>56</v>
      </c>
      <c r="C1076" s="1">
        <v>6450</v>
      </c>
      <c r="D1076" s="1">
        <v>6575</v>
      </c>
      <c r="E1076" s="1">
        <v>6400</v>
      </c>
      <c r="F1076" s="1">
        <v>6575</v>
      </c>
      <c r="G1076" s="1">
        <v>66655400</v>
      </c>
      <c r="H1076" s="4">
        <f t="shared" si="34"/>
        <v>1.5444015444015444E-2</v>
      </c>
      <c r="I1076" s="4">
        <f t="shared" si="35"/>
        <v>0.15859030837004406</v>
      </c>
    </row>
    <row r="1077" spans="1:9" x14ac:dyDescent="0.2">
      <c r="A1077" s="2">
        <f ca="1">IFERROR(__xludf.DUMMYFUNCTION("""COMPUTED_VALUE"""),45499.6666666666)</f>
        <v>45499.666666666599</v>
      </c>
      <c r="B1077" s="2" t="s">
        <v>56</v>
      </c>
      <c r="C1077" s="1">
        <v>6575</v>
      </c>
      <c r="D1077" s="1">
        <v>6625</v>
      </c>
      <c r="E1077" s="1">
        <v>6500</v>
      </c>
      <c r="F1077" s="1">
        <v>6550</v>
      </c>
      <c r="G1077" s="1">
        <v>76519500</v>
      </c>
      <c r="H1077" s="4">
        <f t="shared" si="34"/>
        <v>-3.8022813688212928E-3</v>
      </c>
      <c r="I1077" s="4">
        <f t="shared" si="35"/>
        <v>0.15418502202643172</v>
      </c>
    </row>
    <row r="1078" spans="1:9" x14ac:dyDescent="0.2">
      <c r="A1078" s="2">
        <f ca="1">IFERROR(__xludf.DUMMYFUNCTION("""COMPUTED_VALUE"""),45502.6666666666)</f>
        <v>45502.666666666599</v>
      </c>
      <c r="B1078" s="2" t="s">
        <v>56</v>
      </c>
      <c r="C1078" s="1">
        <v>6550</v>
      </c>
      <c r="D1078" s="1">
        <v>6550</v>
      </c>
      <c r="E1078" s="1">
        <v>6450</v>
      </c>
      <c r="F1078" s="1">
        <v>6475</v>
      </c>
      <c r="G1078" s="1">
        <v>54435300</v>
      </c>
      <c r="H1078" s="4">
        <f t="shared" ref="H1078:H1141" si="36">(F1078-F1077)/F1077</f>
        <v>-1.1450381679389313E-2</v>
      </c>
      <c r="I1078" s="4">
        <f t="shared" ref="I1078:I1141" si="37">(F1078-$F$2)/$F$2</f>
        <v>0.14096916299559473</v>
      </c>
    </row>
    <row r="1079" spans="1:9" x14ac:dyDescent="0.2">
      <c r="A1079" s="2">
        <f ca="1">IFERROR(__xludf.DUMMYFUNCTION("""COMPUTED_VALUE"""),45503.6666666666)</f>
        <v>45503.666666666599</v>
      </c>
      <c r="B1079" s="2" t="s">
        <v>56</v>
      </c>
      <c r="C1079" s="1">
        <v>6475</v>
      </c>
      <c r="D1079" s="1">
        <v>6550</v>
      </c>
      <c r="E1079" s="1">
        <v>6375</v>
      </c>
      <c r="F1079" s="1">
        <v>6475</v>
      </c>
      <c r="G1079" s="1">
        <v>86701400</v>
      </c>
      <c r="H1079" s="4">
        <f t="shared" si="36"/>
        <v>0</v>
      </c>
      <c r="I1079" s="4">
        <f t="shared" si="37"/>
        <v>0.14096916299559473</v>
      </c>
    </row>
    <row r="1080" spans="1:9" x14ac:dyDescent="0.2">
      <c r="A1080" s="2">
        <f ca="1">IFERROR(__xludf.DUMMYFUNCTION("""COMPUTED_VALUE"""),45504.6666666666)</f>
        <v>45504.666666666599</v>
      </c>
      <c r="B1080" s="2" t="s">
        <v>56</v>
      </c>
      <c r="C1080" s="1">
        <v>6400</v>
      </c>
      <c r="D1080" s="1">
        <v>6475</v>
      </c>
      <c r="E1080" s="1">
        <v>6375</v>
      </c>
      <c r="F1080" s="1">
        <v>6400</v>
      </c>
      <c r="G1080" s="1">
        <v>99004100</v>
      </c>
      <c r="H1080" s="4">
        <f t="shared" si="36"/>
        <v>-1.1583011583011582E-2</v>
      </c>
      <c r="I1080" s="4">
        <f t="shared" si="37"/>
        <v>0.1277533039647577</v>
      </c>
    </row>
    <row r="1081" spans="1:9" x14ac:dyDescent="0.2">
      <c r="A1081" s="2">
        <f ca="1">IFERROR(__xludf.DUMMYFUNCTION("""COMPUTED_VALUE"""),45505.6666666666)</f>
        <v>45505.666666666599</v>
      </c>
      <c r="B1081" s="2" t="s">
        <v>56</v>
      </c>
      <c r="C1081" s="1">
        <v>6550</v>
      </c>
      <c r="D1081" s="1">
        <v>6750</v>
      </c>
      <c r="E1081" s="1">
        <v>6500</v>
      </c>
      <c r="F1081" s="1">
        <v>6750</v>
      </c>
      <c r="G1081" s="1">
        <v>163086200</v>
      </c>
      <c r="H1081" s="4">
        <f t="shared" si="36"/>
        <v>5.46875E-2</v>
      </c>
      <c r="I1081" s="4">
        <f t="shared" si="37"/>
        <v>0.1894273127753304</v>
      </c>
    </row>
    <row r="1082" spans="1:9" x14ac:dyDescent="0.2">
      <c r="A1082" s="2">
        <f ca="1">IFERROR(__xludf.DUMMYFUNCTION("""COMPUTED_VALUE"""),45506.6666666666)</f>
        <v>45506.666666666599</v>
      </c>
      <c r="B1082" s="2" t="s">
        <v>56</v>
      </c>
      <c r="C1082" s="1">
        <v>6700</v>
      </c>
      <c r="D1082" s="1">
        <v>6875</v>
      </c>
      <c r="E1082" s="1">
        <v>6675</v>
      </c>
      <c r="F1082" s="1">
        <v>6800</v>
      </c>
      <c r="G1082" s="1">
        <v>167892400</v>
      </c>
      <c r="H1082" s="4">
        <f t="shared" si="36"/>
        <v>7.4074074074074077E-3</v>
      </c>
      <c r="I1082" s="4">
        <f t="shared" si="37"/>
        <v>0.19823788546255505</v>
      </c>
    </row>
    <row r="1083" spans="1:9" x14ac:dyDescent="0.2">
      <c r="A1083" s="2">
        <f ca="1">IFERROR(__xludf.DUMMYFUNCTION("""COMPUTED_VALUE"""),45509.6666666666)</f>
        <v>45509.666666666599</v>
      </c>
      <c r="B1083" s="2" t="s">
        <v>56</v>
      </c>
      <c r="C1083" s="1">
        <v>6700</v>
      </c>
      <c r="D1083" s="1">
        <v>6725</v>
      </c>
      <c r="E1083" s="1">
        <v>6500</v>
      </c>
      <c r="F1083" s="1">
        <v>6575</v>
      </c>
      <c r="G1083" s="1">
        <v>184384000</v>
      </c>
      <c r="H1083" s="4">
        <f t="shared" si="36"/>
        <v>-3.3088235294117647E-2</v>
      </c>
      <c r="I1083" s="4">
        <f t="shared" si="37"/>
        <v>0.15859030837004406</v>
      </c>
    </row>
    <row r="1084" spans="1:9" x14ac:dyDescent="0.2">
      <c r="A1084" s="2">
        <f ca="1">IFERROR(__xludf.DUMMYFUNCTION("""COMPUTED_VALUE"""),45510.6666666666)</f>
        <v>45510.666666666599</v>
      </c>
      <c r="B1084" s="2" t="s">
        <v>56</v>
      </c>
      <c r="C1084" s="1">
        <v>6650</v>
      </c>
      <c r="D1084" s="1">
        <v>6700</v>
      </c>
      <c r="E1084" s="1">
        <v>6525</v>
      </c>
      <c r="F1084" s="1">
        <v>6625</v>
      </c>
      <c r="G1084" s="1">
        <v>95785000</v>
      </c>
      <c r="H1084" s="4">
        <f t="shared" si="36"/>
        <v>7.6045627376425855E-3</v>
      </c>
      <c r="I1084" s="4">
        <f t="shared" si="37"/>
        <v>0.16740088105726872</v>
      </c>
    </row>
    <row r="1085" spans="1:9" x14ac:dyDescent="0.2">
      <c r="A1085" s="2">
        <f ca="1">IFERROR(__xludf.DUMMYFUNCTION("""COMPUTED_VALUE"""),45511.6666666666)</f>
        <v>45511.666666666599</v>
      </c>
      <c r="B1085" s="2" t="s">
        <v>56</v>
      </c>
      <c r="C1085" s="1">
        <v>6725</v>
      </c>
      <c r="D1085" s="1">
        <v>6775</v>
      </c>
      <c r="E1085" s="1">
        <v>6650</v>
      </c>
      <c r="F1085" s="1">
        <v>6775</v>
      </c>
      <c r="G1085" s="1">
        <v>84634200</v>
      </c>
      <c r="H1085" s="4">
        <f t="shared" si="36"/>
        <v>2.2641509433962263E-2</v>
      </c>
      <c r="I1085" s="4">
        <f t="shared" si="37"/>
        <v>0.19383259911894274</v>
      </c>
    </row>
    <row r="1086" spans="1:9" x14ac:dyDescent="0.2">
      <c r="A1086" s="2">
        <f ca="1">IFERROR(__xludf.DUMMYFUNCTION("""COMPUTED_VALUE"""),45512.6666666666)</f>
        <v>45512.666666666599</v>
      </c>
      <c r="B1086" s="2" t="s">
        <v>56</v>
      </c>
      <c r="C1086" s="1">
        <v>6800</v>
      </c>
      <c r="D1086" s="1">
        <v>6850</v>
      </c>
      <c r="E1086" s="1">
        <v>6725</v>
      </c>
      <c r="F1086" s="1">
        <v>6800</v>
      </c>
      <c r="G1086" s="1">
        <v>81408500</v>
      </c>
      <c r="H1086" s="4">
        <f t="shared" si="36"/>
        <v>3.6900369003690036E-3</v>
      </c>
      <c r="I1086" s="4">
        <f t="shared" si="37"/>
        <v>0.19823788546255505</v>
      </c>
    </row>
    <row r="1087" spans="1:9" x14ac:dyDescent="0.2">
      <c r="A1087" s="2">
        <f ca="1">IFERROR(__xludf.DUMMYFUNCTION("""COMPUTED_VALUE"""),45513.6666666666)</f>
        <v>45513.666666666599</v>
      </c>
      <c r="B1087" s="2" t="s">
        <v>56</v>
      </c>
      <c r="C1087" s="1">
        <v>6825</v>
      </c>
      <c r="D1087" s="1">
        <v>6900</v>
      </c>
      <c r="E1087" s="1">
        <v>6800</v>
      </c>
      <c r="F1087" s="1">
        <v>6850</v>
      </c>
      <c r="G1087" s="1">
        <v>79710700</v>
      </c>
      <c r="H1087" s="4">
        <f t="shared" si="36"/>
        <v>7.3529411764705881E-3</v>
      </c>
      <c r="I1087" s="4">
        <f t="shared" si="37"/>
        <v>0.20704845814977973</v>
      </c>
    </row>
    <row r="1088" spans="1:9" x14ac:dyDescent="0.2">
      <c r="A1088" s="2">
        <f ca="1">IFERROR(__xludf.DUMMYFUNCTION("""COMPUTED_VALUE"""),45516.6666666666)</f>
        <v>45516.666666666599</v>
      </c>
      <c r="B1088" s="2" t="s">
        <v>56</v>
      </c>
      <c r="C1088" s="1">
        <v>6875</v>
      </c>
      <c r="D1088" s="1">
        <v>6900</v>
      </c>
      <c r="E1088" s="1">
        <v>6775</v>
      </c>
      <c r="F1088" s="1">
        <v>6900</v>
      </c>
      <c r="G1088" s="1">
        <v>50756000</v>
      </c>
      <c r="H1088" s="4">
        <f t="shared" si="36"/>
        <v>7.2992700729927005E-3</v>
      </c>
      <c r="I1088" s="4">
        <f t="shared" si="37"/>
        <v>0.21585903083700442</v>
      </c>
    </row>
    <row r="1089" spans="1:9" x14ac:dyDescent="0.2">
      <c r="A1089" s="2">
        <f ca="1">IFERROR(__xludf.DUMMYFUNCTION("""COMPUTED_VALUE"""),45517.6666666666)</f>
        <v>45517.666666666599</v>
      </c>
      <c r="B1089" s="2" t="s">
        <v>56</v>
      </c>
      <c r="C1089" s="1">
        <v>6850</v>
      </c>
      <c r="D1089" s="1">
        <v>7000</v>
      </c>
      <c r="E1089" s="1">
        <v>6850</v>
      </c>
      <c r="F1089" s="1">
        <v>7000</v>
      </c>
      <c r="G1089" s="1">
        <v>68666000</v>
      </c>
      <c r="H1089" s="4">
        <f t="shared" si="36"/>
        <v>1.4492753623188406E-2</v>
      </c>
      <c r="I1089" s="4">
        <f t="shared" si="37"/>
        <v>0.23348017621145375</v>
      </c>
    </row>
    <row r="1090" spans="1:9" x14ac:dyDescent="0.2">
      <c r="A1090" s="2">
        <f ca="1">IFERROR(__xludf.DUMMYFUNCTION("""COMPUTED_VALUE"""),45518.6666666666)</f>
        <v>45518.666666666599</v>
      </c>
      <c r="B1090" s="2" t="s">
        <v>56</v>
      </c>
      <c r="C1090" s="1">
        <v>7075</v>
      </c>
      <c r="D1090" s="1">
        <v>7100</v>
      </c>
      <c r="E1090" s="1">
        <v>7025</v>
      </c>
      <c r="F1090" s="1">
        <v>7075</v>
      </c>
      <c r="G1090" s="1">
        <v>97695100</v>
      </c>
      <c r="H1090" s="4">
        <f t="shared" si="36"/>
        <v>1.0714285714285714E-2</v>
      </c>
      <c r="I1090" s="4">
        <f t="shared" si="37"/>
        <v>0.24669603524229075</v>
      </c>
    </row>
    <row r="1091" spans="1:9" x14ac:dyDescent="0.2">
      <c r="A1091" s="2">
        <f ca="1">IFERROR(__xludf.DUMMYFUNCTION("""COMPUTED_VALUE"""),45519.6666666666)</f>
        <v>45519.666666666599</v>
      </c>
      <c r="B1091" s="2" t="s">
        <v>56</v>
      </c>
      <c r="C1091" s="1">
        <v>7075</v>
      </c>
      <c r="D1091" s="1">
        <v>7075</v>
      </c>
      <c r="E1091" s="1">
        <v>6925</v>
      </c>
      <c r="F1091" s="1">
        <v>7025</v>
      </c>
      <c r="G1091" s="1">
        <v>75955500</v>
      </c>
      <c r="H1091" s="4">
        <f t="shared" si="36"/>
        <v>-7.0671378091872791E-3</v>
      </c>
      <c r="I1091" s="4">
        <f t="shared" si="37"/>
        <v>0.23788546255506607</v>
      </c>
    </row>
    <row r="1092" spans="1:9" x14ac:dyDescent="0.2">
      <c r="A1092" s="2">
        <f ca="1">IFERROR(__xludf.DUMMYFUNCTION("""COMPUTED_VALUE"""),45520.6666666666)</f>
        <v>45520.666666666599</v>
      </c>
      <c r="B1092" s="2" t="s">
        <v>56</v>
      </c>
      <c r="C1092" s="1">
        <v>7075</v>
      </c>
      <c r="D1092" s="1">
        <v>7125</v>
      </c>
      <c r="E1092" s="1">
        <v>7025</v>
      </c>
      <c r="F1092" s="1">
        <v>7075</v>
      </c>
      <c r="G1092" s="1">
        <v>64266400</v>
      </c>
      <c r="H1092" s="4">
        <f t="shared" si="36"/>
        <v>7.1174377224199285E-3</v>
      </c>
      <c r="I1092" s="4">
        <f t="shared" si="37"/>
        <v>0.24669603524229075</v>
      </c>
    </row>
    <row r="1093" spans="1:9" x14ac:dyDescent="0.2">
      <c r="A1093" s="2">
        <f ca="1">IFERROR(__xludf.DUMMYFUNCTION("""COMPUTED_VALUE"""),45523.6666666666)</f>
        <v>45523.666666666599</v>
      </c>
      <c r="B1093" s="2" t="s">
        <v>56</v>
      </c>
      <c r="C1093" s="1">
        <v>7075</v>
      </c>
      <c r="D1093" s="1">
        <v>7150</v>
      </c>
      <c r="E1093" s="1">
        <v>7025</v>
      </c>
      <c r="F1093" s="1">
        <v>7150</v>
      </c>
      <c r="G1093" s="1">
        <v>50246100</v>
      </c>
      <c r="H1093" s="4">
        <f t="shared" si="36"/>
        <v>1.0600706713780919E-2</v>
      </c>
      <c r="I1093" s="4">
        <f t="shared" si="37"/>
        <v>0.25991189427312777</v>
      </c>
    </row>
    <row r="1094" spans="1:9" x14ac:dyDescent="0.2">
      <c r="A1094" s="2">
        <f ca="1">IFERROR(__xludf.DUMMYFUNCTION("""COMPUTED_VALUE"""),45524.6666666666)</f>
        <v>45524.666666666599</v>
      </c>
      <c r="B1094" s="2" t="s">
        <v>56</v>
      </c>
      <c r="C1094" s="1">
        <v>7200</v>
      </c>
      <c r="D1094" s="1">
        <v>7350</v>
      </c>
      <c r="E1094" s="1">
        <v>7150</v>
      </c>
      <c r="F1094" s="1">
        <v>7200</v>
      </c>
      <c r="G1094" s="1">
        <v>102615900</v>
      </c>
      <c r="H1094" s="4">
        <f t="shared" si="36"/>
        <v>6.993006993006993E-3</v>
      </c>
      <c r="I1094" s="4">
        <f t="shared" si="37"/>
        <v>0.2687224669603524</v>
      </c>
    </row>
    <row r="1095" spans="1:9" x14ac:dyDescent="0.2">
      <c r="A1095" s="2">
        <f ca="1">IFERROR(__xludf.DUMMYFUNCTION("""COMPUTED_VALUE"""),45525.6666666666)</f>
        <v>45525.666666666599</v>
      </c>
      <c r="B1095" s="2" t="s">
        <v>56</v>
      </c>
      <c r="C1095" s="1">
        <v>7300</v>
      </c>
      <c r="D1095" s="1">
        <v>7300</v>
      </c>
      <c r="E1095" s="1">
        <v>7225</v>
      </c>
      <c r="F1095" s="1">
        <v>7250</v>
      </c>
      <c r="G1095" s="1">
        <v>88487800</v>
      </c>
      <c r="H1095" s="4">
        <f t="shared" si="36"/>
        <v>6.9444444444444441E-3</v>
      </c>
      <c r="I1095" s="4">
        <f t="shared" si="37"/>
        <v>0.27753303964757708</v>
      </c>
    </row>
    <row r="1096" spans="1:9" x14ac:dyDescent="0.2">
      <c r="A1096" s="2">
        <f ca="1">IFERROR(__xludf.DUMMYFUNCTION("""COMPUTED_VALUE"""),45526.6666666666)</f>
        <v>45526.666666666599</v>
      </c>
      <c r="B1096" s="2" t="s">
        <v>56</v>
      </c>
      <c r="C1096" s="1">
        <v>7150</v>
      </c>
      <c r="D1096" s="1">
        <v>7175</v>
      </c>
      <c r="E1096" s="1">
        <v>6925</v>
      </c>
      <c r="F1096" s="1">
        <v>7050</v>
      </c>
      <c r="G1096" s="1">
        <v>157323000</v>
      </c>
      <c r="H1096" s="4">
        <f t="shared" si="36"/>
        <v>-2.7586206896551724E-2</v>
      </c>
      <c r="I1096" s="4">
        <f t="shared" si="37"/>
        <v>0.24229074889867841</v>
      </c>
    </row>
    <row r="1097" spans="1:9" x14ac:dyDescent="0.2">
      <c r="A1097" s="2">
        <f ca="1">IFERROR(__xludf.DUMMYFUNCTION("""COMPUTED_VALUE"""),45527.6666666666)</f>
        <v>45527.666666666599</v>
      </c>
      <c r="B1097" s="2" t="s">
        <v>56</v>
      </c>
      <c r="C1097" s="1">
        <v>7000</v>
      </c>
      <c r="D1097" s="1">
        <v>7075</v>
      </c>
      <c r="E1097" s="1">
        <v>6975</v>
      </c>
      <c r="F1097" s="1">
        <v>7050</v>
      </c>
      <c r="G1097" s="1">
        <v>111752100</v>
      </c>
      <c r="H1097" s="4">
        <f t="shared" si="36"/>
        <v>0</v>
      </c>
      <c r="I1097" s="4">
        <f t="shared" si="37"/>
        <v>0.24229074889867841</v>
      </c>
    </row>
    <row r="1098" spans="1:9" x14ac:dyDescent="0.2">
      <c r="A1098" s="2">
        <f ca="1">IFERROR(__xludf.DUMMYFUNCTION("""COMPUTED_VALUE"""),45530.6666666666)</f>
        <v>45530.666666666599</v>
      </c>
      <c r="B1098" s="2" t="s">
        <v>56</v>
      </c>
      <c r="C1098" s="1">
        <v>7050</v>
      </c>
      <c r="D1098" s="1">
        <v>7100</v>
      </c>
      <c r="E1098" s="1">
        <v>7000</v>
      </c>
      <c r="F1098" s="1">
        <v>7050</v>
      </c>
      <c r="G1098" s="1">
        <v>78515400</v>
      </c>
      <c r="H1098" s="4">
        <f t="shared" si="36"/>
        <v>0</v>
      </c>
      <c r="I1098" s="4">
        <f t="shared" si="37"/>
        <v>0.24229074889867841</v>
      </c>
    </row>
    <row r="1099" spans="1:9" x14ac:dyDescent="0.2">
      <c r="A1099" s="2">
        <f ca="1">IFERROR(__xludf.DUMMYFUNCTION("""COMPUTED_VALUE"""),45531.6666666666)</f>
        <v>45531.666666666599</v>
      </c>
      <c r="B1099" s="2" t="s">
        <v>56</v>
      </c>
      <c r="C1099" s="1">
        <v>7025</v>
      </c>
      <c r="D1099" s="1">
        <v>7050</v>
      </c>
      <c r="E1099" s="1">
        <v>6925</v>
      </c>
      <c r="F1099" s="1">
        <v>7025</v>
      </c>
      <c r="G1099" s="1">
        <v>91686700</v>
      </c>
      <c r="H1099" s="4">
        <f t="shared" si="36"/>
        <v>-3.5460992907801418E-3</v>
      </c>
      <c r="I1099" s="4">
        <f t="shared" si="37"/>
        <v>0.23788546255506607</v>
      </c>
    </row>
    <row r="1100" spans="1:9" x14ac:dyDescent="0.2">
      <c r="A1100" s="2">
        <f ca="1">IFERROR(__xludf.DUMMYFUNCTION("""COMPUTED_VALUE"""),45532.6666666666)</f>
        <v>45532.666666666599</v>
      </c>
      <c r="B1100" s="2" t="s">
        <v>56</v>
      </c>
      <c r="C1100" s="1">
        <v>7025</v>
      </c>
      <c r="D1100" s="1">
        <v>7225</v>
      </c>
      <c r="E1100" s="1">
        <v>7000</v>
      </c>
      <c r="F1100" s="1">
        <v>7225</v>
      </c>
      <c r="G1100" s="1">
        <v>114606200</v>
      </c>
      <c r="H1100" s="4">
        <f t="shared" si="36"/>
        <v>2.8469750889679714E-2</v>
      </c>
      <c r="I1100" s="4">
        <f t="shared" si="37"/>
        <v>0.27312775330396477</v>
      </c>
    </row>
    <row r="1101" spans="1:9" x14ac:dyDescent="0.2">
      <c r="A1101" s="2">
        <f ca="1">IFERROR(__xludf.DUMMYFUNCTION("""COMPUTED_VALUE"""),45533.6666666666)</f>
        <v>45533.666666666599</v>
      </c>
      <c r="B1101" s="2" t="s">
        <v>56</v>
      </c>
      <c r="C1101" s="1">
        <v>7300</v>
      </c>
      <c r="D1101" s="1">
        <v>7300</v>
      </c>
      <c r="E1101" s="1">
        <v>7100</v>
      </c>
      <c r="F1101" s="1">
        <v>7100</v>
      </c>
      <c r="G1101" s="1">
        <v>94475900</v>
      </c>
      <c r="H1101" s="4">
        <f t="shared" si="36"/>
        <v>-1.7301038062283738E-2</v>
      </c>
      <c r="I1101" s="4">
        <f t="shared" si="37"/>
        <v>0.25110132158590309</v>
      </c>
    </row>
    <row r="1102" spans="1:9" x14ac:dyDescent="0.2">
      <c r="A1102" s="2">
        <f ca="1">IFERROR(__xludf.DUMMYFUNCTION("""COMPUTED_VALUE"""),45534.6666666666)</f>
        <v>45534.666666666599</v>
      </c>
      <c r="B1102" s="2" t="s">
        <v>56</v>
      </c>
      <c r="C1102" s="1">
        <v>7100</v>
      </c>
      <c r="D1102" s="1">
        <v>7175</v>
      </c>
      <c r="E1102" s="1">
        <v>7075</v>
      </c>
      <c r="F1102" s="1">
        <v>7125</v>
      </c>
      <c r="G1102" s="1">
        <v>153760500</v>
      </c>
      <c r="H1102" s="4">
        <f t="shared" si="36"/>
        <v>3.5211267605633804E-3</v>
      </c>
      <c r="I1102" s="4">
        <f t="shared" si="37"/>
        <v>0.25550660792951541</v>
      </c>
    </row>
    <row r="1103" spans="1:9" x14ac:dyDescent="0.2">
      <c r="A1103" s="2">
        <f ca="1">IFERROR(__xludf.DUMMYFUNCTION("""COMPUTED_VALUE"""),45537.6666666666)</f>
        <v>45537.666666666599</v>
      </c>
      <c r="B1103" s="2" t="s">
        <v>56</v>
      </c>
      <c r="C1103" s="1">
        <v>7200</v>
      </c>
      <c r="D1103" s="1">
        <v>7275</v>
      </c>
      <c r="E1103" s="1">
        <v>7125</v>
      </c>
      <c r="F1103" s="1">
        <v>7200</v>
      </c>
      <c r="G1103" s="1">
        <v>82176000</v>
      </c>
      <c r="H1103" s="4">
        <f t="shared" si="36"/>
        <v>1.0526315789473684E-2</v>
      </c>
      <c r="I1103" s="4">
        <f t="shared" si="37"/>
        <v>0.2687224669603524</v>
      </c>
    </row>
    <row r="1104" spans="1:9" x14ac:dyDescent="0.2">
      <c r="A1104" s="2">
        <f ca="1">IFERROR(__xludf.DUMMYFUNCTION("""COMPUTED_VALUE"""),45538.6666666666)</f>
        <v>45538.666666666599</v>
      </c>
      <c r="B1104" s="2" t="s">
        <v>56</v>
      </c>
      <c r="C1104" s="1">
        <v>7200</v>
      </c>
      <c r="D1104" s="1">
        <v>7250</v>
      </c>
      <c r="E1104" s="1">
        <v>7050</v>
      </c>
      <c r="F1104" s="1">
        <v>7075</v>
      </c>
      <c r="G1104" s="1">
        <v>75100800</v>
      </c>
      <c r="H1104" s="4">
        <f t="shared" si="36"/>
        <v>-1.7361111111111112E-2</v>
      </c>
      <c r="I1104" s="4">
        <f t="shared" si="37"/>
        <v>0.24669603524229075</v>
      </c>
    </row>
    <row r="1105" spans="1:9" x14ac:dyDescent="0.2">
      <c r="A1105" s="2">
        <f ca="1">IFERROR(__xludf.DUMMYFUNCTION("""COMPUTED_VALUE"""),45539.6666666666)</f>
        <v>45539.666666666599</v>
      </c>
      <c r="B1105" s="2" t="s">
        <v>56</v>
      </c>
      <c r="C1105" s="1">
        <v>7000</v>
      </c>
      <c r="D1105" s="1">
        <v>7175</v>
      </c>
      <c r="E1105" s="1">
        <v>7000</v>
      </c>
      <c r="F1105" s="1">
        <v>7175</v>
      </c>
      <c r="G1105" s="1">
        <v>78781500</v>
      </c>
      <c r="H1105" s="4">
        <f t="shared" si="36"/>
        <v>1.4134275618374558E-2</v>
      </c>
      <c r="I1105" s="4">
        <f t="shared" si="37"/>
        <v>0.26431718061674009</v>
      </c>
    </row>
    <row r="1106" spans="1:9" x14ac:dyDescent="0.2">
      <c r="A1106" s="2">
        <f ca="1">IFERROR(__xludf.DUMMYFUNCTION("""COMPUTED_VALUE"""),45540.6666666666)</f>
        <v>45540.666666666599</v>
      </c>
      <c r="B1106" s="2" t="s">
        <v>56</v>
      </c>
      <c r="C1106" s="1">
        <v>7125</v>
      </c>
      <c r="D1106" s="1">
        <v>7225</v>
      </c>
      <c r="E1106" s="1">
        <v>7125</v>
      </c>
      <c r="F1106" s="1">
        <v>7175</v>
      </c>
      <c r="G1106" s="1">
        <v>59432000</v>
      </c>
      <c r="H1106" s="4">
        <f t="shared" si="36"/>
        <v>0</v>
      </c>
      <c r="I1106" s="4">
        <f t="shared" si="37"/>
        <v>0.26431718061674009</v>
      </c>
    </row>
    <row r="1107" spans="1:9" x14ac:dyDescent="0.2">
      <c r="A1107" s="2">
        <f ca="1">IFERROR(__xludf.DUMMYFUNCTION("""COMPUTED_VALUE"""),45541.6666666666)</f>
        <v>45541.666666666599</v>
      </c>
      <c r="B1107" s="2" t="s">
        <v>56</v>
      </c>
      <c r="C1107" s="1">
        <v>7175</v>
      </c>
      <c r="D1107" s="1">
        <v>7275</v>
      </c>
      <c r="E1107" s="1">
        <v>7150</v>
      </c>
      <c r="F1107" s="1">
        <v>7250</v>
      </c>
      <c r="G1107" s="1">
        <v>63619300</v>
      </c>
      <c r="H1107" s="4">
        <f t="shared" si="36"/>
        <v>1.0452961672473868E-2</v>
      </c>
      <c r="I1107" s="4">
        <f t="shared" si="37"/>
        <v>0.27753303964757708</v>
      </c>
    </row>
    <row r="1108" spans="1:9" x14ac:dyDescent="0.2">
      <c r="A1108" s="2">
        <f ca="1">IFERROR(__xludf.DUMMYFUNCTION("""COMPUTED_VALUE"""),45544.6666666666)</f>
        <v>45544.666666666599</v>
      </c>
      <c r="B1108" s="2" t="s">
        <v>56</v>
      </c>
      <c r="C1108" s="1">
        <v>7250</v>
      </c>
      <c r="D1108" s="1">
        <v>7250</v>
      </c>
      <c r="E1108" s="1">
        <v>7200</v>
      </c>
      <c r="F1108" s="1">
        <v>7250</v>
      </c>
      <c r="G1108" s="1">
        <v>71430300</v>
      </c>
      <c r="H1108" s="4">
        <f t="shared" si="36"/>
        <v>0</v>
      </c>
      <c r="I1108" s="4">
        <f t="shared" si="37"/>
        <v>0.27753303964757708</v>
      </c>
    </row>
    <row r="1109" spans="1:9" x14ac:dyDescent="0.2">
      <c r="A1109" s="2">
        <f ca="1">IFERROR(__xludf.DUMMYFUNCTION("""COMPUTED_VALUE"""),45545.6666666666)</f>
        <v>45545.666666666599</v>
      </c>
      <c r="B1109" s="2" t="s">
        <v>56</v>
      </c>
      <c r="C1109" s="1">
        <v>7250</v>
      </c>
      <c r="D1109" s="1">
        <v>7275</v>
      </c>
      <c r="E1109" s="1">
        <v>7225</v>
      </c>
      <c r="F1109" s="1">
        <v>7250</v>
      </c>
      <c r="G1109" s="1">
        <v>73515700</v>
      </c>
      <c r="H1109" s="4">
        <f t="shared" si="36"/>
        <v>0</v>
      </c>
      <c r="I1109" s="4">
        <f t="shared" si="37"/>
        <v>0.27753303964757708</v>
      </c>
    </row>
    <row r="1110" spans="1:9" x14ac:dyDescent="0.2">
      <c r="A1110" s="2">
        <f ca="1">IFERROR(__xludf.DUMMYFUNCTION("""COMPUTED_VALUE"""),45546.6666666666)</f>
        <v>45546.666666666599</v>
      </c>
      <c r="B1110" s="2" t="s">
        <v>56</v>
      </c>
      <c r="C1110" s="1">
        <v>7300</v>
      </c>
      <c r="D1110" s="1">
        <v>7400</v>
      </c>
      <c r="E1110" s="1">
        <v>7275</v>
      </c>
      <c r="F1110" s="1">
        <v>7375</v>
      </c>
      <c r="G1110" s="1">
        <v>91822300</v>
      </c>
      <c r="H1110" s="4">
        <f t="shared" si="36"/>
        <v>1.7241379310344827E-2</v>
      </c>
      <c r="I1110" s="4">
        <f t="shared" si="37"/>
        <v>0.29955947136563876</v>
      </c>
    </row>
    <row r="1111" spans="1:9" x14ac:dyDescent="0.2">
      <c r="A1111" s="2">
        <f ca="1">IFERROR(__xludf.DUMMYFUNCTION("""COMPUTED_VALUE"""),45547.6666666666)</f>
        <v>45547.666666666599</v>
      </c>
      <c r="B1111" s="2" t="s">
        <v>56</v>
      </c>
      <c r="C1111" s="1">
        <v>7375</v>
      </c>
      <c r="D1111" s="1">
        <v>7425</v>
      </c>
      <c r="E1111" s="1">
        <v>7300</v>
      </c>
      <c r="F1111" s="1">
        <v>7300</v>
      </c>
      <c r="G1111" s="1">
        <v>68253700</v>
      </c>
      <c r="H1111" s="4">
        <f t="shared" si="36"/>
        <v>-1.0169491525423728E-2</v>
      </c>
      <c r="I1111" s="4">
        <f t="shared" si="37"/>
        <v>0.28634361233480177</v>
      </c>
    </row>
    <row r="1112" spans="1:9" x14ac:dyDescent="0.2">
      <c r="A1112" s="2">
        <f ca="1">IFERROR(__xludf.DUMMYFUNCTION("""COMPUTED_VALUE"""),45548.6666666666)</f>
        <v>45548.666666666599</v>
      </c>
      <c r="B1112" s="2" t="s">
        <v>56</v>
      </c>
      <c r="C1112" s="1">
        <v>7300</v>
      </c>
      <c r="D1112" s="1">
        <v>7300</v>
      </c>
      <c r="E1112" s="1">
        <v>7225</v>
      </c>
      <c r="F1112" s="1">
        <v>7275</v>
      </c>
      <c r="G1112" s="1">
        <v>45854000</v>
      </c>
      <c r="H1112" s="4">
        <f t="shared" si="36"/>
        <v>-3.4246575342465752E-3</v>
      </c>
      <c r="I1112" s="4">
        <f t="shared" si="37"/>
        <v>0.28193832599118945</v>
      </c>
    </row>
    <row r="1113" spans="1:9" x14ac:dyDescent="0.2">
      <c r="A1113" s="2">
        <f ca="1">IFERROR(__xludf.DUMMYFUNCTION("""COMPUTED_VALUE"""),45552.6666666666)</f>
        <v>45552.666666666599</v>
      </c>
      <c r="B1113" s="2" t="s">
        <v>56</v>
      </c>
      <c r="C1113" s="1">
        <v>7325</v>
      </c>
      <c r="D1113" s="1">
        <v>7450</v>
      </c>
      <c r="E1113" s="1">
        <v>7300</v>
      </c>
      <c r="F1113" s="1">
        <v>7425</v>
      </c>
      <c r="G1113" s="1">
        <v>96421400</v>
      </c>
      <c r="H1113" s="4">
        <f t="shared" si="36"/>
        <v>2.0618556701030927E-2</v>
      </c>
      <c r="I1113" s="4">
        <f t="shared" si="37"/>
        <v>0.30837004405286345</v>
      </c>
    </row>
    <row r="1114" spans="1:9" x14ac:dyDescent="0.2">
      <c r="A1114" s="2">
        <f ca="1">IFERROR(__xludf.DUMMYFUNCTION("""COMPUTED_VALUE"""),45553.6666666666)</f>
        <v>45553.666666666599</v>
      </c>
      <c r="B1114" s="2" t="s">
        <v>56</v>
      </c>
      <c r="C1114" s="1">
        <v>7375</v>
      </c>
      <c r="D1114" s="1">
        <v>7450</v>
      </c>
      <c r="E1114" s="1">
        <v>7350</v>
      </c>
      <c r="F1114" s="1">
        <v>7400</v>
      </c>
      <c r="G1114" s="1">
        <v>47279000</v>
      </c>
      <c r="H1114" s="4">
        <f t="shared" si="36"/>
        <v>-3.3670033670033669E-3</v>
      </c>
      <c r="I1114" s="4">
        <f t="shared" si="37"/>
        <v>0.30396475770925108</v>
      </c>
    </row>
    <row r="1115" spans="1:9" x14ac:dyDescent="0.2">
      <c r="A1115" s="2">
        <f ca="1">IFERROR(__xludf.DUMMYFUNCTION("""COMPUTED_VALUE"""),45554.6666666666)</f>
        <v>45554.666666666599</v>
      </c>
      <c r="B1115" s="2" t="s">
        <v>56</v>
      </c>
      <c r="C1115" s="1">
        <v>7450</v>
      </c>
      <c r="D1115" s="1">
        <v>7550</v>
      </c>
      <c r="E1115" s="1">
        <v>7400</v>
      </c>
      <c r="F1115" s="1">
        <v>7400</v>
      </c>
      <c r="G1115" s="1">
        <v>124377800</v>
      </c>
      <c r="H1115" s="4">
        <f t="shared" si="36"/>
        <v>0</v>
      </c>
      <c r="I1115" s="4">
        <f t="shared" si="37"/>
        <v>0.30396475770925108</v>
      </c>
    </row>
    <row r="1116" spans="1:9" x14ac:dyDescent="0.2">
      <c r="A1116" s="2">
        <f ca="1">IFERROR(__xludf.DUMMYFUNCTION("""COMPUTED_VALUE"""),45555.6666666666)</f>
        <v>45555.666666666599</v>
      </c>
      <c r="B1116" s="2" t="s">
        <v>56</v>
      </c>
      <c r="C1116" s="1">
        <v>7400</v>
      </c>
      <c r="D1116" s="1">
        <v>7425</v>
      </c>
      <c r="E1116" s="1">
        <v>7300</v>
      </c>
      <c r="F1116" s="1">
        <v>7300</v>
      </c>
      <c r="G1116" s="1">
        <v>97901700</v>
      </c>
      <c r="H1116" s="4">
        <f t="shared" si="36"/>
        <v>-1.3513513513513514E-2</v>
      </c>
      <c r="I1116" s="4">
        <f t="shared" si="37"/>
        <v>0.28634361233480177</v>
      </c>
    </row>
    <row r="1117" spans="1:9" x14ac:dyDescent="0.2">
      <c r="A1117" s="2">
        <f ca="1">IFERROR(__xludf.DUMMYFUNCTION("""COMPUTED_VALUE"""),45558.6666666666)</f>
        <v>45558.666666666599</v>
      </c>
      <c r="B1117" s="2" t="s">
        <v>56</v>
      </c>
      <c r="C1117" s="1">
        <v>7325</v>
      </c>
      <c r="D1117" s="1">
        <v>7450</v>
      </c>
      <c r="E1117" s="1">
        <v>7300</v>
      </c>
      <c r="F1117" s="1">
        <v>7450</v>
      </c>
      <c r="G1117" s="1">
        <v>79675600</v>
      </c>
      <c r="H1117" s="4">
        <f t="shared" si="36"/>
        <v>2.0547945205479451E-2</v>
      </c>
      <c r="I1117" s="4">
        <f t="shared" si="37"/>
        <v>0.31277533039647576</v>
      </c>
    </row>
    <row r="1118" spans="1:9" x14ac:dyDescent="0.2">
      <c r="A1118" s="2">
        <f ca="1">IFERROR(__xludf.DUMMYFUNCTION("""COMPUTED_VALUE"""),45559.6666666666)</f>
        <v>45559.666666666599</v>
      </c>
      <c r="B1118" s="2" t="s">
        <v>56</v>
      </c>
      <c r="C1118" s="1">
        <v>7400</v>
      </c>
      <c r="D1118" s="1">
        <v>7475</v>
      </c>
      <c r="E1118" s="1">
        <v>7375</v>
      </c>
      <c r="F1118" s="1">
        <v>7425</v>
      </c>
      <c r="G1118" s="1">
        <v>81817100</v>
      </c>
      <c r="H1118" s="4">
        <f t="shared" si="36"/>
        <v>-3.3557046979865771E-3</v>
      </c>
      <c r="I1118" s="4">
        <f t="shared" si="37"/>
        <v>0.30837004405286345</v>
      </c>
    </row>
    <row r="1119" spans="1:9" x14ac:dyDescent="0.2">
      <c r="A1119" s="2">
        <f ca="1">IFERROR(__xludf.DUMMYFUNCTION("""COMPUTED_VALUE"""),45560.6666666666)</f>
        <v>45560.666666666599</v>
      </c>
      <c r="B1119" s="2" t="s">
        <v>56</v>
      </c>
      <c r="C1119" s="1">
        <v>7350</v>
      </c>
      <c r="D1119" s="1">
        <v>7350</v>
      </c>
      <c r="E1119" s="1">
        <v>7050</v>
      </c>
      <c r="F1119" s="1">
        <v>7200</v>
      </c>
      <c r="G1119" s="1">
        <v>192197100</v>
      </c>
      <c r="H1119" s="4">
        <f t="shared" si="36"/>
        <v>-3.0303030303030304E-2</v>
      </c>
      <c r="I1119" s="4">
        <f t="shared" si="37"/>
        <v>0.2687224669603524</v>
      </c>
    </row>
    <row r="1120" spans="1:9" x14ac:dyDescent="0.2">
      <c r="A1120" s="2">
        <f ca="1">IFERROR(__xludf.DUMMYFUNCTION("""COMPUTED_VALUE"""),45561.6666666666)</f>
        <v>45561.666666666599</v>
      </c>
      <c r="B1120" s="2" t="s">
        <v>56</v>
      </c>
      <c r="C1120" s="1">
        <v>7175</v>
      </c>
      <c r="D1120" s="1">
        <v>7200</v>
      </c>
      <c r="E1120" s="1">
        <v>7100</v>
      </c>
      <c r="F1120" s="1">
        <v>7175</v>
      </c>
      <c r="G1120" s="1">
        <v>173044000</v>
      </c>
      <c r="H1120" s="4">
        <f t="shared" si="36"/>
        <v>-3.472222222222222E-3</v>
      </c>
      <c r="I1120" s="4">
        <f t="shared" si="37"/>
        <v>0.26431718061674009</v>
      </c>
    </row>
    <row r="1121" spans="1:9" x14ac:dyDescent="0.2">
      <c r="A1121" s="2">
        <f ca="1">IFERROR(__xludf.DUMMYFUNCTION("""COMPUTED_VALUE"""),45562.6666666666)</f>
        <v>45562.666666666599</v>
      </c>
      <c r="B1121" s="2" t="s">
        <v>56</v>
      </c>
      <c r="C1121" s="1">
        <v>7025</v>
      </c>
      <c r="D1121" s="1">
        <v>7125</v>
      </c>
      <c r="E1121" s="1">
        <v>7000</v>
      </c>
      <c r="F1121" s="1">
        <v>7050</v>
      </c>
      <c r="G1121" s="1">
        <v>161405200</v>
      </c>
      <c r="H1121" s="4">
        <f t="shared" si="36"/>
        <v>-1.7421602787456445E-2</v>
      </c>
      <c r="I1121" s="4">
        <f t="shared" si="37"/>
        <v>0.24229074889867841</v>
      </c>
    </row>
    <row r="1122" spans="1:9" x14ac:dyDescent="0.2">
      <c r="A1122" s="2">
        <f ca="1">IFERROR(__xludf.DUMMYFUNCTION("""COMPUTED_VALUE"""),45565.6666666666)</f>
        <v>45565.666666666599</v>
      </c>
      <c r="B1122" s="2" t="s">
        <v>56</v>
      </c>
      <c r="C1122" s="1">
        <v>7000</v>
      </c>
      <c r="D1122" s="1">
        <v>7025</v>
      </c>
      <c r="E1122" s="1">
        <v>6875</v>
      </c>
      <c r="F1122" s="1">
        <v>6925</v>
      </c>
      <c r="G1122" s="1">
        <v>166203500</v>
      </c>
      <c r="H1122" s="4">
        <f t="shared" si="36"/>
        <v>-1.7730496453900711E-2</v>
      </c>
      <c r="I1122" s="4">
        <f t="shared" si="37"/>
        <v>0.22026431718061673</v>
      </c>
    </row>
    <row r="1123" spans="1:9" x14ac:dyDescent="0.2">
      <c r="A1123" s="2">
        <f ca="1">IFERROR(__xludf.DUMMYFUNCTION("""COMPUTED_VALUE"""),45566.6666666666)</f>
        <v>45566.666666666599</v>
      </c>
      <c r="B1123" s="2" t="s">
        <v>56</v>
      </c>
      <c r="C1123" s="1">
        <v>7000</v>
      </c>
      <c r="D1123" s="1">
        <v>7075</v>
      </c>
      <c r="E1123" s="1">
        <v>6950</v>
      </c>
      <c r="F1123" s="1">
        <v>7050</v>
      </c>
      <c r="G1123" s="1">
        <v>82690100</v>
      </c>
      <c r="H1123" s="4">
        <f t="shared" si="36"/>
        <v>1.8050541516245487E-2</v>
      </c>
      <c r="I1123" s="4">
        <f t="shared" si="37"/>
        <v>0.24229074889867841</v>
      </c>
    </row>
    <row r="1124" spans="1:9" x14ac:dyDescent="0.2">
      <c r="A1124" s="2">
        <f ca="1">IFERROR(__xludf.DUMMYFUNCTION("""COMPUTED_VALUE"""),45567.6666666666)</f>
        <v>45567.666666666599</v>
      </c>
      <c r="B1124" s="2" t="s">
        <v>56</v>
      </c>
      <c r="C1124" s="1">
        <v>7025</v>
      </c>
      <c r="D1124" s="1">
        <v>7100</v>
      </c>
      <c r="E1124" s="1">
        <v>6925</v>
      </c>
      <c r="F1124" s="1">
        <v>6975</v>
      </c>
      <c r="G1124" s="1">
        <v>91076400</v>
      </c>
      <c r="H1124" s="4">
        <f t="shared" si="36"/>
        <v>-1.0638297872340425E-2</v>
      </c>
      <c r="I1124" s="4">
        <f t="shared" si="37"/>
        <v>0.22907488986784141</v>
      </c>
    </row>
    <row r="1125" spans="1:9" x14ac:dyDescent="0.2">
      <c r="A1125" s="2">
        <f ca="1">IFERROR(__xludf.DUMMYFUNCTION("""COMPUTED_VALUE"""),45568.6666666666)</f>
        <v>45568.666666666599</v>
      </c>
      <c r="B1125" s="2" t="s">
        <v>56</v>
      </c>
      <c r="C1125" s="1">
        <v>7000</v>
      </c>
      <c r="D1125" s="1">
        <v>7075</v>
      </c>
      <c r="E1125" s="1">
        <v>6900</v>
      </c>
      <c r="F1125" s="1">
        <v>7050</v>
      </c>
      <c r="G1125" s="1">
        <v>86264900</v>
      </c>
      <c r="H1125" s="4">
        <f t="shared" si="36"/>
        <v>1.0752688172043012E-2</v>
      </c>
      <c r="I1125" s="4">
        <f t="shared" si="37"/>
        <v>0.24229074889867841</v>
      </c>
    </row>
    <row r="1126" spans="1:9" x14ac:dyDescent="0.2">
      <c r="A1126" s="2">
        <f ca="1">IFERROR(__xludf.DUMMYFUNCTION("""COMPUTED_VALUE"""),45569.6666666666)</f>
        <v>45569.666666666599</v>
      </c>
      <c r="B1126" s="2" t="s">
        <v>56</v>
      </c>
      <c r="C1126" s="1">
        <v>7025</v>
      </c>
      <c r="D1126" s="1">
        <v>7050</v>
      </c>
      <c r="E1126" s="1">
        <v>6900</v>
      </c>
      <c r="F1126" s="1">
        <v>6950</v>
      </c>
      <c r="G1126" s="1">
        <v>79485300</v>
      </c>
      <c r="H1126" s="4">
        <f t="shared" si="36"/>
        <v>-1.4184397163120567E-2</v>
      </c>
      <c r="I1126" s="4">
        <f t="shared" si="37"/>
        <v>0.22466960352422907</v>
      </c>
    </row>
    <row r="1127" spans="1:9" x14ac:dyDescent="0.2">
      <c r="A1127" s="2">
        <f ca="1">IFERROR(__xludf.DUMMYFUNCTION("""COMPUTED_VALUE"""),45572.6666666666)</f>
        <v>45572.666666666599</v>
      </c>
      <c r="B1127" s="2" t="s">
        <v>56</v>
      </c>
      <c r="C1127" s="1">
        <v>6925</v>
      </c>
      <c r="D1127" s="1">
        <v>6925</v>
      </c>
      <c r="E1127" s="1">
        <v>6800</v>
      </c>
      <c r="F1127" s="1">
        <v>6875</v>
      </c>
      <c r="G1127" s="1">
        <v>103943100</v>
      </c>
      <c r="H1127" s="4">
        <f t="shared" si="36"/>
        <v>-1.0791366906474821E-2</v>
      </c>
      <c r="I1127" s="4">
        <f t="shared" si="37"/>
        <v>0.21145374449339208</v>
      </c>
    </row>
    <row r="1128" spans="1:9" x14ac:dyDescent="0.2">
      <c r="A1128" s="2">
        <f ca="1">IFERROR(__xludf.DUMMYFUNCTION("""COMPUTED_VALUE"""),45573.6666666666)</f>
        <v>45573.666666666599</v>
      </c>
      <c r="B1128" s="2" t="s">
        <v>56</v>
      </c>
      <c r="C1128" s="1">
        <v>6825</v>
      </c>
      <c r="D1128" s="1">
        <v>7175</v>
      </c>
      <c r="E1128" s="1">
        <v>6775</v>
      </c>
      <c r="F1128" s="1">
        <v>7075</v>
      </c>
      <c r="G1128" s="1">
        <v>132141500</v>
      </c>
      <c r="H1128" s="4">
        <f t="shared" si="36"/>
        <v>2.9090909090909091E-2</v>
      </c>
      <c r="I1128" s="4">
        <f t="shared" si="37"/>
        <v>0.24669603524229075</v>
      </c>
    </row>
    <row r="1129" spans="1:9" x14ac:dyDescent="0.2">
      <c r="A1129" s="2">
        <f ca="1">IFERROR(__xludf.DUMMYFUNCTION("""COMPUTED_VALUE"""),45574.6666666666)</f>
        <v>45574.666666666599</v>
      </c>
      <c r="B1129" s="2" t="s">
        <v>56</v>
      </c>
      <c r="C1129" s="1">
        <v>7075</v>
      </c>
      <c r="D1129" s="1">
        <v>7175</v>
      </c>
      <c r="E1129" s="1">
        <v>6950</v>
      </c>
      <c r="F1129" s="1">
        <v>6950</v>
      </c>
      <c r="G1129" s="1">
        <v>76515700</v>
      </c>
      <c r="H1129" s="4">
        <f t="shared" si="36"/>
        <v>-1.7667844522968199E-2</v>
      </c>
      <c r="I1129" s="4">
        <f t="shared" si="37"/>
        <v>0.22466960352422907</v>
      </c>
    </row>
    <row r="1130" spans="1:9" x14ac:dyDescent="0.2">
      <c r="A1130" s="2">
        <f ca="1">IFERROR(__xludf.DUMMYFUNCTION("""COMPUTED_VALUE"""),45575.6666666666)</f>
        <v>45575.666666666599</v>
      </c>
      <c r="B1130" s="2" t="s">
        <v>56</v>
      </c>
      <c r="C1130" s="1">
        <v>6925</v>
      </c>
      <c r="D1130" s="1">
        <v>7050</v>
      </c>
      <c r="E1130" s="1">
        <v>6900</v>
      </c>
      <c r="F1130" s="1">
        <v>6950</v>
      </c>
      <c r="G1130" s="1">
        <v>44291900</v>
      </c>
      <c r="H1130" s="4">
        <f t="shared" si="36"/>
        <v>0</v>
      </c>
      <c r="I1130" s="4">
        <f t="shared" si="37"/>
        <v>0.22466960352422907</v>
      </c>
    </row>
    <row r="1131" spans="1:9" x14ac:dyDescent="0.2">
      <c r="A1131" s="2">
        <f ca="1">IFERROR(__xludf.DUMMYFUNCTION("""COMPUTED_VALUE"""),45576.6666666666)</f>
        <v>45576.666666666599</v>
      </c>
      <c r="B1131" s="2" t="s">
        <v>56</v>
      </c>
      <c r="C1131" s="1">
        <v>7025</v>
      </c>
      <c r="D1131" s="1">
        <v>7025</v>
      </c>
      <c r="E1131" s="1">
        <v>6925</v>
      </c>
      <c r="F1131" s="1">
        <v>6950</v>
      </c>
      <c r="G1131" s="1">
        <v>45331500</v>
      </c>
      <c r="H1131" s="4">
        <f t="shared" si="36"/>
        <v>0</v>
      </c>
      <c r="I1131" s="4">
        <f t="shared" si="37"/>
        <v>0.22466960352422907</v>
      </c>
    </row>
    <row r="1132" spans="1:9" x14ac:dyDescent="0.2">
      <c r="A1132" s="2">
        <f ca="1">IFERROR(__xludf.DUMMYFUNCTION("""COMPUTED_VALUE"""),45579.6666666666)</f>
        <v>45579.666666666599</v>
      </c>
      <c r="B1132" s="2" t="s">
        <v>56</v>
      </c>
      <c r="C1132" s="1">
        <v>6925</v>
      </c>
      <c r="D1132" s="1">
        <v>6975</v>
      </c>
      <c r="E1132" s="1">
        <v>6900</v>
      </c>
      <c r="F1132" s="1">
        <v>6925</v>
      </c>
      <c r="G1132" s="1">
        <v>55885300</v>
      </c>
      <c r="H1132" s="4">
        <f t="shared" si="36"/>
        <v>-3.5971223021582736E-3</v>
      </c>
      <c r="I1132" s="4">
        <f t="shared" si="37"/>
        <v>0.22026431718061673</v>
      </c>
    </row>
    <row r="1133" spans="1:9" x14ac:dyDescent="0.2">
      <c r="A1133" s="2">
        <f ca="1">IFERROR(__xludf.DUMMYFUNCTION("""COMPUTED_VALUE"""),45580.6666666666)</f>
        <v>45580.666666666599</v>
      </c>
      <c r="B1133" s="2" t="s">
        <v>56</v>
      </c>
      <c r="C1133" s="1">
        <v>7000</v>
      </c>
      <c r="D1133" s="1">
        <v>7100</v>
      </c>
      <c r="E1133" s="1">
        <v>6925</v>
      </c>
      <c r="F1133" s="1">
        <v>7050</v>
      </c>
      <c r="G1133" s="1">
        <v>90358600</v>
      </c>
      <c r="H1133" s="4">
        <f t="shared" si="36"/>
        <v>1.8050541516245487E-2</v>
      </c>
      <c r="I1133" s="4">
        <f t="shared" si="37"/>
        <v>0.24229074889867841</v>
      </c>
    </row>
    <row r="1134" spans="1:9" x14ac:dyDescent="0.2">
      <c r="A1134" s="2">
        <f ca="1">IFERROR(__xludf.DUMMYFUNCTION("""COMPUTED_VALUE"""),45581.6666666666)</f>
        <v>45581.666666666599</v>
      </c>
      <c r="B1134" s="2" t="s">
        <v>56</v>
      </c>
      <c r="C1134" s="1">
        <v>7050</v>
      </c>
      <c r="D1134" s="1">
        <v>7075</v>
      </c>
      <c r="E1134" s="1">
        <v>6925</v>
      </c>
      <c r="F1134" s="1">
        <v>7000</v>
      </c>
      <c r="G1134" s="1">
        <v>133022500</v>
      </c>
      <c r="H1134" s="4">
        <f t="shared" si="36"/>
        <v>-7.0921985815602835E-3</v>
      </c>
      <c r="I1134" s="4">
        <f t="shared" si="37"/>
        <v>0.23348017621145375</v>
      </c>
    </row>
    <row r="1135" spans="1:9" x14ac:dyDescent="0.2">
      <c r="A1135" s="2">
        <f ca="1">IFERROR(__xludf.DUMMYFUNCTION("""COMPUTED_VALUE"""),45582.6666666666)</f>
        <v>45582.666666666599</v>
      </c>
      <c r="B1135" s="2" t="s">
        <v>56</v>
      </c>
      <c r="C1135" s="1">
        <v>7050</v>
      </c>
      <c r="D1135" s="1">
        <v>7250</v>
      </c>
      <c r="E1135" s="1">
        <v>7000</v>
      </c>
      <c r="F1135" s="1">
        <v>7225</v>
      </c>
      <c r="G1135" s="1">
        <v>90219900</v>
      </c>
      <c r="H1135" s="4">
        <f t="shared" si="36"/>
        <v>3.214285714285714E-2</v>
      </c>
      <c r="I1135" s="4">
        <f t="shared" si="37"/>
        <v>0.27312775330396477</v>
      </c>
    </row>
    <row r="1136" spans="1:9" x14ac:dyDescent="0.2">
      <c r="A1136" s="2">
        <f ca="1">IFERROR(__xludf.DUMMYFUNCTION("""COMPUTED_VALUE"""),45583.6666666666)</f>
        <v>45583.666666666599</v>
      </c>
      <c r="B1136" s="2" t="s">
        <v>56</v>
      </c>
      <c r="C1136" s="1">
        <v>7275</v>
      </c>
      <c r="D1136" s="1">
        <v>7300</v>
      </c>
      <c r="E1136" s="1">
        <v>7175</v>
      </c>
      <c r="F1136" s="1">
        <v>7175</v>
      </c>
      <c r="G1136" s="1">
        <v>57379200</v>
      </c>
      <c r="H1136" s="4">
        <f t="shared" si="36"/>
        <v>-6.920415224913495E-3</v>
      </c>
      <c r="I1136" s="4">
        <f t="shared" si="37"/>
        <v>0.26431718061674009</v>
      </c>
    </row>
    <row r="1137" spans="1:9" x14ac:dyDescent="0.2">
      <c r="A1137" s="2">
        <f ca="1">IFERROR(__xludf.DUMMYFUNCTION("""COMPUTED_VALUE"""),45586.6666666666)</f>
        <v>45586.666666666599</v>
      </c>
      <c r="B1137" s="2" t="s">
        <v>56</v>
      </c>
      <c r="C1137" s="1">
        <v>7250</v>
      </c>
      <c r="D1137" s="1">
        <v>7250</v>
      </c>
      <c r="E1137" s="1">
        <v>7125</v>
      </c>
      <c r="F1137" s="1">
        <v>7200</v>
      </c>
      <c r="G1137" s="1">
        <v>43056000</v>
      </c>
      <c r="H1137" s="4">
        <f t="shared" si="36"/>
        <v>3.4843205574912892E-3</v>
      </c>
      <c r="I1137" s="4">
        <f t="shared" si="37"/>
        <v>0.2687224669603524</v>
      </c>
    </row>
    <row r="1138" spans="1:9" x14ac:dyDescent="0.2">
      <c r="A1138" s="2">
        <f ca="1">IFERROR(__xludf.DUMMYFUNCTION("""COMPUTED_VALUE"""),45587.6666666666)</f>
        <v>45587.666666666599</v>
      </c>
      <c r="B1138" s="2" t="s">
        <v>56</v>
      </c>
      <c r="C1138" s="1">
        <v>7150</v>
      </c>
      <c r="D1138" s="1">
        <v>7175</v>
      </c>
      <c r="E1138" s="1">
        <v>7075</v>
      </c>
      <c r="F1138" s="1">
        <v>7075</v>
      </c>
      <c r="G1138" s="1">
        <v>43582700</v>
      </c>
      <c r="H1138" s="4">
        <f t="shared" si="36"/>
        <v>-1.7361111111111112E-2</v>
      </c>
      <c r="I1138" s="4">
        <f t="shared" si="37"/>
        <v>0.24669603524229075</v>
      </c>
    </row>
    <row r="1139" spans="1:9" x14ac:dyDescent="0.2">
      <c r="A1139" s="2">
        <f ca="1">IFERROR(__xludf.DUMMYFUNCTION("""COMPUTED_VALUE"""),45588.6666666666)</f>
        <v>45588.666666666599</v>
      </c>
      <c r="B1139" s="2" t="s">
        <v>56</v>
      </c>
      <c r="C1139" s="1">
        <v>7075</v>
      </c>
      <c r="D1139" s="1">
        <v>7125</v>
      </c>
      <c r="E1139" s="1">
        <v>7025</v>
      </c>
      <c r="F1139" s="1">
        <v>7075</v>
      </c>
      <c r="G1139" s="1">
        <v>38222900</v>
      </c>
      <c r="H1139" s="4">
        <f t="shared" si="36"/>
        <v>0</v>
      </c>
      <c r="I1139" s="4">
        <f t="shared" si="37"/>
        <v>0.24669603524229075</v>
      </c>
    </row>
    <row r="1140" spans="1:9" x14ac:dyDescent="0.2">
      <c r="A1140" s="2">
        <f ca="1">IFERROR(__xludf.DUMMYFUNCTION("""COMPUTED_VALUE"""),45589.6666666666)</f>
        <v>45589.666666666599</v>
      </c>
      <c r="B1140" s="2" t="s">
        <v>56</v>
      </c>
      <c r="C1140" s="1">
        <v>7000</v>
      </c>
      <c r="D1140" s="1">
        <v>7150</v>
      </c>
      <c r="E1140" s="1">
        <v>6975</v>
      </c>
      <c r="F1140" s="1">
        <v>6975</v>
      </c>
      <c r="G1140" s="1">
        <v>65877100</v>
      </c>
      <c r="H1140" s="4">
        <f t="shared" si="36"/>
        <v>-1.4134275618374558E-2</v>
      </c>
      <c r="I1140" s="4">
        <f t="shared" si="37"/>
        <v>0.22907488986784141</v>
      </c>
    </row>
    <row r="1141" spans="1:9" x14ac:dyDescent="0.2">
      <c r="A1141" s="2">
        <f ca="1">IFERROR(__xludf.DUMMYFUNCTION("""COMPUTED_VALUE"""),45590.6666666666)</f>
        <v>45590.666666666599</v>
      </c>
      <c r="B1141" s="2" t="s">
        <v>56</v>
      </c>
      <c r="C1141" s="1">
        <v>6975</v>
      </c>
      <c r="D1141" s="1">
        <v>7050</v>
      </c>
      <c r="E1141" s="1">
        <v>6975</v>
      </c>
      <c r="F1141" s="1">
        <v>7050</v>
      </c>
      <c r="G1141" s="1">
        <v>34637500</v>
      </c>
      <c r="H1141" s="4">
        <f t="shared" si="36"/>
        <v>1.0752688172043012E-2</v>
      </c>
      <c r="I1141" s="4">
        <f t="shared" si="37"/>
        <v>0.24229074889867841</v>
      </c>
    </row>
    <row r="1142" spans="1:9" x14ac:dyDescent="0.2">
      <c r="A1142" s="2">
        <f ca="1">IFERROR(__xludf.DUMMYFUNCTION("""COMPUTED_VALUE"""),45593.6666666666)</f>
        <v>45593.666666666599</v>
      </c>
      <c r="B1142" s="2" t="s">
        <v>56</v>
      </c>
      <c r="C1142" s="1">
        <v>7075</v>
      </c>
      <c r="D1142" s="1">
        <v>7075</v>
      </c>
      <c r="E1142" s="1">
        <v>6800</v>
      </c>
      <c r="F1142" s="1">
        <v>6825</v>
      </c>
      <c r="G1142" s="1">
        <v>114500800</v>
      </c>
      <c r="H1142" s="4">
        <f t="shared" ref="H1142:H1205" si="38">(F1142-F1141)/F1141</f>
        <v>-3.1914893617021274E-2</v>
      </c>
      <c r="I1142" s="4">
        <f t="shared" ref="I1142:I1205" si="39">(F1142-$F$2)/$F$2</f>
        <v>0.20264317180616739</v>
      </c>
    </row>
    <row r="1143" spans="1:9" x14ac:dyDescent="0.2">
      <c r="A1143" s="2">
        <f ca="1">IFERROR(__xludf.DUMMYFUNCTION("""COMPUTED_VALUE"""),45594.6666666666)</f>
        <v>45594.666666666599</v>
      </c>
      <c r="B1143" s="2" t="s">
        <v>56</v>
      </c>
      <c r="C1143" s="1">
        <v>6800</v>
      </c>
      <c r="D1143" s="1">
        <v>6850</v>
      </c>
      <c r="E1143" s="1">
        <v>6725</v>
      </c>
      <c r="F1143" s="1">
        <v>6825</v>
      </c>
      <c r="G1143" s="1">
        <v>91267000</v>
      </c>
      <c r="H1143" s="4">
        <f t="shared" si="38"/>
        <v>0</v>
      </c>
      <c r="I1143" s="4">
        <f t="shared" si="39"/>
        <v>0.20264317180616739</v>
      </c>
    </row>
    <row r="1144" spans="1:9" x14ac:dyDescent="0.2">
      <c r="A1144" s="2">
        <f ca="1">IFERROR(__xludf.DUMMYFUNCTION("""COMPUTED_VALUE"""),45595.6666666666)</f>
        <v>45595.666666666599</v>
      </c>
      <c r="B1144" s="2" t="s">
        <v>56</v>
      </c>
      <c r="C1144" s="1">
        <v>6575</v>
      </c>
      <c r="D1144" s="1">
        <v>6775</v>
      </c>
      <c r="E1144" s="1">
        <v>6575</v>
      </c>
      <c r="F1144" s="1">
        <v>6750</v>
      </c>
      <c r="G1144" s="1">
        <v>122132700</v>
      </c>
      <c r="H1144" s="4">
        <f t="shared" si="38"/>
        <v>-1.098901098901099E-2</v>
      </c>
      <c r="I1144" s="4">
        <f t="shared" si="39"/>
        <v>0.1894273127753304</v>
      </c>
    </row>
    <row r="1145" spans="1:9" x14ac:dyDescent="0.2">
      <c r="A1145" s="2">
        <f ca="1">IFERROR(__xludf.DUMMYFUNCTION("""COMPUTED_VALUE"""),45596.6666666666)</f>
        <v>45596.666666666599</v>
      </c>
      <c r="B1145" s="2" t="s">
        <v>56</v>
      </c>
      <c r="C1145" s="1">
        <v>6750</v>
      </c>
      <c r="D1145" s="1">
        <v>6825</v>
      </c>
      <c r="E1145" s="1">
        <v>6700</v>
      </c>
      <c r="F1145" s="1">
        <v>6700</v>
      </c>
      <c r="G1145" s="1">
        <v>126730700</v>
      </c>
      <c r="H1145" s="4">
        <f t="shared" si="38"/>
        <v>-7.4074074074074077E-3</v>
      </c>
      <c r="I1145" s="4">
        <f t="shared" si="39"/>
        <v>0.18061674008810572</v>
      </c>
    </row>
    <row r="1146" spans="1:9" x14ac:dyDescent="0.2">
      <c r="A1146" s="2">
        <f ca="1">IFERROR(__xludf.DUMMYFUNCTION("""COMPUTED_VALUE"""),45597.6666666666)</f>
        <v>45597.666666666599</v>
      </c>
      <c r="B1146" s="2" t="s">
        <v>56</v>
      </c>
      <c r="C1146" s="1">
        <v>6725</v>
      </c>
      <c r="D1146" s="1">
        <v>6725</v>
      </c>
      <c r="E1146" s="1">
        <v>6550</v>
      </c>
      <c r="F1146" s="1">
        <v>6650</v>
      </c>
      <c r="G1146" s="1">
        <v>101423100</v>
      </c>
      <c r="H1146" s="4">
        <f t="shared" si="38"/>
        <v>-7.462686567164179E-3</v>
      </c>
      <c r="I1146" s="4">
        <f t="shared" si="39"/>
        <v>0.17180616740088106</v>
      </c>
    </row>
    <row r="1147" spans="1:9" x14ac:dyDescent="0.2">
      <c r="A1147" s="2">
        <f ca="1">IFERROR(__xludf.DUMMYFUNCTION("""COMPUTED_VALUE"""),45600.6666666666)</f>
        <v>45600.666666666599</v>
      </c>
      <c r="B1147" s="2" t="s">
        <v>56</v>
      </c>
      <c r="C1147" s="1">
        <v>6600</v>
      </c>
      <c r="D1147" s="1">
        <v>6800</v>
      </c>
      <c r="E1147" s="1">
        <v>6525</v>
      </c>
      <c r="F1147" s="1">
        <v>6750</v>
      </c>
      <c r="G1147" s="1">
        <v>80208800</v>
      </c>
      <c r="H1147" s="4">
        <f t="shared" si="38"/>
        <v>1.5037593984962405E-2</v>
      </c>
      <c r="I1147" s="4">
        <f t="shared" si="39"/>
        <v>0.1894273127753304</v>
      </c>
    </row>
    <row r="1148" spans="1:9" x14ac:dyDescent="0.2">
      <c r="A1148" s="2">
        <f ca="1">IFERROR(__xludf.DUMMYFUNCTION("""COMPUTED_VALUE"""),45601.6666666666)</f>
        <v>45601.666666666599</v>
      </c>
      <c r="B1148" s="2" t="s">
        <v>56</v>
      </c>
      <c r="C1148" s="1">
        <v>6725</v>
      </c>
      <c r="D1148" s="1">
        <v>6950</v>
      </c>
      <c r="E1148" s="1">
        <v>6675</v>
      </c>
      <c r="F1148" s="1">
        <v>6925</v>
      </c>
      <c r="G1148" s="1">
        <v>88661200</v>
      </c>
      <c r="H1148" s="4">
        <f t="shared" si="38"/>
        <v>2.5925925925925925E-2</v>
      </c>
      <c r="I1148" s="4">
        <f t="shared" si="39"/>
        <v>0.22026431718061673</v>
      </c>
    </row>
    <row r="1149" spans="1:9" x14ac:dyDescent="0.2">
      <c r="A1149" s="2">
        <f ca="1">IFERROR(__xludf.DUMMYFUNCTION("""COMPUTED_VALUE"""),45602.6666666666)</f>
        <v>45602.666666666599</v>
      </c>
      <c r="B1149" s="2" t="s">
        <v>56</v>
      </c>
      <c r="C1149" s="1">
        <v>6925</v>
      </c>
      <c r="D1149" s="1">
        <v>6925</v>
      </c>
      <c r="E1149" s="1">
        <v>6550</v>
      </c>
      <c r="F1149" s="1">
        <v>6550</v>
      </c>
      <c r="G1149" s="1">
        <v>147272800</v>
      </c>
      <c r="H1149" s="4">
        <f t="shared" si="38"/>
        <v>-5.4151624548736461E-2</v>
      </c>
      <c r="I1149" s="4">
        <f t="shared" si="39"/>
        <v>0.15418502202643172</v>
      </c>
    </row>
    <row r="1150" spans="1:9" x14ac:dyDescent="0.2">
      <c r="A1150" s="2">
        <f ca="1">IFERROR(__xludf.DUMMYFUNCTION("""COMPUTED_VALUE"""),45603.6666666666)</f>
        <v>45603.666666666599</v>
      </c>
      <c r="B1150" s="2" t="s">
        <v>56</v>
      </c>
      <c r="C1150" s="1">
        <v>6500</v>
      </c>
      <c r="D1150" s="1">
        <v>6550</v>
      </c>
      <c r="E1150" s="1">
        <v>6425</v>
      </c>
      <c r="F1150" s="1">
        <v>6425</v>
      </c>
      <c r="G1150" s="1">
        <v>154758500</v>
      </c>
      <c r="H1150" s="4">
        <f t="shared" si="38"/>
        <v>-1.9083969465648856E-2</v>
      </c>
      <c r="I1150" s="4">
        <f t="shared" si="39"/>
        <v>0.13215859030837004</v>
      </c>
    </row>
    <row r="1151" spans="1:9" x14ac:dyDescent="0.2">
      <c r="A1151" s="2">
        <f ca="1">IFERROR(__xludf.DUMMYFUNCTION("""COMPUTED_VALUE"""),45604.6666666666)</f>
        <v>45604.666666666599</v>
      </c>
      <c r="B1151" s="2" t="s">
        <v>56</v>
      </c>
      <c r="C1151" s="1">
        <v>6425</v>
      </c>
      <c r="D1151" s="1">
        <v>6525</v>
      </c>
      <c r="E1151" s="1">
        <v>6275</v>
      </c>
      <c r="F1151" s="1">
        <v>6325</v>
      </c>
      <c r="G1151" s="1">
        <v>192423000</v>
      </c>
      <c r="H1151" s="4">
        <f t="shared" si="38"/>
        <v>-1.556420233463035E-2</v>
      </c>
      <c r="I1151" s="4">
        <f t="shared" si="39"/>
        <v>0.11453744493392071</v>
      </c>
    </row>
    <row r="1152" spans="1:9" x14ac:dyDescent="0.2">
      <c r="A1152" s="2">
        <f ca="1">IFERROR(__xludf.DUMMYFUNCTION("""COMPUTED_VALUE"""),45607.6666666666)</f>
        <v>45607.666666666599</v>
      </c>
      <c r="B1152" s="2" t="s">
        <v>56</v>
      </c>
      <c r="C1152" s="1">
        <v>6300</v>
      </c>
      <c r="D1152" s="1">
        <v>6450</v>
      </c>
      <c r="E1152" s="1">
        <v>6150</v>
      </c>
      <c r="F1152" s="1">
        <v>6350</v>
      </c>
      <c r="G1152" s="1">
        <v>125606000</v>
      </c>
      <c r="H1152" s="4">
        <f t="shared" si="38"/>
        <v>3.952569169960474E-3</v>
      </c>
      <c r="I1152" s="4">
        <f t="shared" si="39"/>
        <v>0.11894273127753303</v>
      </c>
    </row>
    <row r="1153" spans="1:9" x14ac:dyDescent="0.2">
      <c r="A1153" s="2">
        <f ca="1">IFERROR(__xludf.DUMMYFUNCTION("""COMPUTED_VALUE"""),45608.6666666666)</f>
        <v>45608.666666666599</v>
      </c>
      <c r="B1153" s="2" t="s">
        <v>56</v>
      </c>
      <c r="C1153" s="1">
        <v>6375</v>
      </c>
      <c r="D1153" s="1">
        <v>6450</v>
      </c>
      <c r="E1153" s="1">
        <v>6325</v>
      </c>
      <c r="F1153" s="1">
        <v>6375</v>
      </c>
      <c r="G1153" s="1">
        <v>117281700</v>
      </c>
      <c r="H1153" s="4">
        <f t="shared" si="38"/>
        <v>3.937007874015748E-3</v>
      </c>
      <c r="I1153" s="4">
        <f t="shared" si="39"/>
        <v>0.12334801762114538</v>
      </c>
    </row>
    <row r="1154" spans="1:9" x14ac:dyDescent="0.2">
      <c r="A1154" s="2">
        <f ca="1">IFERROR(__xludf.DUMMYFUNCTION("""COMPUTED_VALUE"""),45609.6666666666)</f>
        <v>45609.666666666599</v>
      </c>
      <c r="B1154" s="2" t="s">
        <v>56</v>
      </c>
      <c r="C1154" s="1">
        <v>6500</v>
      </c>
      <c r="D1154" s="1">
        <v>6550</v>
      </c>
      <c r="E1154" s="1">
        <v>6400</v>
      </c>
      <c r="F1154" s="1">
        <v>6425</v>
      </c>
      <c r="G1154" s="1">
        <v>102748300</v>
      </c>
      <c r="H1154" s="4">
        <f t="shared" si="38"/>
        <v>7.8431372549019607E-3</v>
      </c>
      <c r="I1154" s="4">
        <f t="shared" si="39"/>
        <v>0.13215859030837004</v>
      </c>
    </row>
    <row r="1155" spans="1:9" x14ac:dyDescent="0.2">
      <c r="A1155" s="2">
        <f ca="1">IFERROR(__xludf.DUMMYFUNCTION("""COMPUTED_VALUE"""),45610.6666666666)</f>
        <v>45610.666666666599</v>
      </c>
      <c r="B1155" s="2" t="s">
        <v>56</v>
      </c>
      <c r="C1155" s="1">
        <v>6375</v>
      </c>
      <c r="D1155" s="1">
        <v>6475</v>
      </c>
      <c r="E1155" s="1">
        <v>6350</v>
      </c>
      <c r="F1155" s="1">
        <v>6375</v>
      </c>
      <c r="G1155" s="1">
        <v>69750600</v>
      </c>
      <c r="H1155" s="4">
        <f t="shared" si="38"/>
        <v>-7.7821011673151752E-3</v>
      </c>
      <c r="I1155" s="4">
        <f t="shared" si="39"/>
        <v>0.12334801762114538</v>
      </c>
    </row>
    <row r="1156" spans="1:9" x14ac:dyDescent="0.2">
      <c r="A1156" s="2">
        <f ca="1">IFERROR(__xludf.DUMMYFUNCTION("""COMPUTED_VALUE"""),45611.6666666666)</f>
        <v>45611.666666666599</v>
      </c>
      <c r="B1156" s="2" t="s">
        <v>56</v>
      </c>
      <c r="C1156" s="1">
        <v>6300</v>
      </c>
      <c r="D1156" s="1">
        <v>6400</v>
      </c>
      <c r="E1156" s="1">
        <v>6300</v>
      </c>
      <c r="F1156" s="1">
        <v>6350</v>
      </c>
      <c r="G1156" s="1">
        <v>41079700</v>
      </c>
      <c r="H1156" s="4">
        <f t="shared" si="38"/>
        <v>-3.9215686274509803E-3</v>
      </c>
      <c r="I1156" s="4">
        <f t="shared" si="39"/>
        <v>0.11894273127753303</v>
      </c>
    </row>
    <row r="1157" spans="1:9" x14ac:dyDescent="0.2">
      <c r="A1157" s="2">
        <f ca="1">IFERROR(__xludf.DUMMYFUNCTION("""COMPUTED_VALUE"""),45614.6666666666)</f>
        <v>45614.666666666599</v>
      </c>
      <c r="B1157" s="2" t="s">
        <v>56</v>
      </c>
      <c r="C1157" s="1">
        <v>6350</v>
      </c>
      <c r="D1157" s="1">
        <v>6425</v>
      </c>
      <c r="E1157" s="1">
        <v>6225</v>
      </c>
      <c r="F1157" s="1">
        <v>6325</v>
      </c>
      <c r="G1157" s="1">
        <v>77471700</v>
      </c>
      <c r="H1157" s="4">
        <f t="shared" si="38"/>
        <v>-3.937007874015748E-3</v>
      </c>
      <c r="I1157" s="4">
        <f t="shared" si="39"/>
        <v>0.11453744493392071</v>
      </c>
    </row>
    <row r="1158" spans="1:9" x14ac:dyDescent="0.2">
      <c r="A1158" s="2">
        <f ca="1">IFERROR(__xludf.DUMMYFUNCTION("""COMPUTED_VALUE"""),45615.6666666666)</f>
        <v>45615.666666666599</v>
      </c>
      <c r="B1158" s="2" t="s">
        <v>56</v>
      </c>
      <c r="C1158" s="1">
        <v>6375</v>
      </c>
      <c r="D1158" s="1">
        <v>6375</v>
      </c>
      <c r="E1158" s="1">
        <v>6225</v>
      </c>
      <c r="F1158" s="1">
        <v>6250</v>
      </c>
      <c r="G1158" s="1">
        <v>95495700</v>
      </c>
      <c r="H1158" s="4">
        <f t="shared" si="38"/>
        <v>-1.1857707509881422E-2</v>
      </c>
      <c r="I1158" s="4">
        <f t="shared" si="39"/>
        <v>0.1013215859030837</v>
      </c>
    </row>
    <row r="1159" spans="1:9" x14ac:dyDescent="0.2">
      <c r="A1159" s="2">
        <f ca="1">IFERROR(__xludf.DUMMYFUNCTION("""COMPUTED_VALUE"""),45616.6666666666)</f>
        <v>45616.666666666599</v>
      </c>
      <c r="B1159" s="2" t="s">
        <v>56</v>
      </c>
      <c r="C1159" s="1">
        <v>6325</v>
      </c>
      <c r="D1159" s="1">
        <v>6350</v>
      </c>
      <c r="E1159" s="1">
        <v>6200</v>
      </c>
      <c r="F1159" s="1">
        <v>6225</v>
      </c>
      <c r="G1159" s="1">
        <v>68707200</v>
      </c>
      <c r="H1159" s="4">
        <f t="shared" si="38"/>
        <v>-4.0000000000000001E-3</v>
      </c>
      <c r="I1159" s="4">
        <f t="shared" si="39"/>
        <v>9.6916299559471369E-2</v>
      </c>
    </row>
    <row r="1160" spans="1:9" x14ac:dyDescent="0.2">
      <c r="A1160" s="2">
        <f ca="1">IFERROR(__xludf.DUMMYFUNCTION("""COMPUTED_VALUE"""),45617.6666666666)</f>
        <v>45617.666666666599</v>
      </c>
      <c r="B1160" s="2" t="s">
        <v>56</v>
      </c>
      <c r="C1160" s="1">
        <v>6225</v>
      </c>
      <c r="D1160" s="1">
        <v>6225</v>
      </c>
      <c r="E1160" s="1">
        <v>6125</v>
      </c>
      <c r="F1160" s="1">
        <v>6150</v>
      </c>
      <c r="G1160" s="1">
        <v>76579300</v>
      </c>
      <c r="H1160" s="4">
        <f t="shared" si="38"/>
        <v>-1.2048192771084338E-2</v>
      </c>
      <c r="I1160" s="4">
        <f t="shared" si="39"/>
        <v>8.3700440528634359E-2</v>
      </c>
    </row>
    <row r="1161" spans="1:9" x14ac:dyDescent="0.2">
      <c r="A1161" s="2">
        <f ca="1">IFERROR(__xludf.DUMMYFUNCTION("""COMPUTED_VALUE"""),45618.6666666666)</f>
        <v>45618.666666666599</v>
      </c>
      <c r="B1161" s="2" t="s">
        <v>56</v>
      </c>
      <c r="C1161" s="1">
        <v>6125</v>
      </c>
      <c r="D1161" s="1">
        <v>6300</v>
      </c>
      <c r="E1161" s="1">
        <v>6100</v>
      </c>
      <c r="F1161" s="1">
        <v>6250</v>
      </c>
      <c r="G1161" s="1">
        <v>80236400</v>
      </c>
      <c r="H1161" s="4">
        <f t="shared" si="38"/>
        <v>1.6260162601626018E-2</v>
      </c>
      <c r="I1161" s="4">
        <f t="shared" si="39"/>
        <v>0.1013215859030837</v>
      </c>
    </row>
    <row r="1162" spans="1:9" x14ac:dyDescent="0.2">
      <c r="A1162" s="2">
        <f ca="1">IFERROR(__xludf.DUMMYFUNCTION("""COMPUTED_VALUE"""),45621.6666666666)</f>
        <v>45621.666666666599</v>
      </c>
      <c r="B1162" s="2" t="s">
        <v>56</v>
      </c>
      <c r="C1162" s="1">
        <v>6325</v>
      </c>
      <c r="D1162" s="1">
        <v>6600</v>
      </c>
      <c r="E1162" s="1">
        <v>6325</v>
      </c>
      <c r="F1162" s="1">
        <v>6575</v>
      </c>
      <c r="G1162" s="1">
        <v>183449100</v>
      </c>
      <c r="H1162" s="4">
        <f t="shared" si="38"/>
        <v>5.1999999999999998E-2</v>
      </c>
      <c r="I1162" s="4">
        <f t="shared" si="39"/>
        <v>0.15859030837004406</v>
      </c>
    </row>
    <row r="1163" spans="1:9" x14ac:dyDescent="0.2">
      <c r="A1163" s="2">
        <f ca="1">IFERROR(__xludf.DUMMYFUNCTION("""COMPUTED_VALUE"""),45622.6666666666)</f>
        <v>45622.666666666599</v>
      </c>
      <c r="B1163" s="2" t="s">
        <v>56</v>
      </c>
      <c r="C1163" s="1">
        <v>6600</v>
      </c>
      <c r="D1163" s="1">
        <v>6600</v>
      </c>
      <c r="E1163" s="1">
        <v>6325</v>
      </c>
      <c r="F1163" s="1">
        <v>6400</v>
      </c>
      <c r="G1163" s="1">
        <v>107194300</v>
      </c>
      <c r="H1163" s="4">
        <f t="shared" si="38"/>
        <v>-2.6615969581749048E-2</v>
      </c>
      <c r="I1163" s="4">
        <f t="shared" si="39"/>
        <v>0.1277533039647577</v>
      </c>
    </row>
    <row r="1164" spans="1:9" x14ac:dyDescent="0.2">
      <c r="A1164" s="2">
        <f ca="1">IFERROR(__xludf.DUMMYFUNCTION("""COMPUTED_VALUE"""),45624.6666666666)</f>
        <v>45624.666666666599</v>
      </c>
      <c r="B1164" s="2" t="s">
        <v>56</v>
      </c>
      <c r="C1164" s="1">
        <v>6350</v>
      </c>
      <c r="D1164" s="1">
        <v>6525</v>
      </c>
      <c r="E1164" s="1">
        <v>6350</v>
      </c>
      <c r="F1164" s="1">
        <v>6450</v>
      </c>
      <c r="G1164" s="1">
        <v>81883200</v>
      </c>
      <c r="H1164" s="4">
        <f t="shared" si="38"/>
        <v>7.8125E-3</v>
      </c>
      <c r="I1164" s="4">
        <f t="shared" si="39"/>
        <v>0.13656387665198239</v>
      </c>
    </row>
    <row r="1165" spans="1:9" x14ac:dyDescent="0.2">
      <c r="A1165" s="2">
        <f ca="1">IFERROR(__xludf.DUMMYFUNCTION("""COMPUTED_VALUE"""),45625.6666666666)</f>
        <v>45625.666666666599</v>
      </c>
      <c r="B1165" s="2" t="s">
        <v>56</v>
      </c>
      <c r="C1165" s="1">
        <v>6325</v>
      </c>
      <c r="D1165" s="1">
        <v>6375</v>
      </c>
      <c r="E1165" s="1">
        <v>6125</v>
      </c>
      <c r="F1165" s="1">
        <v>6150</v>
      </c>
      <c r="G1165" s="1">
        <v>157628700</v>
      </c>
      <c r="H1165" s="4">
        <f t="shared" si="38"/>
        <v>-4.6511627906976744E-2</v>
      </c>
      <c r="I1165" s="4">
        <f t="shared" si="39"/>
        <v>8.3700440528634359E-2</v>
      </c>
    </row>
    <row r="1166" spans="1:9" x14ac:dyDescent="0.2">
      <c r="A1166" s="2">
        <f ca="1">IFERROR(__xludf.DUMMYFUNCTION("""COMPUTED_VALUE"""),45628.6666666666)</f>
        <v>45628.666666666599</v>
      </c>
      <c r="B1166" s="2" t="s">
        <v>56</v>
      </c>
      <c r="C1166" s="1">
        <v>6175</v>
      </c>
      <c r="D1166" s="1">
        <v>6250</v>
      </c>
      <c r="E1166" s="1">
        <v>5975</v>
      </c>
      <c r="F1166" s="1">
        <v>6000</v>
      </c>
      <c r="G1166" s="1">
        <v>114555300</v>
      </c>
      <c r="H1166" s="4">
        <f t="shared" si="38"/>
        <v>-2.4390243902439025E-2</v>
      </c>
      <c r="I1166" s="4">
        <f t="shared" si="39"/>
        <v>5.7268722466960353E-2</v>
      </c>
    </row>
    <row r="1167" spans="1:9" x14ac:dyDescent="0.2">
      <c r="A1167" s="2">
        <f ca="1">IFERROR(__xludf.DUMMYFUNCTION("""COMPUTED_VALUE"""),45629.6666666666)</f>
        <v>45629.666666666599</v>
      </c>
      <c r="B1167" s="2" t="s">
        <v>56</v>
      </c>
      <c r="C1167" s="1">
        <v>6100</v>
      </c>
      <c r="D1167" s="1">
        <v>6275</v>
      </c>
      <c r="E1167" s="1">
        <v>6100</v>
      </c>
      <c r="F1167" s="1">
        <v>6275</v>
      </c>
      <c r="G1167" s="1">
        <v>99509800</v>
      </c>
      <c r="H1167" s="4">
        <f t="shared" si="38"/>
        <v>4.583333333333333E-2</v>
      </c>
      <c r="I1167" s="4">
        <f t="shared" si="39"/>
        <v>0.10572687224669604</v>
      </c>
    </row>
    <row r="1168" spans="1:9" x14ac:dyDescent="0.2">
      <c r="A1168" s="2">
        <f ca="1">IFERROR(__xludf.DUMMYFUNCTION("""COMPUTED_VALUE"""),45630.6666666666)</f>
        <v>45630.666666666599</v>
      </c>
      <c r="B1168" s="2" t="s">
        <v>56</v>
      </c>
      <c r="C1168" s="1">
        <v>6275</v>
      </c>
      <c r="D1168" s="1">
        <v>6450</v>
      </c>
      <c r="E1168" s="1">
        <v>6225</v>
      </c>
      <c r="F1168" s="1">
        <v>6375</v>
      </c>
      <c r="G1168" s="1">
        <v>75260000</v>
      </c>
      <c r="H1168" s="4">
        <f t="shared" si="38"/>
        <v>1.5936254980079681E-2</v>
      </c>
      <c r="I1168" s="4">
        <f t="shared" si="39"/>
        <v>0.12334801762114538</v>
      </c>
    </row>
    <row r="1169" spans="1:9" x14ac:dyDescent="0.2">
      <c r="A1169" s="2">
        <f ca="1">IFERROR(__xludf.DUMMYFUNCTION("""COMPUTED_VALUE"""),45631.6666666666)</f>
        <v>45631.666666666599</v>
      </c>
      <c r="B1169" s="2" t="s">
        <v>56</v>
      </c>
      <c r="C1169" s="1">
        <v>6350</v>
      </c>
      <c r="D1169" s="1">
        <v>6375</v>
      </c>
      <c r="E1169" s="1">
        <v>6150</v>
      </c>
      <c r="F1169" s="1">
        <v>6150</v>
      </c>
      <c r="G1169" s="1">
        <v>69528700</v>
      </c>
      <c r="H1169" s="4">
        <f t="shared" si="38"/>
        <v>-3.5294117647058823E-2</v>
      </c>
      <c r="I1169" s="4">
        <f t="shared" si="39"/>
        <v>8.3700440528634359E-2</v>
      </c>
    </row>
    <row r="1170" spans="1:9" x14ac:dyDescent="0.2">
      <c r="A1170" s="2">
        <f ca="1">IFERROR(__xludf.DUMMYFUNCTION("""COMPUTED_VALUE"""),45632.6666666666)</f>
        <v>45632.666666666599</v>
      </c>
      <c r="B1170" s="2" t="s">
        <v>56</v>
      </c>
      <c r="C1170" s="1">
        <v>6200</v>
      </c>
      <c r="D1170" s="1">
        <v>6275</v>
      </c>
      <c r="E1170" s="1">
        <v>6125</v>
      </c>
      <c r="F1170" s="1">
        <v>6225</v>
      </c>
      <c r="G1170" s="1">
        <v>75989700</v>
      </c>
      <c r="H1170" s="4">
        <f t="shared" si="38"/>
        <v>1.2195121951219513E-2</v>
      </c>
      <c r="I1170" s="4">
        <f t="shared" si="39"/>
        <v>9.6916299559471369E-2</v>
      </c>
    </row>
    <row r="1171" spans="1:9" x14ac:dyDescent="0.2">
      <c r="A1171" s="2">
        <f ca="1">IFERROR(__xludf.DUMMYFUNCTION("""COMPUTED_VALUE"""),45635.6666666666)</f>
        <v>45635.666666666599</v>
      </c>
      <c r="B1171" s="2" t="s">
        <v>56</v>
      </c>
      <c r="C1171" s="1">
        <v>6175</v>
      </c>
      <c r="D1171" s="1">
        <v>6375</v>
      </c>
      <c r="E1171" s="1">
        <v>6175</v>
      </c>
      <c r="F1171" s="1">
        <v>6375</v>
      </c>
      <c r="G1171" s="1">
        <v>74220300</v>
      </c>
      <c r="H1171" s="4">
        <f t="shared" si="38"/>
        <v>2.4096385542168676E-2</v>
      </c>
      <c r="I1171" s="4">
        <f t="shared" si="39"/>
        <v>0.12334801762114538</v>
      </c>
    </row>
    <row r="1172" spans="1:9" x14ac:dyDescent="0.2">
      <c r="A1172" s="2">
        <f ca="1">IFERROR(__xludf.DUMMYFUNCTION("""COMPUTED_VALUE"""),45636.6666666666)</f>
        <v>45636.666666666599</v>
      </c>
      <c r="B1172" s="2" t="s">
        <v>56</v>
      </c>
      <c r="C1172" s="1">
        <v>6275</v>
      </c>
      <c r="D1172" s="1">
        <v>6325</v>
      </c>
      <c r="E1172" s="1">
        <v>6225</v>
      </c>
      <c r="F1172" s="1">
        <v>6300</v>
      </c>
      <c r="G1172" s="1">
        <v>92245000</v>
      </c>
      <c r="H1172" s="4">
        <f t="shared" si="38"/>
        <v>-1.1764705882352941E-2</v>
      </c>
      <c r="I1172" s="4">
        <f t="shared" si="39"/>
        <v>0.11013215859030837</v>
      </c>
    </row>
    <row r="1173" spans="1:9" x14ac:dyDescent="0.2">
      <c r="A1173" s="2">
        <f ca="1">IFERROR(__xludf.DUMMYFUNCTION("""COMPUTED_VALUE"""),45637.6666666666)</f>
        <v>45637.666666666599</v>
      </c>
      <c r="B1173" s="2" t="s">
        <v>56</v>
      </c>
      <c r="C1173" s="1">
        <v>6300</v>
      </c>
      <c r="D1173" s="1">
        <v>6400</v>
      </c>
      <c r="E1173" s="1">
        <v>6300</v>
      </c>
      <c r="F1173" s="1">
        <v>6300</v>
      </c>
      <c r="G1173" s="1">
        <v>62509600</v>
      </c>
      <c r="H1173" s="4">
        <f t="shared" si="38"/>
        <v>0</v>
      </c>
      <c r="I1173" s="4">
        <f t="shared" si="39"/>
        <v>0.11013215859030837</v>
      </c>
    </row>
    <row r="1174" spans="1:9" x14ac:dyDescent="0.2">
      <c r="A1174" s="2">
        <f ca="1">IFERROR(__xludf.DUMMYFUNCTION("""COMPUTED_VALUE"""),45638.6666666666)</f>
        <v>45638.666666666599</v>
      </c>
      <c r="B1174" s="2" t="s">
        <v>56</v>
      </c>
      <c r="C1174" s="1">
        <v>6200</v>
      </c>
      <c r="D1174" s="1">
        <v>6225</v>
      </c>
      <c r="E1174" s="1">
        <v>6100</v>
      </c>
      <c r="F1174" s="1">
        <v>6125</v>
      </c>
      <c r="G1174" s="1">
        <v>96707500</v>
      </c>
      <c r="H1174" s="4">
        <f t="shared" si="38"/>
        <v>-2.7777777777777776E-2</v>
      </c>
      <c r="I1174" s="4">
        <f t="shared" si="39"/>
        <v>7.9295154185022032E-2</v>
      </c>
    </row>
    <row r="1175" spans="1:9" x14ac:dyDescent="0.2">
      <c r="A1175" s="2">
        <f ca="1">IFERROR(__xludf.DUMMYFUNCTION("""COMPUTED_VALUE"""),45639.6666666666)</f>
        <v>45639.666666666599</v>
      </c>
      <c r="B1175" s="2" t="s">
        <v>56</v>
      </c>
      <c r="C1175" s="1">
        <v>6025</v>
      </c>
      <c r="D1175" s="1">
        <v>6100</v>
      </c>
      <c r="E1175" s="1">
        <v>5975</v>
      </c>
      <c r="F1175" s="1">
        <v>6025</v>
      </c>
      <c r="G1175" s="1">
        <v>135581400</v>
      </c>
      <c r="H1175" s="4">
        <f t="shared" si="38"/>
        <v>-1.6326530612244899E-2</v>
      </c>
      <c r="I1175" s="4">
        <f t="shared" si="39"/>
        <v>6.1674008810572688E-2</v>
      </c>
    </row>
    <row r="1176" spans="1:9" x14ac:dyDescent="0.2">
      <c r="A1176" s="2">
        <f ca="1">IFERROR(__xludf.DUMMYFUNCTION("""COMPUTED_VALUE"""),45642.6666666666)</f>
        <v>45642.666666666599</v>
      </c>
      <c r="B1176" s="2" t="s">
        <v>56</v>
      </c>
      <c r="C1176" s="1">
        <v>5900</v>
      </c>
      <c r="D1176" s="1">
        <v>6100</v>
      </c>
      <c r="E1176" s="1">
        <v>5900</v>
      </c>
      <c r="F1176" s="1">
        <v>6075</v>
      </c>
      <c r="G1176" s="1">
        <v>105375900</v>
      </c>
      <c r="H1176" s="4">
        <f t="shared" si="38"/>
        <v>8.2987551867219917E-3</v>
      </c>
      <c r="I1176" s="4">
        <f t="shared" si="39"/>
        <v>7.0484581497797363E-2</v>
      </c>
    </row>
    <row r="1177" spans="1:9" x14ac:dyDescent="0.2">
      <c r="A1177" s="2">
        <f ca="1">IFERROR(__xludf.DUMMYFUNCTION("""COMPUTED_VALUE"""),45643.6666666666)</f>
        <v>45643.666666666599</v>
      </c>
      <c r="B1177" s="2" t="s">
        <v>56</v>
      </c>
      <c r="C1177" s="1">
        <v>6050</v>
      </c>
      <c r="D1177" s="1">
        <v>6075</v>
      </c>
      <c r="E1177" s="1">
        <v>5925</v>
      </c>
      <c r="F1177" s="1">
        <v>5950</v>
      </c>
      <c r="G1177" s="1">
        <v>72109300</v>
      </c>
      <c r="H1177" s="4">
        <f t="shared" si="38"/>
        <v>-2.0576131687242798E-2</v>
      </c>
      <c r="I1177" s="4">
        <f t="shared" si="39"/>
        <v>4.8458149779735685E-2</v>
      </c>
    </row>
    <row r="1178" spans="1:9" x14ac:dyDescent="0.2">
      <c r="A1178" s="2">
        <f ca="1">IFERROR(__xludf.DUMMYFUNCTION("""COMPUTED_VALUE"""),45644.6666666666)</f>
        <v>45644.666666666599</v>
      </c>
      <c r="B1178" s="2" t="s">
        <v>56</v>
      </c>
      <c r="C1178" s="1">
        <v>5925</v>
      </c>
      <c r="D1178" s="1">
        <v>6000</v>
      </c>
      <c r="E1178" s="1">
        <v>5775</v>
      </c>
      <c r="F1178" s="1">
        <v>5825</v>
      </c>
      <c r="G1178" s="1">
        <v>153164600</v>
      </c>
      <c r="H1178" s="4">
        <f t="shared" si="38"/>
        <v>-2.100840336134454E-2</v>
      </c>
      <c r="I1178" s="4">
        <f t="shared" si="39"/>
        <v>2.643171806167401E-2</v>
      </c>
    </row>
    <row r="1179" spans="1:9" x14ac:dyDescent="0.2">
      <c r="A1179" s="2">
        <f ca="1">IFERROR(__xludf.DUMMYFUNCTION("""COMPUTED_VALUE"""),45645.6666666666)</f>
        <v>45645.666666666599</v>
      </c>
      <c r="B1179" s="2" t="s">
        <v>56</v>
      </c>
      <c r="C1179" s="1">
        <v>5625</v>
      </c>
      <c r="D1179" s="1">
        <v>5725</v>
      </c>
      <c r="E1179" s="1">
        <v>5600</v>
      </c>
      <c r="F1179" s="1">
        <v>5675</v>
      </c>
      <c r="G1179" s="1">
        <v>277793000</v>
      </c>
      <c r="H1179" s="4">
        <f t="shared" si="38"/>
        <v>-2.575107296137339E-2</v>
      </c>
      <c r="I1179" s="4">
        <f t="shared" si="39"/>
        <v>0</v>
      </c>
    </row>
    <row r="1180" spans="1:9" x14ac:dyDescent="0.2">
      <c r="A1180" s="2">
        <f ca="1">IFERROR(__xludf.DUMMYFUNCTION("""COMPUTED_VALUE"""),45646.6666666666)</f>
        <v>45646.666666666599</v>
      </c>
      <c r="B1180" s="2" t="s">
        <v>56</v>
      </c>
      <c r="C1180" s="1">
        <v>5675</v>
      </c>
      <c r="D1180" s="1">
        <v>5750</v>
      </c>
      <c r="E1180" s="1">
        <v>5625</v>
      </c>
      <c r="F1180" s="1">
        <v>5675</v>
      </c>
      <c r="G1180" s="1">
        <v>148568600</v>
      </c>
      <c r="H1180" s="4">
        <f t="shared" si="38"/>
        <v>0</v>
      </c>
      <c r="I1180" s="4">
        <f t="shared" si="39"/>
        <v>0</v>
      </c>
    </row>
    <row r="1181" spans="1:9" x14ac:dyDescent="0.2">
      <c r="A1181" s="2">
        <f ca="1">IFERROR(__xludf.DUMMYFUNCTION("""COMPUTED_VALUE"""),45649.6666666666)</f>
        <v>45649.666666666599</v>
      </c>
      <c r="B1181" s="2" t="s">
        <v>56</v>
      </c>
      <c r="C1181" s="1">
        <v>5800</v>
      </c>
      <c r="D1181" s="1">
        <v>5875</v>
      </c>
      <c r="E1181" s="1">
        <v>5725</v>
      </c>
      <c r="F1181" s="1">
        <v>5825</v>
      </c>
      <c r="G1181" s="1">
        <v>82910100</v>
      </c>
      <c r="H1181" s="4">
        <f t="shared" si="38"/>
        <v>2.643171806167401E-2</v>
      </c>
      <c r="I1181" s="4">
        <f t="shared" si="39"/>
        <v>2.643171806167401E-2</v>
      </c>
    </row>
    <row r="1182" spans="1:9" x14ac:dyDescent="0.2">
      <c r="A1182" s="2">
        <f ca="1">IFERROR(__xludf.DUMMYFUNCTION("""COMPUTED_VALUE"""),45650.6666666666)</f>
        <v>45650.666666666599</v>
      </c>
      <c r="B1182" s="2" t="s">
        <v>56</v>
      </c>
      <c r="C1182" s="1">
        <v>5825</v>
      </c>
      <c r="D1182" s="1">
        <v>5875</v>
      </c>
      <c r="E1182" s="1">
        <v>5750</v>
      </c>
      <c r="F1182" s="1">
        <v>5750</v>
      </c>
      <c r="G1182" s="1">
        <v>41240900</v>
      </c>
      <c r="H1182" s="4">
        <f t="shared" si="38"/>
        <v>-1.2875536480686695E-2</v>
      </c>
      <c r="I1182" s="4">
        <f t="shared" si="39"/>
        <v>1.3215859030837005E-2</v>
      </c>
    </row>
    <row r="1183" spans="1:9" x14ac:dyDescent="0.2">
      <c r="A1183" s="2">
        <f ca="1">IFERROR(__xludf.DUMMYFUNCTION("""COMPUTED_VALUE"""),45653.6666666666)</f>
        <v>45653.666666666599</v>
      </c>
      <c r="B1183" s="2" t="s">
        <v>56</v>
      </c>
      <c r="C1183" s="1">
        <v>5750</v>
      </c>
      <c r="D1183" s="1">
        <v>5850</v>
      </c>
      <c r="E1183" s="1">
        <v>5750</v>
      </c>
      <c r="F1183" s="1">
        <v>5800</v>
      </c>
      <c r="G1183" s="1">
        <v>46126800</v>
      </c>
      <c r="H1183" s="4">
        <f t="shared" si="38"/>
        <v>8.6956521739130436E-3</v>
      </c>
      <c r="I1183" s="4">
        <f t="shared" si="39"/>
        <v>2.2026431718061675E-2</v>
      </c>
    </row>
    <row r="1184" spans="1:9" x14ac:dyDescent="0.2">
      <c r="A1184" s="2">
        <f ca="1">IFERROR(__xludf.DUMMYFUNCTION("""COMPUTED_VALUE"""),45656.6666666666)</f>
        <v>45656.666666666599</v>
      </c>
      <c r="B1184" s="2" t="s">
        <v>56</v>
      </c>
      <c r="C1184" s="1">
        <v>5675</v>
      </c>
      <c r="D1184" s="1">
        <v>5750</v>
      </c>
      <c r="E1184" s="1">
        <v>5650</v>
      </c>
      <c r="F1184" s="1">
        <v>5700</v>
      </c>
      <c r="G1184" s="1">
        <v>96782100</v>
      </c>
      <c r="H1184" s="4">
        <f t="shared" si="38"/>
        <v>-1.7241379310344827E-2</v>
      </c>
      <c r="I1184" s="4">
        <f t="shared" si="39"/>
        <v>4.4052863436123352E-3</v>
      </c>
    </row>
    <row r="1185" spans="1:9" x14ac:dyDescent="0.2">
      <c r="A1185" s="2">
        <f ca="1">IFERROR(__xludf.DUMMYFUNCTION("""COMPUTED_VALUE"""),45659.6666666666)</f>
        <v>45659.666666666599</v>
      </c>
      <c r="B1185" s="2" t="s">
        <v>56</v>
      </c>
      <c r="C1185" s="1">
        <v>5700</v>
      </c>
      <c r="D1185" s="1">
        <v>5850</v>
      </c>
      <c r="E1185" s="1">
        <v>5700</v>
      </c>
      <c r="F1185" s="1">
        <v>5850</v>
      </c>
      <c r="G1185" s="1">
        <v>82914600</v>
      </c>
      <c r="H1185" s="4">
        <f t="shared" si="38"/>
        <v>2.6315789473684209E-2</v>
      </c>
      <c r="I1185" s="4">
        <f t="shared" si="39"/>
        <v>3.0837004405286344E-2</v>
      </c>
    </row>
    <row r="1186" spans="1:9" x14ac:dyDescent="0.2">
      <c r="A1186" s="2">
        <f ca="1">IFERROR(__xludf.DUMMYFUNCTION("""COMPUTED_VALUE"""),45660.6666666666)</f>
        <v>45660.666666666599</v>
      </c>
      <c r="B1186" s="2" t="s">
        <v>56</v>
      </c>
      <c r="C1186" s="1">
        <v>5850</v>
      </c>
      <c r="D1186" s="1">
        <v>5875</v>
      </c>
      <c r="E1186" s="1">
        <v>5775</v>
      </c>
      <c r="F1186" s="1">
        <v>5800</v>
      </c>
      <c r="G1186" s="1">
        <v>58067100</v>
      </c>
      <c r="H1186" s="4">
        <f t="shared" si="38"/>
        <v>-8.5470085470085479E-3</v>
      </c>
      <c r="I1186" s="4">
        <f t="shared" si="39"/>
        <v>2.2026431718061675E-2</v>
      </c>
    </row>
    <row r="1187" spans="1:9" x14ac:dyDescent="0.2">
      <c r="A1187" s="2">
        <f ca="1">IFERROR(__xludf.DUMMYFUNCTION("""COMPUTED_VALUE"""),45663.6666666666)</f>
        <v>45663.666666666599</v>
      </c>
      <c r="B1187" s="2" t="s">
        <v>56</v>
      </c>
      <c r="C1187" s="1">
        <v>5825</v>
      </c>
      <c r="D1187" s="1">
        <v>5825</v>
      </c>
      <c r="E1187" s="1">
        <v>5650</v>
      </c>
      <c r="F1187" s="1">
        <v>5675</v>
      </c>
      <c r="G1187" s="1">
        <v>68443700</v>
      </c>
      <c r="H1187" s="4">
        <f t="shared" si="38"/>
        <v>-2.1551724137931036E-2</v>
      </c>
      <c r="I1187" s="4">
        <f t="shared" si="39"/>
        <v>0</v>
      </c>
    </row>
    <row r="1188" spans="1:9" x14ac:dyDescent="0.2">
      <c r="A1188" s="2">
        <f ca="1">IFERROR(__xludf.DUMMYFUNCTION("""COMPUTED_VALUE"""),45664.6666666666)</f>
        <v>45664.666666666599</v>
      </c>
      <c r="B1188" s="2" t="s">
        <v>56</v>
      </c>
      <c r="C1188" s="1">
        <v>5600</v>
      </c>
      <c r="D1188" s="1">
        <v>5650</v>
      </c>
      <c r="E1188" s="1">
        <v>5550</v>
      </c>
      <c r="F1188" s="1">
        <v>5600</v>
      </c>
      <c r="G1188" s="1">
        <v>96982300</v>
      </c>
      <c r="H1188" s="4">
        <f t="shared" si="38"/>
        <v>-1.3215859030837005E-2</v>
      </c>
      <c r="I1188" s="4">
        <f t="shared" si="39"/>
        <v>-1.3215859030837005E-2</v>
      </c>
    </row>
    <row r="1189" spans="1:9" x14ac:dyDescent="0.2">
      <c r="A1189" s="2">
        <f ca="1">IFERROR(__xludf.DUMMYFUNCTION("""COMPUTED_VALUE"""),45665.6666666666)</f>
        <v>45665.666666666599</v>
      </c>
      <c r="B1189" s="2" t="s">
        <v>56</v>
      </c>
      <c r="C1189" s="1">
        <v>5600</v>
      </c>
      <c r="D1189" s="1">
        <v>5750</v>
      </c>
      <c r="E1189" s="1">
        <v>5600</v>
      </c>
      <c r="F1189" s="1">
        <v>5750</v>
      </c>
      <c r="G1189" s="1">
        <v>118246100</v>
      </c>
      <c r="H1189" s="4">
        <f t="shared" si="38"/>
        <v>2.6785714285714284E-2</v>
      </c>
      <c r="I1189" s="4">
        <f t="shared" si="39"/>
        <v>1.3215859030837005E-2</v>
      </c>
    </row>
    <row r="1190" spans="1:9" x14ac:dyDescent="0.2">
      <c r="A1190" s="2">
        <f ca="1">IFERROR(__xludf.DUMMYFUNCTION("""COMPUTED_VALUE"""),45666.6666666666)</f>
        <v>45666.666666666599</v>
      </c>
      <c r="B1190" s="2" t="s">
        <v>56</v>
      </c>
      <c r="C1190" s="1">
        <v>5725</v>
      </c>
      <c r="D1190" s="1">
        <v>5775</v>
      </c>
      <c r="E1190" s="1">
        <v>5700</v>
      </c>
      <c r="F1190" s="1">
        <v>5750</v>
      </c>
      <c r="G1190" s="1">
        <v>56491700</v>
      </c>
      <c r="H1190" s="4">
        <f t="shared" si="38"/>
        <v>0</v>
      </c>
      <c r="I1190" s="4">
        <f t="shared" si="39"/>
        <v>1.3215859030837005E-2</v>
      </c>
    </row>
    <row r="1191" spans="1:9" x14ac:dyDescent="0.2">
      <c r="A1191" s="2">
        <f ca="1">IFERROR(__xludf.DUMMYFUNCTION("""COMPUTED_VALUE"""),45667.6666666666)</f>
        <v>45667.666666666599</v>
      </c>
      <c r="B1191" s="2" t="s">
        <v>56</v>
      </c>
      <c r="C1191" s="1">
        <v>5750</v>
      </c>
      <c r="D1191" s="1">
        <v>5775</v>
      </c>
      <c r="E1191" s="1">
        <v>5600</v>
      </c>
      <c r="F1191" s="1">
        <v>5600</v>
      </c>
      <c r="G1191" s="1">
        <v>77751500</v>
      </c>
      <c r="H1191" s="4">
        <f t="shared" si="38"/>
        <v>-2.6086956521739129E-2</v>
      </c>
      <c r="I1191" s="4">
        <f t="shared" si="39"/>
        <v>-1.3215859030837005E-2</v>
      </c>
    </row>
    <row r="1192" spans="1:9" x14ac:dyDescent="0.2">
      <c r="A1192" s="2">
        <f ca="1">IFERROR(__xludf.DUMMYFUNCTION("""COMPUTED_VALUE"""),45670.6666666666)</f>
        <v>45670.666666666599</v>
      </c>
      <c r="B1192" s="2" t="s">
        <v>56</v>
      </c>
      <c r="C1192" s="1">
        <v>5500</v>
      </c>
      <c r="D1192" s="1">
        <v>5550</v>
      </c>
      <c r="E1192" s="1">
        <v>5475</v>
      </c>
      <c r="F1192" s="1">
        <v>5525</v>
      </c>
      <c r="G1192" s="1">
        <v>99953900</v>
      </c>
      <c r="H1192" s="4">
        <f t="shared" si="38"/>
        <v>-1.3392857142857142E-2</v>
      </c>
      <c r="I1192" s="4">
        <f t="shared" si="39"/>
        <v>-2.643171806167401E-2</v>
      </c>
    </row>
    <row r="1193" spans="1:9" x14ac:dyDescent="0.2">
      <c r="A1193" s="2">
        <f ca="1">IFERROR(__xludf.DUMMYFUNCTION("""COMPUTED_VALUE"""),45671.6666666666)</f>
        <v>45671.666666666599</v>
      </c>
      <c r="B1193" s="2" t="s">
        <v>56</v>
      </c>
      <c r="C1193" s="1">
        <v>5425</v>
      </c>
      <c r="D1193" s="1">
        <v>5575</v>
      </c>
      <c r="E1193" s="1">
        <v>5400</v>
      </c>
      <c r="F1193" s="1">
        <v>5400</v>
      </c>
      <c r="G1193" s="1">
        <v>97351900</v>
      </c>
      <c r="H1193" s="4">
        <f t="shared" si="38"/>
        <v>-2.2624434389140271E-2</v>
      </c>
      <c r="I1193" s="4">
        <f t="shared" si="39"/>
        <v>-4.8458149779735685E-2</v>
      </c>
    </row>
    <row r="1194" spans="1:9" x14ac:dyDescent="0.2">
      <c r="A1194" s="2">
        <f ca="1">IFERROR(__xludf.DUMMYFUNCTION("""COMPUTED_VALUE"""),45672.6666666666)</f>
        <v>45672.666666666599</v>
      </c>
      <c r="B1194" s="2" t="s">
        <v>56</v>
      </c>
      <c r="C1194" s="1">
        <v>5475</v>
      </c>
      <c r="D1194" s="1">
        <v>5825</v>
      </c>
      <c r="E1194" s="1">
        <v>5450</v>
      </c>
      <c r="F1194" s="1">
        <v>5750</v>
      </c>
      <c r="G1194" s="1">
        <v>194025700</v>
      </c>
      <c r="H1194" s="4">
        <f t="shared" si="38"/>
        <v>6.4814814814814811E-2</v>
      </c>
      <c r="I1194" s="4">
        <f t="shared" si="39"/>
        <v>1.3215859030837005E-2</v>
      </c>
    </row>
    <row r="1195" spans="1:9" x14ac:dyDescent="0.2">
      <c r="A1195" s="2">
        <f ca="1">IFERROR(__xludf.DUMMYFUNCTION("""COMPUTED_VALUE"""),45673.6666666666)</f>
        <v>45673.666666666599</v>
      </c>
      <c r="B1195" s="2" t="s">
        <v>56</v>
      </c>
      <c r="C1195" s="1">
        <v>6075</v>
      </c>
      <c r="D1195" s="1">
        <v>6200</v>
      </c>
      <c r="E1195" s="1">
        <v>5850</v>
      </c>
      <c r="F1195" s="1">
        <v>5875</v>
      </c>
      <c r="G1195" s="1">
        <v>204359900</v>
      </c>
      <c r="H1195" s="4">
        <f t="shared" si="38"/>
        <v>2.1739130434782608E-2</v>
      </c>
      <c r="I1195" s="4">
        <f t="shared" si="39"/>
        <v>3.5242290748898682E-2</v>
      </c>
    </row>
    <row r="1196" spans="1:9" x14ac:dyDescent="0.2">
      <c r="A1196" s="2">
        <f ca="1">IFERROR(__xludf.DUMMYFUNCTION("""COMPUTED_VALUE"""),45674.6666666666)</f>
        <v>45674.666666666599</v>
      </c>
      <c r="B1196" s="2" t="s">
        <v>56</v>
      </c>
      <c r="C1196" s="1">
        <v>5800</v>
      </c>
      <c r="D1196" s="1">
        <v>6050</v>
      </c>
      <c r="E1196" s="1">
        <v>5750</v>
      </c>
      <c r="F1196" s="1">
        <v>5875</v>
      </c>
      <c r="G1196" s="1">
        <v>114054600</v>
      </c>
      <c r="H1196" s="4">
        <f t="shared" si="38"/>
        <v>0</v>
      </c>
      <c r="I1196" s="4">
        <f t="shared" si="39"/>
        <v>3.5242290748898682E-2</v>
      </c>
    </row>
    <row r="1197" spans="1:9" x14ac:dyDescent="0.2">
      <c r="A1197" s="2">
        <f ca="1">IFERROR(__xludf.DUMMYFUNCTION("""COMPUTED_VALUE"""),45677.6666666666)</f>
        <v>45677.666666666599</v>
      </c>
      <c r="B1197" s="2" t="s">
        <v>56</v>
      </c>
      <c r="C1197" s="1">
        <v>6000</v>
      </c>
      <c r="D1197" s="1">
        <v>6050</v>
      </c>
      <c r="E1197" s="1">
        <v>5925</v>
      </c>
      <c r="F1197" s="1">
        <v>6000</v>
      </c>
      <c r="G1197" s="1">
        <v>84338400</v>
      </c>
      <c r="H1197" s="4">
        <f t="shared" si="38"/>
        <v>2.1276595744680851E-2</v>
      </c>
      <c r="I1197" s="4">
        <f t="shared" si="39"/>
        <v>5.7268722466960353E-2</v>
      </c>
    </row>
    <row r="1198" spans="1:9" x14ac:dyDescent="0.2">
      <c r="A1198" s="2">
        <f ca="1">IFERROR(__xludf.DUMMYFUNCTION("""COMPUTED_VALUE"""),45678.6666666666)</f>
        <v>45678.666666666599</v>
      </c>
      <c r="B1198" s="2" t="s">
        <v>56</v>
      </c>
      <c r="C1198" s="1">
        <v>6100</v>
      </c>
      <c r="D1198" s="1">
        <v>6175</v>
      </c>
      <c r="E1198" s="1">
        <v>6025</v>
      </c>
      <c r="F1198" s="1">
        <v>6050</v>
      </c>
      <c r="G1198" s="1">
        <v>115355900</v>
      </c>
      <c r="H1198" s="4">
        <f t="shared" si="38"/>
        <v>8.3333333333333332E-3</v>
      </c>
      <c r="I1198" s="4">
        <f t="shared" si="39"/>
        <v>6.6079295154185022E-2</v>
      </c>
    </row>
    <row r="1199" spans="1:9" x14ac:dyDescent="0.2">
      <c r="A1199" s="2">
        <f ca="1">IFERROR(__xludf.DUMMYFUNCTION("""COMPUTED_VALUE"""),45679.6666666666)</f>
        <v>45679.666666666599</v>
      </c>
      <c r="B1199" s="2" t="s">
        <v>56</v>
      </c>
      <c r="C1199" s="1">
        <v>6150</v>
      </c>
      <c r="D1199" s="1">
        <v>6200</v>
      </c>
      <c r="E1199" s="1">
        <v>6100</v>
      </c>
      <c r="F1199" s="1">
        <v>6150</v>
      </c>
      <c r="G1199" s="1">
        <v>117929800</v>
      </c>
      <c r="H1199" s="4">
        <f t="shared" si="38"/>
        <v>1.6528925619834711E-2</v>
      </c>
      <c r="I1199" s="4">
        <f t="shared" si="39"/>
        <v>8.3700440528634359E-2</v>
      </c>
    </row>
    <row r="1200" spans="1:9" x14ac:dyDescent="0.2">
      <c r="A1200" s="2">
        <f ca="1">IFERROR(__xludf.DUMMYFUNCTION("""COMPUTED_VALUE"""),45680.6666666666)</f>
        <v>45680.666666666599</v>
      </c>
      <c r="B1200" s="2" t="s">
        <v>56</v>
      </c>
      <c r="C1200" s="1">
        <v>6200</v>
      </c>
      <c r="D1200" s="1">
        <v>6300</v>
      </c>
      <c r="E1200" s="1">
        <v>6175</v>
      </c>
      <c r="F1200" s="1">
        <v>6175</v>
      </c>
      <c r="G1200" s="1">
        <v>120893700</v>
      </c>
      <c r="H1200" s="4">
        <f t="shared" si="38"/>
        <v>4.0650406504065045E-3</v>
      </c>
      <c r="I1200" s="4">
        <f t="shared" si="39"/>
        <v>8.8105726872246701E-2</v>
      </c>
    </row>
    <row r="1201" spans="1:9" x14ac:dyDescent="0.2">
      <c r="A1201" s="2">
        <f ca="1">IFERROR(__xludf.DUMMYFUNCTION("""COMPUTED_VALUE"""),45681.6666666666)</f>
        <v>45681.666666666599</v>
      </c>
      <c r="B1201" s="2" t="s">
        <v>56</v>
      </c>
      <c r="C1201" s="1">
        <v>6250</v>
      </c>
      <c r="D1201" s="1">
        <v>6250</v>
      </c>
      <c r="E1201" s="1">
        <v>6125</v>
      </c>
      <c r="F1201" s="1">
        <v>6125</v>
      </c>
      <c r="G1201" s="1">
        <v>96161800</v>
      </c>
      <c r="H1201" s="4">
        <f t="shared" si="38"/>
        <v>-8.0971659919028341E-3</v>
      </c>
      <c r="I1201" s="4">
        <f t="shared" si="39"/>
        <v>7.9295154185022032E-2</v>
      </c>
    </row>
    <row r="1202" spans="1:9" x14ac:dyDescent="0.2">
      <c r="A1202" s="2">
        <f ca="1">IFERROR(__xludf.DUMMYFUNCTION("""COMPUTED_VALUE"""),45687.6666666666)</f>
        <v>45687.666666666599</v>
      </c>
      <c r="B1202" s="2" t="s">
        <v>56</v>
      </c>
      <c r="C1202" s="1">
        <v>6100</v>
      </c>
      <c r="D1202" s="1">
        <v>6225</v>
      </c>
      <c r="E1202" s="1">
        <v>6075</v>
      </c>
      <c r="F1202" s="1">
        <v>6100</v>
      </c>
      <c r="G1202" s="1">
        <v>101400400</v>
      </c>
      <c r="H1202" s="4">
        <f t="shared" si="38"/>
        <v>-4.0816326530612249E-3</v>
      </c>
      <c r="I1202" s="4">
        <f t="shared" si="39"/>
        <v>7.4889867841409691E-2</v>
      </c>
    </row>
    <row r="1203" spans="1:9" x14ac:dyDescent="0.2">
      <c r="A1203" s="2">
        <f ca="1">IFERROR(__xludf.DUMMYFUNCTION("""COMPUTED_VALUE"""),45688.6666666666)</f>
        <v>45688.666666666599</v>
      </c>
      <c r="B1203" s="2" t="s">
        <v>56</v>
      </c>
      <c r="C1203" s="1">
        <v>6175</v>
      </c>
      <c r="D1203" s="1">
        <v>6225</v>
      </c>
      <c r="E1203" s="1">
        <v>6025</v>
      </c>
      <c r="F1203" s="1">
        <v>6025</v>
      </c>
      <c r="G1203" s="1">
        <v>107861000</v>
      </c>
      <c r="H1203" s="4">
        <f t="shared" si="38"/>
        <v>-1.2295081967213115E-2</v>
      </c>
      <c r="I1203" s="4">
        <f t="shared" si="39"/>
        <v>6.1674008810572688E-2</v>
      </c>
    </row>
    <row r="1204" spans="1:9" x14ac:dyDescent="0.2">
      <c r="A1204" s="2">
        <f ca="1">IFERROR(__xludf.DUMMYFUNCTION("""COMPUTED_VALUE"""),45691.6666666666)</f>
        <v>45691.666666666599</v>
      </c>
      <c r="B1204" s="2" t="s">
        <v>56</v>
      </c>
      <c r="C1204" s="1">
        <v>5975</v>
      </c>
      <c r="D1204" s="1">
        <v>6000</v>
      </c>
      <c r="E1204" s="1">
        <v>5700</v>
      </c>
      <c r="F1204" s="1">
        <v>5800</v>
      </c>
      <c r="G1204" s="1">
        <v>182181700</v>
      </c>
      <c r="H1204" s="4">
        <f t="shared" si="38"/>
        <v>-3.7344398340248962E-2</v>
      </c>
      <c r="I1204" s="4">
        <f t="shared" si="39"/>
        <v>2.2026431718061675E-2</v>
      </c>
    </row>
    <row r="1205" spans="1:9" x14ac:dyDescent="0.2">
      <c r="A1205" s="2">
        <f ca="1">IFERROR(__xludf.DUMMYFUNCTION("""COMPUTED_VALUE"""),45692.6666666666)</f>
        <v>45692.666666666599</v>
      </c>
      <c r="B1205" s="2" t="s">
        <v>56</v>
      </c>
      <c r="C1205" s="1">
        <v>5825</v>
      </c>
      <c r="D1205" s="1">
        <v>5850</v>
      </c>
      <c r="E1205" s="1">
        <v>5625</v>
      </c>
      <c r="F1205" s="1">
        <v>5675</v>
      </c>
      <c r="G1205" s="1">
        <v>121871500</v>
      </c>
      <c r="H1205" s="4">
        <f t="shared" si="38"/>
        <v>-2.1551724137931036E-2</v>
      </c>
      <c r="I1205" s="4">
        <f t="shared" si="39"/>
        <v>0</v>
      </c>
    </row>
    <row r="1206" spans="1:9" x14ac:dyDescent="0.2">
      <c r="A1206" s="2">
        <f ca="1">IFERROR(__xludf.DUMMYFUNCTION("""COMPUTED_VALUE"""),45693.6666666666)</f>
        <v>45693.666666666599</v>
      </c>
      <c r="B1206" s="2" t="s">
        <v>56</v>
      </c>
      <c r="C1206" s="1">
        <v>5600</v>
      </c>
      <c r="D1206" s="1">
        <v>5600</v>
      </c>
      <c r="E1206" s="1">
        <v>5475</v>
      </c>
      <c r="F1206" s="1">
        <v>5525</v>
      </c>
      <c r="G1206" s="1">
        <v>185656000</v>
      </c>
      <c r="H1206" s="4">
        <f t="shared" ref="H1206:H1269" si="40">(F1206-F1205)/F1205</f>
        <v>-2.643171806167401E-2</v>
      </c>
      <c r="I1206" s="4">
        <f t="shared" ref="I1206:I1269" si="41">(F1206-$F$2)/$F$2</f>
        <v>-2.643171806167401E-2</v>
      </c>
    </row>
    <row r="1207" spans="1:9" x14ac:dyDescent="0.2">
      <c r="A1207" s="2">
        <f ca="1">IFERROR(__xludf.DUMMYFUNCTION("""COMPUTED_VALUE"""),45694.6666666666)</f>
        <v>45694.666666666599</v>
      </c>
      <c r="B1207" s="2" t="s">
        <v>56</v>
      </c>
      <c r="C1207" s="1">
        <v>5425</v>
      </c>
      <c r="D1207" s="1">
        <v>5425</v>
      </c>
      <c r="E1207" s="1">
        <v>5000</v>
      </c>
      <c r="F1207" s="1">
        <v>5100</v>
      </c>
      <c r="G1207" s="1">
        <v>642118700</v>
      </c>
      <c r="H1207" s="4">
        <f t="shared" si="40"/>
        <v>-7.6923076923076927E-2</v>
      </c>
      <c r="I1207" s="4">
        <f t="shared" si="41"/>
        <v>-0.1013215859030837</v>
      </c>
    </row>
    <row r="1208" spans="1:9" x14ac:dyDescent="0.2">
      <c r="A1208" s="2">
        <f ca="1">IFERROR(__xludf.DUMMYFUNCTION("""COMPUTED_VALUE"""),45695.6666666666)</f>
        <v>45695.666666666599</v>
      </c>
      <c r="B1208" s="2" t="s">
        <v>56</v>
      </c>
      <c r="C1208" s="1">
        <v>5000</v>
      </c>
      <c r="D1208" s="1">
        <v>5150</v>
      </c>
      <c r="E1208" s="1">
        <v>4950</v>
      </c>
      <c r="F1208" s="1">
        <v>5150</v>
      </c>
      <c r="G1208" s="1">
        <v>407896100</v>
      </c>
      <c r="H1208" s="4">
        <f t="shared" si="40"/>
        <v>9.8039215686274508E-3</v>
      </c>
      <c r="I1208" s="4">
        <f t="shared" si="41"/>
        <v>-9.2511013215859028E-2</v>
      </c>
    </row>
    <row r="1209" spans="1:9" x14ac:dyDescent="0.2">
      <c r="A1209" s="2">
        <f ca="1">IFERROR(__xludf.DUMMYFUNCTION("""COMPUTED_VALUE"""),45698.6666666666)</f>
        <v>45698.666666666599</v>
      </c>
      <c r="B1209" s="2" t="s">
        <v>56</v>
      </c>
      <c r="C1209" s="1">
        <v>5150</v>
      </c>
      <c r="D1209" s="1">
        <v>5150</v>
      </c>
      <c r="E1209" s="1">
        <v>4990</v>
      </c>
      <c r="F1209" s="1">
        <v>5000</v>
      </c>
      <c r="G1209" s="1">
        <v>169384300</v>
      </c>
      <c r="H1209" s="4">
        <f t="shared" si="40"/>
        <v>-2.9126213592233011E-2</v>
      </c>
      <c r="I1209" s="4">
        <f t="shared" si="41"/>
        <v>-0.11894273127753303</v>
      </c>
    </row>
    <row r="1210" spans="1:9" x14ac:dyDescent="0.2">
      <c r="A1210" s="2">
        <f ca="1">IFERROR(__xludf.DUMMYFUNCTION("""COMPUTED_VALUE"""),45699.6666666666)</f>
        <v>45699.666666666599</v>
      </c>
      <c r="B1210" s="2" t="s">
        <v>56</v>
      </c>
      <c r="C1210" s="1">
        <v>4750</v>
      </c>
      <c r="D1210" s="1">
        <v>4950</v>
      </c>
      <c r="E1210" s="1">
        <v>4750</v>
      </c>
      <c r="F1210" s="1">
        <v>4880</v>
      </c>
      <c r="G1210" s="1">
        <v>316743200</v>
      </c>
      <c r="H1210" s="4">
        <f t="shared" si="40"/>
        <v>-2.4E-2</v>
      </c>
      <c r="I1210" s="4">
        <f t="shared" si="41"/>
        <v>-0.14008810572687225</v>
      </c>
    </row>
    <row r="1211" spans="1:9" x14ac:dyDescent="0.2">
      <c r="A1211" s="2">
        <f ca="1">IFERROR(__xludf.DUMMYFUNCTION("""COMPUTED_VALUE"""),45700.6666666666)</f>
        <v>45700.666666666599</v>
      </c>
      <c r="B1211" s="2" t="s">
        <v>56</v>
      </c>
      <c r="C1211" s="1">
        <v>4920</v>
      </c>
      <c r="D1211" s="1">
        <v>4950</v>
      </c>
      <c r="E1211" s="1">
        <v>4830</v>
      </c>
      <c r="F1211" s="1">
        <v>4940</v>
      </c>
      <c r="G1211" s="1">
        <v>225073300</v>
      </c>
      <c r="H1211" s="4">
        <f t="shared" si="40"/>
        <v>1.2295081967213115E-2</v>
      </c>
      <c r="I1211" s="4">
        <f t="shared" si="41"/>
        <v>-0.12951541850220263</v>
      </c>
    </row>
    <row r="1212" spans="1:9" x14ac:dyDescent="0.2">
      <c r="A1212" s="2">
        <f ca="1">IFERROR(__xludf.DUMMYFUNCTION("""COMPUTED_VALUE"""),45701.6666666666)</f>
        <v>45701.666666666599</v>
      </c>
      <c r="B1212" s="2" t="s">
        <v>56</v>
      </c>
      <c r="C1212" s="1">
        <v>4940</v>
      </c>
      <c r="D1212" s="1">
        <v>5075</v>
      </c>
      <c r="E1212" s="1">
        <v>4900</v>
      </c>
      <c r="F1212" s="1">
        <v>5025</v>
      </c>
      <c r="G1212" s="1">
        <v>215271400</v>
      </c>
      <c r="H1212" s="4">
        <f t="shared" si="40"/>
        <v>1.7206477732793522E-2</v>
      </c>
      <c r="I1212" s="4">
        <f t="shared" si="41"/>
        <v>-0.11453744493392071</v>
      </c>
    </row>
    <row r="1213" spans="1:9" x14ac:dyDescent="0.2">
      <c r="A1213" s="2">
        <f ca="1">IFERROR(__xludf.DUMMYFUNCTION("""COMPUTED_VALUE"""),45702.6666666666)</f>
        <v>45702.666666666599</v>
      </c>
      <c r="B1213" s="2" t="s">
        <v>56</v>
      </c>
      <c r="C1213" s="1">
        <v>5100</v>
      </c>
      <c r="D1213" s="1">
        <v>5200</v>
      </c>
      <c r="E1213" s="1">
        <v>4970</v>
      </c>
      <c r="F1213" s="1">
        <v>5125</v>
      </c>
      <c r="G1213" s="1">
        <v>239709300</v>
      </c>
      <c r="H1213" s="4">
        <f t="shared" si="40"/>
        <v>1.9900497512437811E-2</v>
      </c>
      <c r="I1213" s="4">
        <f t="shared" si="41"/>
        <v>-9.6916299559471369E-2</v>
      </c>
    </row>
    <row r="1214" spans="1:9" x14ac:dyDescent="0.2">
      <c r="A1214" s="2">
        <f ca="1">IFERROR(__xludf.DUMMYFUNCTION("""COMPUTED_VALUE"""),45705.6666666666)</f>
        <v>45705.666666666599</v>
      </c>
      <c r="B1214" s="2" t="s">
        <v>56</v>
      </c>
      <c r="C1214" s="1">
        <v>5200</v>
      </c>
      <c r="D1214" s="1">
        <v>5475</v>
      </c>
      <c r="E1214" s="1">
        <v>5175</v>
      </c>
      <c r="F1214" s="1">
        <v>5425</v>
      </c>
      <c r="G1214" s="1">
        <v>223837300</v>
      </c>
      <c r="H1214" s="4">
        <f t="shared" si="40"/>
        <v>5.8536585365853662E-2</v>
      </c>
      <c r="I1214" s="4">
        <f t="shared" si="41"/>
        <v>-4.405286343612335E-2</v>
      </c>
    </row>
    <row r="1215" spans="1:9" x14ac:dyDescent="0.2">
      <c r="A1215" s="2">
        <f ca="1">IFERROR(__xludf.DUMMYFUNCTION("""COMPUTED_VALUE"""),45706.6666666666)</f>
        <v>45706.666666666599</v>
      </c>
      <c r="B1215" s="2" t="s">
        <v>56</v>
      </c>
      <c r="C1215" s="1">
        <v>5450</v>
      </c>
      <c r="D1215" s="1">
        <v>5550</v>
      </c>
      <c r="E1215" s="1">
        <v>5375</v>
      </c>
      <c r="F1215" s="1">
        <v>5450</v>
      </c>
      <c r="G1215" s="1">
        <v>157430200</v>
      </c>
      <c r="H1215" s="4">
        <f t="shared" si="40"/>
        <v>4.608294930875576E-3</v>
      </c>
      <c r="I1215" s="4">
        <f t="shared" si="41"/>
        <v>-3.9647577092511016E-2</v>
      </c>
    </row>
    <row r="1216" spans="1:9" x14ac:dyDescent="0.2">
      <c r="A1216" s="2">
        <f ca="1">IFERROR(__xludf.DUMMYFUNCTION("""COMPUTED_VALUE"""),45707.6666666666)</f>
        <v>45707.666666666599</v>
      </c>
      <c r="B1216" s="2" t="s">
        <v>56</v>
      </c>
      <c r="C1216" s="1">
        <v>5375</v>
      </c>
      <c r="D1216" s="1">
        <v>5400</v>
      </c>
      <c r="E1216" s="1">
        <v>5125</v>
      </c>
      <c r="F1216" s="1">
        <v>5175</v>
      </c>
      <c r="G1216" s="1">
        <v>204335500</v>
      </c>
      <c r="H1216" s="4">
        <f t="shared" si="40"/>
        <v>-5.0458715596330278E-2</v>
      </c>
      <c r="I1216" s="4">
        <f t="shared" si="41"/>
        <v>-8.8105726872246701E-2</v>
      </c>
    </row>
    <row r="1217" spans="1:9" x14ac:dyDescent="0.2">
      <c r="A1217" s="2">
        <f ca="1">IFERROR(__xludf.DUMMYFUNCTION("""COMPUTED_VALUE"""),45708.6666666666)</f>
        <v>45708.666666666599</v>
      </c>
      <c r="B1217" s="2" t="s">
        <v>56</v>
      </c>
      <c r="C1217" s="1">
        <v>5125</v>
      </c>
      <c r="D1217" s="1">
        <v>5225</v>
      </c>
      <c r="E1217" s="1">
        <v>5100</v>
      </c>
      <c r="F1217" s="1">
        <v>5150</v>
      </c>
      <c r="G1217" s="1">
        <v>98363500</v>
      </c>
      <c r="H1217" s="4">
        <f t="shared" si="40"/>
        <v>-4.830917874396135E-3</v>
      </c>
      <c r="I1217" s="4">
        <f t="shared" si="41"/>
        <v>-9.2511013215859028E-2</v>
      </c>
    </row>
    <row r="1218" spans="1:9" x14ac:dyDescent="0.2">
      <c r="A1218" s="2">
        <f ca="1">IFERROR(__xludf.DUMMYFUNCTION("""COMPUTED_VALUE"""),45709.6666666666)</f>
        <v>45709.666666666599</v>
      </c>
      <c r="B1218" s="2" t="s">
        <v>56</v>
      </c>
      <c r="C1218" s="1">
        <v>5000</v>
      </c>
      <c r="D1218" s="1">
        <v>5100</v>
      </c>
      <c r="E1218" s="1">
        <v>5000</v>
      </c>
      <c r="F1218" s="1">
        <v>5075</v>
      </c>
      <c r="G1218" s="1">
        <v>152528600</v>
      </c>
      <c r="H1218" s="4">
        <f t="shared" si="40"/>
        <v>-1.4563106796116505E-2</v>
      </c>
      <c r="I1218" s="4">
        <f t="shared" si="41"/>
        <v>-0.10572687224669604</v>
      </c>
    </row>
    <row r="1219" spans="1:9" x14ac:dyDescent="0.2">
      <c r="A1219" s="2">
        <f ca="1">IFERROR(__xludf.DUMMYFUNCTION("""COMPUTED_VALUE"""),45712.6666666666)</f>
        <v>45712.666666666599</v>
      </c>
      <c r="B1219" s="2" t="s">
        <v>56</v>
      </c>
      <c r="C1219" s="1">
        <v>5050</v>
      </c>
      <c r="D1219" s="1">
        <v>5075</v>
      </c>
      <c r="E1219" s="1">
        <v>4980</v>
      </c>
      <c r="F1219" s="1">
        <v>5025</v>
      </c>
      <c r="G1219" s="1">
        <v>127578500</v>
      </c>
      <c r="H1219" s="4">
        <f t="shared" si="40"/>
        <v>-9.852216748768473E-3</v>
      </c>
      <c r="I1219" s="4">
        <f t="shared" si="41"/>
        <v>-0.11453744493392071</v>
      </c>
    </row>
    <row r="1220" spans="1:9" x14ac:dyDescent="0.2">
      <c r="A1220" s="2">
        <f ca="1">IFERROR(__xludf.DUMMYFUNCTION("""COMPUTED_VALUE"""),45713.6666666666)</f>
        <v>45713.666666666599</v>
      </c>
      <c r="B1220" s="2" t="s">
        <v>56</v>
      </c>
      <c r="C1220" s="1">
        <v>5000</v>
      </c>
      <c r="D1220" s="1">
        <v>5025</v>
      </c>
      <c r="E1220" s="1">
        <v>4860</v>
      </c>
      <c r="F1220" s="1">
        <v>4870</v>
      </c>
      <c r="G1220" s="1">
        <v>224607800</v>
      </c>
      <c r="H1220" s="4">
        <f t="shared" si="40"/>
        <v>-3.0845771144278607E-2</v>
      </c>
      <c r="I1220" s="4">
        <f t="shared" si="41"/>
        <v>-0.14185022026431718</v>
      </c>
    </row>
    <row r="1221" spans="1:9" x14ac:dyDescent="0.2">
      <c r="A1221" s="2">
        <f ca="1">IFERROR(__xludf.DUMMYFUNCTION("""COMPUTED_VALUE"""),45714.6666666666)</f>
        <v>45714.666666666599</v>
      </c>
      <c r="B1221" s="2" t="s">
        <v>56</v>
      </c>
      <c r="C1221" s="1">
        <v>4860</v>
      </c>
      <c r="D1221" s="1">
        <v>4980</v>
      </c>
      <c r="E1221" s="1">
        <v>4850</v>
      </c>
      <c r="F1221" s="1">
        <v>4920</v>
      </c>
      <c r="G1221" s="1">
        <v>161836900</v>
      </c>
      <c r="H1221" s="4">
        <f t="shared" si="40"/>
        <v>1.0266940451745379E-2</v>
      </c>
      <c r="I1221" s="4">
        <f t="shared" si="41"/>
        <v>-0.13303964757709252</v>
      </c>
    </row>
    <row r="1222" spans="1:9" x14ac:dyDescent="0.2">
      <c r="A1222" s="2">
        <f ca="1">IFERROR(__xludf.DUMMYFUNCTION("""COMPUTED_VALUE"""),45715.6666666666)</f>
        <v>45715.666666666599</v>
      </c>
      <c r="B1222" s="2" t="s">
        <v>56</v>
      </c>
      <c r="C1222" s="1">
        <v>4930</v>
      </c>
      <c r="D1222" s="1">
        <v>4950</v>
      </c>
      <c r="E1222" s="1">
        <v>4660</v>
      </c>
      <c r="F1222" s="1">
        <v>4660</v>
      </c>
      <c r="G1222" s="1">
        <v>334919800</v>
      </c>
      <c r="H1222" s="4">
        <f t="shared" si="40"/>
        <v>-5.2845528455284556E-2</v>
      </c>
      <c r="I1222" s="4">
        <f t="shared" si="41"/>
        <v>-0.17885462555066078</v>
      </c>
    </row>
    <row r="1223" spans="1:9" x14ac:dyDescent="0.2">
      <c r="A1223" s="2">
        <f ca="1">IFERROR(__xludf.DUMMYFUNCTION("""COMPUTED_VALUE"""),45716.6666666666)</f>
        <v>45716.666666666599</v>
      </c>
      <c r="B1223" s="2" t="s">
        <v>56</v>
      </c>
      <c r="C1223" s="1">
        <v>4620</v>
      </c>
      <c r="D1223" s="1">
        <v>4690</v>
      </c>
      <c r="E1223" s="1">
        <v>4550</v>
      </c>
      <c r="F1223" s="1">
        <v>4600</v>
      </c>
      <c r="G1223" s="1">
        <v>464696700</v>
      </c>
      <c r="H1223" s="4">
        <f t="shared" si="40"/>
        <v>-1.2875536480686695E-2</v>
      </c>
      <c r="I1223" s="4">
        <f t="shared" si="41"/>
        <v>-0.1894273127753304</v>
      </c>
    </row>
    <row r="1224" spans="1:9" x14ac:dyDescent="0.2">
      <c r="A1224" s="2">
        <f ca="1">IFERROR(__xludf.DUMMYFUNCTION("""COMPUTED_VALUE"""),45719.6666666666)</f>
        <v>45719.666666666599</v>
      </c>
      <c r="B1224" s="2" t="s">
        <v>56</v>
      </c>
      <c r="C1224" s="1">
        <v>4750</v>
      </c>
      <c r="D1224" s="1">
        <v>4980</v>
      </c>
      <c r="E1224" s="1">
        <v>4700</v>
      </c>
      <c r="F1224" s="1">
        <v>4900</v>
      </c>
      <c r="G1224" s="1">
        <v>257118300</v>
      </c>
      <c r="H1224" s="4">
        <f t="shared" si="40"/>
        <v>6.5217391304347824E-2</v>
      </c>
      <c r="I1224" s="4">
        <f t="shared" si="41"/>
        <v>-0.13656387665198239</v>
      </c>
    </row>
    <row r="1225" spans="1:9" x14ac:dyDescent="0.2">
      <c r="A1225" s="2">
        <f ca="1">IFERROR(__xludf.DUMMYFUNCTION("""COMPUTED_VALUE"""),45720.6666666666)</f>
        <v>45720.666666666599</v>
      </c>
      <c r="B1225" s="2" t="s">
        <v>56</v>
      </c>
      <c r="C1225" s="1">
        <v>4900</v>
      </c>
      <c r="D1225" s="1">
        <v>4920</v>
      </c>
      <c r="E1225" s="1">
        <v>4750</v>
      </c>
      <c r="F1225" s="1">
        <v>4840</v>
      </c>
      <c r="G1225" s="1">
        <v>144346500</v>
      </c>
      <c r="H1225" s="4">
        <f t="shared" si="40"/>
        <v>-1.2244897959183673E-2</v>
      </c>
      <c r="I1225" s="4">
        <f t="shared" si="41"/>
        <v>-0.14713656387665197</v>
      </c>
    </row>
    <row r="1226" spans="1:9" x14ac:dyDescent="0.2">
      <c r="A1226" s="2">
        <f ca="1">IFERROR(__xludf.DUMMYFUNCTION("""COMPUTED_VALUE"""),45721.6666666666)</f>
        <v>45721.666666666599</v>
      </c>
      <c r="B1226" s="2" t="s">
        <v>56</v>
      </c>
      <c r="C1226" s="1">
        <v>4860</v>
      </c>
      <c r="D1226" s="1">
        <v>5050</v>
      </c>
      <c r="E1226" s="1">
        <v>4860</v>
      </c>
      <c r="F1226" s="1">
        <v>4860</v>
      </c>
      <c r="G1226" s="1">
        <v>252222800</v>
      </c>
      <c r="H1226" s="4">
        <f t="shared" si="40"/>
        <v>4.1322314049586778E-3</v>
      </c>
      <c r="I1226" s="4">
        <f t="shared" si="41"/>
        <v>-0.14361233480176211</v>
      </c>
    </row>
    <row r="1227" spans="1:9" x14ac:dyDescent="0.2">
      <c r="A1227" s="2">
        <f ca="1">IFERROR(__xludf.DUMMYFUNCTION("""COMPUTED_VALUE"""),45722.6666666666)</f>
        <v>45722.666666666599</v>
      </c>
      <c r="B1227" s="2" t="s">
        <v>56</v>
      </c>
      <c r="C1227" s="1">
        <v>4910</v>
      </c>
      <c r="D1227" s="1">
        <v>4980</v>
      </c>
      <c r="E1227" s="1">
        <v>4870</v>
      </c>
      <c r="F1227" s="1">
        <v>4870</v>
      </c>
      <c r="G1227" s="1">
        <v>194909200</v>
      </c>
      <c r="H1227" s="4">
        <f t="shared" si="40"/>
        <v>2.05761316872428E-3</v>
      </c>
      <c r="I1227" s="4">
        <f t="shared" si="41"/>
        <v>-0.14185022026431718</v>
      </c>
    </row>
    <row r="1228" spans="1:9" x14ac:dyDescent="0.2">
      <c r="A1228" s="2">
        <f ca="1">IFERROR(__xludf.DUMMYFUNCTION("""COMPUTED_VALUE"""),45723.6666666666)</f>
        <v>45723.666666666599</v>
      </c>
      <c r="B1228" s="2" t="s">
        <v>56</v>
      </c>
      <c r="C1228" s="1">
        <v>4870</v>
      </c>
      <c r="D1228" s="1">
        <v>4870</v>
      </c>
      <c r="E1228" s="1">
        <v>4810</v>
      </c>
      <c r="F1228" s="1">
        <v>4840</v>
      </c>
      <c r="G1228" s="1">
        <v>117916600</v>
      </c>
      <c r="H1228" s="4">
        <f t="shared" si="40"/>
        <v>-6.1601642710472282E-3</v>
      </c>
      <c r="I1228" s="4">
        <f t="shared" si="41"/>
        <v>-0.14713656387665197</v>
      </c>
    </row>
    <row r="1229" spans="1:9" x14ac:dyDescent="0.2">
      <c r="A1229" s="2">
        <f ca="1">IFERROR(__xludf.DUMMYFUNCTION("""COMPUTED_VALUE"""),45726.6666666666)</f>
        <v>45726.666666666599</v>
      </c>
      <c r="B1229" s="2" t="s">
        <v>56</v>
      </c>
      <c r="C1229" s="1">
        <v>4730</v>
      </c>
      <c r="D1229" s="1">
        <v>4760</v>
      </c>
      <c r="E1229" s="1">
        <v>4660</v>
      </c>
      <c r="F1229" s="1">
        <v>4710</v>
      </c>
      <c r="G1229" s="1">
        <v>231152200</v>
      </c>
      <c r="H1229" s="4">
        <f t="shared" si="40"/>
        <v>-2.6859504132231406E-2</v>
      </c>
      <c r="I1229" s="4">
        <f t="shared" si="41"/>
        <v>-0.17004405286343613</v>
      </c>
    </row>
    <row r="1230" spans="1:9" x14ac:dyDescent="0.2">
      <c r="A1230" s="2">
        <f ca="1">IFERROR(__xludf.DUMMYFUNCTION("""COMPUTED_VALUE"""),45727.6666666666)</f>
        <v>45727.666666666599</v>
      </c>
      <c r="B1230" s="2" t="s">
        <v>56</v>
      </c>
      <c r="C1230" s="1">
        <v>4650</v>
      </c>
      <c r="D1230" s="1">
        <v>4780</v>
      </c>
      <c r="E1230" s="1">
        <v>4640</v>
      </c>
      <c r="F1230" s="1">
        <v>4740</v>
      </c>
      <c r="G1230" s="1">
        <v>150738100</v>
      </c>
      <c r="H1230" s="4">
        <f t="shared" si="40"/>
        <v>6.369426751592357E-3</v>
      </c>
      <c r="I1230" s="4">
        <f t="shared" si="41"/>
        <v>-0.16475770925110131</v>
      </c>
    </row>
    <row r="1231" spans="1:9" x14ac:dyDescent="0.2">
      <c r="A1231" s="2">
        <f ca="1">IFERROR(__xludf.DUMMYFUNCTION("""COMPUTED_VALUE"""),45728.6666666666)</f>
        <v>45728.666666666599</v>
      </c>
      <c r="B1231" s="2" t="s">
        <v>56</v>
      </c>
      <c r="C1231" s="1">
        <v>4750</v>
      </c>
      <c r="D1231" s="1">
        <v>4880</v>
      </c>
      <c r="E1231" s="1">
        <v>4750</v>
      </c>
      <c r="F1231" s="1">
        <v>4880</v>
      </c>
      <c r="G1231" s="1">
        <v>129973900</v>
      </c>
      <c r="H1231" s="4">
        <f t="shared" si="40"/>
        <v>2.9535864978902954E-2</v>
      </c>
      <c r="I1231" s="4">
        <f t="shared" si="41"/>
        <v>-0.14008810572687225</v>
      </c>
    </row>
    <row r="1232" spans="1:9" x14ac:dyDescent="0.2">
      <c r="A1232" s="2">
        <f ca="1">IFERROR(__xludf.DUMMYFUNCTION("""COMPUTED_VALUE"""),45729.6666666666)</f>
        <v>45729.666666666599</v>
      </c>
      <c r="B1232" s="2" t="s">
        <v>56</v>
      </c>
      <c r="C1232" s="1">
        <v>4940</v>
      </c>
      <c r="D1232" s="1">
        <v>4940</v>
      </c>
      <c r="E1232" s="1">
        <v>4710</v>
      </c>
      <c r="F1232" s="1">
        <v>4740</v>
      </c>
      <c r="G1232" s="1">
        <v>176286000</v>
      </c>
      <c r="H1232" s="4">
        <f t="shared" si="40"/>
        <v>-2.8688524590163935E-2</v>
      </c>
      <c r="I1232" s="4">
        <f t="shared" si="41"/>
        <v>-0.16475770925110131</v>
      </c>
    </row>
    <row r="1233" spans="1:9" x14ac:dyDescent="0.2">
      <c r="A1233" s="2">
        <f ca="1">IFERROR(__xludf.DUMMYFUNCTION("""COMPUTED_VALUE"""),45730.6666666666)</f>
        <v>45730.666666666599</v>
      </c>
      <c r="B1233" s="2" t="s">
        <v>56</v>
      </c>
      <c r="C1233" s="1">
        <v>4640</v>
      </c>
      <c r="D1233" s="1">
        <v>4800</v>
      </c>
      <c r="E1233" s="1">
        <v>4640</v>
      </c>
      <c r="F1233" s="1">
        <v>4740</v>
      </c>
      <c r="G1233" s="1">
        <v>154331400</v>
      </c>
      <c r="H1233" s="4">
        <f t="shared" si="40"/>
        <v>0</v>
      </c>
      <c r="I1233" s="4">
        <f t="shared" si="41"/>
        <v>-0.16475770925110131</v>
      </c>
    </row>
    <row r="1234" spans="1:9" x14ac:dyDescent="0.2">
      <c r="A1234" s="2">
        <f ca="1">IFERROR(__xludf.DUMMYFUNCTION("""COMPUTED_VALUE"""),45733.6666666666)</f>
        <v>45733.666666666599</v>
      </c>
      <c r="B1234" s="2" t="s">
        <v>56</v>
      </c>
      <c r="C1234" s="1">
        <v>4740</v>
      </c>
      <c r="D1234" s="1">
        <v>4770</v>
      </c>
      <c r="E1234" s="1">
        <v>4660</v>
      </c>
      <c r="F1234" s="1">
        <v>4680</v>
      </c>
      <c r="G1234" s="1">
        <v>135692800</v>
      </c>
      <c r="H1234" s="4">
        <f t="shared" si="40"/>
        <v>-1.2658227848101266E-2</v>
      </c>
      <c r="I1234" s="4">
        <f t="shared" si="41"/>
        <v>-0.17533039647577092</v>
      </c>
    </row>
    <row r="1235" spans="1:9" x14ac:dyDescent="0.2">
      <c r="A1235" s="2">
        <f ca="1">IFERROR(__xludf.DUMMYFUNCTION("""COMPUTED_VALUE"""),45734.6666666666)</f>
        <v>45734.666666666599</v>
      </c>
      <c r="B1235" s="2" t="s">
        <v>56</v>
      </c>
      <c r="C1235" s="1">
        <v>4680</v>
      </c>
      <c r="D1235" s="1">
        <v>4690</v>
      </c>
      <c r="E1235" s="1">
        <v>4300</v>
      </c>
      <c r="F1235" s="1">
        <v>4530</v>
      </c>
      <c r="G1235" s="1">
        <v>387565100</v>
      </c>
      <c r="H1235" s="4">
        <f t="shared" si="40"/>
        <v>-3.2051282051282048E-2</v>
      </c>
      <c r="I1235" s="4">
        <f t="shared" si="41"/>
        <v>-0.20176211453744494</v>
      </c>
    </row>
    <row r="1236" spans="1:9" x14ac:dyDescent="0.2">
      <c r="A1236" s="2">
        <f ca="1">IFERROR(__xludf.DUMMYFUNCTION("""COMPUTED_VALUE"""),45735.6666666666)</f>
        <v>45735.666666666599</v>
      </c>
      <c r="B1236" s="2" t="s">
        <v>56</v>
      </c>
      <c r="C1236" s="1">
        <v>4530</v>
      </c>
      <c r="D1236" s="1">
        <v>4700</v>
      </c>
      <c r="E1236" s="1">
        <v>4440</v>
      </c>
      <c r="F1236" s="1">
        <v>4680</v>
      </c>
      <c r="G1236" s="1">
        <v>273084800</v>
      </c>
      <c r="H1236" s="4">
        <f t="shared" si="40"/>
        <v>3.3112582781456956E-2</v>
      </c>
      <c r="I1236" s="4">
        <f t="shared" si="41"/>
        <v>-0.17533039647577092</v>
      </c>
    </row>
    <row r="1237" spans="1:9" x14ac:dyDescent="0.2">
      <c r="A1237" s="2">
        <f ca="1">IFERROR(__xludf.DUMMYFUNCTION("""COMPUTED_VALUE"""),45736.6666666666)</f>
        <v>45736.666666666599</v>
      </c>
      <c r="B1237" s="2" t="s">
        <v>56</v>
      </c>
      <c r="C1237" s="1">
        <v>4760</v>
      </c>
      <c r="D1237" s="1">
        <v>4770</v>
      </c>
      <c r="E1237" s="1">
        <v>4610</v>
      </c>
      <c r="F1237" s="1">
        <v>4620</v>
      </c>
      <c r="G1237" s="1">
        <v>138209700</v>
      </c>
      <c r="H1237" s="4">
        <f t="shared" si="40"/>
        <v>-1.282051282051282E-2</v>
      </c>
      <c r="I1237" s="4">
        <f t="shared" si="41"/>
        <v>-0.18590308370044054</v>
      </c>
    </row>
    <row r="1238" spans="1:9" x14ac:dyDescent="0.2">
      <c r="A1238" s="2">
        <f ca="1">IFERROR(__xludf.DUMMYFUNCTION("""COMPUTED_VALUE"""),45737.6666666666)</f>
        <v>45737.666666666599</v>
      </c>
      <c r="B1238" s="2" t="s">
        <v>56</v>
      </c>
      <c r="C1238" s="1">
        <v>4600</v>
      </c>
      <c r="D1238" s="1">
        <v>4610</v>
      </c>
      <c r="E1238" s="1">
        <v>4380</v>
      </c>
      <c r="F1238" s="1">
        <v>4410</v>
      </c>
      <c r="G1238" s="1">
        <v>374396400</v>
      </c>
      <c r="H1238" s="4">
        <f t="shared" si="40"/>
        <v>-4.5454545454545456E-2</v>
      </c>
      <c r="I1238" s="4">
        <f t="shared" si="41"/>
        <v>-0.22290748898678414</v>
      </c>
    </row>
    <row r="1239" spans="1:9" x14ac:dyDescent="0.2">
      <c r="A1239" s="2">
        <f ca="1">IFERROR(__xludf.DUMMYFUNCTION("""COMPUTED_VALUE"""),45740.6666666666)</f>
        <v>45740.666666666599</v>
      </c>
      <c r="B1239" s="2" t="s">
        <v>56</v>
      </c>
      <c r="C1239" s="1">
        <v>4350</v>
      </c>
      <c r="D1239" s="1">
        <v>4530</v>
      </c>
      <c r="E1239" s="1">
        <v>4250</v>
      </c>
      <c r="F1239" s="1">
        <v>4460</v>
      </c>
      <c r="G1239" s="1">
        <v>319017400</v>
      </c>
      <c r="H1239" s="4">
        <f t="shared" si="40"/>
        <v>1.1337868480725623E-2</v>
      </c>
      <c r="I1239" s="4">
        <f t="shared" si="41"/>
        <v>-0.21409691629955946</v>
      </c>
    </row>
    <row r="1240" spans="1:9" x14ac:dyDescent="0.2">
      <c r="A1240" s="2">
        <f ca="1">IFERROR(__xludf.DUMMYFUNCTION("""COMPUTED_VALUE"""),45741.6666666666)</f>
        <v>45741.666666666599</v>
      </c>
      <c r="B1240" s="2" t="s">
        <v>56</v>
      </c>
      <c r="C1240" s="1">
        <v>4500</v>
      </c>
      <c r="D1240" s="1">
        <v>4810</v>
      </c>
      <c r="E1240" s="1">
        <v>4500</v>
      </c>
      <c r="F1240" s="1">
        <v>4740</v>
      </c>
      <c r="G1240" s="1">
        <v>313034100</v>
      </c>
      <c r="H1240" s="4">
        <f t="shared" si="40"/>
        <v>6.2780269058295965E-2</v>
      </c>
      <c r="I1240" s="4">
        <f t="shared" si="41"/>
        <v>-0.16475770925110131</v>
      </c>
    </row>
    <row r="1241" spans="1:9" x14ac:dyDescent="0.2">
      <c r="A1241" s="2">
        <f ca="1">IFERROR(__xludf.DUMMYFUNCTION("""COMPUTED_VALUE"""),45742.6666666666)</f>
        <v>45742.666666666599</v>
      </c>
      <c r="B1241" s="2" t="s">
        <v>56</v>
      </c>
      <c r="C1241" s="1">
        <v>4980</v>
      </c>
      <c r="D1241" s="1">
        <v>5175</v>
      </c>
      <c r="E1241" s="1">
        <v>4930</v>
      </c>
      <c r="F1241" s="1">
        <v>5150</v>
      </c>
      <c r="G1241" s="1">
        <v>582172700</v>
      </c>
      <c r="H1241" s="4">
        <f t="shared" si="40"/>
        <v>8.6497890295358648E-2</v>
      </c>
      <c r="I1241" s="4">
        <f t="shared" si="41"/>
        <v>-9.2511013215859028E-2</v>
      </c>
    </row>
    <row r="1242" spans="1:9" x14ac:dyDescent="0.2">
      <c r="A1242" s="2">
        <f ca="1">IFERROR(__xludf.DUMMYFUNCTION("""COMPUTED_VALUE"""),45743.6666666666)</f>
        <v>45743.666666666599</v>
      </c>
      <c r="B1242" s="2" t="s">
        <v>56</v>
      </c>
      <c r="C1242" s="1">
        <v>5150</v>
      </c>
      <c r="D1242" s="1">
        <v>5250</v>
      </c>
      <c r="E1242" s="1">
        <v>5050</v>
      </c>
      <c r="F1242" s="1">
        <v>5200</v>
      </c>
      <c r="G1242" s="1">
        <v>301025300</v>
      </c>
      <c r="H1242" s="4">
        <f t="shared" si="40"/>
        <v>9.7087378640776691E-3</v>
      </c>
      <c r="I1242" s="4">
        <f t="shared" si="41"/>
        <v>-8.3700440528634359E-2</v>
      </c>
    </row>
    <row r="1243" spans="1:9" x14ac:dyDescent="0.2">
      <c r="A1243" s="2">
        <f ca="1">IFERROR(__xludf.DUMMYFUNCTION("""COMPUTED_VALUE"""),45755.6666666666)</f>
        <v>45755.666666666599</v>
      </c>
      <c r="B1243" s="2" t="s">
        <v>56</v>
      </c>
      <c r="C1243" s="1">
        <v>4500</v>
      </c>
      <c r="D1243" s="1">
        <v>4830</v>
      </c>
      <c r="E1243" s="1">
        <v>4500</v>
      </c>
      <c r="F1243" s="1">
        <v>4670</v>
      </c>
      <c r="G1243" s="1">
        <v>738455000</v>
      </c>
      <c r="H1243" s="4">
        <f t="shared" si="40"/>
        <v>-0.10192307692307692</v>
      </c>
      <c r="I1243" s="4">
        <f t="shared" si="41"/>
        <v>-0.17709251101321585</v>
      </c>
    </row>
    <row r="1244" spans="1:9" x14ac:dyDescent="0.2">
      <c r="A1244" s="2">
        <f ca="1">IFERROR(__xludf.DUMMYFUNCTION("""COMPUTED_VALUE"""),45756.6666666666)</f>
        <v>45756.666666666599</v>
      </c>
      <c r="B1244" s="2" t="s">
        <v>56</v>
      </c>
      <c r="C1244" s="1">
        <v>4630</v>
      </c>
      <c r="D1244" s="1">
        <v>4790</v>
      </c>
      <c r="E1244" s="1">
        <v>4630</v>
      </c>
      <c r="F1244" s="1">
        <v>4710</v>
      </c>
      <c r="G1244" s="1">
        <v>316821100</v>
      </c>
      <c r="H1244" s="4">
        <f t="shared" si="40"/>
        <v>8.5653104925053538E-3</v>
      </c>
      <c r="I1244" s="4">
        <f t="shared" si="41"/>
        <v>-0.17004405286343613</v>
      </c>
    </row>
    <row r="1245" spans="1:9" x14ac:dyDescent="0.2">
      <c r="A1245" s="2">
        <f ca="1">IFERROR(__xludf.DUMMYFUNCTION("""COMPUTED_VALUE"""),45757.6666666666)</f>
        <v>45757.666666666599</v>
      </c>
      <c r="B1245" s="2" t="s">
        <v>56</v>
      </c>
      <c r="C1245" s="1">
        <v>5200</v>
      </c>
      <c r="D1245" s="1">
        <v>5225</v>
      </c>
      <c r="E1245" s="1">
        <v>4970</v>
      </c>
      <c r="F1245" s="1">
        <v>5025</v>
      </c>
      <c r="G1245" s="1">
        <v>559966600</v>
      </c>
      <c r="H1245" s="4">
        <f t="shared" si="40"/>
        <v>6.6878980891719744E-2</v>
      </c>
      <c r="I1245" s="4">
        <f t="shared" si="41"/>
        <v>-0.11453744493392071</v>
      </c>
    </row>
    <row r="1246" spans="1:9" x14ac:dyDescent="0.2">
      <c r="A1246" s="2">
        <f ca="1">IFERROR(__xludf.DUMMYFUNCTION("""COMPUTED_VALUE"""),45758.6666666666)</f>
        <v>45758.666666666599</v>
      </c>
      <c r="B1246" s="2" t="s">
        <v>56</v>
      </c>
      <c r="C1246" s="1">
        <v>5000</v>
      </c>
      <c r="D1246" s="1">
        <v>5175</v>
      </c>
      <c r="E1246" s="1">
        <v>4950</v>
      </c>
      <c r="F1246" s="1">
        <v>5100</v>
      </c>
      <c r="G1246" s="1">
        <v>384917500</v>
      </c>
      <c r="H1246" s="4">
        <f t="shared" si="40"/>
        <v>1.4925373134328358E-2</v>
      </c>
      <c r="I1246" s="4">
        <f t="shared" si="41"/>
        <v>-0.1013215859030837</v>
      </c>
    </row>
    <row r="1247" spans="1:9" x14ac:dyDescent="0.2">
      <c r="A1247" s="2">
        <f ca="1">IFERROR(__xludf.DUMMYFUNCTION("""COMPUTED_VALUE"""),45761.6666666666)</f>
        <v>45761.666666666599</v>
      </c>
      <c r="B1247" s="2" t="s">
        <v>56</v>
      </c>
      <c r="C1247" s="1">
        <v>4650</v>
      </c>
      <c r="D1247" s="1">
        <v>4750</v>
      </c>
      <c r="E1247" s="1">
        <v>4650</v>
      </c>
      <c r="F1247" s="1">
        <v>4750</v>
      </c>
      <c r="G1247" s="1">
        <v>423716000</v>
      </c>
      <c r="H1247" s="4">
        <f t="shared" si="40"/>
        <v>-6.8627450980392163E-2</v>
      </c>
      <c r="I1247" s="4">
        <f t="shared" si="41"/>
        <v>-0.16299559471365638</v>
      </c>
    </row>
    <row r="1248" spans="1:9" x14ac:dyDescent="0.2">
      <c r="A1248" s="2">
        <f ca="1">IFERROR(__xludf.DUMMYFUNCTION("""COMPUTED_VALUE"""),45762.6666666666)</f>
        <v>45762.666666666599</v>
      </c>
      <c r="B1248" s="2" t="s">
        <v>56</v>
      </c>
      <c r="C1248" s="1">
        <v>4800</v>
      </c>
      <c r="D1248" s="1">
        <v>4820</v>
      </c>
      <c r="E1248" s="1">
        <v>4710</v>
      </c>
      <c r="F1248" s="1">
        <v>4710</v>
      </c>
      <c r="G1248" s="1">
        <v>230981700</v>
      </c>
      <c r="H1248" s="4">
        <f t="shared" si="40"/>
        <v>-8.4210526315789472E-3</v>
      </c>
      <c r="I1248" s="4">
        <f t="shared" si="41"/>
        <v>-0.17004405286343613</v>
      </c>
    </row>
    <row r="1249" spans="1:9" x14ac:dyDescent="0.2">
      <c r="A1249" s="2">
        <f ca="1">IFERROR(__xludf.DUMMYFUNCTION("""COMPUTED_VALUE"""),45763.6666666666)</f>
        <v>45763.666666666599</v>
      </c>
      <c r="B1249" s="2" t="s">
        <v>56</v>
      </c>
      <c r="C1249" s="1">
        <v>4740</v>
      </c>
      <c r="D1249" s="1">
        <v>4750</v>
      </c>
      <c r="E1249" s="1">
        <v>4590</v>
      </c>
      <c r="F1249" s="1">
        <v>4630</v>
      </c>
      <c r="G1249" s="1">
        <v>201660000</v>
      </c>
      <c r="H1249" s="4">
        <f t="shared" si="40"/>
        <v>-1.6985138004246284E-2</v>
      </c>
      <c r="I1249" s="4">
        <f t="shared" si="41"/>
        <v>-0.1841409691629956</v>
      </c>
    </row>
    <row r="1250" spans="1:9" x14ac:dyDescent="0.2">
      <c r="A1250" s="2">
        <f ca="1">IFERROR(__xludf.DUMMYFUNCTION("""COMPUTED_VALUE"""),45764.6666666666)</f>
        <v>45764.666666666599</v>
      </c>
      <c r="B1250" s="2" t="s">
        <v>56</v>
      </c>
      <c r="C1250" s="1">
        <v>4630</v>
      </c>
      <c r="D1250" s="1">
        <v>4660</v>
      </c>
      <c r="E1250" s="1">
        <v>4570</v>
      </c>
      <c r="F1250" s="1">
        <v>4600</v>
      </c>
      <c r="G1250" s="1">
        <v>165381400</v>
      </c>
      <c r="H1250" s="4">
        <f t="shared" si="40"/>
        <v>-6.4794816414686825E-3</v>
      </c>
      <c r="I1250" s="4">
        <f t="shared" si="41"/>
        <v>-0.1894273127753304</v>
      </c>
    </row>
    <row r="1251" spans="1:9" x14ac:dyDescent="0.2">
      <c r="A1251" s="2">
        <f ca="1">IFERROR(__xludf.DUMMYFUNCTION("""COMPUTED_VALUE"""),45768.6666666666)</f>
        <v>45768.666666666599</v>
      </c>
      <c r="B1251" s="2" t="s">
        <v>56</v>
      </c>
      <c r="C1251" s="1">
        <v>4600</v>
      </c>
      <c r="D1251" s="1">
        <v>4640</v>
      </c>
      <c r="E1251" s="1">
        <v>4560</v>
      </c>
      <c r="F1251" s="1">
        <v>4610</v>
      </c>
      <c r="G1251" s="1">
        <v>83034600</v>
      </c>
      <c r="H1251" s="4">
        <f t="shared" si="40"/>
        <v>2.1739130434782609E-3</v>
      </c>
      <c r="I1251" s="4">
        <f t="shared" si="41"/>
        <v>-0.18766519823788547</v>
      </c>
    </row>
    <row r="1252" spans="1:9" x14ac:dyDescent="0.2">
      <c r="A1252" s="2">
        <f ca="1">IFERROR(__xludf.DUMMYFUNCTION("""COMPUTED_VALUE"""),45769.6666666666)</f>
        <v>45769.666666666599</v>
      </c>
      <c r="B1252" s="2" t="s">
        <v>56</v>
      </c>
      <c r="C1252" s="1">
        <v>4610</v>
      </c>
      <c r="D1252" s="1">
        <v>4720</v>
      </c>
      <c r="E1252" s="1">
        <v>4590</v>
      </c>
      <c r="F1252" s="1">
        <v>4720</v>
      </c>
      <c r="G1252" s="1">
        <v>126426200</v>
      </c>
      <c r="H1252" s="4">
        <f t="shared" si="40"/>
        <v>2.3861171366594359E-2</v>
      </c>
      <c r="I1252" s="4">
        <f t="shared" si="41"/>
        <v>-0.1682819383259912</v>
      </c>
    </row>
    <row r="1253" spans="1:9" x14ac:dyDescent="0.2">
      <c r="A1253" s="2">
        <f ca="1">IFERROR(__xludf.DUMMYFUNCTION("""COMPUTED_VALUE"""),45770.6666666666)</f>
        <v>45770.666666666599</v>
      </c>
      <c r="B1253" s="2" t="s">
        <v>56</v>
      </c>
      <c r="C1253" s="1">
        <v>4780</v>
      </c>
      <c r="D1253" s="1">
        <v>4900</v>
      </c>
      <c r="E1253" s="1">
        <v>4740</v>
      </c>
      <c r="F1253" s="1">
        <v>4900</v>
      </c>
      <c r="G1253" s="1">
        <v>273395600</v>
      </c>
      <c r="H1253" s="4">
        <f t="shared" si="40"/>
        <v>3.8135593220338986E-2</v>
      </c>
      <c r="I1253" s="4">
        <f t="shared" si="41"/>
        <v>-0.13656387665198239</v>
      </c>
    </row>
    <row r="1254" spans="1:9" x14ac:dyDescent="0.2">
      <c r="A1254" s="2">
        <f ca="1">IFERROR(__xludf.DUMMYFUNCTION("""COMPUTED_VALUE"""),45771.6666666666)</f>
        <v>45771.666666666599</v>
      </c>
      <c r="B1254" s="2" t="s">
        <v>56</v>
      </c>
      <c r="C1254" s="1">
        <v>4950</v>
      </c>
      <c r="D1254" s="1">
        <v>5025</v>
      </c>
      <c r="E1254" s="1">
        <v>4860</v>
      </c>
      <c r="F1254" s="1">
        <v>4890</v>
      </c>
      <c r="G1254" s="1">
        <v>282970000</v>
      </c>
      <c r="H1254" s="4">
        <f t="shared" si="40"/>
        <v>-2.0408163265306124E-3</v>
      </c>
      <c r="I1254" s="4">
        <f t="shared" si="41"/>
        <v>-0.13832599118942732</v>
      </c>
    </row>
    <row r="1255" spans="1:9" x14ac:dyDescent="0.2">
      <c r="A1255" s="2">
        <f ca="1">IFERROR(__xludf.DUMMYFUNCTION("""COMPUTED_VALUE"""),45772.6666666666)</f>
        <v>45772.666666666599</v>
      </c>
      <c r="B1255" s="2" t="s">
        <v>56</v>
      </c>
      <c r="C1255" s="1">
        <v>4960</v>
      </c>
      <c r="D1255" s="1">
        <v>4960</v>
      </c>
      <c r="E1255" s="1">
        <v>4900</v>
      </c>
      <c r="F1255" s="1">
        <v>4900</v>
      </c>
      <c r="G1255" s="1">
        <v>134208400</v>
      </c>
      <c r="H1255" s="4">
        <f t="shared" si="40"/>
        <v>2.0449897750511249E-3</v>
      </c>
      <c r="I1255" s="4">
        <f t="shared" si="41"/>
        <v>-0.13656387665198239</v>
      </c>
    </row>
    <row r="1256" spans="1:9" x14ac:dyDescent="0.2">
      <c r="A1256" s="2">
        <f ca="1">IFERROR(__xludf.DUMMYFUNCTION("""COMPUTED_VALUE"""),45775.6666666666)</f>
        <v>45775.666666666599</v>
      </c>
      <c r="B1256" s="2" t="s">
        <v>56</v>
      </c>
      <c r="C1256" s="1">
        <v>4950</v>
      </c>
      <c r="D1256" s="1">
        <v>4980</v>
      </c>
      <c r="E1256" s="1">
        <v>4890</v>
      </c>
      <c r="F1256" s="1">
        <v>4920</v>
      </c>
      <c r="G1256" s="1">
        <v>90697900</v>
      </c>
      <c r="H1256" s="4">
        <f t="shared" si="40"/>
        <v>4.0816326530612249E-3</v>
      </c>
      <c r="I1256" s="4">
        <f t="shared" si="41"/>
        <v>-0.13303964757709252</v>
      </c>
    </row>
    <row r="1257" spans="1:9" x14ac:dyDescent="0.2">
      <c r="A1257" s="2">
        <f ca="1">IFERROR(__xludf.DUMMYFUNCTION("""COMPUTED_VALUE"""),45776.6666666666)</f>
        <v>45776.666666666599</v>
      </c>
      <c r="B1257" s="2" t="s">
        <v>56</v>
      </c>
      <c r="C1257" s="1">
        <v>4930</v>
      </c>
      <c r="D1257" s="1">
        <v>4950</v>
      </c>
      <c r="E1257" s="1">
        <v>4880</v>
      </c>
      <c r="F1257" s="1">
        <v>4940</v>
      </c>
      <c r="G1257" s="1">
        <v>108857600</v>
      </c>
      <c r="H1257" s="4">
        <f t="shared" si="40"/>
        <v>4.0650406504065045E-3</v>
      </c>
      <c r="I1257" s="4">
        <f t="shared" si="41"/>
        <v>-0.12951541850220263</v>
      </c>
    </row>
    <row r="1258" spans="1:9" x14ac:dyDescent="0.2">
      <c r="A1258" s="2">
        <f ca="1">IFERROR(__xludf.DUMMYFUNCTION("""COMPUTED_VALUE"""),45777.6666666666)</f>
        <v>45777.666666666599</v>
      </c>
      <c r="B1258" s="2" t="s">
        <v>56</v>
      </c>
      <c r="C1258" s="1">
        <v>4900</v>
      </c>
      <c r="D1258" s="1">
        <v>4920</v>
      </c>
      <c r="E1258" s="1">
        <v>4810</v>
      </c>
      <c r="F1258" s="1">
        <v>4890</v>
      </c>
      <c r="G1258" s="1">
        <v>278360600</v>
      </c>
      <c r="H1258" s="4">
        <f t="shared" si="40"/>
        <v>-1.0121457489878543E-2</v>
      </c>
      <c r="I1258" s="4">
        <f t="shared" si="41"/>
        <v>-0.13832599118942732</v>
      </c>
    </row>
    <row r="1259" spans="1:9" x14ac:dyDescent="0.2">
      <c r="A1259" s="2">
        <f ca="1">IFERROR(__xludf.DUMMYFUNCTION("""COMPUTED_VALUE"""),45779.6666666666)</f>
        <v>45779.666666666599</v>
      </c>
      <c r="B1259" s="2" t="s">
        <v>56</v>
      </c>
      <c r="C1259" s="1">
        <v>4980</v>
      </c>
      <c r="D1259" s="1">
        <v>4980</v>
      </c>
      <c r="E1259" s="1">
        <v>4910</v>
      </c>
      <c r="F1259" s="1">
        <v>4960</v>
      </c>
      <c r="G1259" s="1">
        <v>146800800</v>
      </c>
      <c r="H1259" s="4">
        <f t="shared" si="40"/>
        <v>1.4314928425357873E-2</v>
      </c>
      <c r="I1259" s="4">
        <f t="shared" si="41"/>
        <v>-0.12599118942731277</v>
      </c>
    </row>
    <row r="1260" spans="1:9" x14ac:dyDescent="0.2">
      <c r="A1260" s="2">
        <f ca="1">IFERROR(__xludf.DUMMYFUNCTION("""COMPUTED_VALUE"""),45782.6666666666)</f>
        <v>45782.666666666599</v>
      </c>
      <c r="B1260" s="2" t="s">
        <v>56</v>
      </c>
      <c r="C1260" s="1">
        <v>4990</v>
      </c>
      <c r="D1260" s="1">
        <v>5100</v>
      </c>
      <c r="E1260" s="1">
        <v>4960</v>
      </c>
      <c r="F1260" s="1">
        <v>4980</v>
      </c>
      <c r="G1260" s="1">
        <v>154073100</v>
      </c>
      <c r="H1260" s="4">
        <f t="shared" si="40"/>
        <v>4.0322580645161289E-3</v>
      </c>
      <c r="I1260" s="4">
        <f t="shared" si="41"/>
        <v>-0.12246696035242291</v>
      </c>
    </row>
    <row r="1261" spans="1:9" x14ac:dyDescent="0.2">
      <c r="A1261" s="2">
        <f ca="1">IFERROR(__xludf.DUMMYFUNCTION("""COMPUTED_VALUE"""),45783.6666666666)</f>
        <v>45783.666666666599</v>
      </c>
      <c r="B1261" s="2" t="s">
        <v>56</v>
      </c>
      <c r="C1261" s="1">
        <v>5025</v>
      </c>
      <c r="D1261" s="1">
        <v>5050</v>
      </c>
      <c r="E1261" s="1">
        <v>4980</v>
      </c>
      <c r="F1261" s="1">
        <v>4980</v>
      </c>
      <c r="G1261" s="1">
        <v>120165500</v>
      </c>
      <c r="H1261" s="4">
        <f t="shared" si="40"/>
        <v>0</v>
      </c>
      <c r="I1261" s="4">
        <f t="shared" si="41"/>
        <v>-0.12246696035242291</v>
      </c>
    </row>
    <row r="1262" spans="1:9" x14ac:dyDescent="0.2">
      <c r="A1262" s="2">
        <f ca="1">IFERROR(__xludf.DUMMYFUNCTION("""COMPUTED_VALUE"""),45784.6666666666)</f>
        <v>45784.666666666599</v>
      </c>
      <c r="B1262" s="2" t="s">
        <v>56</v>
      </c>
      <c r="C1262" s="1">
        <v>5050</v>
      </c>
      <c r="D1262" s="1">
        <v>5050</v>
      </c>
      <c r="E1262" s="1">
        <v>4950</v>
      </c>
      <c r="F1262" s="1">
        <v>4950</v>
      </c>
      <c r="G1262" s="1">
        <v>100674600</v>
      </c>
      <c r="H1262" s="4">
        <f t="shared" si="40"/>
        <v>-6.024096385542169E-3</v>
      </c>
      <c r="I1262" s="4">
        <f t="shared" si="41"/>
        <v>-0.1277533039647577</v>
      </c>
    </row>
    <row r="1263" spans="1:9" x14ac:dyDescent="0.2">
      <c r="A1263" s="2">
        <f ca="1">IFERROR(__xludf.DUMMYFUNCTION("""COMPUTED_VALUE"""),45785.6666666666)</f>
        <v>45785.666666666599</v>
      </c>
      <c r="B1263" s="2" t="s">
        <v>56</v>
      </c>
      <c r="C1263" s="1">
        <v>4960</v>
      </c>
      <c r="D1263" s="1">
        <v>5025</v>
      </c>
      <c r="E1263" s="1">
        <v>4790</v>
      </c>
      <c r="F1263" s="1">
        <v>4790</v>
      </c>
      <c r="G1263" s="1">
        <v>205199700</v>
      </c>
      <c r="H1263" s="4">
        <f t="shared" si="40"/>
        <v>-3.2323232323232323E-2</v>
      </c>
      <c r="I1263" s="4">
        <f t="shared" si="41"/>
        <v>-0.15594713656387665</v>
      </c>
    </row>
    <row r="1264" spans="1:9" x14ac:dyDescent="0.2">
      <c r="A1264" s="2">
        <f ca="1">IFERROR(__xludf.DUMMYFUNCTION("""COMPUTED_VALUE"""),45786.6666666666)</f>
        <v>45786.666666666599</v>
      </c>
      <c r="B1264" s="2" t="s">
        <v>56</v>
      </c>
      <c r="C1264" s="1">
        <v>4790</v>
      </c>
      <c r="D1264" s="1">
        <v>4830</v>
      </c>
      <c r="E1264" s="1">
        <v>4750</v>
      </c>
      <c r="F1264" s="1">
        <v>4770</v>
      </c>
      <c r="G1264" s="1">
        <v>164014200</v>
      </c>
      <c r="H1264" s="4">
        <f t="shared" si="40"/>
        <v>-4.1753653444676405E-3</v>
      </c>
      <c r="I1264" s="4">
        <f t="shared" si="41"/>
        <v>-0.15947136563876652</v>
      </c>
    </row>
    <row r="1265" spans="1:9" x14ac:dyDescent="0.2">
      <c r="A1265" s="2">
        <f ca="1">IFERROR(__xludf.DUMMYFUNCTION("""COMPUTED_VALUE"""),45791.6666666666)</f>
        <v>45791.666666666599</v>
      </c>
      <c r="B1265" s="2" t="s">
        <v>56</v>
      </c>
      <c r="C1265" s="1">
        <v>4890</v>
      </c>
      <c r="D1265" s="1">
        <v>5050</v>
      </c>
      <c r="E1265" s="1">
        <v>4880</v>
      </c>
      <c r="F1265" s="1">
        <v>5050</v>
      </c>
      <c r="G1265" s="1">
        <v>342468200</v>
      </c>
      <c r="H1265" s="4">
        <f t="shared" si="40"/>
        <v>5.8700209643605873E-2</v>
      </c>
      <c r="I1265" s="4">
        <f t="shared" si="41"/>
        <v>-0.11013215859030837</v>
      </c>
    </row>
    <row r="1266" spans="1:9" x14ac:dyDescent="0.2">
      <c r="A1266" s="2">
        <f ca="1">IFERROR(__xludf.DUMMYFUNCTION("""COMPUTED_VALUE"""),45792.6666666666)</f>
        <v>45792.666666666599</v>
      </c>
      <c r="B1266" s="2" t="s">
        <v>56</v>
      </c>
      <c r="C1266" s="1">
        <v>5075</v>
      </c>
      <c r="D1266" s="1">
        <v>5400</v>
      </c>
      <c r="E1266" s="1">
        <v>5050</v>
      </c>
      <c r="F1266" s="1">
        <v>5325</v>
      </c>
      <c r="G1266" s="1">
        <v>300147300</v>
      </c>
      <c r="H1266" s="4">
        <f t="shared" si="40"/>
        <v>5.4455445544554455E-2</v>
      </c>
      <c r="I1266" s="4">
        <f t="shared" si="41"/>
        <v>-6.1674008810572688E-2</v>
      </c>
    </row>
    <row r="1267" spans="1:9" x14ac:dyDescent="0.2">
      <c r="A1267" s="2">
        <f ca="1">IFERROR(__xludf.DUMMYFUNCTION("""COMPUTED_VALUE"""),45793.6666666666)</f>
        <v>45793.666666666599</v>
      </c>
      <c r="B1267" s="2" t="s">
        <v>56</v>
      </c>
      <c r="C1267" s="1">
        <v>5425</v>
      </c>
      <c r="D1267" s="1">
        <v>5475</v>
      </c>
      <c r="E1267" s="1">
        <v>5200</v>
      </c>
      <c r="F1267" s="1">
        <v>5475</v>
      </c>
      <c r="G1267" s="1">
        <v>229382100</v>
      </c>
      <c r="H1267" s="4">
        <f t="shared" si="40"/>
        <v>2.8169014084507043E-2</v>
      </c>
      <c r="I1267" s="4">
        <f t="shared" si="41"/>
        <v>-3.5242290748898682E-2</v>
      </c>
    </row>
    <row r="1268" spans="1:9" x14ac:dyDescent="0.2">
      <c r="A1268" s="2">
        <f ca="1">IFERROR(__xludf.DUMMYFUNCTION("""COMPUTED_VALUE"""),45796.6666666666)</f>
        <v>45796.666666666599</v>
      </c>
      <c r="B1268" s="2" t="s">
        <v>56</v>
      </c>
      <c r="C1268" s="1">
        <v>5450</v>
      </c>
      <c r="D1268" s="1">
        <v>5575</v>
      </c>
      <c r="E1268" s="1">
        <v>5400</v>
      </c>
      <c r="F1268" s="1">
        <v>5525</v>
      </c>
      <c r="G1268" s="1">
        <v>191440600</v>
      </c>
      <c r="H1268" s="4">
        <f t="shared" si="40"/>
        <v>9.1324200913242004E-3</v>
      </c>
      <c r="I1268" s="4">
        <f t="shared" si="41"/>
        <v>-2.643171806167401E-2</v>
      </c>
    </row>
    <row r="1269" spans="1:9" x14ac:dyDescent="0.2">
      <c r="A1269" s="2">
        <f ca="1">IFERROR(__xludf.DUMMYFUNCTION("""COMPUTED_VALUE"""),45797.6666666666)</f>
        <v>45797.666666666599</v>
      </c>
      <c r="B1269" s="2" t="s">
        <v>56</v>
      </c>
      <c r="C1269" s="1">
        <v>5500</v>
      </c>
      <c r="D1269" s="1">
        <v>5550</v>
      </c>
      <c r="E1269" s="1">
        <v>5350</v>
      </c>
      <c r="F1269" s="1">
        <v>5400</v>
      </c>
      <c r="G1269" s="1">
        <v>145525700</v>
      </c>
      <c r="H1269" s="4">
        <f t="shared" si="40"/>
        <v>-2.2624434389140271E-2</v>
      </c>
      <c r="I1269" s="4">
        <f t="shared" si="41"/>
        <v>-4.8458149779735685E-2</v>
      </c>
    </row>
    <row r="1270" spans="1:9" x14ac:dyDescent="0.2">
      <c r="A1270" s="2">
        <f ca="1">IFERROR(__xludf.DUMMYFUNCTION("""COMPUTED_VALUE"""),45798.6666666666)</f>
        <v>45798.666666666599</v>
      </c>
      <c r="B1270" s="2" t="s">
        <v>56</v>
      </c>
      <c r="C1270" s="1">
        <v>5400</v>
      </c>
      <c r="D1270" s="1">
        <v>5550</v>
      </c>
      <c r="E1270" s="1">
        <v>5375</v>
      </c>
      <c r="F1270" s="1">
        <v>5450</v>
      </c>
      <c r="G1270" s="1">
        <v>167077200</v>
      </c>
      <c r="H1270" s="4">
        <f t="shared" ref="H1270:H1333" si="42">(F1270-F1269)/F1269</f>
        <v>9.2592592592592587E-3</v>
      </c>
      <c r="I1270" s="4">
        <f t="shared" ref="I1270:I1333" si="43">(F1270-$F$2)/$F$2</f>
        <v>-3.9647577092511016E-2</v>
      </c>
    </row>
    <row r="1271" spans="1:9" x14ac:dyDescent="0.2">
      <c r="A1271" s="2">
        <f ca="1">IFERROR(__xludf.DUMMYFUNCTION("""COMPUTED_VALUE"""),45799.6666666666)</f>
        <v>45799.666666666599</v>
      </c>
      <c r="B1271" s="2" t="s">
        <v>56</v>
      </c>
      <c r="C1271" s="1">
        <v>5450</v>
      </c>
      <c r="D1271" s="1">
        <v>5500</v>
      </c>
      <c r="E1271" s="1">
        <v>5400</v>
      </c>
      <c r="F1271" s="1">
        <v>5450</v>
      </c>
      <c r="G1271" s="1">
        <v>137585600</v>
      </c>
      <c r="H1271" s="4">
        <f t="shared" si="42"/>
        <v>0</v>
      </c>
      <c r="I1271" s="4">
        <f t="shared" si="43"/>
        <v>-3.9647577092511016E-2</v>
      </c>
    </row>
    <row r="1272" spans="1:9" x14ac:dyDescent="0.2">
      <c r="A1272" s="2">
        <f ca="1">IFERROR(__xludf.DUMMYFUNCTION("""COMPUTED_VALUE"""),45800.6666666666)</f>
        <v>45800.666666666599</v>
      </c>
      <c r="B1272" s="2" t="s">
        <v>56</v>
      </c>
      <c r="C1272" s="1">
        <v>5500</v>
      </c>
      <c r="D1272" s="1">
        <v>5500</v>
      </c>
      <c r="E1272" s="1">
        <v>5375</v>
      </c>
      <c r="F1272" s="1">
        <v>5425</v>
      </c>
      <c r="G1272" s="1">
        <v>86586500</v>
      </c>
      <c r="H1272" s="4">
        <f t="shared" si="42"/>
        <v>-4.5871559633027525E-3</v>
      </c>
      <c r="I1272" s="4">
        <f t="shared" si="43"/>
        <v>-4.405286343612335E-2</v>
      </c>
    </row>
    <row r="1273" spans="1:9" x14ac:dyDescent="0.2">
      <c r="A1273" s="2">
        <f ca="1">IFERROR(__xludf.DUMMYFUNCTION("""COMPUTED_VALUE"""),45803.6666666666)</f>
        <v>45803.666666666599</v>
      </c>
      <c r="B1273" s="2" t="s">
        <v>56</v>
      </c>
      <c r="C1273" s="1">
        <v>5425</v>
      </c>
      <c r="D1273" s="1">
        <v>5475</v>
      </c>
      <c r="E1273" s="1">
        <v>5300</v>
      </c>
      <c r="F1273" s="1">
        <v>5475</v>
      </c>
      <c r="G1273" s="1">
        <v>102960800</v>
      </c>
      <c r="H1273" s="4">
        <f t="shared" si="42"/>
        <v>9.2165898617511521E-3</v>
      </c>
      <c r="I1273" s="4">
        <f t="shared" si="43"/>
        <v>-3.5242290748898682E-2</v>
      </c>
    </row>
    <row r="1274" spans="1:9" x14ac:dyDescent="0.2">
      <c r="A1274" s="2">
        <f ca="1">IFERROR(__xludf.DUMMYFUNCTION("""COMPUTED_VALUE"""),45804.6666666666)</f>
        <v>45804.666666666599</v>
      </c>
      <c r="B1274" s="2" t="s">
        <v>56</v>
      </c>
      <c r="C1274" s="1">
        <v>5500</v>
      </c>
      <c r="D1274" s="1">
        <v>5500</v>
      </c>
      <c r="E1274" s="1">
        <v>5400</v>
      </c>
      <c r="F1274" s="1">
        <v>5400</v>
      </c>
      <c r="G1274" s="1">
        <v>86083800</v>
      </c>
      <c r="H1274" s="4">
        <f t="shared" si="42"/>
        <v>-1.3698630136986301E-2</v>
      </c>
      <c r="I1274" s="4">
        <f t="shared" si="43"/>
        <v>-4.8458149779735685E-2</v>
      </c>
    </row>
    <row r="1275" spans="1:9" x14ac:dyDescent="0.2">
      <c r="A1275" s="2">
        <f ca="1">IFERROR(__xludf.DUMMYFUNCTION("""COMPUTED_VALUE"""),45805.6666666666)</f>
        <v>45805.666666666599</v>
      </c>
      <c r="B1275" s="2" t="s">
        <v>56</v>
      </c>
      <c r="C1275" s="1">
        <v>5400</v>
      </c>
      <c r="D1275" s="1">
        <v>5425</v>
      </c>
      <c r="E1275" s="1">
        <v>5300</v>
      </c>
      <c r="F1275" s="1">
        <v>5300</v>
      </c>
      <c r="G1275" s="1">
        <v>190669100</v>
      </c>
      <c r="H1275" s="4">
        <f t="shared" si="42"/>
        <v>-1.8518518518518517E-2</v>
      </c>
      <c r="I1275" s="4">
        <f t="shared" si="43"/>
        <v>-6.6079295154185022E-2</v>
      </c>
    </row>
    <row r="1276" spans="1:9" x14ac:dyDescent="0.2">
      <c r="A1276" s="2">
        <f ca="1">IFERROR(__xludf.DUMMYFUNCTION("""COMPUTED_VALUE"""),45810.6666666666)</f>
        <v>45810.666666666599</v>
      </c>
      <c r="B1276" s="2" t="s">
        <v>56</v>
      </c>
      <c r="C1276" s="1">
        <v>5200</v>
      </c>
      <c r="D1276" s="1">
        <v>5250</v>
      </c>
      <c r="E1276" s="1">
        <v>5025</v>
      </c>
      <c r="F1276" s="1">
        <v>5075</v>
      </c>
      <c r="G1276" s="1">
        <v>373474500</v>
      </c>
      <c r="H1276" s="4">
        <f t="shared" si="42"/>
        <v>-4.2452830188679243E-2</v>
      </c>
      <c r="I1276" s="4">
        <f t="shared" si="43"/>
        <v>-0.10572687224669604</v>
      </c>
    </row>
    <row r="1277" spans="1:9" x14ac:dyDescent="0.2">
      <c r="A1277" s="2">
        <f ca="1">IFERROR(__xludf.DUMMYFUNCTION("""COMPUTED_VALUE"""),45811.6666666666)</f>
        <v>45811.666666666599</v>
      </c>
      <c r="B1277" s="2" t="s">
        <v>56</v>
      </c>
      <c r="C1277" s="1">
        <v>5100</v>
      </c>
      <c r="D1277" s="1">
        <v>5125</v>
      </c>
      <c r="E1277" s="1">
        <v>4950</v>
      </c>
      <c r="F1277" s="1">
        <v>5050</v>
      </c>
      <c r="G1277" s="1">
        <v>169321800</v>
      </c>
      <c r="H1277" s="4">
        <f t="shared" si="42"/>
        <v>-4.9261083743842365E-3</v>
      </c>
      <c r="I1277" s="4">
        <f t="shared" si="43"/>
        <v>-0.11013215859030837</v>
      </c>
    </row>
    <row r="1278" spans="1:9" x14ac:dyDescent="0.2">
      <c r="A1278" s="2">
        <f ca="1">IFERROR(__xludf.DUMMYFUNCTION("""COMPUTED_VALUE"""),45812.6666666666)</f>
        <v>45812.666666666599</v>
      </c>
      <c r="B1278" s="2" t="s">
        <v>56</v>
      </c>
      <c r="C1278" s="1">
        <v>5125</v>
      </c>
      <c r="D1278" s="1">
        <v>5125</v>
      </c>
      <c r="E1278" s="1">
        <v>4980</v>
      </c>
      <c r="F1278" s="1">
        <v>5025</v>
      </c>
      <c r="G1278" s="1">
        <v>139577800</v>
      </c>
      <c r="H1278" s="4">
        <f t="shared" si="42"/>
        <v>-4.9504950495049506E-3</v>
      </c>
      <c r="I1278" s="4">
        <f t="shared" si="43"/>
        <v>-0.11453744493392071</v>
      </c>
    </row>
    <row r="1279" spans="1:9" x14ac:dyDescent="0.2">
      <c r="A1279" s="2">
        <f ca="1">IFERROR(__xludf.DUMMYFUNCTION("""COMPUTED_VALUE"""),45813.6666666666)</f>
        <v>45813.666666666599</v>
      </c>
      <c r="B1279" s="2" t="s">
        <v>56</v>
      </c>
      <c r="C1279" s="1">
        <v>5050</v>
      </c>
      <c r="D1279" s="1">
        <v>5075</v>
      </c>
      <c r="E1279" s="1">
        <v>5000</v>
      </c>
      <c r="F1279" s="1">
        <v>5075</v>
      </c>
      <c r="G1279" s="1">
        <v>69179700</v>
      </c>
      <c r="H1279" s="4">
        <f t="shared" si="42"/>
        <v>9.9502487562189053E-3</v>
      </c>
      <c r="I1279" s="4">
        <f t="shared" si="43"/>
        <v>-0.10572687224669604</v>
      </c>
    </row>
    <row r="1280" spans="1:9" x14ac:dyDescent="0.2">
      <c r="A1280" s="2">
        <f ca="1">IFERROR(__xludf.DUMMYFUNCTION("""COMPUTED_VALUE"""),45818.6666666666)</f>
        <v>45818.666666666599</v>
      </c>
      <c r="B1280" s="2" t="s">
        <v>56</v>
      </c>
      <c r="C1280" s="1">
        <v>5075</v>
      </c>
      <c r="D1280" s="1">
        <v>5250</v>
      </c>
      <c r="E1280" s="1">
        <v>5075</v>
      </c>
      <c r="F1280" s="1">
        <v>5250</v>
      </c>
      <c r="G1280" s="1">
        <v>158265000</v>
      </c>
      <c r="H1280" s="4">
        <f t="shared" si="42"/>
        <v>3.4482758620689655E-2</v>
      </c>
      <c r="I1280" s="4">
        <f t="shared" si="43"/>
        <v>-7.4889867841409691E-2</v>
      </c>
    </row>
    <row r="1281" spans="1:9" x14ac:dyDescent="0.2">
      <c r="A1281" s="2">
        <f ca="1">IFERROR(__xludf.DUMMYFUNCTION("""COMPUTED_VALUE"""),45819.6666666666)</f>
        <v>45819.666666666599</v>
      </c>
      <c r="B1281" s="2" t="s">
        <v>56</v>
      </c>
      <c r="C1281" s="1">
        <v>5300</v>
      </c>
      <c r="D1281" s="1">
        <v>5300</v>
      </c>
      <c r="E1281" s="1">
        <v>5150</v>
      </c>
      <c r="F1281" s="1">
        <v>5200</v>
      </c>
      <c r="G1281" s="1">
        <v>90666100</v>
      </c>
      <c r="H1281" s="4">
        <f t="shared" si="42"/>
        <v>-9.5238095238095247E-3</v>
      </c>
      <c r="I1281" s="4">
        <f t="shared" si="43"/>
        <v>-8.3700440528634359E-2</v>
      </c>
    </row>
    <row r="1282" spans="1:9" x14ac:dyDescent="0.2">
      <c r="A1282" s="2">
        <f ca="1">IFERROR(__xludf.DUMMYFUNCTION("""COMPUTED_VALUE"""),45820.6666666666)</f>
        <v>45820.666666666599</v>
      </c>
      <c r="B1282" s="2" t="s">
        <v>56</v>
      </c>
      <c r="C1282" s="1">
        <v>5225</v>
      </c>
      <c r="D1282" s="1">
        <v>5225</v>
      </c>
      <c r="E1282" s="1">
        <v>5125</v>
      </c>
      <c r="F1282" s="1">
        <v>5175</v>
      </c>
      <c r="G1282" s="1">
        <v>72423700</v>
      </c>
      <c r="H1282" s="4">
        <f t="shared" si="42"/>
        <v>-4.807692307692308E-3</v>
      </c>
      <c r="I1282" s="4">
        <f t="shared" si="43"/>
        <v>-8.8105726872246701E-2</v>
      </c>
    </row>
    <row r="1283" spans="1:9" x14ac:dyDescent="0.2">
      <c r="A1283" s="2">
        <f ca="1">IFERROR(__xludf.DUMMYFUNCTION("""COMPUTED_VALUE"""),45821.6666666666)</f>
        <v>45821.666666666599</v>
      </c>
      <c r="B1283" s="2" t="s">
        <v>56</v>
      </c>
      <c r="C1283" s="1">
        <v>5175</v>
      </c>
      <c r="D1283" s="1">
        <v>5250</v>
      </c>
      <c r="E1283" s="1">
        <v>5100</v>
      </c>
      <c r="F1283" s="1">
        <v>5150</v>
      </c>
      <c r="G1283" s="1">
        <v>128071000</v>
      </c>
      <c r="H1283" s="4">
        <f t="shared" si="42"/>
        <v>-4.830917874396135E-3</v>
      </c>
      <c r="I1283" s="4">
        <f t="shared" si="43"/>
        <v>-9.2511013215859028E-2</v>
      </c>
    </row>
    <row r="1284" spans="1:9" x14ac:dyDescent="0.2">
      <c r="A1284" s="2">
        <f ca="1">IFERROR(__xludf.DUMMYFUNCTION("""COMPUTED_VALUE"""),45824.6666666666)</f>
        <v>45824.666666666599</v>
      </c>
      <c r="B1284" s="2" t="s">
        <v>56</v>
      </c>
      <c r="C1284" s="1">
        <v>5150</v>
      </c>
      <c r="D1284" s="1">
        <v>5200</v>
      </c>
      <c r="E1284" s="1">
        <v>5100</v>
      </c>
      <c r="F1284" s="1">
        <v>5150</v>
      </c>
      <c r="G1284" s="1">
        <v>61695600</v>
      </c>
      <c r="H1284" s="4">
        <f t="shared" si="42"/>
        <v>0</v>
      </c>
      <c r="I1284" s="4">
        <f t="shared" si="43"/>
        <v>-9.2511013215859028E-2</v>
      </c>
    </row>
    <row r="1285" spans="1:9" x14ac:dyDescent="0.2">
      <c r="A1285" s="2">
        <f ca="1">IFERROR(__xludf.DUMMYFUNCTION("""COMPUTED_VALUE"""),45825.6666666666)</f>
        <v>45825.666666666599</v>
      </c>
      <c r="B1285" s="2" t="s">
        <v>56</v>
      </c>
      <c r="C1285" s="1">
        <v>5175</v>
      </c>
      <c r="D1285" s="1">
        <v>5225</v>
      </c>
      <c r="E1285" s="1">
        <v>5100</v>
      </c>
      <c r="F1285" s="1">
        <v>5100</v>
      </c>
      <c r="G1285" s="1">
        <v>70657700</v>
      </c>
      <c r="H1285" s="4">
        <f t="shared" si="42"/>
        <v>-9.7087378640776691E-3</v>
      </c>
      <c r="I1285" s="4">
        <f t="shared" si="43"/>
        <v>-0.1013215859030837</v>
      </c>
    </row>
    <row r="1286" spans="1:9" x14ac:dyDescent="0.2">
      <c r="A1286" s="2">
        <f ca="1">IFERROR(__xludf.DUMMYFUNCTION("""COMPUTED_VALUE"""),45826.6666666666)</f>
        <v>45826.666666666599</v>
      </c>
      <c r="B1286" s="2" t="s">
        <v>56</v>
      </c>
      <c r="C1286" s="1">
        <v>5075</v>
      </c>
      <c r="D1286" s="1">
        <v>5100</v>
      </c>
      <c r="E1286" s="1">
        <v>5025</v>
      </c>
      <c r="F1286" s="1">
        <v>5075</v>
      </c>
      <c r="G1286" s="1">
        <v>53353000</v>
      </c>
      <c r="H1286" s="4">
        <f t="shared" si="42"/>
        <v>-4.9019607843137254E-3</v>
      </c>
      <c r="I1286" s="4">
        <f t="shared" si="43"/>
        <v>-0.10572687224669604</v>
      </c>
    </row>
    <row r="1287" spans="1:9" x14ac:dyDescent="0.2">
      <c r="A1287" s="2">
        <f ca="1">IFERROR(__xludf.DUMMYFUNCTION("""COMPUTED_VALUE"""),45827.6666666666)</f>
        <v>45827.666666666599</v>
      </c>
      <c r="B1287" s="2" t="s">
        <v>56</v>
      </c>
      <c r="C1287" s="1">
        <v>5050</v>
      </c>
      <c r="D1287" s="1">
        <v>5050</v>
      </c>
      <c r="E1287" s="1">
        <v>4910</v>
      </c>
      <c r="F1287" s="1">
        <v>4970</v>
      </c>
      <c r="G1287" s="1">
        <v>114769600</v>
      </c>
      <c r="H1287" s="4">
        <f t="shared" si="42"/>
        <v>-2.0689655172413793E-2</v>
      </c>
      <c r="I1287" s="4">
        <f t="shared" si="43"/>
        <v>-0.12422907488986784</v>
      </c>
    </row>
    <row r="1288" spans="1:9" x14ac:dyDescent="0.2">
      <c r="A1288" s="2">
        <f ca="1">IFERROR(__xludf.DUMMYFUNCTION("""COMPUTED_VALUE"""),45828.6666666666)</f>
        <v>45828.666666666599</v>
      </c>
      <c r="B1288" s="2" t="s">
        <v>56</v>
      </c>
      <c r="C1288" s="1">
        <v>4940</v>
      </c>
      <c r="D1288" s="1">
        <v>4990</v>
      </c>
      <c r="E1288" s="1">
        <v>4830</v>
      </c>
      <c r="F1288" s="1">
        <v>4930</v>
      </c>
      <c r="G1288" s="1">
        <v>301154300</v>
      </c>
      <c r="H1288" s="4">
        <f t="shared" si="42"/>
        <v>-8.0482897384305842E-3</v>
      </c>
      <c r="I1288" s="4">
        <f t="shared" si="43"/>
        <v>-0.13127753303964756</v>
      </c>
    </row>
    <row r="1289" spans="1:9" x14ac:dyDescent="0.2">
      <c r="A1289" s="2">
        <f ca="1">IFERROR(__xludf.DUMMYFUNCTION("""COMPUTED_VALUE"""),45831.6666666666)</f>
        <v>45831.666666666599</v>
      </c>
      <c r="B1289" s="2" t="s">
        <v>56</v>
      </c>
      <c r="C1289" s="1">
        <v>4870</v>
      </c>
      <c r="D1289" s="1">
        <v>4930</v>
      </c>
      <c r="E1289" s="1">
        <v>4800</v>
      </c>
      <c r="F1289" s="1">
        <v>4920</v>
      </c>
      <c r="G1289" s="1">
        <v>119439200</v>
      </c>
      <c r="H1289" s="4">
        <f t="shared" si="42"/>
        <v>-2.0283975659229209E-3</v>
      </c>
      <c r="I1289" s="4">
        <f t="shared" si="43"/>
        <v>-0.13303964757709252</v>
      </c>
    </row>
    <row r="1290" spans="1:9" x14ac:dyDescent="0.2">
      <c r="A1290" s="2">
        <f ca="1">IFERROR(__xludf.DUMMYFUNCTION("""COMPUTED_VALUE"""),45832.6666666666)</f>
        <v>45832.666666666599</v>
      </c>
      <c r="B1290" s="2" t="s">
        <v>56</v>
      </c>
      <c r="C1290" s="1">
        <v>5050</v>
      </c>
      <c r="D1290" s="1">
        <v>5125</v>
      </c>
      <c r="E1290" s="1">
        <v>5025</v>
      </c>
      <c r="F1290" s="1">
        <v>5025</v>
      </c>
      <c r="G1290" s="1">
        <v>126563900</v>
      </c>
      <c r="H1290" s="4">
        <f t="shared" si="42"/>
        <v>2.1341463414634148E-2</v>
      </c>
      <c r="I1290" s="4">
        <f t="shared" si="43"/>
        <v>-0.11453744493392071</v>
      </c>
    </row>
    <row r="1291" spans="1:9" x14ac:dyDescent="0.2">
      <c r="A1291" s="2">
        <f ca="1">IFERROR(__xludf.DUMMYFUNCTION("""COMPUTED_VALUE"""),45833.6666666666)</f>
        <v>45833.666666666599</v>
      </c>
      <c r="B1291" s="2" t="s">
        <v>56</v>
      </c>
      <c r="C1291" s="1">
        <v>5025</v>
      </c>
      <c r="D1291" s="1">
        <v>5050</v>
      </c>
      <c r="E1291" s="1">
        <v>4880</v>
      </c>
      <c r="F1291" s="1">
        <v>4880</v>
      </c>
      <c r="G1291" s="1">
        <v>139963400</v>
      </c>
      <c r="H1291" s="4">
        <f t="shared" si="42"/>
        <v>-2.8855721393034824E-2</v>
      </c>
      <c r="I1291" s="4">
        <f t="shared" si="43"/>
        <v>-0.14008810572687225</v>
      </c>
    </row>
    <row r="1292" spans="1:9" x14ac:dyDescent="0.2">
      <c r="A1292" s="2">
        <f ca="1">IFERROR(__xludf.DUMMYFUNCTION("""COMPUTED_VALUE"""),45834.6666666666)</f>
        <v>45834.666666666599</v>
      </c>
      <c r="B1292" s="2" t="s">
        <v>56</v>
      </c>
      <c r="C1292" s="1">
        <v>4950</v>
      </c>
      <c r="D1292" s="1">
        <v>5025</v>
      </c>
      <c r="E1292" s="1">
        <v>4910</v>
      </c>
      <c r="F1292" s="1">
        <v>5025</v>
      </c>
      <c r="G1292" s="1">
        <v>94704500</v>
      </c>
      <c r="H1292" s="4">
        <f t="shared" si="42"/>
        <v>2.9713114754098359E-2</v>
      </c>
      <c r="I1292" s="4">
        <f t="shared" si="43"/>
        <v>-0.11453744493392071</v>
      </c>
    </row>
    <row r="1293" spans="1:9" x14ac:dyDescent="0.2">
      <c r="A1293" s="2">
        <f ca="1">IFERROR(__xludf.DUMMYFUNCTION("""COMPUTED_VALUE"""),45838.6666666666)</f>
        <v>45838.666666666599</v>
      </c>
      <c r="B1293" s="2" t="s">
        <v>56</v>
      </c>
      <c r="C1293" s="1">
        <v>5050</v>
      </c>
      <c r="D1293" s="1">
        <v>5050</v>
      </c>
      <c r="E1293" s="1">
        <v>4880</v>
      </c>
      <c r="F1293" s="1">
        <v>4880</v>
      </c>
      <c r="G1293" s="1">
        <v>220479900</v>
      </c>
      <c r="H1293" s="4">
        <f t="shared" si="42"/>
        <v>-2.8855721393034824E-2</v>
      </c>
      <c r="I1293" s="4">
        <f t="shared" si="43"/>
        <v>-0.14008810572687225</v>
      </c>
    </row>
    <row r="1294" spans="1:9" x14ac:dyDescent="0.2">
      <c r="A1294" s="2">
        <f ca="1">IFERROR(__xludf.DUMMYFUNCTION("""COMPUTED_VALUE"""),45839.6666666666)</f>
        <v>45839.666666666599</v>
      </c>
      <c r="B1294" s="2" t="s">
        <v>56</v>
      </c>
      <c r="C1294" s="1">
        <v>4900</v>
      </c>
      <c r="D1294" s="1">
        <v>4910</v>
      </c>
      <c r="E1294" s="1">
        <v>4710</v>
      </c>
      <c r="F1294" s="1">
        <v>4750</v>
      </c>
      <c r="G1294" s="1">
        <v>319875800</v>
      </c>
      <c r="H1294" s="4">
        <f t="shared" si="42"/>
        <v>-2.663934426229508E-2</v>
      </c>
      <c r="I1294" s="4">
        <f t="shared" si="43"/>
        <v>-0.16299559471365638</v>
      </c>
    </row>
    <row r="1295" spans="1:9" x14ac:dyDescent="0.2">
      <c r="A1295" s="2">
        <f ca="1">IFERROR(__xludf.DUMMYFUNCTION("""COMPUTED_VALUE"""),45840.6666666666)</f>
        <v>45840.666666666599</v>
      </c>
      <c r="B1295" s="2" t="s">
        <v>56</v>
      </c>
      <c r="C1295" s="1">
        <v>4730</v>
      </c>
      <c r="D1295" s="1">
        <v>4770</v>
      </c>
      <c r="E1295" s="1">
        <v>4710</v>
      </c>
      <c r="F1295" s="1">
        <v>4770</v>
      </c>
      <c r="G1295" s="1">
        <v>159152200</v>
      </c>
      <c r="H1295" s="4">
        <f t="shared" si="42"/>
        <v>4.2105263157894736E-3</v>
      </c>
      <c r="I1295" s="4">
        <f t="shared" si="43"/>
        <v>-0.15947136563876652</v>
      </c>
    </row>
    <row r="1296" spans="1:9" x14ac:dyDescent="0.2">
      <c r="A1296" s="2">
        <f ca="1">IFERROR(__xludf.DUMMYFUNCTION("""COMPUTED_VALUE"""),45841.6666666666)</f>
        <v>45841.666666666599</v>
      </c>
      <c r="B1296" s="2" t="s">
        <v>56</v>
      </c>
      <c r="C1296" s="1">
        <v>4780</v>
      </c>
      <c r="D1296" s="1">
        <v>4850</v>
      </c>
      <c r="E1296" s="1">
        <v>4720</v>
      </c>
      <c r="F1296" s="1">
        <v>4740</v>
      </c>
      <c r="G1296" s="1">
        <v>103849000</v>
      </c>
      <c r="H1296" s="4">
        <f t="shared" si="42"/>
        <v>-6.2893081761006293E-3</v>
      </c>
      <c r="I1296" s="4">
        <f t="shared" si="43"/>
        <v>-0.16475770925110131</v>
      </c>
    </row>
    <row r="1297" spans="1:9" x14ac:dyDescent="0.2">
      <c r="A1297" s="2">
        <f ca="1">IFERROR(__xludf.DUMMYFUNCTION("""COMPUTED_VALUE"""),45842.6666666666)</f>
        <v>45842.666666666599</v>
      </c>
      <c r="B1297" s="2" t="s">
        <v>56</v>
      </c>
      <c r="C1297" s="1">
        <v>4750</v>
      </c>
      <c r="D1297" s="1">
        <v>4790</v>
      </c>
      <c r="E1297" s="1">
        <v>4700</v>
      </c>
      <c r="F1297" s="1">
        <v>4740</v>
      </c>
      <c r="G1297" s="1">
        <v>104170500</v>
      </c>
      <c r="H1297" s="4">
        <f t="shared" si="42"/>
        <v>0</v>
      </c>
      <c r="I1297" s="4">
        <f t="shared" si="43"/>
        <v>-0.16475770925110131</v>
      </c>
    </row>
    <row r="1298" spans="1:9" x14ac:dyDescent="0.2">
      <c r="A1298" s="2">
        <f ca="1">IFERROR(__xludf.DUMMYFUNCTION("""COMPUTED_VALUE"""),45845.6666666666)</f>
        <v>45845.666666666599</v>
      </c>
      <c r="B1298" s="2" t="s">
        <v>56</v>
      </c>
      <c r="C1298" s="1">
        <v>4740</v>
      </c>
      <c r="D1298" s="1">
        <v>4750</v>
      </c>
      <c r="E1298" s="1">
        <v>4680</v>
      </c>
      <c r="F1298" s="1">
        <v>4740</v>
      </c>
      <c r="G1298" s="1">
        <v>120538300</v>
      </c>
      <c r="H1298" s="4">
        <f t="shared" si="42"/>
        <v>0</v>
      </c>
      <c r="I1298" s="4">
        <f t="shared" si="43"/>
        <v>-0.16475770925110131</v>
      </c>
    </row>
    <row r="1299" spans="1:9" x14ac:dyDescent="0.2">
      <c r="A1299" s="2">
        <f ca="1">IFERROR(__xludf.DUMMYFUNCTION("""COMPUTED_VALUE"""),45846.6666666666)</f>
        <v>45846.666666666599</v>
      </c>
      <c r="B1299" s="2" t="s">
        <v>56</v>
      </c>
      <c r="C1299" s="1">
        <v>4710</v>
      </c>
      <c r="D1299" s="1">
        <v>4750</v>
      </c>
      <c r="E1299" s="1">
        <v>4700</v>
      </c>
      <c r="F1299" s="1">
        <v>4720</v>
      </c>
      <c r="G1299" s="1">
        <v>132853800</v>
      </c>
      <c r="H1299" s="4">
        <f t="shared" si="42"/>
        <v>-4.2194092827004216E-3</v>
      </c>
      <c r="I1299" s="4">
        <f t="shared" si="43"/>
        <v>-0.1682819383259912</v>
      </c>
    </row>
    <row r="1300" spans="1:9" x14ac:dyDescent="0.2">
      <c r="A1300" s="2">
        <f ca="1">IFERROR(__xludf.DUMMYFUNCTION("""COMPUTED_VALUE"""),45847.6666666666)</f>
        <v>45847.666666666599</v>
      </c>
      <c r="B1300" s="2" t="s">
        <v>56</v>
      </c>
      <c r="C1300" s="1">
        <v>4720</v>
      </c>
      <c r="D1300" s="1">
        <v>4760</v>
      </c>
      <c r="E1300" s="1">
        <v>4670</v>
      </c>
      <c r="F1300" s="1">
        <v>4710</v>
      </c>
      <c r="G1300" s="1">
        <v>110198500</v>
      </c>
      <c r="H1300" s="4">
        <f t="shared" si="42"/>
        <v>-2.1186440677966102E-3</v>
      </c>
      <c r="I1300" s="4">
        <f t="shared" si="43"/>
        <v>-0.17004405286343613</v>
      </c>
    </row>
    <row r="1301" spans="1:9" x14ac:dyDescent="0.2">
      <c r="A1301" s="2">
        <f ca="1">IFERROR(__xludf.DUMMYFUNCTION("""COMPUTED_VALUE"""),45848.6666666666)</f>
        <v>45848.666666666599</v>
      </c>
      <c r="B1301" s="2" t="s">
        <v>56</v>
      </c>
      <c r="C1301" s="1">
        <v>4750</v>
      </c>
      <c r="D1301" s="1">
        <v>4830</v>
      </c>
      <c r="E1301" s="1">
        <v>4730</v>
      </c>
      <c r="F1301" s="1">
        <v>4820</v>
      </c>
      <c r="G1301" s="1">
        <v>160889700</v>
      </c>
      <c r="H1301" s="4">
        <f t="shared" si="42"/>
        <v>2.3354564755838639E-2</v>
      </c>
      <c r="I1301" s="4">
        <f t="shared" si="43"/>
        <v>-0.15066079295154186</v>
      </c>
    </row>
    <row r="1302" spans="1:9" x14ac:dyDescent="0.2">
      <c r="A1302" s="2">
        <f ca="1">IFERROR(__xludf.DUMMYFUNCTION("""COMPUTED_VALUE"""),45849.6666666666)</f>
        <v>45849.666666666599</v>
      </c>
      <c r="B1302" s="2" t="s">
        <v>56</v>
      </c>
      <c r="C1302" s="1">
        <v>4850</v>
      </c>
      <c r="D1302" s="1">
        <v>4990</v>
      </c>
      <c r="E1302" s="1">
        <v>4830</v>
      </c>
      <c r="F1302" s="1">
        <v>4970</v>
      </c>
      <c r="G1302" s="1">
        <v>219980300</v>
      </c>
      <c r="H1302" s="4">
        <f t="shared" si="42"/>
        <v>3.1120331950207469E-2</v>
      </c>
      <c r="I1302" s="4">
        <f t="shared" si="43"/>
        <v>-0.12422907488986784</v>
      </c>
    </row>
    <row r="1303" spans="1:9" x14ac:dyDescent="0.2">
      <c r="A1303" s="2">
        <f ca="1">IFERROR(__xludf.DUMMYFUNCTION("""COMPUTED_VALUE"""),45852.6666666666)</f>
        <v>45852.666666666599</v>
      </c>
      <c r="B1303" s="2" t="s">
        <v>56</v>
      </c>
      <c r="C1303" s="1">
        <v>4980</v>
      </c>
      <c r="D1303" s="1">
        <v>4990</v>
      </c>
      <c r="E1303" s="1">
        <v>4670</v>
      </c>
      <c r="F1303" s="1">
        <v>4690</v>
      </c>
      <c r="G1303" s="1">
        <v>429438700</v>
      </c>
      <c r="H1303" s="4">
        <f t="shared" si="42"/>
        <v>-5.6338028169014086E-2</v>
      </c>
      <c r="I1303" s="4">
        <f t="shared" si="43"/>
        <v>-0.17356828193832599</v>
      </c>
    </row>
    <row r="1304" spans="1:9" x14ac:dyDescent="0.2">
      <c r="A1304" s="2">
        <f ca="1">IFERROR(__xludf.DUMMYFUNCTION("""COMPUTED_VALUE"""),45853.6666666666)</f>
        <v>45853.666666666599</v>
      </c>
      <c r="B1304" s="2" t="s">
        <v>56</v>
      </c>
      <c r="C1304" s="1">
        <v>4700</v>
      </c>
      <c r="D1304" s="1">
        <v>4740</v>
      </c>
      <c r="E1304" s="1">
        <v>4690</v>
      </c>
      <c r="F1304" s="1">
        <v>4700</v>
      </c>
      <c r="G1304" s="1">
        <v>206958200</v>
      </c>
      <c r="H1304" s="4">
        <f t="shared" si="42"/>
        <v>2.1321961620469083E-3</v>
      </c>
      <c r="I1304" s="4">
        <f t="shared" si="43"/>
        <v>-0.17180616740088106</v>
      </c>
    </row>
    <row r="1305" spans="1:9" x14ac:dyDescent="0.2">
      <c r="A1305" s="2">
        <f ca="1">IFERROR(__xludf.DUMMYFUNCTION("""COMPUTED_VALUE"""),45854.6666666666)</f>
        <v>45854.666666666599</v>
      </c>
      <c r="B1305" s="2" t="s">
        <v>56</v>
      </c>
      <c r="C1305" s="1">
        <v>4730</v>
      </c>
      <c r="D1305" s="1">
        <v>4760</v>
      </c>
      <c r="E1305" s="1">
        <v>4680</v>
      </c>
      <c r="F1305" s="1">
        <v>4690</v>
      </c>
      <c r="G1305" s="1">
        <v>323831100</v>
      </c>
      <c r="H1305" s="4">
        <f t="shared" si="42"/>
        <v>-2.1276595744680851E-3</v>
      </c>
      <c r="I1305" s="4">
        <f t="shared" si="43"/>
        <v>-0.17356828193832599</v>
      </c>
    </row>
    <row r="1306" spans="1:9" x14ac:dyDescent="0.2">
      <c r="A1306" s="2">
        <f ca="1">IFERROR(__xludf.DUMMYFUNCTION("""COMPUTED_VALUE"""),45855.6666666666)</f>
        <v>45855.666666666599</v>
      </c>
      <c r="B1306" s="2" t="s">
        <v>56</v>
      </c>
      <c r="C1306" s="1">
        <v>4700</v>
      </c>
      <c r="D1306" s="1">
        <v>4720</v>
      </c>
      <c r="E1306" s="1">
        <v>4680</v>
      </c>
      <c r="F1306" s="1">
        <v>4720</v>
      </c>
      <c r="G1306" s="1">
        <v>120304000</v>
      </c>
      <c r="H1306" s="4">
        <f t="shared" si="42"/>
        <v>6.3965884861407248E-3</v>
      </c>
      <c r="I1306" s="4">
        <f t="shared" si="43"/>
        <v>-0.1682819383259912</v>
      </c>
    </row>
    <row r="1307" spans="1:9" x14ac:dyDescent="0.2">
      <c r="A1307" s="2">
        <f ca="1">IFERROR(__xludf.DUMMYFUNCTION("""COMPUTED_VALUE"""),45856.6666666666)</f>
        <v>45856.666666666599</v>
      </c>
      <c r="B1307" s="2" t="s">
        <v>56</v>
      </c>
      <c r="C1307" s="1">
        <v>4760</v>
      </c>
      <c r="D1307" s="1">
        <v>4810</v>
      </c>
      <c r="E1307" s="1">
        <v>4720</v>
      </c>
      <c r="F1307" s="1">
        <v>4740</v>
      </c>
      <c r="G1307" s="1">
        <v>161262400</v>
      </c>
      <c r="H1307" s="4">
        <f t="shared" si="42"/>
        <v>4.2372881355932203E-3</v>
      </c>
      <c r="I1307" s="4">
        <f t="shared" si="43"/>
        <v>-0.16475770925110131</v>
      </c>
    </row>
    <row r="1308" spans="1:9" x14ac:dyDescent="0.2">
      <c r="A1308" s="2">
        <f ca="1">IFERROR(__xludf.DUMMYFUNCTION("""COMPUTED_VALUE"""),45859.6666666666)</f>
        <v>45859.666666666599</v>
      </c>
      <c r="B1308" s="2" t="s">
        <v>56</v>
      </c>
      <c r="C1308" s="1">
        <v>4770</v>
      </c>
      <c r="D1308" s="1">
        <v>4770</v>
      </c>
      <c r="E1308" s="1">
        <v>4680</v>
      </c>
      <c r="F1308" s="1">
        <v>4680</v>
      </c>
      <c r="G1308" s="1">
        <v>103387400</v>
      </c>
      <c r="H1308" s="4">
        <f t="shared" si="42"/>
        <v>-1.2658227848101266E-2</v>
      </c>
      <c r="I1308" s="4">
        <f t="shared" si="43"/>
        <v>-0.17533039647577092</v>
      </c>
    </row>
    <row r="1309" spans="1:9" x14ac:dyDescent="0.2">
      <c r="A1309" s="2">
        <f ca="1">IFERROR(__xludf.DUMMYFUNCTION("""COMPUTED_VALUE"""),45860.6666666666)</f>
        <v>45860.666666666599</v>
      </c>
      <c r="B1309" s="2" t="s">
        <v>56</v>
      </c>
      <c r="C1309" s="1">
        <v>4680</v>
      </c>
      <c r="D1309" s="1">
        <v>4710</v>
      </c>
      <c r="E1309" s="1">
        <v>4650</v>
      </c>
      <c r="F1309" s="1">
        <v>4660</v>
      </c>
      <c r="G1309" s="1">
        <v>132984400</v>
      </c>
      <c r="H1309" s="4">
        <f t="shared" si="42"/>
        <v>-4.2735042735042739E-3</v>
      </c>
      <c r="I1309" s="4">
        <f t="shared" si="43"/>
        <v>-0.17885462555066078</v>
      </c>
    </row>
    <row r="1310" spans="1:9" x14ac:dyDescent="0.2">
      <c r="A1310" s="2">
        <f ca="1">IFERROR(__xludf.DUMMYFUNCTION("""COMPUTED_VALUE"""),45861.6666666666)</f>
        <v>45861.666666666599</v>
      </c>
      <c r="B1310" s="2" t="s">
        <v>56</v>
      </c>
      <c r="C1310" s="1">
        <v>4660</v>
      </c>
      <c r="D1310" s="1">
        <v>4690</v>
      </c>
      <c r="E1310" s="1">
        <v>4660</v>
      </c>
      <c r="F1310" s="1">
        <v>4680</v>
      </c>
      <c r="G1310" s="1">
        <v>115298400</v>
      </c>
      <c r="H1310" s="4">
        <f t="shared" si="42"/>
        <v>4.2918454935622317E-3</v>
      </c>
      <c r="I1310" s="4">
        <f t="shared" si="43"/>
        <v>-0.17533039647577092</v>
      </c>
    </row>
    <row r="1311" spans="1:9" x14ac:dyDescent="0.2">
      <c r="A1311" s="2">
        <f ca="1">IFERROR(__xludf.DUMMYFUNCTION("""COMPUTED_VALUE"""),45862.6666666666)</f>
        <v>45862.666666666599</v>
      </c>
      <c r="B1311" s="2" t="s">
        <v>56</v>
      </c>
      <c r="C1311" s="1">
        <v>4690</v>
      </c>
      <c r="D1311" s="1">
        <v>4840</v>
      </c>
      <c r="E1311" s="1">
        <v>4680</v>
      </c>
      <c r="F1311" s="1">
        <v>4800</v>
      </c>
      <c r="G1311" s="1">
        <v>273623100</v>
      </c>
      <c r="H1311" s="4">
        <f t="shared" si="42"/>
        <v>2.564102564102564E-2</v>
      </c>
      <c r="I1311" s="4">
        <f t="shared" si="43"/>
        <v>-0.15418502202643172</v>
      </c>
    </row>
    <row r="1312" spans="1:9" x14ac:dyDescent="0.2">
      <c r="A1312" s="2">
        <f ca="1">IFERROR(__xludf.DUMMYFUNCTION("""COMPUTED_VALUE"""),45863.6666666666)</f>
        <v>45863.666666666599</v>
      </c>
      <c r="B1312" s="2" t="s">
        <v>56</v>
      </c>
      <c r="C1312" s="1">
        <v>4800</v>
      </c>
      <c r="D1312" s="1">
        <v>4800</v>
      </c>
      <c r="E1312" s="1">
        <v>4690</v>
      </c>
      <c r="F1312" s="1">
        <v>4690</v>
      </c>
      <c r="G1312" s="1">
        <v>88471700</v>
      </c>
      <c r="H1312" s="4">
        <f t="shared" si="42"/>
        <v>-2.2916666666666665E-2</v>
      </c>
      <c r="I1312" s="4">
        <f t="shared" si="43"/>
        <v>-0.17356828193832599</v>
      </c>
    </row>
    <row r="1313" spans="1:9" x14ac:dyDescent="0.2">
      <c r="A1313" s="2">
        <f ca="1">IFERROR(__xludf.DUMMYFUNCTION("""COMPUTED_VALUE"""),45866.6666666666)</f>
        <v>45866.666666666599</v>
      </c>
      <c r="B1313" s="2" t="s">
        <v>56</v>
      </c>
      <c r="C1313" s="1">
        <v>4730</v>
      </c>
      <c r="D1313" s="1">
        <v>4750</v>
      </c>
      <c r="E1313" s="1">
        <v>4690</v>
      </c>
      <c r="F1313" s="1">
        <v>4700</v>
      </c>
      <c r="G1313" s="1">
        <v>112048900</v>
      </c>
      <c r="H1313" s="4">
        <f t="shared" si="42"/>
        <v>2.1321961620469083E-3</v>
      </c>
      <c r="I1313" s="4">
        <f t="shared" si="43"/>
        <v>-0.17180616740088106</v>
      </c>
    </row>
    <row r="1314" spans="1:9" x14ac:dyDescent="0.2">
      <c r="A1314" s="2">
        <f ca="1">IFERROR(__xludf.DUMMYFUNCTION("""COMPUTED_VALUE"""),45867.6666666666)</f>
        <v>45867.666666666599</v>
      </c>
      <c r="B1314" s="2" t="s">
        <v>56</v>
      </c>
      <c r="C1314" s="1">
        <v>4700</v>
      </c>
      <c r="D1314" s="1">
        <v>4720</v>
      </c>
      <c r="E1314" s="1">
        <v>4690</v>
      </c>
      <c r="F1314" s="1">
        <v>4710</v>
      </c>
      <c r="G1314" s="1">
        <v>74422700</v>
      </c>
      <c r="H1314" s="4">
        <f t="shared" si="42"/>
        <v>2.1276595744680851E-3</v>
      </c>
      <c r="I1314" s="4">
        <f t="shared" si="43"/>
        <v>-0.17004405286343613</v>
      </c>
    </row>
    <row r="1315" spans="1:9" x14ac:dyDescent="0.2">
      <c r="A1315" s="2">
        <f ca="1">IFERROR(__xludf.DUMMYFUNCTION("""COMPUTED_VALUE"""),45868.6666666666)</f>
        <v>45868.666666666599</v>
      </c>
      <c r="B1315" s="2" t="s">
        <v>56</v>
      </c>
      <c r="C1315" s="1">
        <v>4710</v>
      </c>
      <c r="D1315" s="1">
        <v>4720</v>
      </c>
      <c r="E1315" s="1">
        <v>4620</v>
      </c>
      <c r="F1315" s="1">
        <v>4620</v>
      </c>
      <c r="G1315" s="1">
        <v>141263400</v>
      </c>
      <c r="H1315" s="4">
        <f t="shared" si="42"/>
        <v>-1.9108280254777069E-2</v>
      </c>
      <c r="I1315" s="4">
        <f t="shared" si="43"/>
        <v>-0.18590308370044054</v>
      </c>
    </row>
    <row r="1316" spans="1:9" x14ac:dyDescent="0.2">
      <c r="A1316" s="2">
        <f ca="1">IFERROR(__xludf.DUMMYFUNCTION("""COMPUTED_VALUE"""),45869.6666666666)</f>
        <v>45869.666666666599</v>
      </c>
      <c r="B1316" s="2" t="s">
        <v>56</v>
      </c>
      <c r="C1316" s="1">
        <v>4610</v>
      </c>
      <c r="D1316" s="1">
        <v>4640</v>
      </c>
      <c r="E1316" s="1">
        <v>4510</v>
      </c>
      <c r="F1316" s="1">
        <v>4510</v>
      </c>
      <c r="G1316" s="1">
        <v>155903600</v>
      </c>
      <c r="H1316" s="4">
        <f t="shared" si="42"/>
        <v>-2.3809523809523808E-2</v>
      </c>
      <c r="I1316" s="4">
        <f t="shared" si="43"/>
        <v>-0.2052863436123348</v>
      </c>
    </row>
    <row r="1317" spans="1:9" x14ac:dyDescent="0.2">
      <c r="A1317" s="2">
        <f ca="1">IFERROR(__xludf.DUMMYFUNCTION("""COMPUTED_VALUE"""),45870.6666666666)</f>
        <v>45870.666666666599</v>
      </c>
      <c r="B1317" s="2" t="s">
        <v>56</v>
      </c>
      <c r="C1317" s="1">
        <v>4570</v>
      </c>
      <c r="D1317" s="1">
        <v>4610</v>
      </c>
      <c r="E1317" s="1">
        <v>4510</v>
      </c>
      <c r="F1317" s="1">
        <v>4530</v>
      </c>
      <c r="G1317" s="1">
        <v>157949900</v>
      </c>
      <c r="H1317" s="4">
        <f t="shared" si="42"/>
        <v>4.434589800443459E-3</v>
      </c>
      <c r="I1317" s="4">
        <f t="shared" si="43"/>
        <v>-0.20176211453744494</v>
      </c>
    </row>
    <row r="1318" spans="1:9" x14ac:dyDescent="0.2">
      <c r="A1318" s="2">
        <f ca="1">IFERROR(__xludf.DUMMYFUNCTION("""COMPUTED_VALUE"""),45873.6666666666)</f>
        <v>45873.666666666599</v>
      </c>
      <c r="B1318" s="2" t="s">
        <v>56</v>
      </c>
      <c r="C1318" s="1">
        <v>4530</v>
      </c>
      <c r="D1318" s="1">
        <v>4630</v>
      </c>
      <c r="E1318" s="1">
        <v>4510</v>
      </c>
      <c r="F1318" s="1">
        <v>4620</v>
      </c>
      <c r="G1318" s="1">
        <v>174404800</v>
      </c>
      <c r="H1318" s="4">
        <f t="shared" si="42"/>
        <v>1.9867549668874173E-2</v>
      </c>
      <c r="I1318" s="4">
        <f t="shared" si="43"/>
        <v>-0.18590308370044054</v>
      </c>
    </row>
    <row r="1319" spans="1:9" x14ac:dyDescent="0.2">
      <c r="A1319" s="2">
        <f ca="1">IFERROR(__xludf.DUMMYFUNCTION("""COMPUTED_VALUE"""),45874.6666666666)</f>
        <v>45874.666666666599</v>
      </c>
      <c r="B1319" s="2" t="s">
        <v>56</v>
      </c>
      <c r="C1319" s="1">
        <v>4690</v>
      </c>
      <c r="D1319" s="1">
        <v>4780</v>
      </c>
      <c r="E1319" s="1">
        <v>4660</v>
      </c>
      <c r="F1319" s="1">
        <v>4750</v>
      </c>
      <c r="G1319" s="1">
        <v>277668300</v>
      </c>
      <c r="H1319" s="4">
        <f t="shared" si="42"/>
        <v>2.813852813852814E-2</v>
      </c>
      <c r="I1319" s="4">
        <f t="shared" si="43"/>
        <v>-0.16299559471365638</v>
      </c>
    </row>
    <row r="1320" spans="1:9" x14ac:dyDescent="0.2">
      <c r="A1320" s="2">
        <f ca="1">IFERROR(__xludf.DUMMYFUNCTION("""COMPUTED_VALUE"""),45875.6666666666)</f>
        <v>45875.666666666599</v>
      </c>
      <c r="B1320" s="2" t="s">
        <v>56</v>
      </c>
      <c r="C1320" s="1">
        <v>4750</v>
      </c>
      <c r="D1320" s="1">
        <v>4750</v>
      </c>
      <c r="E1320" s="1">
        <v>4690</v>
      </c>
      <c r="F1320" s="1">
        <v>4700</v>
      </c>
      <c r="G1320" s="1">
        <v>79277900</v>
      </c>
      <c r="H1320" s="4">
        <f t="shared" si="42"/>
        <v>-1.0526315789473684E-2</v>
      </c>
      <c r="I1320" s="4">
        <f t="shared" si="43"/>
        <v>-0.17180616740088106</v>
      </c>
    </row>
    <row r="1321" spans="1:9" x14ac:dyDescent="0.2">
      <c r="A1321" s="2">
        <f ca="1">IFERROR(__xludf.DUMMYFUNCTION("""COMPUTED_VALUE"""),45876.6666666666)</f>
        <v>45876.666666666599</v>
      </c>
      <c r="B1321" s="2" t="s">
        <v>56</v>
      </c>
      <c r="C1321" s="1">
        <v>4740</v>
      </c>
      <c r="D1321" s="1">
        <v>4740</v>
      </c>
      <c r="E1321" s="1">
        <v>4680</v>
      </c>
      <c r="F1321" s="1">
        <v>4680</v>
      </c>
      <c r="G1321" s="1">
        <v>61453100</v>
      </c>
      <c r="H1321" s="4">
        <f t="shared" si="42"/>
        <v>-4.2553191489361703E-3</v>
      </c>
      <c r="I1321" s="4">
        <f t="shared" si="43"/>
        <v>-0.17533039647577092</v>
      </c>
    </row>
    <row r="1322" spans="1:9" x14ac:dyDescent="0.2">
      <c r="A1322" s="2">
        <f ca="1">IFERROR(__xludf.DUMMYFUNCTION("""COMPUTED_VALUE"""),45877.6666666666)</f>
        <v>45877.666666666599</v>
      </c>
      <c r="B1322" s="2" t="s">
        <v>56</v>
      </c>
      <c r="C1322" s="1">
        <v>4680</v>
      </c>
      <c r="D1322" s="1">
        <v>4700</v>
      </c>
      <c r="E1322" s="1">
        <v>4660</v>
      </c>
      <c r="F1322" s="1">
        <v>4670</v>
      </c>
      <c r="G1322" s="1">
        <v>71516700</v>
      </c>
      <c r="H1322" s="4">
        <f t="shared" si="42"/>
        <v>-2.136752136752137E-3</v>
      </c>
      <c r="I1322" s="4">
        <f t="shared" si="43"/>
        <v>-0.17709251101321585</v>
      </c>
    </row>
    <row r="1323" spans="1:9" x14ac:dyDescent="0.2">
      <c r="A1323" s="2">
        <f ca="1">IFERROR(__xludf.DUMMYFUNCTION("""COMPUTED_VALUE"""),45880.6666666666)</f>
        <v>45880.666666666599</v>
      </c>
      <c r="B1323" s="2" t="s">
        <v>56</v>
      </c>
      <c r="C1323" s="1">
        <v>4710</v>
      </c>
      <c r="D1323" s="1">
        <v>4780</v>
      </c>
      <c r="E1323" s="1">
        <v>4700</v>
      </c>
      <c r="F1323" s="1">
        <v>4720</v>
      </c>
      <c r="G1323" s="1">
        <v>105204200</v>
      </c>
      <c r="H1323" s="4">
        <f t="shared" si="42"/>
        <v>1.0706638115631691E-2</v>
      </c>
      <c r="I1323" s="4">
        <f t="shared" si="43"/>
        <v>-0.1682819383259912</v>
      </c>
    </row>
    <row r="1324" spans="1:9" x14ac:dyDescent="0.2">
      <c r="A1324" s="2">
        <f ca="1">IFERROR(__xludf.DUMMYFUNCTION("""COMPUTED_VALUE"""),45881.6666666666)</f>
        <v>45881.666666666599</v>
      </c>
      <c r="B1324" s="2" t="s">
        <v>56</v>
      </c>
      <c r="C1324" s="1">
        <v>4770</v>
      </c>
      <c r="D1324" s="1">
        <v>4920</v>
      </c>
      <c r="E1324" s="1">
        <v>4750</v>
      </c>
      <c r="F1324" s="1">
        <v>4910</v>
      </c>
      <c r="G1324" s="1">
        <v>301599000</v>
      </c>
      <c r="H1324" s="4">
        <f t="shared" si="42"/>
        <v>4.025423728813559E-2</v>
      </c>
      <c r="I1324" s="4">
        <f t="shared" si="43"/>
        <v>-0.13480176211453745</v>
      </c>
    </row>
    <row r="1325" spans="1:9" x14ac:dyDescent="0.2">
      <c r="A1325" s="2">
        <f ca="1">IFERROR(__xludf.DUMMYFUNCTION("""COMPUTED_VALUE"""),45882.6666666666)</f>
        <v>45882.666666666599</v>
      </c>
      <c r="B1325" s="2" t="s">
        <v>56</v>
      </c>
      <c r="C1325" s="1">
        <v>4930</v>
      </c>
      <c r="D1325" s="1">
        <v>4970</v>
      </c>
      <c r="E1325" s="1">
        <v>4860</v>
      </c>
      <c r="F1325" s="1">
        <v>4870</v>
      </c>
      <c r="G1325" s="1">
        <v>180844900</v>
      </c>
      <c r="H1325" s="4">
        <f t="shared" si="42"/>
        <v>-8.1466395112016286E-3</v>
      </c>
      <c r="I1325" s="4">
        <f t="shared" si="43"/>
        <v>-0.14185022026431718</v>
      </c>
    </row>
    <row r="1326" spans="1:9" x14ac:dyDescent="0.2">
      <c r="A1326" s="2">
        <f ca="1">IFERROR(__xludf.DUMMYFUNCTION("""COMPUTED_VALUE"""),45883.6666666666)</f>
        <v>45883.666666666599</v>
      </c>
      <c r="B1326" s="2" t="s">
        <v>56</v>
      </c>
      <c r="C1326" s="1">
        <v>4910</v>
      </c>
      <c r="D1326" s="1">
        <v>4930</v>
      </c>
      <c r="E1326" s="1">
        <v>4840</v>
      </c>
      <c r="F1326" s="1">
        <v>4850</v>
      </c>
      <c r="G1326" s="1">
        <v>109457100</v>
      </c>
      <c r="H1326" s="4">
        <f t="shared" si="42"/>
        <v>-4.1067761806981521E-3</v>
      </c>
      <c r="I1326" s="4">
        <f t="shared" si="43"/>
        <v>-0.14537444933920704</v>
      </c>
    </row>
    <row r="1327" spans="1:9" x14ac:dyDescent="0.2">
      <c r="A1327" s="2">
        <f ca="1">IFERROR(__xludf.DUMMYFUNCTION("""COMPUTED_VALUE"""),45884.6666666666)</f>
        <v>45884.666666666599</v>
      </c>
      <c r="B1327" s="2" t="s">
        <v>56</v>
      </c>
      <c r="C1327" s="1">
        <v>4890</v>
      </c>
      <c r="D1327" s="1">
        <v>4930</v>
      </c>
      <c r="E1327" s="1">
        <v>4850</v>
      </c>
      <c r="F1327" s="1">
        <v>4850</v>
      </c>
      <c r="G1327" s="1">
        <v>126685400</v>
      </c>
      <c r="H1327" s="4">
        <f t="shared" si="42"/>
        <v>0</v>
      </c>
      <c r="I1327" s="4">
        <f t="shared" si="43"/>
        <v>-0.14537444933920704</v>
      </c>
    </row>
    <row r="1328" spans="1:9" x14ac:dyDescent="0.2">
      <c r="A1328" s="2">
        <f ca="1">IFERROR(__xludf.DUMMYFUNCTION("""COMPUTED_VALUE"""),45888.6666666666)</f>
        <v>45888.666666666599</v>
      </c>
      <c r="B1328" s="2" t="s">
        <v>56</v>
      </c>
      <c r="C1328" s="1">
        <v>4860</v>
      </c>
      <c r="D1328" s="1">
        <v>4870</v>
      </c>
      <c r="E1328" s="1">
        <v>4780</v>
      </c>
      <c r="F1328" s="1">
        <v>4800</v>
      </c>
      <c r="G1328" s="1">
        <v>116454000</v>
      </c>
      <c r="H1328" s="4">
        <f t="shared" si="42"/>
        <v>-1.0309278350515464E-2</v>
      </c>
      <c r="I1328" s="4">
        <f t="shared" si="43"/>
        <v>-0.15418502202643172</v>
      </c>
    </row>
    <row r="1329" spans="1:9" x14ac:dyDescent="0.2">
      <c r="A1329" s="2">
        <f ca="1">IFERROR(__xludf.DUMMYFUNCTION("""COMPUTED_VALUE"""),45889.6666666666)</f>
        <v>45889.666666666599</v>
      </c>
      <c r="B1329" s="2" t="s">
        <v>56</v>
      </c>
      <c r="C1329" s="1">
        <v>4790</v>
      </c>
      <c r="D1329" s="1">
        <v>4950</v>
      </c>
      <c r="E1329" s="1">
        <v>4780</v>
      </c>
      <c r="F1329" s="1">
        <v>4950</v>
      </c>
      <c r="G1329" s="1">
        <v>144622900</v>
      </c>
      <c r="H1329" s="4">
        <f t="shared" si="42"/>
        <v>3.125E-2</v>
      </c>
      <c r="I1329" s="4">
        <f t="shared" si="43"/>
        <v>-0.1277533039647577</v>
      </c>
    </row>
    <row r="1330" spans="1:9" x14ac:dyDescent="0.2">
      <c r="A1330" s="2">
        <f ca="1">IFERROR(__xludf.DUMMYFUNCTION("""COMPUTED_VALUE"""),45890.6666666666)</f>
        <v>45890.666666666599</v>
      </c>
      <c r="B1330" s="2" t="s">
        <v>56</v>
      </c>
      <c r="C1330" s="1">
        <v>4950</v>
      </c>
      <c r="D1330" s="1">
        <v>4950</v>
      </c>
      <c r="E1330" s="1">
        <v>4860</v>
      </c>
      <c r="F1330" s="1">
        <v>4900</v>
      </c>
      <c r="G1330" s="1">
        <v>132019200</v>
      </c>
      <c r="H1330" s="4">
        <f t="shared" si="42"/>
        <v>-1.0101010101010102E-2</v>
      </c>
      <c r="I1330" s="4">
        <f t="shared" si="43"/>
        <v>-0.13656387665198239</v>
      </c>
    </row>
    <row r="1331" spans="1:9" x14ac:dyDescent="0.2">
      <c r="A1331" s="2">
        <f ca="1">IFERROR(__xludf.DUMMYFUNCTION("""COMPUTED_VALUE"""),45891.6666666666)</f>
        <v>45891.666666666599</v>
      </c>
      <c r="B1331" s="2" t="s">
        <v>56</v>
      </c>
      <c r="C1331" s="1">
        <v>4920</v>
      </c>
      <c r="D1331" s="1">
        <v>4920</v>
      </c>
      <c r="E1331" s="1">
        <v>4870</v>
      </c>
      <c r="F1331" s="1">
        <v>4890</v>
      </c>
      <c r="G1331" s="1">
        <v>73104500</v>
      </c>
      <c r="H1331" s="4">
        <f t="shared" si="42"/>
        <v>-2.0408163265306124E-3</v>
      </c>
      <c r="I1331" s="4">
        <f t="shared" si="43"/>
        <v>-0.13832599118942732</v>
      </c>
    </row>
    <row r="1332" spans="1:9" x14ac:dyDescent="0.2">
      <c r="A1332" s="2">
        <f ca="1">IFERROR(__xludf.DUMMYFUNCTION("""COMPUTED_VALUE"""),45894.6666666666)</f>
        <v>45894.666666666599</v>
      </c>
      <c r="B1332" s="2" t="s">
        <v>56</v>
      </c>
      <c r="C1332" s="1">
        <v>4950</v>
      </c>
      <c r="D1332" s="1">
        <v>4980</v>
      </c>
      <c r="E1332" s="1">
        <v>4920</v>
      </c>
      <c r="F1332" s="1">
        <v>4950</v>
      </c>
      <c r="G1332" s="1">
        <v>149580800</v>
      </c>
      <c r="H1332" s="4">
        <f t="shared" si="42"/>
        <v>1.2269938650306749E-2</v>
      </c>
      <c r="I1332" s="4">
        <f t="shared" si="43"/>
        <v>-0.1277533039647577</v>
      </c>
    </row>
    <row r="1333" spans="1:9" x14ac:dyDescent="0.2">
      <c r="A1333" s="2">
        <f ca="1">IFERROR(__xludf.DUMMYFUNCTION("""COMPUTED_VALUE"""),45895.6666666666)</f>
        <v>45895.666666666599</v>
      </c>
      <c r="B1333" s="2" t="s">
        <v>56</v>
      </c>
      <c r="C1333" s="1">
        <v>4950</v>
      </c>
      <c r="D1333" s="1">
        <v>4950</v>
      </c>
      <c r="E1333" s="1">
        <v>4860</v>
      </c>
      <c r="F1333" s="1">
        <v>4900</v>
      </c>
      <c r="G1333" s="1">
        <v>308891700</v>
      </c>
      <c r="H1333" s="4">
        <f t="shared" si="42"/>
        <v>-1.0101010101010102E-2</v>
      </c>
      <c r="I1333" s="4">
        <f t="shared" si="43"/>
        <v>-0.13656387665198239</v>
      </c>
    </row>
    <row r="1334" spans="1:9" x14ac:dyDescent="0.2">
      <c r="A1334" s="2">
        <f ca="1">IFERROR(__xludf.DUMMYFUNCTION("""COMPUTED_VALUE"""),45896.6666666666)</f>
        <v>45896.666666666599</v>
      </c>
      <c r="B1334" s="2" t="s">
        <v>56</v>
      </c>
      <c r="C1334" s="1">
        <v>4840</v>
      </c>
      <c r="D1334" s="1">
        <v>4880</v>
      </c>
      <c r="E1334" s="1">
        <v>4800</v>
      </c>
      <c r="F1334" s="1">
        <v>4800</v>
      </c>
      <c r="G1334" s="1">
        <v>113576300</v>
      </c>
      <c r="H1334" s="4">
        <f t="shared" ref="H1334:H1397" si="44">(F1334-F1333)/F1333</f>
        <v>-2.0408163265306121E-2</v>
      </c>
      <c r="I1334" s="4">
        <f t="shared" ref="I1334:I1397" si="45">(F1334-$F$2)/$F$2</f>
        <v>-0.15418502202643172</v>
      </c>
    </row>
    <row r="1335" spans="1:9" x14ac:dyDescent="0.2">
      <c r="A1335" s="2">
        <f ca="1">IFERROR(__xludf.DUMMYFUNCTION("""COMPUTED_VALUE"""),45897.6666666666)</f>
        <v>45897.666666666599</v>
      </c>
      <c r="B1335" s="2" t="s">
        <v>56</v>
      </c>
      <c r="C1335" s="1">
        <v>4790</v>
      </c>
      <c r="D1335" s="1">
        <v>4850</v>
      </c>
      <c r="E1335" s="1">
        <v>4770</v>
      </c>
      <c r="F1335" s="1">
        <v>4770</v>
      </c>
      <c r="G1335" s="1">
        <v>111707400</v>
      </c>
      <c r="H1335" s="4">
        <f t="shared" si="44"/>
        <v>-6.2500000000000003E-3</v>
      </c>
      <c r="I1335" s="4">
        <f t="shared" si="45"/>
        <v>-0.15947136563876652</v>
      </c>
    </row>
    <row r="1336" spans="1:9" x14ac:dyDescent="0.2">
      <c r="A1336" s="2">
        <f ca="1">IFERROR(__xludf.DUMMYFUNCTION("""COMPUTED_VALUE"""),45898.6666666666)</f>
        <v>45898.666666666599</v>
      </c>
      <c r="B1336" s="2" t="s">
        <v>56</v>
      </c>
      <c r="C1336" s="1">
        <v>4720</v>
      </c>
      <c r="D1336" s="1">
        <v>4750</v>
      </c>
      <c r="E1336" s="1">
        <v>4660</v>
      </c>
      <c r="F1336" s="1">
        <v>4730</v>
      </c>
      <c r="G1336" s="1">
        <v>176485100</v>
      </c>
      <c r="H1336" s="4">
        <f t="shared" si="44"/>
        <v>-8.385744234800839E-3</v>
      </c>
      <c r="I1336" s="4">
        <f t="shared" si="45"/>
        <v>-0.16651982378854627</v>
      </c>
    </row>
    <row r="1337" spans="1:9" x14ac:dyDescent="0.2">
      <c r="A1337" s="2">
        <f ca="1">IFERROR(__xludf.DUMMYFUNCTION("""COMPUTED_VALUE"""),45901.6666666666)</f>
        <v>45901.666666666599</v>
      </c>
      <c r="B1337" s="2" t="s">
        <v>56</v>
      </c>
      <c r="C1337" s="1">
        <v>4550</v>
      </c>
      <c r="D1337" s="1">
        <v>4670</v>
      </c>
      <c r="E1337" s="1">
        <v>4460</v>
      </c>
      <c r="F1337" s="1">
        <v>4600</v>
      </c>
      <c r="G1337" s="1">
        <v>320335300</v>
      </c>
      <c r="H1337" s="4">
        <f t="shared" si="44"/>
        <v>-2.748414376321353E-2</v>
      </c>
      <c r="I1337" s="4">
        <f t="shared" si="45"/>
        <v>-0.1894273127753304</v>
      </c>
    </row>
    <row r="1338" spans="1:9" x14ac:dyDescent="0.2">
      <c r="A1338" s="2">
        <f ca="1">IFERROR(__xludf.DUMMYFUNCTION("""COMPUTED_VALUE"""),45902.6666666666)</f>
        <v>45902.666666666599</v>
      </c>
      <c r="B1338" s="2" t="s">
        <v>56</v>
      </c>
      <c r="C1338" s="1">
        <v>4610</v>
      </c>
      <c r="D1338" s="1">
        <v>4670</v>
      </c>
      <c r="E1338" s="1">
        <v>4560</v>
      </c>
      <c r="F1338" s="1">
        <v>4570</v>
      </c>
      <c r="G1338" s="1">
        <v>150045600</v>
      </c>
      <c r="H1338" s="4">
        <f t="shared" si="44"/>
        <v>-6.5217391304347823E-3</v>
      </c>
      <c r="I1338" s="4">
        <f t="shared" si="45"/>
        <v>-0.19471365638766519</v>
      </c>
    </row>
    <row r="1339" spans="1:9" x14ac:dyDescent="0.2">
      <c r="A1339" s="2">
        <f ca="1">IFERROR(__xludf.DUMMYFUNCTION("""COMPUTED_VALUE"""),45903.6666666666)</f>
        <v>45903.666666666599</v>
      </c>
      <c r="B1339" s="2" t="s">
        <v>56</v>
      </c>
      <c r="C1339" s="1">
        <v>4620</v>
      </c>
      <c r="D1339" s="1">
        <v>4660</v>
      </c>
      <c r="E1339" s="1">
        <v>4570</v>
      </c>
      <c r="F1339" s="1">
        <v>4620</v>
      </c>
      <c r="G1339" s="1">
        <v>131617900</v>
      </c>
      <c r="H1339" s="4">
        <f t="shared" si="44"/>
        <v>1.0940919037199124E-2</v>
      </c>
      <c r="I1339" s="4">
        <f t="shared" si="45"/>
        <v>-0.18590308370044054</v>
      </c>
    </row>
    <row r="1340" spans="1:9" x14ac:dyDescent="0.2">
      <c r="A1340" s="2">
        <f ca="1">IFERROR(__xludf.DUMMYFUNCTION("""COMPUTED_VALUE"""),45904.6666666666)</f>
        <v>45904.666666666599</v>
      </c>
      <c r="B1340" s="2" t="s">
        <v>56</v>
      </c>
      <c r="C1340" s="1">
        <v>4630</v>
      </c>
      <c r="D1340" s="1">
        <v>4680</v>
      </c>
      <c r="E1340" s="1">
        <v>4620</v>
      </c>
      <c r="F1340" s="1">
        <v>4680</v>
      </c>
      <c r="G1340" s="1">
        <v>88735300</v>
      </c>
      <c r="H1340" s="4">
        <f t="shared" si="44"/>
        <v>1.2987012987012988E-2</v>
      </c>
      <c r="I1340" s="4">
        <f t="shared" si="45"/>
        <v>-0.17533039647577092</v>
      </c>
    </row>
    <row r="1341" spans="1:9" x14ac:dyDescent="0.2">
      <c r="A1341" s="2">
        <f ca="1">IFERROR(__xludf.DUMMYFUNCTION("""COMPUTED_VALUE"""),45908.6666666666)</f>
        <v>45908.666666666599</v>
      </c>
      <c r="B1341" s="2" t="s">
        <v>56</v>
      </c>
      <c r="C1341" s="1">
        <v>4750</v>
      </c>
      <c r="D1341" s="1">
        <v>4750</v>
      </c>
      <c r="E1341" s="1">
        <v>4460</v>
      </c>
      <c r="F1341" s="1">
        <v>4490</v>
      </c>
      <c r="G1341" s="1">
        <v>200234500</v>
      </c>
      <c r="H1341" s="4">
        <f t="shared" si="44"/>
        <v>-4.05982905982906E-2</v>
      </c>
      <c r="I1341" s="4">
        <f t="shared" si="45"/>
        <v>-0.20881057268722467</v>
      </c>
    </row>
    <row r="1342" spans="1:9" x14ac:dyDescent="0.2">
      <c r="A1342" s="2">
        <f ca="1">IFERROR(__xludf.DUMMYFUNCTION("""COMPUTED_VALUE"""),45909.6666666666)</f>
        <v>45909.666666666599</v>
      </c>
      <c r="B1342" s="2" t="s">
        <v>56</v>
      </c>
      <c r="C1342" s="1">
        <v>4450</v>
      </c>
      <c r="D1342" s="1">
        <v>4480</v>
      </c>
      <c r="E1342" s="1">
        <v>4310</v>
      </c>
      <c r="F1342" s="1">
        <v>4310</v>
      </c>
      <c r="G1342" s="1">
        <v>509366600</v>
      </c>
      <c r="H1342" s="4">
        <f t="shared" si="44"/>
        <v>-4.0089086859688199E-2</v>
      </c>
      <c r="I1342" s="4">
        <f t="shared" si="45"/>
        <v>-0.24052863436123348</v>
      </c>
    </row>
    <row r="1343" spans="1:9" x14ac:dyDescent="0.2">
      <c r="A1343" s="2">
        <f ca="1">IFERROR(__xludf.DUMMYFUNCTION("""COMPUTED_VALUE"""),45910.6666666666)</f>
        <v>45910.666666666599</v>
      </c>
      <c r="B1343" s="2" t="s">
        <v>56</v>
      </c>
      <c r="C1343" s="1">
        <v>4400</v>
      </c>
      <c r="D1343" s="1">
        <v>4400</v>
      </c>
      <c r="E1343" s="1">
        <v>4400</v>
      </c>
      <c r="F1343" s="1">
        <v>4400</v>
      </c>
      <c r="G1343" s="1">
        <v>801400</v>
      </c>
      <c r="H1343" s="4">
        <f t="shared" si="44"/>
        <v>2.0881670533642691E-2</v>
      </c>
      <c r="I1343" s="4">
        <f t="shared" si="45"/>
        <v>-0.22466960352422907</v>
      </c>
    </row>
    <row r="1344" spans="1:9" x14ac:dyDescent="0.2">
      <c r="A1344" s="2">
        <f ca="1">IFERROR(__xludf.DUMMYFUNCTION("""COMPUTED_VALUE"""),45911.6666666666)</f>
        <v>45911.666666666599</v>
      </c>
      <c r="B1344" s="2" t="s">
        <v>56</v>
      </c>
      <c r="C1344" s="1">
        <v>4480</v>
      </c>
      <c r="D1344" s="1">
        <v>4540</v>
      </c>
      <c r="E1344" s="1">
        <v>4450</v>
      </c>
      <c r="F1344" s="1">
        <v>4480</v>
      </c>
      <c r="G1344" s="1">
        <v>366697800</v>
      </c>
      <c r="H1344" s="4">
        <f t="shared" si="44"/>
        <v>1.8181818181818181E-2</v>
      </c>
      <c r="I1344" s="4">
        <f t="shared" si="45"/>
        <v>-0.2105726872246696</v>
      </c>
    </row>
    <row r="1345" spans="1:9" x14ac:dyDescent="0.2">
      <c r="A1345" s="2">
        <f ca="1">IFERROR(__xludf.DUMMYFUNCTION("""COMPUTED_VALUE"""),45912.6666666666)</f>
        <v>45912.666666666599</v>
      </c>
      <c r="B1345" s="2" t="s">
        <v>56</v>
      </c>
      <c r="C1345" s="1">
        <v>4500</v>
      </c>
      <c r="D1345" s="1">
        <v>4550</v>
      </c>
      <c r="E1345" s="1">
        <v>4480</v>
      </c>
      <c r="F1345" s="1">
        <v>4520</v>
      </c>
      <c r="G1345" s="1">
        <v>216960200</v>
      </c>
      <c r="H1345" s="4">
        <f t="shared" si="44"/>
        <v>8.9285714285714281E-3</v>
      </c>
      <c r="I1345" s="4">
        <f t="shared" si="45"/>
        <v>-0.20352422907488987</v>
      </c>
    </row>
    <row r="1346" spans="1:9" x14ac:dyDescent="0.2">
      <c r="A1346" s="2">
        <f ca="1">IFERROR(__xludf.DUMMYFUNCTION("""COMPUTED_VALUE"""),45915.6666666666)</f>
        <v>45915.666666666599</v>
      </c>
      <c r="B1346" s="2" t="s">
        <v>56</v>
      </c>
      <c r="C1346" s="1">
        <v>4550</v>
      </c>
      <c r="D1346" s="1">
        <v>4640</v>
      </c>
      <c r="E1346" s="1">
        <v>4520</v>
      </c>
      <c r="F1346" s="1">
        <v>4530</v>
      </c>
      <c r="G1346" s="1">
        <v>231346000</v>
      </c>
      <c r="H1346" s="4">
        <f t="shared" si="44"/>
        <v>2.2123893805309734E-3</v>
      </c>
      <c r="I1346" s="4">
        <f t="shared" si="45"/>
        <v>-0.20176211453744494</v>
      </c>
    </row>
    <row r="1347" spans="1:9" x14ac:dyDescent="0.2">
      <c r="A1347" s="2">
        <f ca="1">IFERROR(__xludf.DUMMYFUNCTION("""COMPUTED_VALUE"""),45916.6666666666)</f>
        <v>45916.666666666599</v>
      </c>
      <c r="B1347" s="2" t="s">
        <v>56</v>
      </c>
      <c r="C1347" s="1">
        <v>4570</v>
      </c>
      <c r="D1347" s="1">
        <v>4570</v>
      </c>
      <c r="E1347" s="1">
        <v>4460</v>
      </c>
      <c r="F1347" s="1">
        <v>4480</v>
      </c>
      <c r="G1347" s="1">
        <v>122027400</v>
      </c>
      <c r="H1347" s="4">
        <f t="shared" si="44"/>
        <v>-1.1037527593818985E-2</v>
      </c>
      <c r="I1347" s="4">
        <f t="shared" si="45"/>
        <v>-0.2105726872246696</v>
      </c>
    </row>
    <row r="1348" spans="1:9" x14ac:dyDescent="0.2">
      <c r="A1348" s="2">
        <f ca="1">IFERROR(__xludf.DUMMYFUNCTION("""COMPUTED_VALUE"""),45917.6666666666)</f>
        <v>45917.666666666599</v>
      </c>
      <c r="B1348" s="2" t="s">
        <v>56</v>
      </c>
      <c r="C1348" s="1">
        <v>4480</v>
      </c>
      <c r="D1348" s="1">
        <v>4520</v>
      </c>
      <c r="E1348" s="1">
        <v>4440</v>
      </c>
      <c r="F1348" s="1">
        <v>4510</v>
      </c>
      <c r="G1348" s="1">
        <v>232702500</v>
      </c>
      <c r="H1348" s="4">
        <f t="shared" si="44"/>
        <v>6.6964285714285711E-3</v>
      </c>
      <c r="I1348" s="4">
        <f t="shared" si="45"/>
        <v>-0.2052863436123348</v>
      </c>
    </row>
    <row r="1349" spans="1:9" x14ac:dyDescent="0.2">
      <c r="A1349" s="2">
        <f ca="1">IFERROR(__xludf.DUMMYFUNCTION("""COMPUTED_VALUE"""),45918.6666666666)</f>
        <v>45918.666666666599</v>
      </c>
      <c r="B1349" s="2" t="s">
        <v>56</v>
      </c>
      <c r="C1349" s="1">
        <v>4540</v>
      </c>
      <c r="D1349" s="1">
        <v>4550</v>
      </c>
      <c r="E1349" s="1">
        <v>4420</v>
      </c>
      <c r="F1349" s="1">
        <v>4420</v>
      </c>
      <c r="G1349" s="1">
        <v>177560000</v>
      </c>
      <c r="H1349" s="4">
        <f t="shared" si="44"/>
        <v>-1.9955654101995565E-2</v>
      </c>
      <c r="I1349" s="4">
        <f t="shared" si="45"/>
        <v>-0.22114537444933921</v>
      </c>
    </row>
    <row r="1350" spans="1:9" x14ac:dyDescent="0.2">
      <c r="A1350" s="2">
        <f ca="1">IFERROR(__xludf.DUMMYFUNCTION("""COMPUTED_VALUE"""),45919.6666666666)</f>
        <v>45919.666666666599</v>
      </c>
      <c r="B1350" s="2" t="s">
        <v>56</v>
      </c>
      <c r="C1350" s="1">
        <v>4350</v>
      </c>
      <c r="D1350" s="1">
        <v>4420</v>
      </c>
      <c r="E1350" s="1">
        <v>4330</v>
      </c>
      <c r="F1350" s="1">
        <v>4380</v>
      </c>
      <c r="G1350" s="1">
        <v>235975900</v>
      </c>
      <c r="H1350" s="4">
        <f t="shared" si="44"/>
        <v>-9.0497737556561094E-3</v>
      </c>
      <c r="I1350" s="4">
        <f t="shared" si="45"/>
        <v>-0.22819383259911893</v>
      </c>
    </row>
    <row r="1351" spans="1:9" x14ac:dyDescent="0.2">
      <c r="A1351" s="2">
        <f ca="1">IFERROR(__xludf.DUMMYFUNCTION("""COMPUTED_VALUE"""),45922.6666666666)</f>
        <v>45922.666666666599</v>
      </c>
      <c r="B1351" s="2" t="s">
        <v>56</v>
      </c>
      <c r="C1351" s="1">
        <v>4410</v>
      </c>
      <c r="D1351" s="1">
        <v>4420</v>
      </c>
      <c r="E1351" s="1">
        <v>4360</v>
      </c>
      <c r="F1351" s="1">
        <v>4420</v>
      </c>
      <c r="G1351" s="1">
        <v>107176100</v>
      </c>
      <c r="H1351" s="4">
        <f t="shared" si="44"/>
        <v>9.1324200913242004E-3</v>
      </c>
      <c r="I1351" s="4">
        <f t="shared" si="45"/>
        <v>-0.22114537444933921</v>
      </c>
    </row>
    <row r="1352" spans="1:9" x14ac:dyDescent="0.2">
      <c r="A1352" s="2">
        <f ca="1">IFERROR(__xludf.DUMMYFUNCTION("""COMPUTED_VALUE"""),45923.6666666666)</f>
        <v>45923.666666666599</v>
      </c>
      <c r="B1352" s="2" t="s">
        <v>56</v>
      </c>
      <c r="C1352" s="1">
        <v>4390</v>
      </c>
      <c r="D1352" s="1">
        <v>4430</v>
      </c>
      <c r="E1352" s="1">
        <v>4370</v>
      </c>
      <c r="F1352" s="1">
        <v>4410</v>
      </c>
      <c r="G1352" s="1">
        <v>90675500</v>
      </c>
      <c r="H1352" s="4">
        <f t="shared" si="44"/>
        <v>-2.2624434389140274E-3</v>
      </c>
      <c r="I1352" s="4">
        <f t="shared" si="45"/>
        <v>-0.22290748898678414</v>
      </c>
    </row>
    <row r="1353" spans="1:9" x14ac:dyDescent="0.2">
      <c r="A1353" s="2">
        <f ca="1">IFERROR(__xludf.DUMMYFUNCTION("""COMPUTED_VALUE"""),45924.6666666666)</f>
        <v>45924.666666666599</v>
      </c>
      <c r="B1353" s="2" t="s">
        <v>56</v>
      </c>
      <c r="C1353" s="1">
        <v>4410</v>
      </c>
      <c r="D1353" s="1">
        <v>4430</v>
      </c>
      <c r="E1353" s="1">
        <v>4390</v>
      </c>
      <c r="F1353" s="1">
        <v>4390</v>
      </c>
      <c r="G1353" s="1">
        <v>85439100</v>
      </c>
      <c r="H1353" s="4">
        <f t="shared" si="44"/>
        <v>-4.5351473922902496E-3</v>
      </c>
      <c r="I1353" s="4">
        <f t="shared" si="45"/>
        <v>-0.226431718061674</v>
      </c>
    </row>
    <row r="1354" spans="1:9" x14ac:dyDescent="0.2">
      <c r="A1354" s="2">
        <f ca="1">IFERROR(__xludf.DUMMYFUNCTION("""COMPUTED_VALUE"""),45925.6666666666)</f>
        <v>45925.666666666599</v>
      </c>
      <c r="B1354" s="2" t="s">
        <v>56</v>
      </c>
      <c r="C1354" s="1">
        <v>4400</v>
      </c>
      <c r="D1354" s="1">
        <v>4410</v>
      </c>
      <c r="E1354" s="1">
        <v>4360</v>
      </c>
      <c r="F1354" s="1">
        <v>4360</v>
      </c>
      <c r="G1354" s="1">
        <v>73946900</v>
      </c>
      <c r="H1354" s="4">
        <f t="shared" si="44"/>
        <v>-6.8337129840546698E-3</v>
      </c>
      <c r="I1354" s="4">
        <f t="shared" si="45"/>
        <v>-0.23171806167400882</v>
      </c>
    </row>
    <row r="1355" spans="1:9" x14ac:dyDescent="0.2">
      <c r="A1355" s="2">
        <f ca="1">IFERROR(__xludf.DUMMYFUNCTION("""COMPUTED_VALUE"""),45926.6666666666)</f>
        <v>45926.666666666599</v>
      </c>
      <c r="B1355" s="2" t="s">
        <v>56</v>
      </c>
      <c r="C1355" s="1">
        <v>4350</v>
      </c>
      <c r="D1355" s="1">
        <v>4430</v>
      </c>
      <c r="E1355" s="1">
        <v>4350</v>
      </c>
      <c r="F1355" s="1">
        <v>4420</v>
      </c>
      <c r="G1355" s="1">
        <v>86572900</v>
      </c>
      <c r="H1355" s="4">
        <f t="shared" si="44"/>
        <v>1.3761467889908258E-2</v>
      </c>
      <c r="I1355" s="4">
        <f t="shared" si="45"/>
        <v>-0.22114537444933921</v>
      </c>
    </row>
    <row r="1356" spans="1:9" x14ac:dyDescent="0.2">
      <c r="A1356" s="2">
        <f ca="1">IFERROR(__xludf.DUMMYFUNCTION("""COMPUTED_VALUE"""),45929.6666666666)</f>
        <v>45929.666666666599</v>
      </c>
      <c r="B1356" s="2" t="s">
        <v>56</v>
      </c>
      <c r="C1356" s="1">
        <v>4420</v>
      </c>
      <c r="D1356" s="1">
        <v>4430</v>
      </c>
      <c r="E1356" s="1">
        <v>4400</v>
      </c>
      <c r="F1356" s="1">
        <v>4400</v>
      </c>
      <c r="G1356" s="1">
        <v>63753600</v>
      </c>
      <c r="H1356" s="4">
        <f t="shared" si="44"/>
        <v>-4.5248868778280547E-3</v>
      </c>
      <c r="I1356" s="4">
        <f t="shared" si="45"/>
        <v>-0.22466960352422907</v>
      </c>
    </row>
    <row r="1357" spans="1:9" x14ac:dyDescent="0.2">
      <c r="A1357" s="2">
        <f ca="1">IFERROR(__xludf.DUMMYFUNCTION("""COMPUTED_VALUE"""),45930.6666666666)</f>
        <v>45930.666666666599</v>
      </c>
      <c r="B1357" s="2" t="s">
        <v>56</v>
      </c>
      <c r="C1357" s="1">
        <v>4420</v>
      </c>
      <c r="D1357" s="1">
        <v>4450</v>
      </c>
      <c r="E1357" s="1">
        <v>4380</v>
      </c>
      <c r="F1357" s="1">
        <v>4400</v>
      </c>
      <c r="G1357" s="1">
        <v>108639600</v>
      </c>
      <c r="H1357" s="4">
        <f t="shared" si="44"/>
        <v>0</v>
      </c>
      <c r="I1357" s="4">
        <f t="shared" si="45"/>
        <v>-0.22466960352422907</v>
      </c>
    </row>
    <row r="1358" spans="1:9" x14ac:dyDescent="0.2">
      <c r="A1358" s="2">
        <f ca="1">IFERROR(__xludf.DUMMYFUNCTION("""COMPUTED_VALUE"""),45931.6666666666)</f>
        <v>45931.666666666599</v>
      </c>
      <c r="B1358" s="2" t="s">
        <v>56</v>
      </c>
      <c r="C1358" s="1">
        <v>4360</v>
      </c>
      <c r="D1358" s="1">
        <v>4400</v>
      </c>
      <c r="E1358" s="1">
        <v>4350</v>
      </c>
      <c r="F1358" s="1">
        <v>4380</v>
      </c>
      <c r="G1358" s="1">
        <v>92265100</v>
      </c>
      <c r="H1358" s="4">
        <f t="shared" si="44"/>
        <v>-4.5454545454545452E-3</v>
      </c>
      <c r="I1358" s="4">
        <f t="shared" si="45"/>
        <v>-0.22819383259911893</v>
      </c>
    </row>
    <row r="1359" spans="1:9" x14ac:dyDescent="0.2">
      <c r="A1359" s="2">
        <f ca="1">IFERROR(__xludf.DUMMYFUNCTION("""COMPUTED_VALUE"""),45932.6666666666)</f>
        <v>45932.666666666599</v>
      </c>
      <c r="B1359" s="2" t="s">
        <v>56</v>
      </c>
      <c r="C1359" s="1">
        <v>4410</v>
      </c>
      <c r="D1359" s="1">
        <v>4440</v>
      </c>
      <c r="E1359" s="1">
        <v>4360</v>
      </c>
      <c r="F1359" s="1">
        <v>4360</v>
      </c>
      <c r="G1359" s="1">
        <v>93387400</v>
      </c>
      <c r="H1359" s="4">
        <f t="shared" si="44"/>
        <v>-4.5662100456621002E-3</v>
      </c>
      <c r="I1359" s="4">
        <f t="shared" si="45"/>
        <v>-0.23171806167400882</v>
      </c>
    </row>
    <row r="1360" spans="1:9" x14ac:dyDescent="0.2">
      <c r="A1360" s="2">
        <f ca="1">IFERROR(__xludf.DUMMYFUNCTION("""COMPUTED_VALUE"""),45933.6666666666)</f>
        <v>45933.666666666599</v>
      </c>
      <c r="B1360" s="2" t="s">
        <v>56</v>
      </c>
      <c r="C1360" s="1">
        <v>4370</v>
      </c>
      <c r="D1360" s="1">
        <v>4380</v>
      </c>
      <c r="E1360" s="1">
        <v>4300</v>
      </c>
      <c r="F1360" s="1">
        <v>4310</v>
      </c>
      <c r="G1360" s="1">
        <v>102459100</v>
      </c>
      <c r="H1360" s="4">
        <f t="shared" si="44"/>
        <v>-1.1467889908256881E-2</v>
      </c>
      <c r="I1360" s="4">
        <f t="shared" si="45"/>
        <v>-0.24052863436123348</v>
      </c>
    </row>
    <row r="1361" spans="1:9" x14ac:dyDescent="0.2">
      <c r="A1361" s="2">
        <f ca="1">IFERROR(__xludf.DUMMYFUNCTION("""COMPUTED_VALUE"""),45936.6666666666)</f>
        <v>45936.666666666599</v>
      </c>
      <c r="B1361" s="2" t="s">
        <v>56</v>
      </c>
      <c r="C1361" s="1">
        <v>4320</v>
      </c>
      <c r="D1361" s="1">
        <v>4330</v>
      </c>
      <c r="E1361" s="1">
        <v>4260</v>
      </c>
      <c r="F1361" s="1">
        <v>4260</v>
      </c>
      <c r="G1361" s="1">
        <v>96040500</v>
      </c>
      <c r="H1361" s="4">
        <f t="shared" si="44"/>
        <v>-1.1600928074245939E-2</v>
      </c>
      <c r="I1361" s="4">
        <f t="shared" si="45"/>
        <v>-0.24933920704845816</v>
      </c>
    </row>
    <row r="1362" spans="1:9" x14ac:dyDescent="0.2">
      <c r="A1362" s="2">
        <f ca="1">IFERROR(__xludf.DUMMYFUNCTION("""COMPUTED_VALUE"""),45937.6666666666)</f>
        <v>45937.666666666599</v>
      </c>
      <c r="B1362" s="2" t="s">
        <v>56</v>
      </c>
      <c r="C1362" s="1">
        <v>4260</v>
      </c>
      <c r="D1362" s="1">
        <v>4320</v>
      </c>
      <c r="E1362" s="1">
        <v>4250</v>
      </c>
      <c r="F1362" s="1">
        <v>4290</v>
      </c>
      <c r="G1362" s="1">
        <v>100237500</v>
      </c>
      <c r="H1362" s="4">
        <f t="shared" si="44"/>
        <v>7.0422535211267607E-3</v>
      </c>
      <c r="I1362" s="4">
        <f t="shared" si="45"/>
        <v>-0.24405286343612334</v>
      </c>
    </row>
    <row r="1363" spans="1:9" x14ac:dyDescent="0.2">
      <c r="A1363" s="2">
        <f ca="1">IFERROR(__xludf.DUMMYFUNCTION("""COMPUTED_VALUE"""),45938.6666666666)</f>
        <v>45938.666666666599</v>
      </c>
      <c r="B1363" s="2" t="s">
        <v>56</v>
      </c>
      <c r="C1363" s="1">
        <v>4280</v>
      </c>
      <c r="D1363" s="1">
        <v>4290</v>
      </c>
      <c r="E1363" s="1">
        <v>4210</v>
      </c>
      <c r="F1363" s="1">
        <v>4250</v>
      </c>
      <c r="G1363" s="1">
        <v>97466800</v>
      </c>
      <c r="H1363" s="4">
        <f t="shared" si="44"/>
        <v>-9.324009324009324E-3</v>
      </c>
      <c r="I1363" s="4">
        <f t="shared" si="45"/>
        <v>-0.25110132158590309</v>
      </c>
    </row>
    <row r="1364" spans="1:9" x14ac:dyDescent="0.2">
      <c r="A1364" s="2">
        <f ca="1">IFERROR(__xludf.DUMMYFUNCTION("""COMPUTED_VALUE"""),45939.6666666666)</f>
        <v>45939.666666666599</v>
      </c>
      <c r="B1364" s="2" t="s">
        <v>56</v>
      </c>
      <c r="C1364" s="1">
        <v>4240</v>
      </c>
      <c r="D1364" s="1">
        <v>4450</v>
      </c>
      <c r="E1364" s="1">
        <v>4200</v>
      </c>
      <c r="F1364" s="1">
        <v>4390</v>
      </c>
      <c r="G1364" s="1">
        <v>183242600</v>
      </c>
      <c r="H1364" s="4">
        <f t="shared" si="44"/>
        <v>3.2941176470588238E-2</v>
      </c>
      <c r="I1364" s="4">
        <f t="shared" si="45"/>
        <v>-0.226431718061674</v>
      </c>
    </row>
    <row r="1365" spans="1:9" x14ac:dyDescent="0.2">
      <c r="A1365" s="2">
        <f ca="1">IFERROR(__xludf.DUMMYFUNCTION("""COMPUTED_VALUE"""),45940.6666666666)</f>
        <v>45940.666666666599</v>
      </c>
      <c r="B1365" s="2" t="s">
        <v>56</v>
      </c>
      <c r="C1365" s="1">
        <v>4410</v>
      </c>
      <c r="D1365" s="1">
        <v>4420</v>
      </c>
      <c r="E1365" s="1">
        <v>4250</v>
      </c>
      <c r="F1365" s="1">
        <v>4250</v>
      </c>
      <c r="G1365" s="1">
        <v>139911200</v>
      </c>
      <c r="H1365" s="4">
        <f t="shared" si="44"/>
        <v>-3.1890660592255128E-2</v>
      </c>
      <c r="I1365" s="4">
        <f t="shared" si="45"/>
        <v>-0.25110132158590309</v>
      </c>
    </row>
    <row r="1366" spans="1:9" x14ac:dyDescent="0.2">
      <c r="A1366" s="2">
        <f ca="1">IFERROR(__xludf.DUMMYFUNCTION("""COMPUTED_VALUE"""),45943.6666666666)</f>
        <v>45943.666666666599</v>
      </c>
      <c r="B1366" s="2" t="s">
        <v>56</v>
      </c>
      <c r="C1366" s="1">
        <v>4210</v>
      </c>
      <c r="D1366" s="1">
        <v>4240</v>
      </c>
      <c r="E1366" s="1">
        <v>4200</v>
      </c>
      <c r="F1366" s="1">
        <v>4230</v>
      </c>
      <c r="G1366" s="1">
        <v>79178600</v>
      </c>
      <c r="H1366" s="4">
        <f t="shared" si="44"/>
        <v>-4.7058823529411761E-3</v>
      </c>
      <c r="I1366" s="4">
        <f t="shared" si="45"/>
        <v>-0.25462555066079295</v>
      </c>
    </row>
    <row r="1367" spans="1:9" x14ac:dyDescent="0.2">
      <c r="A1367" s="2">
        <f ca="1">IFERROR(__xludf.DUMMYFUNCTION("""COMPUTED_VALUE"""),45944.6666666666)</f>
        <v>45944.666666666599</v>
      </c>
      <c r="B1367" s="2" t="s">
        <v>56</v>
      </c>
      <c r="C1367" s="1">
        <v>4220</v>
      </c>
      <c r="D1367" s="1">
        <v>4270</v>
      </c>
      <c r="E1367" s="1">
        <v>4090</v>
      </c>
      <c r="F1367" s="1">
        <v>4090</v>
      </c>
      <c r="G1367" s="1">
        <v>188507000</v>
      </c>
      <c r="H1367" s="4">
        <f t="shared" si="44"/>
        <v>-3.309692671394799E-2</v>
      </c>
      <c r="I1367" s="4">
        <f t="shared" si="45"/>
        <v>-0.27929515418502204</v>
      </c>
    </row>
    <row r="1368" spans="1:9" x14ac:dyDescent="0.2">
      <c r="A1368" s="2">
        <f ca="1">IFERROR(__xludf.DUMMYFUNCTION("""COMPUTED_VALUE"""),45945.6666666666)</f>
        <v>45945.666666666599</v>
      </c>
      <c r="B1368" s="2" t="s">
        <v>56</v>
      </c>
      <c r="C1368" s="1">
        <v>4110</v>
      </c>
      <c r="D1368" s="1">
        <v>4140</v>
      </c>
      <c r="E1368" s="1">
        <v>4010</v>
      </c>
      <c r="F1368" s="1">
        <v>4050</v>
      </c>
      <c r="G1368" s="1">
        <v>270562400</v>
      </c>
      <c r="H1368" s="4">
        <f t="shared" si="44"/>
        <v>-9.7799511002444987E-3</v>
      </c>
      <c r="I1368" s="4">
        <f t="shared" si="45"/>
        <v>-0.28634361233480177</v>
      </c>
    </row>
    <row r="1369" spans="1:9" x14ac:dyDescent="0.2">
      <c r="A1369" s="2">
        <f ca="1">IFERROR(__xludf.DUMMYFUNCTION("""COMPUTED_VALUE"""),45946.6666666666)</f>
        <v>45946.666666666599</v>
      </c>
      <c r="B1369" s="2" t="s">
        <v>56</v>
      </c>
      <c r="C1369" s="1">
        <v>4050</v>
      </c>
      <c r="D1369" s="1">
        <v>4150</v>
      </c>
      <c r="E1369" s="1">
        <v>4050</v>
      </c>
      <c r="F1369" s="1">
        <v>4090</v>
      </c>
      <c r="G1369" s="1">
        <v>125979600</v>
      </c>
      <c r="H1369" s="4">
        <f t="shared" si="44"/>
        <v>9.876543209876543E-3</v>
      </c>
      <c r="I1369" s="4">
        <f t="shared" si="45"/>
        <v>-0.27929515418502204</v>
      </c>
    </row>
    <row r="1370" spans="1:9" x14ac:dyDescent="0.2">
      <c r="A1370" s="2">
        <f ca="1">IFERROR(__xludf.DUMMYFUNCTION("""COMPUTED_VALUE"""),45947.6666666666)</f>
        <v>45947.666666666599</v>
      </c>
      <c r="B1370" s="2" t="s">
        <v>56</v>
      </c>
      <c r="C1370" s="1">
        <v>4110</v>
      </c>
      <c r="D1370" s="1">
        <v>4110</v>
      </c>
      <c r="E1370" s="1">
        <v>4030</v>
      </c>
      <c r="F1370" s="1">
        <v>4050</v>
      </c>
      <c r="G1370" s="1">
        <v>247510000</v>
      </c>
      <c r="H1370" s="4">
        <f t="shared" si="44"/>
        <v>-9.7799511002444987E-3</v>
      </c>
      <c r="I1370" s="4">
        <f t="shared" si="45"/>
        <v>-0.28634361233480177</v>
      </c>
    </row>
    <row r="1371" spans="1:9" x14ac:dyDescent="0.2">
      <c r="A1371" s="2">
        <f ca="1">IFERROR(__xludf.DUMMYFUNCTION("""COMPUTED_VALUE"""),45950.6666666666)</f>
        <v>45950.666666666599</v>
      </c>
      <c r="B1371" s="2" t="s">
        <v>56</v>
      </c>
      <c r="C1371" s="1">
        <v>4120</v>
      </c>
      <c r="D1371" s="1">
        <v>4320</v>
      </c>
      <c r="E1371" s="1">
        <v>4070</v>
      </c>
      <c r="F1371" s="1">
        <v>4300</v>
      </c>
      <c r="G1371" s="1">
        <v>331939200</v>
      </c>
      <c r="H1371" s="4">
        <f t="shared" si="44"/>
        <v>6.1728395061728392E-2</v>
      </c>
      <c r="I1371" s="4">
        <f t="shared" si="45"/>
        <v>-0.24229074889867841</v>
      </c>
    </row>
    <row r="1372" spans="1:9" x14ac:dyDescent="0.2">
      <c r="A1372" s="2">
        <f ca="1">IFERROR(__xludf.DUMMYFUNCTION("""COMPUTED_VALUE"""),45951.6666666666)</f>
        <v>45951.666666666599</v>
      </c>
      <c r="B1372" s="2" t="s">
        <v>56</v>
      </c>
      <c r="C1372" s="1">
        <v>4350</v>
      </c>
      <c r="D1372" s="1">
        <v>4390</v>
      </c>
      <c r="E1372" s="1">
        <v>4300</v>
      </c>
      <c r="F1372" s="1">
        <v>4350</v>
      </c>
      <c r="G1372" s="1">
        <v>230858900</v>
      </c>
      <c r="H1372" s="4">
        <f t="shared" si="44"/>
        <v>1.1627906976744186E-2</v>
      </c>
      <c r="I1372" s="4">
        <f t="shared" si="45"/>
        <v>-0.23348017621145375</v>
      </c>
    </row>
    <row r="1373" spans="1:9" x14ac:dyDescent="0.2">
      <c r="A1373" s="2">
        <f ca="1">IFERROR(__xludf.DUMMYFUNCTION("""COMPUTED_VALUE"""),45952.6666666666)</f>
        <v>45952.666666666599</v>
      </c>
      <c r="B1373" s="2" t="s">
        <v>56</v>
      </c>
      <c r="C1373" s="1">
        <v>4350</v>
      </c>
      <c r="D1373" s="1">
        <v>4460</v>
      </c>
      <c r="E1373" s="1">
        <v>4290</v>
      </c>
      <c r="F1373" s="1">
        <v>4330</v>
      </c>
      <c r="G1373" s="1">
        <v>216261300</v>
      </c>
      <c r="H1373" s="4">
        <f t="shared" si="44"/>
        <v>-4.5977011494252873E-3</v>
      </c>
      <c r="I1373" s="4">
        <f t="shared" si="45"/>
        <v>-0.23700440528634362</v>
      </c>
    </row>
    <row r="1374" spans="1:9" x14ac:dyDescent="0.2">
      <c r="A1374" s="2">
        <f ca="1">IFERROR(__xludf.DUMMYFUNCTION("""COMPUTED_VALUE"""),45953.6666666666)</f>
        <v>45953.666666666599</v>
      </c>
      <c r="B1374" s="2" t="s">
        <v>56</v>
      </c>
      <c r="C1374" s="1">
        <v>4310</v>
      </c>
      <c r="D1374" s="1">
        <v>4440</v>
      </c>
      <c r="E1374" s="1">
        <v>4310</v>
      </c>
      <c r="F1374" s="1">
        <v>4430</v>
      </c>
      <c r="G1374" s="1">
        <v>202102500</v>
      </c>
      <c r="H1374" s="4">
        <f t="shared" si="44"/>
        <v>2.3094688221709007E-2</v>
      </c>
      <c r="I1374" s="4">
        <f t="shared" si="45"/>
        <v>-0.21938325991189428</v>
      </c>
    </row>
    <row r="1375" spans="1:9" x14ac:dyDescent="0.2">
      <c r="A1375" s="2">
        <f ca="1">IFERROR(__xludf.DUMMYFUNCTION("""COMPUTED_VALUE"""),45954.6666666666)</f>
        <v>45954.666666666599</v>
      </c>
      <c r="B1375" s="2" t="s">
        <v>56</v>
      </c>
      <c r="C1375" s="1">
        <v>4380</v>
      </c>
      <c r="D1375" s="1">
        <v>4590</v>
      </c>
      <c r="E1375" s="1">
        <v>4380</v>
      </c>
      <c r="F1375" s="1">
        <v>4550</v>
      </c>
      <c r="G1375" s="1">
        <v>350420300</v>
      </c>
      <c r="H1375" s="4">
        <f t="shared" si="44"/>
        <v>2.7088036117381489E-2</v>
      </c>
      <c r="I1375" s="4">
        <f t="shared" si="45"/>
        <v>-0.19823788546255505</v>
      </c>
    </row>
    <row r="1376" spans="1:9" x14ac:dyDescent="0.2">
      <c r="A1376" s="2">
        <f ca="1">IFERROR(__xludf.DUMMYFUNCTION("""COMPUTED_VALUE"""),45957.6666666666)</f>
        <v>45957.666666666599</v>
      </c>
      <c r="B1376" s="2" t="s">
        <v>56</v>
      </c>
      <c r="C1376" s="1">
        <v>4590</v>
      </c>
      <c r="D1376" s="1">
        <v>4600</v>
      </c>
      <c r="E1376" s="1">
        <v>4410</v>
      </c>
      <c r="F1376" s="1">
        <v>4470</v>
      </c>
      <c r="G1376" s="1">
        <v>245576100</v>
      </c>
      <c r="H1376" s="4">
        <f t="shared" si="44"/>
        <v>-1.7582417582417582E-2</v>
      </c>
      <c r="I1376" s="4">
        <f t="shared" si="45"/>
        <v>-0.21233480176211453</v>
      </c>
    </row>
    <row r="1377" spans="1:9" x14ac:dyDescent="0.2">
      <c r="A1377" s="2">
        <f ca="1">IFERROR(__xludf.DUMMYFUNCTION("""COMPUTED_VALUE"""),45958.6666666666)</f>
        <v>45958.666666666599</v>
      </c>
      <c r="B1377" s="2" t="s">
        <v>56</v>
      </c>
      <c r="C1377" s="1">
        <v>4490</v>
      </c>
      <c r="D1377" s="1">
        <v>4510</v>
      </c>
      <c r="E1377" s="1">
        <v>4440</v>
      </c>
      <c r="F1377" s="1">
        <v>4510</v>
      </c>
      <c r="G1377" s="1">
        <v>174638500</v>
      </c>
      <c r="H1377" s="4">
        <f t="shared" si="44"/>
        <v>8.948545861297539E-3</v>
      </c>
      <c r="I1377" s="4">
        <f t="shared" si="45"/>
        <v>-0.2052863436123348</v>
      </c>
    </row>
    <row r="1378" spans="1:9" x14ac:dyDescent="0.2">
      <c r="A1378" s="2">
        <f ca="1">IFERROR(__xludf.DUMMYFUNCTION("""COMPUTED_VALUE"""),45959.6666666666)</f>
        <v>45959.666666666599</v>
      </c>
      <c r="B1378" s="2" t="s">
        <v>56</v>
      </c>
      <c r="C1378" s="1">
        <v>4500</v>
      </c>
      <c r="D1378" s="1">
        <v>4650</v>
      </c>
      <c r="E1378" s="1">
        <v>4490</v>
      </c>
      <c r="F1378" s="1">
        <v>4650</v>
      </c>
      <c r="G1378" s="1">
        <v>176978800</v>
      </c>
      <c r="H1378" s="4">
        <f t="shared" si="44"/>
        <v>3.1042128603104215E-2</v>
      </c>
      <c r="I1378" s="4">
        <f t="shared" si="45"/>
        <v>-0.18061674008810572</v>
      </c>
    </row>
    <row r="1379" spans="1:9" x14ac:dyDescent="0.2">
      <c r="A1379" s="2">
        <f ca="1">IFERROR(__xludf.DUMMYFUNCTION("""COMPUTED_VALUE"""),45960.6666666666)</f>
        <v>45960.666666666599</v>
      </c>
      <c r="B1379" s="2" t="s">
        <v>56</v>
      </c>
      <c r="C1379" s="1">
        <v>4670</v>
      </c>
      <c r="D1379" s="1">
        <v>4830</v>
      </c>
      <c r="E1379" s="1">
        <v>4650</v>
      </c>
      <c r="F1379" s="1">
        <v>4800</v>
      </c>
      <c r="G1379" s="1">
        <v>390256000</v>
      </c>
      <c r="H1379" s="4">
        <f t="shared" si="44"/>
        <v>3.2258064516129031E-2</v>
      </c>
      <c r="I1379" s="4">
        <f t="shared" si="45"/>
        <v>-0.15418502202643172</v>
      </c>
    </row>
    <row r="1380" spans="1:9" x14ac:dyDescent="0.2">
      <c r="A1380" s="2">
        <f ca="1">IFERROR(__xludf.DUMMYFUNCTION("""COMPUTED_VALUE"""),45961.6666666666)</f>
        <v>45961.666666666599</v>
      </c>
      <c r="B1380" s="2" t="s">
        <v>56</v>
      </c>
      <c r="C1380" s="1">
        <v>4790</v>
      </c>
      <c r="D1380" s="1">
        <v>4800</v>
      </c>
      <c r="E1380" s="1">
        <v>4720</v>
      </c>
      <c r="F1380" s="1">
        <v>4720</v>
      </c>
      <c r="G1380" s="1">
        <v>227378000</v>
      </c>
      <c r="H1380" s="4">
        <f t="shared" si="44"/>
        <v>-1.6666666666666666E-2</v>
      </c>
      <c r="I1380" s="4">
        <f t="shared" si="45"/>
        <v>-0.1682819383259912</v>
      </c>
    </row>
    <row r="1381" spans="1:9" x14ac:dyDescent="0.2">
      <c r="A1381" s="2">
        <f ca="1">IFERROR(__xludf.DUMMYFUNCTION("""COMPUTED_VALUE"""),45964.6666666666)</f>
        <v>45964.666666666599</v>
      </c>
      <c r="B1381" s="2" t="s">
        <v>56</v>
      </c>
      <c r="C1381" s="1">
        <v>4710</v>
      </c>
      <c r="D1381" s="1">
        <v>4760</v>
      </c>
      <c r="E1381" s="1">
        <v>4700</v>
      </c>
      <c r="F1381" s="1">
        <v>4760</v>
      </c>
      <c r="G1381" s="1">
        <v>129834200</v>
      </c>
      <c r="H1381" s="4">
        <f t="shared" si="44"/>
        <v>8.4745762711864406E-3</v>
      </c>
      <c r="I1381" s="4">
        <f t="shared" si="45"/>
        <v>-0.16123348017621145</v>
      </c>
    </row>
    <row r="1382" spans="1:9" x14ac:dyDescent="0.2">
      <c r="A1382" s="2">
        <f ca="1">IFERROR(__xludf.DUMMYFUNCTION("""COMPUTED_VALUE"""),45965.6666666666)</f>
        <v>45965.666666666599</v>
      </c>
      <c r="B1382" s="2" t="s">
        <v>56</v>
      </c>
      <c r="C1382" s="1">
        <v>4760</v>
      </c>
      <c r="D1382" s="1">
        <v>4790</v>
      </c>
      <c r="E1382" s="1">
        <v>4720</v>
      </c>
      <c r="F1382" s="1">
        <v>4730</v>
      </c>
      <c r="G1382" s="1">
        <v>136412400</v>
      </c>
      <c r="H1382" s="4">
        <f t="shared" si="44"/>
        <v>-6.3025210084033615E-3</v>
      </c>
      <c r="I1382" s="4">
        <f t="shared" si="45"/>
        <v>-0.16651982378854627</v>
      </c>
    </row>
    <row r="1383" spans="1:9" x14ac:dyDescent="0.2">
      <c r="A1383" s="2">
        <f ca="1">IFERROR(__xludf.DUMMYFUNCTION("""COMPUTED_VALUE"""),45966.6666666666)</f>
        <v>45966.666666666599</v>
      </c>
      <c r="B1383" s="2" t="s">
        <v>56</v>
      </c>
      <c r="C1383" s="1">
        <v>4690</v>
      </c>
      <c r="D1383" s="1">
        <v>4770</v>
      </c>
      <c r="E1383" s="1">
        <v>4680</v>
      </c>
      <c r="F1383" s="1">
        <v>4770</v>
      </c>
      <c r="G1383" s="1">
        <v>102878900</v>
      </c>
      <c r="H1383" s="4">
        <f t="shared" si="44"/>
        <v>8.4566596194503175E-3</v>
      </c>
      <c r="I1383" s="4">
        <f t="shared" si="45"/>
        <v>-0.15947136563876652</v>
      </c>
    </row>
    <row r="1384" spans="1:9" x14ac:dyDescent="0.2">
      <c r="A1384" s="2">
        <f ca="1">IFERROR(__xludf.DUMMYFUNCTION("""COMPUTED_VALUE"""),45967.6666666666)</f>
        <v>45967.666666666599</v>
      </c>
      <c r="B1384" s="2" t="s">
        <v>56</v>
      </c>
      <c r="C1384" s="1">
        <v>4790</v>
      </c>
      <c r="D1384" s="1">
        <v>4790</v>
      </c>
      <c r="E1384" s="1">
        <v>4750</v>
      </c>
      <c r="F1384" s="1">
        <v>4750</v>
      </c>
      <c r="G1384" s="1">
        <v>57932600</v>
      </c>
      <c r="H1384" s="4">
        <f t="shared" si="44"/>
        <v>-4.1928721174004195E-3</v>
      </c>
      <c r="I1384" s="4">
        <f t="shared" si="45"/>
        <v>-0.16299559471365638</v>
      </c>
    </row>
    <row r="1385" spans="1:9" x14ac:dyDescent="0.2">
      <c r="A1385" s="2">
        <f ca="1">IFERROR(__xludf.DUMMYFUNCTION("""COMPUTED_VALUE"""),45968.6666666666)</f>
        <v>45968.666666666599</v>
      </c>
      <c r="B1385" s="2" t="s">
        <v>56</v>
      </c>
      <c r="C1385" s="1">
        <v>4750</v>
      </c>
      <c r="D1385" s="1">
        <v>4780</v>
      </c>
      <c r="E1385" s="1">
        <v>4740</v>
      </c>
      <c r="F1385" s="1">
        <v>4750</v>
      </c>
      <c r="G1385" s="1">
        <v>58845500</v>
      </c>
      <c r="H1385" s="4">
        <f t="shared" si="44"/>
        <v>0</v>
      </c>
      <c r="I1385" s="4">
        <f t="shared" si="45"/>
        <v>-0.16299559471365638</v>
      </c>
    </row>
    <row r="1386" spans="1:9" x14ac:dyDescent="0.2">
      <c r="A1386" s="2">
        <f ca="1">IFERROR(__xludf.DUMMYFUNCTION("""COMPUTED_VALUE"""),45971.6666666666)</f>
        <v>45971.666666666599</v>
      </c>
      <c r="B1386" s="2" t="s">
        <v>56</v>
      </c>
      <c r="C1386" s="1">
        <v>4790</v>
      </c>
      <c r="D1386" s="1">
        <v>4790</v>
      </c>
      <c r="E1386" s="1">
        <v>4730</v>
      </c>
      <c r="F1386" s="1">
        <v>4730</v>
      </c>
      <c r="G1386" s="1">
        <v>88737700</v>
      </c>
      <c r="H1386" s="4">
        <f t="shared" si="44"/>
        <v>-4.2105263157894736E-3</v>
      </c>
      <c r="I1386" s="4">
        <f t="shared" si="45"/>
        <v>-0.16651982378854627</v>
      </c>
    </row>
    <row r="1387" spans="1:9" x14ac:dyDescent="0.2">
      <c r="A1387" s="2">
        <f ca="1">IFERROR(__xludf.DUMMYFUNCTION("""COMPUTED_VALUE"""),45972.6666666666)</f>
        <v>45972.666666666599</v>
      </c>
      <c r="B1387" s="2" t="s">
        <v>56</v>
      </c>
      <c r="C1387" s="1">
        <v>4740</v>
      </c>
      <c r="D1387" s="1">
        <v>4750</v>
      </c>
      <c r="E1387" s="1">
        <v>4610</v>
      </c>
      <c r="F1387" s="1">
        <v>4680</v>
      </c>
      <c r="G1387" s="1">
        <v>168794500</v>
      </c>
      <c r="H1387" s="4">
        <f t="shared" si="44"/>
        <v>-1.0570824524312896E-2</v>
      </c>
      <c r="I1387" s="4">
        <f t="shared" si="45"/>
        <v>-0.17533039647577092</v>
      </c>
    </row>
    <row r="1388" spans="1:9" x14ac:dyDescent="0.2">
      <c r="A1388" s="2">
        <f ca="1">IFERROR(__xludf.DUMMYFUNCTION("""COMPUTED_VALUE"""),45973.6666666666)</f>
        <v>45973.666666666599</v>
      </c>
      <c r="B1388" s="2" t="s">
        <v>56</v>
      </c>
      <c r="C1388" s="1">
        <v>4680</v>
      </c>
      <c r="D1388" s="1">
        <v>4790</v>
      </c>
      <c r="E1388" s="1">
        <v>4680</v>
      </c>
      <c r="F1388" s="1">
        <v>4760</v>
      </c>
      <c r="G1388" s="1">
        <v>138539800</v>
      </c>
      <c r="H1388" s="4">
        <f t="shared" si="44"/>
        <v>1.7094017094017096E-2</v>
      </c>
      <c r="I1388" s="4">
        <f t="shared" si="45"/>
        <v>-0.16123348017621145</v>
      </c>
    </row>
    <row r="1389" spans="1:9" x14ac:dyDescent="0.2">
      <c r="A1389" s="2">
        <f ca="1">IFERROR(__xludf.DUMMYFUNCTION("""COMPUTED_VALUE"""),45974.6666666666)</f>
        <v>45974.666666666599</v>
      </c>
      <c r="B1389" s="2" t="s">
        <v>56</v>
      </c>
      <c r="C1389" s="1">
        <v>4760</v>
      </c>
      <c r="D1389" s="1">
        <v>4760</v>
      </c>
      <c r="E1389" s="1">
        <v>4690</v>
      </c>
      <c r="F1389" s="1">
        <v>4700</v>
      </c>
      <c r="G1389" s="1">
        <v>108100300</v>
      </c>
      <c r="H1389" s="4">
        <f t="shared" si="44"/>
        <v>-1.2605042016806723E-2</v>
      </c>
      <c r="I1389" s="4">
        <f t="shared" si="45"/>
        <v>-0.17180616740088106</v>
      </c>
    </row>
    <row r="1390" spans="1:9" x14ac:dyDescent="0.2">
      <c r="A1390" s="2">
        <f ca="1">IFERROR(__xludf.DUMMYFUNCTION("""COMPUTED_VALUE"""),45975.6666666666)</f>
        <v>45975.666666666599</v>
      </c>
      <c r="B1390" s="2" t="s">
        <v>56</v>
      </c>
      <c r="C1390" s="1">
        <v>4690</v>
      </c>
      <c r="D1390" s="1">
        <v>4750</v>
      </c>
      <c r="E1390" s="1">
        <v>4680</v>
      </c>
      <c r="F1390" s="1">
        <v>4750</v>
      </c>
      <c r="G1390" s="1">
        <v>73479600</v>
      </c>
      <c r="H1390" s="4">
        <f t="shared" si="44"/>
        <v>1.0638297872340425E-2</v>
      </c>
      <c r="I1390" s="4">
        <f t="shared" si="45"/>
        <v>-0.16299559471365638</v>
      </c>
    </row>
    <row r="1391" spans="1:9" x14ac:dyDescent="0.2">
      <c r="A1391" s="2">
        <f ca="1">IFERROR(__xludf.DUMMYFUNCTION("""COMPUTED_VALUE"""),45978.6666666666)</f>
        <v>45978.666666666599</v>
      </c>
      <c r="B1391" s="2" t="s">
        <v>56</v>
      </c>
      <c r="C1391" s="1">
        <v>4780</v>
      </c>
      <c r="D1391" s="1">
        <v>4850</v>
      </c>
      <c r="E1391" s="1">
        <v>4770</v>
      </c>
      <c r="F1391" s="1">
        <v>4820</v>
      </c>
      <c r="G1391" s="1">
        <v>136477100</v>
      </c>
      <c r="H1391" s="4">
        <f t="shared" si="44"/>
        <v>1.4736842105263158E-2</v>
      </c>
      <c r="I1391" s="4">
        <f t="shared" si="45"/>
        <v>-0.15066079295154186</v>
      </c>
    </row>
    <row r="1392" spans="1:9" x14ac:dyDescent="0.2">
      <c r="A1392" s="2">
        <f ca="1">IFERROR(__xludf.DUMMYFUNCTION("""COMPUTED_VALUE"""),45979.6666666666)</f>
        <v>45979.666666666599</v>
      </c>
      <c r="B1392" s="2" t="s">
        <v>56</v>
      </c>
      <c r="C1392" s="1">
        <v>4810</v>
      </c>
      <c r="D1392" s="1">
        <v>4850</v>
      </c>
      <c r="E1392" s="1">
        <v>4780</v>
      </c>
      <c r="F1392" s="1">
        <v>4790</v>
      </c>
      <c r="G1392" s="1">
        <v>127022100</v>
      </c>
      <c r="H1392" s="4">
        <f t="shared" si="44"/>
        <v>-6.2240663900414933E-3</v>
      </c>
      <c r="I1392" s="4">
        <f t="shared" si="45"/>
        <v>-0.15594713656387665</v>
      </c>
    </row>
    <row r="1393" spans="1:9" x14ac:dyDescent="0.2">
      <c r="A1393" s="2">
        <f ca="1">IFERROR(__xludf.DUMMYFUNCTION("""COMPUTED_VALUE"""),45980.6666666666)</f>
        <v>45980.666666666599</v>
      </c>
      <c r="B1393" s="2" t="s">
        <v>56</v>
      </c>
      <c r="C1393" s="1">
        <v>4820</v>
      </c>
      <c r="D1393" s="1">
        <v>4850</v>
      </c>
      <c r="E1393" s="1">
        <v>4800</v>
      </c>
      <c r="F1393" s="1">
        <v>4850</v>
      </c>
      <c r="G1393" s="1">
        <v>107585700</v>
      </c>
      <c r="H1393" s="4">
        <f t="shared" si="44"/>
        <v>1.2526096033402923E-2</v>
      </c>
      <c r="I1393" s="4">
        <f t="shared" si="45"/>
        <v>-0.14537444933920704</v>
      </c>
    </row>
    <row r="1394" spans="1:9" x14ac:dyDescent="0.2">
      <c r="A1394" s="2">
        <f ca="1">IFERROR(__xludf.DUMMYFUNCTION("""COMPUTED_VALUE"""),45981.6666666666)</f>
        <v>45981.666666666599</v>
      </c>
      <c r="B1394" s="2" t="s">
        <v>56</v>
      </c>
      <c r="C1394" s="1">
        <v>4940</v>
      </c>
      <c r="D1394" s="1">
        <v>4990</v>
      </c>
      <c r="E1394" s="1">
        <v>4900</v>
      </c>
      <c r="F1394" s="1">
        <v>4940</v>
      </c>
      <c r="G1394" s="1">
        <v>234717700</v>
      </c>
      <c r="H1394" s="4">
        <f t="shared" si="44"/>
        <v>1.8556701030927835E-2</v>
      </c>
      <c r="I1394" s="4">
        <f t="shared" si="45"/>
        <v>-0.12951541850220263</v>
      </c>
    </row>
    <row r="1395" spans="1:9" x14ac:dyDescent="0.2">
      <c r="A1395" s="2">
        <f ca="1">IFERROR(__xludf.DUMMYFUNCTION("""COMPUTED_VALUE"""),45982.6666666666)</f>
        <v>45982.666666666599</v>
      </c>
      <c r="B1395" s="2" t="s">
        <v>56</v>
      </c>
      <c r="C1395" s="1">
        <v>4940</v>
      </c>
      <c r="D1395" s="1">
        <v>4970</v>
      </c>
      <c r="E1395" s="1">
        <v>4900</v>
      </c>
      <c r="F1395" s="1">
        <v>4950</v>
      </c>
      <c r="G1395" s="1">
        <v>142452600</v>
      </c>
      <c r="H1395" s="4">
        <f t="shared" si="44"/>
        <v>2.0242914979757085E-3</v>
      </c>
      <c r="I1395" s="4">
        <f t="shared" si="45"/>
        <v>-0.1277533039647577</v>
      </c>
    </row>
    <row r="1396" spans="1:9" x14ac:dyDescent="0.2">
      <c r="A1396" s="2">
        <f ca="1">IFERROR(__xludf.DUMMYFUNCTION("""COMPUTED_VALUE"""),45985.6666666666)</f>
        <v>45985.666666666599</v>
      </c>
      <c r="B1396" s="2" t="s">
        <v>56</v>
      </c>
      <c r="C1396" s="1">
        <v>4910</v>
      </c>
      <c r="D1396" s="1">
        <v>5100</v>
      </c>
      <c r="E1396" s="1">
        <v>4870</v>
      </c>
      <c r="F1396" s="1">
        <v>5100</v>
      </c>
      <c r="G1396" s="1">
        <v>303252000</v>
      </c>
      <c r="H1396" s="4">
        <f t="shared" si="44"/>
        <v>3.0303030303030304E-2</v>
      </c>
      <c r="I1396" s="4">
        <f t="shared" si="45"/>
        <v>-0.1013215859030837</v>
      </c>
    </row>
    <row r="1397" spans="1:9" x14ac:dyDescent="0.2">
      <c r="A1397" s="2">
        <f ca="1">IFERROR(__xludf.DUMMYFUNCTION("""COMPUTED_VALUE"""),45986.6666666666)</f>
        <v>45986.666666666599</v>
      </c>
      <c r="B1397" s="2" t="s">
        <v>56</v>
      </c>
      <c r="C1397" s="1">
        <v>5075</v>
      </c>
      <c r="D1397" s="1">
        <v>5100</v>
      </c>
      <c r="E1397" s="1">
        <v>4950</v>
      </c>
      <c r="F1397" s="1">
        <v>5025</v>
      </c>
      <c r="G1397" s="1">
        <v>169379300</v>
      </c>
      <c r="H1397" s="4">
        <f t="shared" si="44"/>
        <v>-1.4705882352941176E-2</v>
      </c>
      <c r="I1397" s="4">
        <f t="shared" si="45"/>
        <v>-0.11453744493392071</v>
      </c>
    </row>
    <row r="1398" spans="1:9" x14ac:dyDescent="0.2">
      <c r="A1398" s="2">
        <f ca="1">IFERROR(__xludf.DUMMYFUNCTION("""COMPUTED_VALUE"""),45987.6666666666)</f>
        <v>45987.666666666599</v>
      </c>
      <c r="B1398" s="2" t="s">
        <v>56</v>
      </c>
      <c r="C1398" s="1">
        <v>5025</v>
      </c>
      <c r="D1398" s="1">
        <v>5025</v>
      </c>
      <c r="E1398" s="1">
        <v>4960</v>
      </c>
      <c r="F1398" s="1">
        <v>5025</v>
      </c>
      <c r="G1398" s="1">
        <v>128492000</v>
      </c>
      <c r="H1398" s="4">
        <f t="shared" ref="H1398:H1420" si="46">(F1398-F1397)/F1397</f>
        <v>0</v>
      </c>
      <c r="I1398" s="4">
        <f t="shared" ref="I1398:I1420" si="47">(F1398-$F$2)/$F$2</f>
        <v>-0.11453744493392071</v>
      </c>
    </row>
    <row r="1399" spans="1:9" x14ac:dyDescent="0.2">
      <c r="A1399" s="2">
        <f ca="1">IFERROR(__xludf.DUMMYFUNCTION("""COMPUTED_VALUE"""),45988.6666666666)</f>
        <v>45988.666666666599</v>
      </c>
      <c r="B1399" s="2" t="s">
        <v>56</v>
      </c>
      <c r="C1399" s="1">
        <v>5025</v>
      </c>
      <c r="D1399" s="1">
        <v>5025</v>
      </c>
      <c r="E1399" s="1">
        <v>4850</v>
      </c>
      <c r="F1399" s="1">
        <v>4860</v>
      </c>
      <c r="G1399" s="1">
        <v>170213000</v>
      </c>
      <c r="H1399" s="4">
        <f t="shared" si="46"/>
        <v>-3.2835820895522387E-2</v>
      </c>
      <c r="I1399" s="4">
        <f t="shared" si="47"/>
        <v>-0.14361233480176211</v>
      </c>
    </row>
    <row r="1400" spans="1:9" x14ac:dyDescent="0.2">
      <c r="A1400" s="2">
        <f ca="1">IFERROR(__xludf.DUMMYFUNCTION("""COMPUTED_VALUE"""),45989.6666666666)</f>
        <v>45989.666666666599</v>
      </c>
      <c r="B1400" s="2" t="s">
        <v>56</v>
      </c>
      <c r="C1400" s="1">
        <v>4800</v>
      </c>
      <c r="D1400" s="1">
        <v>4880</v>
      </c>
      <c r="E1400" s="1">
        <v>4800</v>
      </c>
      <c r="F1400" s="1">
        <v>4830</v>
      </c>
      <c r="G1400" s="1">
        <v>128777200</v>
      </c>
      <c r="H1400" s="4">
        <f t="shared" si="46"/>
        <v>-6.1728395061728392E-3</v>
      </c>
      <c r="I1400" s="4">
        <f t="shared" si="47"/>
        <v>-0.14889867841409693</v>
      </c>
    </row>
    <row r="1401" spans="1:9" x14ac:dyDescent="0.2">
      <c r="A1401" s="2">
        <f ca="1">IFERROR(__xludf.DUMMYFUNCTION("""COMPUTED_VALUE"""),45992.6666666666)</f>
        <v>45992.666666666599</v>
      </c>
      <c r="B1401" s="2" t="s">
        <v>56</v>
      </c>
      <c r="C1401" s="1">
        <v>4850</v>
      </c>
      <c r="D1401" s="1">
        <v>4910</v>
      </c>
      <c r="E1401" s="1">
        <v>4820</v>
      </c>
      <c r="F1401" s="1">
        <v>4860</v>
      </c>
      <c r="G1401" s="1">
        <v>58603700</v>
      </c>
      <c r="H1401" s="4">
        <f t="shared" si="46"/>
        <v>6.2111801242236021E-3</v>
      </c>
      <c r="I1401" s="4">
        <f t="shared" si="47"/>
        <v>-0.14361233480176211</v>
      </c>
    </row>
    <row r="1402" spans="1:9" x14ac:dyDescent="0.2">
      <c r="A1402" s="2">
        <f ca="1">IFERROR(__xludf.DUMMYFUNCTION("""COMPUTED_VALUE"""),45993.6666666666)</f>
        <v>45993.666666666599</v>
      </c>
      <c r="B1402" s="2" t="s">
        <v>56</v>
      </c>
      <c r="C1402" s="1">
        <v>4920</v>
      </c>
      <c r="D1402" s="1">
        <v>4940</v>
      </c>
      <c r="E1402" s="1">
        <v>4820</v>
      </c>
      <c r="F1402" s="1">
        <v>4850</v>
      </c>
      <c r="G1402" s="1">
        <v>104013500</v>
      </c>
      <c r="H1402" s="4">
        <f t="shared" si="46"/>
        <v>-2.05761316872428E-3</v>
      </c>
      <c r="I1402" s="4">
        <f t="shared" si="47"/>
        <v>-0.14537444933920704</v>
      </c>
    </row>
    <row r="1403" spans="1:9" x14ac:dyDescent="0.2">
      <c r="A1403" s="2">
        <f ca="1">IFERROR(__xludf.DUMMYFUNCTION("""COMPUTED_VALUE"""),45994.6666666666)</f>
        <v>45994.666666666599</v>
      </c>
      <c r="B1403" s="2" t="s">
        <v>56</v>
      </c>
      <c r="C1403" s="1">
        <v>4850</v>
      </c>
      <c r="D1403" s="1">
        <v>4920</v>
      </c>
      <c r="E1403" s="1">
        <v>4820</v>
      </c>
      <c r="F1403" s="1">
        <v>4880</v>
      </c>
      <c r="G1403" s="1">
        <v>102556300</v>
      </c>
      <c r="H1403" s="4">
        <f t="shared" si="46"/>
        <v>6.1855670103092781E-3</v>
      </c>
      <c r="I1403" s="4">
        <f t="shared" si="47"/>
        <v>-0.14008810572687225</v>
      </c>
    </row>
    <row r="1404" spans="1:9" x14ac:dyDescent="0.2">
      <c r="A1404" s="2">
        <f ca="1">IFERROR(__xludf.DUMMYFUNCTION("""COMPUTED_VALUE"""),45995.6666666666)</f>
        <v>45995.666666666599</v>
      </c>
      <c r="B1404" s="2" t="s">
        <v>56</v>
      </c>
      <c r="C1404" s="1">
        <v>4930</v>
      </c>
      <c r="D1404" s="1">
        <v>4940</v>
      </c>
      <c r="E1404" s="1">
        <v>4880</v>
      </c>
      <c r="F1404" s="1">
        <v>4920</v>
      </c>
      <c r="G1404" s="1">
        <v>59392600</v>
      </c>
      <c r="H1404" s="4">
        <f t="shared" si="46"/>
        <v>8.1967213114754103E-3</v>
      </c>
      <c r="I1404" s="4">
        <f t="shared" si="47"/>
        <v>-0.13303964757709252</v>
      </c>
    </row>
    <row r="1405" spans="1:9" x14ac:dyDescent="0.2">
      <c r="A1405" s="2">
        <f ca="1">IFERROR(__xludf.DUMMYFUNCTION("""COMPUTED_VALUE"""),45996.6666666666)</f>
        <v>45996.666666666599</v>
      </c>
      <c r="B1405" s="2" t="s">
        <v>56</v>
      </c>
      <c r="C1405" s="1">
        <v>4940</v>
      </c>
      <c r="D1405" s="1">
        <v>4940</v>
      </c>
      <c r="E1405" s="1">
        <v>4870</v>
      </c>
      <c r="F1405" s="1">
        <v>4900</v>
      </c>
      <c r="G1405" s="1">
        <v>53969200</v>
      </c>
      <c r="H1405" s="4">
        <f t="shared" si="46"/>
        <v>-4.0650406504065045E-3</v>
      </c>
      <c r="I1405" s="4">
        <f t="shared" si="47"/>
        <v>-0.13656387665198239</v>
      </c>
    </row>
    <row r="1406" spans="1:9" x14ac:dyDescent="0.2">
      <c r="A1406" s="2">
        <f ca="1">IFERROR(__xludf.DUMMYFUNCTION("""COMPUTED_VALUE"""),45999.6666666666)</f>
        <v>45999.666666666599</v>
      </c>
      <c r="B1406" s="2" t="s">
        <v>56</v>
      </c>
      <c r="C1406" s="1">
        <v>4950</v>
      </c>
      <c r="D1406" s="1">
        <v>4960</v>
      </c>
      <c r="E1406" s="1">
        <v>4910</v>
      </c>
      <c r="F1406" s="1">
        <v>4950</v>
      </c>
      <c r="G1406" s="1">
        <v>62947600</v>
      </c>
      <c r="H1406" s="4">
        <f t="shared" si="46"/>
        <v>1.020408163265306E-2</v>
      </c>
      <c r="I1406" s="4">
        <f t="shared" si="47"/>
        <v>-0.1277533039647577</v>
      </c>
    </row>
    <row r="1407" spans="1:9" x14ac:dyDescent="0.2">
      <c r="A1407" s="2">
        <f ca="1">IFERROR(__xludf.DUMMYFUNCTION("""COMPUTED_VALUE"""),46000.6666666666)</f>
        <v>46000.666666666599</v>
      </c>
      <c r="B1407" s="2" t="s">
        <v>56</v>
      </c>
      <c r="C1407" s="1">
        <v>4970</v>
      </c>
      <c r="D1407" s="1">
        <v>4980</v>
      </c>
      <c r="E1407" s="1">
        <v>4870</v>
      </c>
      <c r="F1407" s="1">
        <v>4890</v>
      </c>
      <c r="G1407" s="1">
        <v>134575200</v>
      </c>
      <c r="H1407" s="4">
        <f t="shared" si="46"/>
        <v>-1.2121212121212121E-2</v>
      </c>
      <c r="I1407" s="4">
        <f t="shared" si="47"/>
        <v>-0.13832599118942732</v>
      </c>
    </row>
    <row r="1408" spans="1:9" x14ac:dyDescent="0.2">
      <c r="A1408" s="2">
        <f ca="1">IFERROR(__xludf.DUMMYFUNCTION("""COMPUTED_VALUE"""),46001.6666666666)</f>
        <v>46001.666666666599</v>
      </c>
      <c r="B1408" s="2" t="s">
        <v>56</v>
      </c>
      <c r="C1408" s="1">
        <v>4950</v>
      </c>
      <c r="D1408" s="1">
        <v>4970</v>
      </c>
      <c r="E1408" s="1">
        <v>4870</v>
      </c>
      <c r="F1408" s="1">
        <v>4970</v>
      </c>
      <c r="G1408" s="1">
        <v>96005900</v>
      </c>
      <c r="H1408" s="4">
        <f t="shared" si="46"/>
        <v>1.6359918200408999E-2</v>
      </c>
      <c r="I1408" s="4">
        <f t="shared" si="47"/>
        <v>-0.12422907488986784</v>
      </c>
    </row>
    <row r="1409" spans="1:9" x14ac:dyDescent="0.2">
      <c r="A1409" s="2">
        <f ca="1">IFERROR(__xludf.DUMMYFUNCTION("""COMPUTED_VALUE"""),46002.6666666666)</f>
        <v>46002.666666666599</v>
      </c>
      <c r="B1409" s="2" t="s">
        <v>56</v>
      </c>
      <c r="C1409" s="1">
        <v>5000</v>
      </c>
      <c r="D1409" s="1">
        <v>5050</v>
      </c>
      <c r="E1409" s="1">
        <v>4830</v>
      </c>
      <c r="F1409" s="1">
        <v>4950</v>
      </c>
      <c r="G1409" s="1">
        <v>151956700</v>
      </c>
      <c r="H1409" s="4">
        <f t="shared" si="46"/>
        <v>-4.0241448692152921E-3</v>
      </c>
      <c r="I1409" s="4">
        <f t="shared" si="47"/>
        <v>-0.1277533039647577</v>
      </c>
    </row>
    <row r="1410" spans="1:9" x14ac:dyDescent="0.2">
      <c r="A1410" s="2">
        <f ca="1">IFERROR(__xludf.DUMMYFUNCTION("""COMPUTED_VALUE"""),46003.6666666666)</f>
        <v>46003.666666666599</v>
      </c>
      <c r="B1410" s="2" t="s">
        <v>56</v>
      </c>
      <c r="C1410" s="1">
        <v>4980</v>
      </c>
      <c r="D1410" s="1">
        <v>4980</v>
      </c>
      <c r="E1410" s="1">
        <v>4820</v>
      </c>
      <c r="F1410" s="1">
        <v>4820</v>
      </c>
      <c r="G1410" s="1">
        <v>111830600</v>
      </c>
      <c r="H1410" s="4">
        <f t="shared" si="46"/>
        <v>-2.6262626262626262E-2</v>
      </c>
      <c r="I1410" s="4">
        <f t="shared" si="47"/>
        <v>-0.15066079295154186</v>
      </c>
    </row>
    <row r="1411" spans="1:9" x14ac:dyDescent="0.2">
      <c r="A1411" s="2">
        <f ca="1">IFERROR(__xludf.DUMMYFUNCTION("""COMPUTED_VALUE"""),46006.6666666666)</f>
        <v>46006.666666666599</v>
      </c>
      <c r="B1411" s="2" t="s">
        <v>56</v>
      </c>
      <c r="C1411" s="1">
        <v>4820</v>
      </c>
      <c r="D1411" s="1">
        <v>5025</v>
      </c>
      <c r="E1411" s="1">
        <v>4790</v>
      </c>
      <c r="F1411" s="1">
        <v>4990</v>
      </c>
      <c r="G1411" s="1">
        <v>122451500</v>
      </c>
      <c r="H1411" s="4">
        <f t="shared" si="46"/>
        <v>3.5269709543568464E-2</v>
      </c>
      <c r="I1411" s="4">
        <f t="shared" si="47"/>
        <v>-0.12070484581497798</v>
      </c>
    </row>
    <row r="1412" spans="1:9" x14ac:dyDescent="0.2">
      <c r="A1412" s="2">
        <f ca="1">IFERROR(__xludf.DUMMYFUNCTION("""COMPUTED_VALUE"""),46007.6666666666)</f>
        <v>46007.666666666599</v>
      </c>
      <c r="B1412" s="2" t="s">
        <v>56</v>
      </c>
      <c r="C1412" s="1">
        <v>5025</v>
      </c>
      <c r="D1412" s="1">
        <v>5050</v>
      </c>
      <c r="E1412" s="1">
        <v>4920</v>
      </c>
      <c r="F1412" s="1">
        <v>5000</v>
      </c>
      <c r="G1412" s="1">
        <v>137373200</v>
      </c>
      <c r="H1412" s="4">
        <f t="shared" si="46"/>
        <v>2.004008016032064E-3</v>
      </c>
      <c r="I1412" s="4">
        <f t="shared" si="47"/>
        <v>-0.11894273127753303</v>
      </c>
    </row>
    <row r="1413" spans="1:9" x14ac:dyDescent="0.2">
      <c r="A1413" s="2">
        <f ca="1">IFERROR(__xludf.DUMMYFUNCTION("""COMPUTED_VALUE"""),46008.6666666666)</f>
        <v>46008.666666666599</v>
      </c>
      <c r="B1413" s="2" t="s">
        <v>56</v>
      </c>
      <c r="C1413" s="1">
        <v>4990</v>
      </c>
      <c r="D1413" s="1">
        <v>5025</v>
      </c>
      <c r="E1413" s="1">
        <v>4960</v>
      </c>
      <c r="F1413" s="1">
        <v>5025</v>
      </c>
      <c r="G1413" s="1">
        <v>94254100</v>
      </c>
      <c r="H1413" s="4">
        <f t="shared" si="46"/>
        <v>5.0000000000000001E-3</v>
      </c>
      <c r="I1413" s="4">
        <f t="shared" si="47"/>
        <v>-0.11453744493392071</v>
      </c>
    </row>
    <row r="1414" spans="1:9" x14ac:dyDescent="0.2">
      <c r="A1414" s="2">
        <f ca="1">IFERROR(__xludf.DUMMYFUNCTION("""COMPUTED_VALUE"""),46009.6666666666)</f>
        <v>46009.666666666599</v>
      </c>
      <c r="B1414" s="2" t="s">
        <v>56</v>
      </c>
      <c r="C1414" s="1">
        <v>5025</v>
      </c>
      <c r="D1414" s="1">
        <v>5175</v>
      </c>
      <c r="E1414" s="1">
        <v>5025</v>
      </c>
      <c r="F1414" s="1">
        <v>5150</v>
      </c>
      <c r="G1414" s="1">
        <v>150669000</v>
      </c>
      <c r="H1414" s="4">
        <f t="shared" si="46"/>
        <v>2.4875621890547265E-2</v>
      </c>
      <c r="I1414" s="4">
        <f t="shared" si="47"/>
        <v>-9.2511013215859028E-2</v>
      </c>
    </row>
    <row r="1415" spans="1:9" x14ac:dyDescent="0.2">
      <c r="A1415" s="2">
        <f ca="1">IFERROR(__xludf.DUMMYFUNCTION("""COMPUTED_VALUE"""),46010.6666666666)</f>
        <v>46010.666666666599</v>
      </c>
      <c r="B1415" s="2" t="s">
        <v>56</v>
      </c>
      <c r="C1415" s="1">
        <v>5175</v>
      </c>
      <c r="D1415" s="1">
        <v>5200</v>
      </c>
      <c r="E1415" s="1">
        <v>5100</v>
      </c>
      <c r="F1415" s="1">
        <v>5175</v>
      </c>
      <c r="G1415" s="1">
        <v>161960800</v>
      </c>
      <c r="H1415" s="4">
        <f t="shared" si="46"/>
        <v>4.8543689320388345E-3</v>
      </c>
      <c r="I1415" s="4">
        <f t="shared" si="47"/>
        <v>-8.8105726872246701E-2</v>
      </c>
    </row>
    <row r="1416" spans="1:9" x14ac:dyDescent="0.2">
      <c r="A1416" s="2">
        <f ca="1">IFERROR(__xludf.DUMMYFUNCTION("""COMPUTED_VALUE"""),46013.6666666666)</f>
        <v>46013.666666666599</v>
      </c>
      <c r="B1416" s="2" t="s">
        <v>56</v>
      </c>
      <c r="C1416" s="1">
        <v>5175</v>
      </c>
      <c r="D1416" s="1">
        <v>5200</v>
      </c>
      <c r="E1416" s="1">
        <v>5025</v>
      </c>
      <c r="F1416" s="1">
        <v>5100</v>
      </c>
      <c r="G1416" s="1">
        <v>93615600</v>
      </c>
      <c r="H1416" s="4">
        <f t="shared" si="46"/>
        <v>-1.4492753623188406E-2</v>
      </c>
      <c r="I1416" s="4">
        <f t="shared" si="47"/>
        <v>-0.1013215859030837</v>
      </c>
    </row>
    <row r="1417" spans="1:9" x14ac:dyDescent="0.2">
      <c r="A1417" s="2">
        <f ca="1">IFERROR(__xludf.DUMMYFUNCTION("""COMPUTED_VALUE"""),46014.6666666666)</f>
        <v>46014.666666666599</v>
      </c>
      <c r="B1417" s="2" t="s">
        <v>56</v>
      </c>
      <c r="C1417" s="1">
        <v>5050</v>
      </c>
      <c r="D1417" s="1">
        <v>5100</v>
      </c>
      <c r="E1417" s="1">
        <v>5000</v>
      </c>
      <c r="F1417" s="1">
        <v>5050</v>
      </c>
      <c r="G1417" s="1">
        <v>44307700</v>
      </c>
      <c r="H1417" s="4">
        <f t="shared" si="46"/>
        <v>-9.8039215686274508E-3</v>
      </c>
      <c r="I1417" s="4">
        <f t="shared" si="47"/>
        <v>-0.11013215859030837</v>
      </c>
    </row>
    <row r="1418" spans="1:9" x14ac:dyDescent="0.2">
      <c r="A1418" s="2">
        <f ca="1">IFERROR(__xludf.DUMMYFUNCTION("""COMPUTED_VALUE"""),46015.6666666666)</f>
        <v>46015.666666666599</v>
      </c>
      <c r="B1418" s="2" t="s">
        <v>56</v>
      </c>
      <c r="C1418" s="1">
        <v>5025</v>
      </c>
      <c r="D1418" s="1">
        <v>5100</v>
      </c>
      <c r="E1418" s="1">
        <v>5025</v>
      </c>
      <c r="F1418" s="1">
        <v>5050</v>
      </c>
      <c r="G1418" s="1">
        <v>40272500</v>
      </c>
      <c r="H1418" s="4">
        <f t="shared" si="46"/>
        <v>0</v>
      </c>
      <c r="I1418" s="4">
        <f t="shared" si="47"/>
        <v>-0.11013215859030837</v>
      </c>
    </row>
    <row r="1419" spans="1:9" x14ac:dyDescent="0.2">
      <c r="A1419" s="2">
        <f ca="1">IFERROR(__xludf.DUMMYFUNCTION("""COMPUTED_VALUE"""),46020.6666666666)</f>
        <v>46020.666666666599</v>
      </c>
      <c r="B1419" s="2" t="s">
        <v>56</v>
      </c>
      <c r="C1419" s="1">
        <v>5075</v>
      </c>
      <c r="D1419" s="1">
        <v>5150</v>
      </c>
      <c r="E1419" s="1">
        <v>5050</v>
      </c>
      <c r="F1419" s="1">
        <v>5075</v>
      </c>
      <c r="G1419" s="1">
        <v>55697500</v>
      </c>
      <c r="H1419" s="4">
        <f t="shared" si="46"/>
        <v>4.9504950495049506E-3</v>
      </c>
      <c r="I1419" s="4">
        <f t="shared" si="47"/>
        <v>-0.10572687224669604</v>
      </c>
    </row>
    <row r="1420" spans="1:9" x14ac:dyDescent="0.2">
      <c r="A1420" s="2">
        <f ca="1">IFERROR(__xludf.DUMMYFUNCTION("""COMPUTED_VALUE"""),46021.6666666666)</f>
        <v>46021.666666666599</v>
      </c>
      <c r="B1420" s="2" t="s">
        <v>56</v>
      </c>
      <c r="C1420" s="1">
        <v>5075</v>
      </c>
      <c r="D1420" s="1">
        <v>5150</v>
      </c>
      <c r="E1420" s="1">
        <v>5050</v>
      </c>
      <c r="F1420" s="1">
        <v>5100</v>
      </c>
      <c r="G1420" s="1">
        <v>74077800</v>
      </c>
      <c r="H1420" s="4">
        <f t="shared" si="46"/>
        <v>4.9261083743842365E-3</v>
      </c>
      <c r="I1420" s="4">
        <f t="shared" si="47"/>
        <v>-0.1013215859030837</v>
      </c>
    </row>
    <row r="1421" spans="1:9" x14ac:dyDescent="0.2">
      <c r="A1421" s="2">
        <f ca="1">IFERROR(__xludf.DUMMYFUNCTION("""COMPUTED_VALUE"""),45293.6666666666)</f>
        <v>45293.666666666599</v>
      </c>
      <c r="B1421" s="2" t="s">
        <v>57</v>
      </c>
      <c r="C1421" s="17">
        <v>5375</v>
      </c>
      <c r="D1421" s="17">
        <v>5375</v>
      </c>
      <c r="E1421" s="17">
        <v>5300</v>
      </c>
      <c r="F1421" s="17">
        <v>5375</v>
      </c>
      <c r="G1421" s="17">
        <v>20147500</v>
      </c>
      <c r="H1421" s="4">
        <v>0</v>
      </c>
      <c r="I1421" s="4">
        <v>0</v>
      </c>
    </row>
    <row r="1422" spans="1:9" x14ac:dyDescent="0.2">
      <c r="A1422" s="2">
        <f ca="1">IFERROR(__xludf.DUMMYFUNCTION("""COMPUTED_VALUE"""),45294.6666666666)</f>
        <v>45294.666666666599</v>
      </c>
      <c r="B1422" s="2" t="s">
        <v>57</v>
      </c>
      <c r="C1422" s="17">
        <v>5375</v>
      </c>
      <c r="D1422" s="17">
        <v>5400</v>
      </c>
      <c r="E1422" s="17">
        <v>5325</v>
      </c>
      <c r="F1422" s="17">
        <v>5350</v>
      </c>
      <c r="G1422" s="17">
        <v>27547700</v>
      </c>
      <c r="H1422" s="4">
        <f>(F1422-F1421)/F1421</f>
        <v>-4.6511627906976744E-3</v>
      </c>
      <c r="I1422" s="4">
        <f>(F1422-$F$2)/$F$2</f>
        <v>-5.7268722466960353E-2</v>
      </c>
    </row>
    <row r="1423" spans="1:9" x14ac:dyDescent="0.2">
      <c r="A1423" s="2">
        <f ca="1">IFERROR(__xludf.DUMMYFUNCTION("""COMPUTED_VALUE"""),45295.6666666666)</f>
        <v>45295.666666666599</v>
      </c>
      <c r="B1423" s="2" t="s">
        <v>57</v>
      </c>
      <c r="C1423" s="17">
        <v>5350</v>
      </c>
      <c r="D1423" s="17">
        <v>5675</v>
      </c>
      <c r="E1423" s="17">
        <v>5325</v>
      </c>
      <c r="F1423" s="17">
        <v>5600</v>
      </c>
      <c r="G1423" s="17">
        <v>77162400</v>
      </c>
      <c r="H1423" s="4">
        <f t="shared" ref="H1423:H1486" si="48">(F1423-F1422)/F1422</f>
        <v>4.6728971962616821E-2</v>
      </c>
      <c r="I1423" s="4">
        <f t="shared" ref="I1423:I1486" si="49">(F1423-$F$2)/$F$2</f>
        <v>-1.3215859030837005E-2</v>
      </c>
    </row>
    <row r="1424" spans="1:9" x14ac:dyDescent="0.2">
      <c r="A1424" s="2">
        <f ca="1">IFERROR(__xludf.DUMMYFUNCTION("""COMPUTED_VALUE"""),45296.6666666666)</f>
        <v>45296.666666666599</v>
      </c>
      <c r="B1424" s="2" t="s">
        <v>57</v>
      </c>
      <c r="C1424" s="17">
        <v>5675</v>
      </c>
      <c r="D1424" s="17">
        <v>5750</v>
      </c>
      <c r="E1424" s="17">
        <v>5575</v>
      </c>
      <c r="F1424" s="17">
        <v>5575</v>
      </c>
      <c r="G1424" s="17">
        <v>69463500</v>
      </c>
      <c r="H1424" s="4">
        <f t="shared" si="48"/>
        <v>-4.464285714285714E-3</v>
      </c>
      <c r="I1424" s="4">
        <f t="shared" si="49"/>
        <v>-1.7621145374449341E-2</v>
      </c>
    </row>
    <row r="1425" spans="1:9" x14ac:dyDescent="0.2">
      <c r="A1425" s="2">
        <f ca="1">IFERROR(__xludf.DUMMYFUNCTION("""COMPUTED_VALUE"""),45299.6666666666)</f>
        <v>45299.666666666599</v>
      </c>
      <c r="B1425" s="2" t="s">
        <v>57</v>
      </c>
      <c r="C1425" s="17">
        <v>5575</v>
      </c>
      <c r="D1425" s="17">
        <v>5650</v>
      </c>
      <c r="E1425" s="17">
        <v>5550</v>
      </c>
      <c r="F1425" s="17">
        <v>5575</v>
      </c>
      <c r="G1425" s="17">
        <v>60606600</v>
      </c>
      <c r="H1425" s="4">
        <f t="shared" si="48"/>
        <v>0</v>
      </c>
      <c r="I1425" s="4">
        <f t="shared" si="49"/>
        <v>-1.7621145374449341E-2</v>
      </c>
    </row>
    <row r="1426" spans="1:9" x14ac:dyDescent="0.2">
      <c r="A1426" s="2">
        <f ca="1">IFERROR(__xludf.DUMMYFUNCTION("""COMPUTED_VALUE"""),45300.6666666666)</f>
        <v>45300.666666666599</v>
      </c>
      <c r="B1426" s="2" t="s">
        <v>57</v>
      </c>
      <c r="C1426" s="17">
        <v>5600</v>
      </c>
      <c r="D1426" s="17">
        <v>5650</v>
      </c>
      <c r="E1426" s="17">
        <v>5600</v>
      </c>
      <c r="F1426" s="17">
        <v>5650</v>
      </c>
      <c r="G1426" s="17">
        <v>34897000</v>
      </c>
      <c r="H1426" s="4">
        <f t="shared" si="48"/>
        <v>1.3452914798206279E-2</v>
      </c>
      <c r="I1426" s="4">
        <f t="shared" si="49"/>
        <v>-4.4052863436123352E-3</v>
      </c>
    </row>
    <row r="1427" spans="1:9" x14ac:dyDescent="0.2">
      <c r="A1427" s="2">
        <f ca="1">IFERROR(__xludf.DUMMYFUNCTION("""COMPUTED_VALUE"""),45301.6666666666)</f>
        <v>45301.666666666599</v>
      </c>
      <c r="B1427" s="2" t="s">
        <v>57</v>
      </c>
      <c r="C1427" s="17">
        <v>5625</v>
      </c>
      <c r="D1427" s="17">
        <v>5675</v>
      </c>
      <c r="E1427" s="17">
        <v>5575</v>
      </c>
      <c r="F1427" s="17">
        <v>5600</v>
      </c>
      <c r="G1427" s="17">
        <v>37988500</v>
      </c>
      <c r="H1427" s="4">
        <f t="shared" si="48"/>
        <v>-8.8495575221238937E-3</v>
      </c>
      <c r="I1427" s="4">
        <f t="shared" si="49"/>
        <v>-1.3215859030837005E-2</v>
      </c>
    </row>
    <row r="1428" spans="1:9" x14ac:dyDescent="0.2">
      <c r="A1428" s="2">
        <f ca="1">IFERROR(__xludf.DUMMYFUNCTION("""COMPUTED_VALUE"""),45302.6666666666)</f>
        <v>45302.666666666599</v>
      </c>
      <c r="B1428" s="2" t="s">
        <v>57</v>
      </c>
      <c r="C1428" s="17">
        <v>5650</v>
      </c>
      <c r="D1428" s="17">
        <v>5700</v>
      </c>
      <c r="E1428" s="17">
        <v>5575</v>
      </c>
      <c r="F1428" s="17">
        <v>5600</v>
      </c>
      <c r="G1428" s="17">
        <v>22855800</v>
      </c>
      <c r="H1428" s="4">
        <f t="shared" si="48"/>
        <v>0</v>
      </c>
      <c r="I1428" s="4">
        <f t="shared" si="49"/>
        <v>-1.3215859030837005E-2</v>
      </c>
    </row>
    <row r="1429" spans="1:9" x14ac:dyDescent="0.2">
      <c r="A1429" s="2">
        <f ca="1">IFERROR(__xludf.DUMMYFUNCTION("""COMPUTED_VALUE"""),45303.6666666666)</f>
        <v>45303.666666666599</v>
      </c>
      <c r="B1429" s="2" t="s">
        <v>57</v>
      </c>
      <c r="C1429" s="17">
        <v>5600</v>
      </c>
      <c r="D1429" s="17">
        <v>5650</v>
      </c>
      <c r="E1429" s="17">
        <v>5575</v>
      </c>
      <c r="F1429" s="17">
        <v>5600</v>
      </c>
      <c r="G1429" s="17">
        <v>40942900</v>
      </c>
      <c r="H1429" s="4">
        <f t="shared" si="48"/>
        <v>0</v>
      </c>
      <c r="I1429" s="4">
        <f t="shared" si="49"/>
        <v>-1.3215859030837005E-2</v>
      </c>
    </row>
    <row r="1430" spans="1:9" x14ac:dyDescent="0.2">
      <c r="A1430" s="2">
        <f ca="1">IFERROR(__xludf.DUMMYFUNCTION("""COMPUTED_VALUE"""),45306.6666666666)</f>
        <v>45306.666666666599</v>
      </c>
      <c r="B1430" s="2" t="s">
        <v>57</v>
      </c>
      <c r="C1430" s="17">
        <v>5650</v>
      </c>
      <c r="D1430" s="17">
        <v>5675</v>
      </c>
      <c r="E1430" s="17">
        <v>5600</v>
      </c>
      <c r="F1430" s="17">
        <v>5625</v>
      </c>
      <c r="G1430" s="17">
        <v>51408800</v>
      </c>
      <c r="H1430" s="4">
        <f t="shared" si="48"/>
        <v>4.464285714285714E-3</v>
      </c>
      <c r="I1430" s="4">
        <f t="shared" si="49"/>
        <v>-8.8105726872246704E-3</v>
      </c>
    </row>
    <row r="1431" spans="1:9" x14ac:dyDescent="0.2">
      <c r="A1431" s="2">
        <f ca="1">IFERROR(__xludf.DUMMYFUNCTION("""COMPUTED_VALUE"""),45307.6666666666)</f>
        <v>45307.666666666599</v>
      </c>
      <c r="B1431" s="2" t="s">
        <v>57</v>
      </c>
      <c r="C1431" s="17">
        <v>5625</v>
      </c>
      <c r="D1431" s="17">
        <v>5625</v>
      </c>
      <c r="E1431" s="17">
        <v>5575</v>
      </c>
      <c r="F1431" s="17">
        <v>5600</v>
      </c>
      <c r="G1431" s="17">
        <v>37795700</v>
      </c>
      <c r="H1431" s="4">
        <f t="shared" si="48"/>
        <v>-4.4444444444444444E-3</v>
      </c>
      <c r="I1431" s="4">
        <f t="shared" si="49"/>
        <v>-1.3215859030837005E-2</v>
      </c>
    </row>
    <row r="1432" spans="1:9" x14ac:dyDescent="0.2">
      <c r="A1432" s="2">
        <f ca="1">IFERROR(__xludf.DUMMYFUNCTION("""COMPUTED_VALUE"""),45308.6666666666)</f>
        <v>45308.666666666599</v>
      </c>
      <c r="B1432" s="2" t="s">
        <v>57</v>
      </c>
      <c r="C1432" s="17">
        <v>5600</v>
      </c>
      <c r="D1432" s="17">
        <v>5625</v>
      </c>
      <c r="E1432" s="17">
        <v>5475</v>
      </c>
      <c r="F1432" s="17">
        <v>5550</v>
      </c>
      <c r="G1432" s="17">
        <v>61481200</v>
      </c>
      <c r="H1432" s="4">
        <f t="shared" si="48"/>
        <v>-8.9285714285714281E-3</v>
      </c>
      <c r="I1432" s="4">
        <f t="shared" si="49"/>
        <v>-2.2026431718061675E-2</v>
      </c>
    </row>
    <row r="1433" spans="1:9" x14ac:dyDescent="0.2">
      <c r="A1433" s="2">
        <f ca="1">IFERROR(__xludf.DUMMYFUNCTION("""COMPUTED_VALUE"""),45309.6666666666)</f>
        <v>45309.666666666599</v>
      </c>
      <c r="B1433" s="2" t="s">
        <v>57</v>
      </c>
      <c r="C1433" s="17">
        <v>5550</v>
      </c>
      <c r="D1433" s="17">
        <v>5600</v>
      </c>
      <c r="E1433" s="17">
        <v>5475</v>
      </c>
      <c r="F1433" s="17">
        <v>5550</v>
      </c>
      <c r="G1433" s="17">
        <v>33241700</v>
      </c>
      <c r="H1433" s="4">
        <f t="shared" si="48"/>
        <v>0</v>
      </c>
      <c r="I1433" s="4">
        <f t="shared" si="49"/>
        <v>-2.2026431718061675E-2</v>
      </c>
    </row>
    <row r="1434" spans="1:9" x14ac:dyDescent="0.2">
      <c r="A1434" s="2">
        <f ca="1">IFERROR(__xludf.DUMMYFUNCTION("""COMPUTED_VALUE"""),45310.6666666666)</f>
        <v>45310.666666666599</v>
      </c>
      <c r="B1434" s="2" t="s">
        <v>57</v>
      </c>
      <c r="C1434" s="1">
        <v>5575</v>
      </c>
      <c r="D1434" s="1">
        <v>5575</v>
      </c>
      <c r="E1434" s="1">
        <v>5475</v>
      </c>
      <c r="F1434" s="1">
        <v>5500</v>
      </c>
      <c r="G1434" s="1">
        <v>29776100</v>
      </c>
      <c r="H1434" s="4">
        <f t="shared" si="48"/>
        <v>-9.0090090090090089E-3</v>
      </c>
      <c r="I1434" s="4">
        <f t="shared" si="49"/>
        <v>-3.0837004405286344E-2</v>
      </c>
    </row>
    <row r="1435" spans="1:9" x14ac:dyDescent="0.2">
      <c r="A1435" s="2">
        <f ca="1">IFERROR(__xludf.DUMMYFUNCTION("""COMPUTED_VALUE"""),45313.6666666666)</f>
        <v>45313.666666666599</v>
      </c>
      <c r="B1435" s="2" t="s">
        <v>57</v>
      </c>
      <c r="C1435" s="1">
        <v>5525</v>
      </c>
      <c r="D1435" s="1">
        <v>5600</v>
      </c>
      <c r="E1435" s="1">
        <v>5450</v>
      </c>
      <c r="F1435" s="1">
        <v>5525</v>
      </c>
      <c r="G1435" s="1">
        <v>30949600</v>
      </c>
      <c r="H1435" s="4">
        <f t="shared" si="48"/>
        <v>4.5454545454545452E-3</v>
      </c>
      <c r="I1435" s="4">
        <f t="shared" si="49"/>
        <v>-2.643171806167401E-2</v>
      </c>
    </row>
    <row r="1436" spans="1:9" x14ac:dyDescent="0.2">
      <c r="A1436" s="2">
        <f ca="1">IFERROR(__xludf.DUMMYFUNCTION("""COMPUTED_VALUE"""),45314.6666666666)</f>
        <v>45314.666666666599</v>
      </c>
      <c r="B1436" s="2" t="s">
        <v>57</v>
      </c>
      <c r="C1436" s="1">
        <v>5525</v>
      </c>
      <c r="D1436" s="1">
        <v>5525</v>
      </c>
      <c r="E1436" s="1">
        <v>5375</v>
      </c>
      <c r="F1436" s="1">
        <v>5425</v>
      </c>
      <c r="G1436" s="1">
        <v>48824300</v>
      </c>
      <c r="H1436" s="4">
        <f t="shared" si="48"/>
        <v>-1.8099547511312219E-2</v>
      </c>
      <c r="I1436" s="4">
        <f t="shared" si="49"/>
        <v>-4.405286343612335E-2</v>
      </c>
    </row>
    <row r="1437" spans="1:9" x14ac:dyDescent="0.2">
      <c r="A1437" s="2">
        <f ca="1">IFERROR(__xludf.DUMMYFUNCTION("""COMPUTED_VALUE"""),45315.6666666666)</f>
        <v>45315.666666666599</v>
      </c>
      <c r="B1437" s="2" t="s">
        <v>57</v>
      </c>
      <c r="C1437" s="1">
        <v>5450</v>
      </c>
      <c r="D1437" s="1">
        <v>5500</v>
      </c>
      <c r="E1437" s="1">
        <v>5400</v>
      </c>
      <c r="F1437" s="1">
        <v>5475</v>
      </c>
      <c r="G1437" s="1">
        <v>42436800</v>
      </c>
      <c r="H1437" s="4">
        <f t="shared" si="48"/>
        <v>9.2165898617511521E-3</v>
      </c>
      <c r="I1437" s="4">
        <f t="shared" si="49"/>
        <v>-3.5242290748898682E-2</v>
      </c>
    </row>
    <row r="1438" spans="1:9" x14ac:dyDescent="0.2">
      <c r="A1438" s="2">
        <f ca="1">IFERROR(__xludf.DUMMYFUNCTION("""COMPUTED_VALUE"""),45316.6666666666)</f>
        <v>45316.666666666599</v>
      </c>
      <c r="B1438" s="2" t="s">
        <v>57</v>
      </c>
      <c r="C1438" s="1">
        <v>5500</v>
      </c>
      <c r="D1438" s="1">
        <v>5525</v>
      </c>
      <c r="E1438" s="1">
        <v>5400</v>
      </c>
      <c r="F1438" s="1">
        <v>5400</v>
      </c>
      <c r="G1438" s="1">
        <v>47955600</v>
      </c>
      <c r="H1438" s="4">
        <f t="shared" si="48"/>
        <v>-1.3698630136986301E-2</v>
      </c>
      <c r="I1438" s="4">
        <f t="shared" si="49"/>
        <v>-4.8458149779735685E-2</v>
      </c>
    </row>
    <row r="1439" spans="1:9" x14ac:dyDescent="0.2">
      <c r="A1439" s="2">
        <f ca="1">IFERROR(__xludf.DUMMYFUNCTION("""COMPUTED_VALUE"""),45317.6666666666)</f>
        <v>45317.666666666599</v>
      </c>
      <c r="B1439" s="2" t="s">
        <v>57</v>
      </c>
      <c r="C1439" s="1">
        <v>5400</v>
      </c>
      <c r="D1439" s="1">
        <v>5425</v>
      </c>
      <c r="E1439" s="1">
        <v>5350</v>
      </c>
      <c r="F1439" s="1">
        <v>5425</v>
      </c>
      <c r="G1439" s="1">
        <v>30545600</v>
      </c>
      <c r="H1439" s="4">
        <f t="shared" si="48"/>
        <v>4.6296296296296294E-3</v>
      </c>
      <c r="I1439" s="4">
        <f t="shared" si="49"/>
        <v>-4.405286343612335E-2</v>
      </c>
    </row>
    <row r="1440" spans="1:9" x14ac:dyDescent="0.2">
      <c r="A1440" s="2">
        <f ca="1">IFERROR(__xludf.DUMMYFUNCTION("""COMPUTED_VALUE"""),45320.6666666666)</f>
        <v>45320.666666666599</v>
      </c>
      <c r="B1440" s="2" t="s">
        <v>57</v>
      </c>
      <c r="C1440" s="1">
        <v>5450</v>
      </c>
      <c r="D1440" s="1">
        <v>5575</v>
      </c>
      <c r="E1440" s="1">
        <v>5450</v>
      </c>
      <c r="F1440" s="1">
        <v>5575</v>
      </c>
      <c r="G1440" s="1">
        <v>63056100</v>
      </c>
      <c r="H1440" s="4">
        <f t="shared" si="48"/>
        <v>2.7649769585253458E-2</v>
      </c>
      <c r="I1440" s="4">
        <f t="shared" si="49"/>
        <v>-1.7621145374449341E-2</v>
      </c>
    </row>
    <row r="1441" spans="1:9" x14ac:dyDescent="0.2">
      <c r="A1441" s="2">
        <f ca="1">IFERROR(__xludf.DUMMYFUNCTION("""COMPUTED_VALUE"""),45321.6666666666)</f>
        <v>45321.666666666599</v>
      </c>
      <c r="B1441" s="2" t="s">
        <v>57</v>
      </c>
      <c r="C1441" s="1">
        <v>5575</v>
      </c>
      <c r="D1441" s="1">
        <v>5675</v>
      </c>
      <c r="E1441" s="1">
        <v>5550</v>
      </c>
      <c r="F1441" s="1">
        <v>5650</v>
      </c>
      <c r="G1441" s="1">
        <v>55020500</v>
      </c>
      <c r="H1441" s="4">
        <f t="shared" si="48"/>
        <v>1.3452914798206279E-2</v>
      </c>
      <c r="I1441" s="4">
        <f t="shared" si="49"/>
        <v>-4.4052863436123352E-3</v>
      </c>
    </row>
    <row r="1442" spans="1:9" x14ac:dyDescent="0.2">
      <c r="A1442" s="2">
        <f ca="1">IFERROR(__xludf.DUMMYFUNCTION("""COMPUTED_VALUE"""),45322.6666666666)</f>
        <v>45322.666666666599</v>
      </c>
      <c r="B1442" s="2" t="s">
        <v>57</v>
      </c>
      <c r="C1442" s="1">
        <v>5700</v>
      </c>
      <c r="D1442" s="1">
        <v>5800</v>
      </c>
      <c r="E1442" s="1">
        <v>5675</v>
      </c>
      <c r="F1442" s="1">
        <v>5750</v>
      </c>
      <c r="G1442" s="1">
        <v>70045600</v>
      </c>
      <c r="H1442" s="4">
        <f t="shared" si="48"/>
        <v>1.7699115044247787E-2</v>
      </c>
      <c r="I1442" s="4">
        <f t="shared" si="49"/>
        <v>1.3215859030837005E-2</v>
      </c>
    </row>
    <row r="1443" spans="1:9" x14ac:dyDescent="0.2">
      <c r="A1443" s="2">
        <f ca="1">IFERROR(__xludf.DUMMYFUNCTION("""COMPUTED_VALUE"""),45323.6666666666)</f>
        <v>45323.666666666599</v>
      </c>
      <c r="B1443" s="2" t="s">
        <v>57</v>
      </c>
      <c r="C1443" s="1">
        <v>5750</v>
      </c>
      <c r="D1443" s="1">
        <v>5750</v>
      </c>
      <c r="E1443" s="1">
        <v>5650</v>
      </c>
      <c r="F1443" s="1">
        <v>5725</v>
      </c>
      <c r="G1443" s="1">
        <v>49179400</v>
      </c>
      <c r="H1443" s="4">
        <f t="shared" si="48"/>
        <v>-4.3478260869565218E-3</v>
      </c>
      <c r="I1443" s="4">
        <f t="shared" si="49"/>
        <v>8.8105726872246704E-3</v>
      </c>
    </row>
    <row r="1444" spans="1:9" x14ac:dyDescent="0.2">
      <c r="A1444" s="2">
        <f ca="1">IFERROR(__xludf.DUMMYFUNCTION("""COMPUTED_VALUE"""),45324.6666666666)</f>
        <v>45324.666666666599</v>
      </c>
      <c r="B1444" s="2" t="s">
        <v>57</v>
      </c>
      <c r="C1444" s="1">
        <v>5750</v>
      </c>
      <c r="D1444" s="1">
        <v>5825</v>
      </c>
      <c r="E1444" s="1">
        <v>5750</v>
      </c>
      <c r="F1444" s="1">
        <v>5775</v>
      </c>
      <c r="G1444" s="1">
        <v>44074200</v>
      </c>
      <c r="H1444" s="4">
        <f t="shared" si="48"/>
        <v>8.7336244541484712E-3</v>
      </c>
      <c r="I1444" s="4">
        <f t="shared" si="49"/>
        <v>1.7621145374449341E-2</v>
      </c>
    </row>
    <row r="1445" spans="1:9" x14ac:dyDescent="0.2">
      <c r="A1445" s="2">
        <f ca="1">IFERROR(__xludf.DUMMYFUNCTION("""COMPUTED_VALUE"""),45327.6666666666)</f>
        <v>45327.666666666599</v>
      </c>
      <c r="B1445" s="2" t="s">
        <v>57</v>
      </c>
      <c r="C1445" s="1">
        <v>5775</v>
      </c>
      <c r="D1445" s="1">
        <v>5825</v>
      </c>
      <c r="E1445" s="1">
        <v>5725</v>
      </c>
      <c r="F1445" s="1">
        <v>5750</v>
      </c>
      <c r="G1445" s="1">
        <v>47096400</v>
      </c>
      <c r="H1445" s="4">
        <f t="shared" si="48"/>
        <v>-4.329004329004329E-3</v>
      </c>
      <c r="I1445" s="4">
        <f t="shared" si="49"/>
        <v>1.3215859030837005E-2</v>
      </c>
    </row>
    <row r="1446" spans="1:9" x14ac:dyDescent="0.2">
      <c r="A1446" s="2">
        <f ca="1">IFERROR(__xludf.DUMMYFUNCTION("""COMPUTED_VALUE"""),45328.6666666666)</f>
        <v>45328.666666666599</v>
      </c>
      <c r="B1446" s="2" t="s">
        <v>57</v>
      </c>
      <c r="C1446" s="1">
        <v>5775</v>
      </c>
      <c r="D1446" s="1">
        <v>5825</v>
      </c>
      <c r="E1446" s="1">
        <v>5750</v>
      </c>
      <c r="F1446" s="1">
        <v>5775</v>
      </c>
      <c r="G1446" s="1">
        <v>41834000</v>
      </c>
      <c r="H1446" s="4">
        <f t="shared" si="48"/>
        <v>4.3478260869565218E-3</v>
      </c>
      <c r="I1446" s="4">
        <f t="shared" si="49"/>
        <v>1.7621145374449341E-2</v>
      </c>
    </row>
    <row r="1447" spans="1:9" x14ac:dyDescent="0.2">
      <c r="A1447" s="2">
        <f ca="1">IFERROR(__xludf.DUMMYFUNCTION("""COMPUTED_VALUE"""),45329.6666666666)</f>
        <v>45329.666666666599</v>
      </c>
      <c r="B1447" s="2" t="s">
        <v>57</v>
      </c>
      <c r="C1447" s="1">
        <v>5775</v>
      </c>
      <c r="D1447" s="1">
        <v>5825</v>
      </c>
      <c r="E1447" s="1">
        <v>5750</v>
      </c>
      <c r="F1447" s="1">
        <v>5750</v>
      </c>
      <c r="G1447" s="1">
        <v>39906900</v>
      </c>
      <c r="H1447" s="4">
        <f t="shared" si="48"/>
        <v>-4.329004329004329E-3</v>
      </c>
      <c r="I1447" s="4">
        <f t="shared" si="49"/>
        <v>1.3215859030837005E-2</v>
      </c>
    </row>
    <row r="1448" spans="1:9" x14ac:dyDescent="0.2">
      <c r="A1448" s="2">
        <f ca="1">IFERROR(__xludf.DUMMYFUNCTION("""COMPUTED_VALUE"""),45334.6666666666)</f>
        <v>45334.666666666599</v>
      </c>
      <c r="B1448" s="2" t="s">
        <v>57</v>
      </c>
      <c r="C1448" s="1">
        <v>5775</v>
      </c>
      <c r="D1448" s="1">
        <v>6000</v>
      </c>
      <c r="E1448" s="1">
        <v>5750</v>
      </c>
      <c r="F1448" s="1">
        <v>5950</v>
      </c>
      <c r="G1448" s="1">
        <v>64615800</v>
      </c>
      <c r="H1448" s="4">
        <f t="shared" si="48"/>
        <v>3.4782608695652174E-2</v>
      </c>
      <c r="I1448" s="4">
        <f t="shared" si="49"/>
        <v>4.8458149779735685E-2</v>
      </c>
    </row>
    <row r="1449" spans="1:9" x14ac:dyDescent="0.2">
      <c r="A1449" s="2">
        <f ca="1">IFERROR(__xludf.DUMMYFUNCTION("""COMPUTED_VALUE"""),45335.6666666666)</f>
        <v>45335.666666666599</v>
      </c>
      <c r="B1449" s="2" t="s">
        <v>57</v>
      </c>
      <c r="C1449" s="1">
        <v>5975</v>
      </c>
      <c r="D1449" s="1">
        <v>5975</v>
      </c>
      <c r="E1449" s="1">
        <v>5850</v>
      </c>
      <c r="F1449" s="1">
        <v>5875</v>
      </c>
      <c r="G1449" s="1">
        <v>74976200</v>
      </c>
      <c r="H1449" s="4">
        <f t="shared" si="48"/>
        <v>-1.2605042016806723E-2</v>
      </c>
      <c r="I1449" s="4">
        <f t="shared" si="49"/>
        <v>3.5242290748898682E-2</v>
      </c>
    </row>
    <row r="1450" spans="1:9" x14ac:dyDescent="0.2">
      <c r="A1450" s="2">
        <f ca="1">IFERROR(__xludf.DUMMYFUNCTION("""COMPUTED_VALUE"""),45337.6666666666)</f>
        <v>45337.666666666599</v>
      </c>
      <c r="B1450" s="2" t="s">
        <v>57</v>
      </c>
      <c r="C1450" s="1">
        <v>6150</v>
      </c>
      <c r="D1450" s="1">
        <v>6225</v>
      </c>
      <c r="E1450" s="1">
        <v>6000</v>
      </c>
      <c r="F1450" s="1">
        <v>6000</v>
      </c>
      <c r="G1450" s="1">
        <v>128792500</v>
      </c>
      <c r="H1450" s="4">
        <f t="shared" si="48"/>
        <v>2.1276595744680851E-2</v>
      </c>
      <c r="I1450" s="4">
        <f t="shared" si="49"/>
        <v>5.7268722466960353E-2</v>
      </c>
    </row>
    <row r="1451" spans="1:9" x14ac:dyDescent="0.2">
      <c r="A1451" s="2">
        <f ca="1">IFERROR(__xludf.DUMMYFUNCTION("""COMPUTED_VALUE"""),45338.6666666666)</f>
        <v>45338.666666666599</v>
      </c>
      <c r="B1451" s="2" t="s">
        <v>57</v>
      </c>
      <c r="C1451" s="1">
        <v>6025</v>
      </c>
      <c r="D1451" s="1">
        <v>6125</v>
      </c>
      <c r="E1451" s="1">
        <v>6000</v>
      </c>
      <c r="F1451" s="1">
        <v>6000</v>
      </c>
      <c r="G1451" s="1">
        <v>62601000</v>
      </c>
      <c r="H1451" s="4">
        <f t="shared" si="48"/>
        <v>0</v>
      </c>
      <c r="I1451" s="4">
        <f t="shared" si="49"/>
        <v>5.7268722466960353E-2</v>
      </c>
    </row>
    <row r="1452" spans="1:9" x14ac:dyDescent="0.2">
      <c r="A1452" s="2">
        <f ca="1">IFERROR(__xludf.DUMMYFUNCTION("""COMPUTED_VALUE"""),45341.6666666666)</f>
        <v>45341.666666666599</v>
      </c>
      <c r="B1452" s="2" t="s">
        <v>57</v>
      </c>
      <c r="C1452" s="1">
        <v>6025</v>
      </c>
      <c r="D1452" s="1">
        <v>6050</v>
      </c>
      <c r="E1452" s="1">
        <v>5875</v>
      </c>
      <c r="F1452" s="1">
        <v>5875</v>
      </c>
      <c r="G1452" s="1">
        <v>67950100</v>
      </c>
      <c r="H1452" s="4">
        <f t="shared" si="48"/>
        <v>-2.0833333333333332E-2</v>
      </c>
      <c r="I1452" s="4">
        <f t="shared" si="49"/>
        <v>3.5242290748898682E-2</v>
      </c>
    </row>
    <row r="1453" spans="1:9" x14ac:dyDescent="0.2">
      <c r="A1453" s="2">
        <f ca="1">IFERROR(__xludf.DUMMYFUNCTION("""COMPUTED_VALUE"""),45342.6666666666)</f>
        <v>45342.666666666599</v>
      </c>
      <c r="B1453" s="2" t="s">
        <v>57</v>
      </c>
      <c r="C1453" s="1">
        <v>5900</v>
      </c>
      <c r="D1453" s="1">
        <v>6025</v>
      </c>
      <c r="E1453" s="1">
        <v>5900</v>
      </c>
      <c r="F1453" s="1">
        <v>6025</v>
      </c>
      <c r="G1453" s="1">
        <v>37554100</v>
      </c>
      <c r="H1453" s="4">
        <f t="shared" si="48"/>
        <v>2.553191489361702E-2</v>
      </c>
      <c r="I1453" s="4">
        <f t="shared" si="49"/>
        <v>6.1674008810572688E-2</v>
      </c>
    </row>
    <row r="1454" spans="1:9" x14ac:dyDescent="0.2">
      <c r="A1454" s="2">
        <f ca="1">IFERROR(__xludf.DUMMYFUNCTION("""COMPUTED_VALUE"""),45343.6666666666)</f>
        <v>45343.666666666599</v>
      </c>
      <c r="B1454" s="2" t="s">
        <v>57</v>
      </c>
      <c r="C1454" s="1">
        <v>6025</v>
      </c>
      <c r="D1454" s="1">
        <v>6050</v>
      </c>
      <c r="E1454" s="1">
        <v>5925</v>
      </c>
      <c r="F1454" s="1">
        <v>6000</v>
      </c>
      <c r="G1454" s="1">
        <v>54476400</v>
      </c>
      <c r="H1454" s="4">
        <f t="shared" si="48"/>
        <v>-4.1493775933609959E-3</v>
      </c>
      <c r="I1454" s="4">
        <f t="shared" si="49"/>
        <v>5.7268722466960353E-2</v>
      </c>
    </row>
    <row r="1455" spans="1:9" x14ac:dyDescent="0.2">
      <c r="A1455" s="2">
        <f ca="1">IFERROR(__xludf.DUMMYFUNCTION("""COMPUTED_VALUE"""),45344.6666666666)</f>
        <v>45344.666666666599</v>
      </c>
      <c r="B1455" s="2" t="s">
        <v>57</v>
      </c>
      <c r="C1455" s="1">
        <v>6000</v>
      </c>
      <c r="D1455" s="1">
        <v>6025</v>
      </c>
      <c r="E1455" s="1">
        <v>5900</v>
      </c>
      <c r="F1455" s="1">
        <v>5950</v>
      </c>
      <c r="G1455" s="1">
        <v>37676100</v>
      </c>
      <c r="H1455" s="4">
        <f t="shared" si="48"/>
        <v>-8.3333333333333332E-3</v>
      </c>
      <c r="I1455" s="4">
        <f t="shared" si="49"/>
        <v>4.8458149779735685E-2</v>
      </c>
    </row>
    <row r="1456" spans="1:9" x14ac:dyDescent="0.2">
      <c r="A1456" s="2">
        <f ca="1">IFERROR(__xludf.DUMMYFUNCTION("""COMPUTED_VALUE"""),45345.6666666666)</f>
        <v>45345.666666666599</v>
      </c>
      <c r="B1456" s="2" t="s">
        <v>57</v>
      </c>
      <c r="C1456" s="1">
        <v>6000</v>
      </c>
      <c r="D1456" s="1">
        <v>6000</v>
      </c>
      <c r="E1456" s="1">
        <v>5825</v>
      </c>
      <c r="F1456" s="1">
        <v>5900</v>
      </c>
      <c r="G1456" s="1">
        <v>50216600</v>
      </c>
      <c r="H1456" s="4">
        <f t="shared" si="48"/>
        <v>-8.4033613445378148E-3</v>
      </c>
      <c r="I1456" s="4">
        <f t="shared" si="49"/>
        <v>3.9647577092511016E-2</v>
      </c>
    </row>
    <row r="1457" spans="1:9" x14ac:dyDescent="0.2">
      <c r="A1457" s="2">
        <f ca="1">IFERROR(__xludf.DUMMYFUNCTION("""COMPUTED_VALUE"""),45348.6666666666)</f>
        <v>45348.666666666599</v>
      </c>
      <c r="B1457" s="2" t="s">
        <v>57</v>
      </c>
      <c r="C1457" s="1">
        <v>5900</v>
      </c>
      <c r="D1457" s="1">
        <v>5925</v>
      </c>
      <c r="E1457" s="1">
        <v>5800</v>
      </c>
      <c r="F1457" s="1">
        <v>5900</v>
      </c>
      <c r="G1457" s="1">
        <v>27500000</v>
      </c>
      <c r="H1457" s="4">
        <f t="shared" si="48"/>
        <v>0</v>
      </c>
      <c r="I1457" s="4">
        <f t="shared" si="49"/>
        <v>3.9647577092511016E-2</v>
      </c>
    </row>
    <row r="1458" spans="1:9" x14ac:dyDescent="0.2">
      <c r="A1458" s="2">
        <f ca="1">IFERROR(__xludf.DUMMYFUNCTION("""COMPUTED_VALUE"""),45349.6666666666)</f>
        <v>45349.666666666599</v>
      </c>
      <c r="B1458" s="2" t="s">
        <v>57</v>
      </c>
      <c r="C1458" s="1">
        <v>5900</v>
      </c>
      <c r="D1458" s="1">
        <v>6000</v>
      </c>
      <c r="E1458" s="1">
        <v>5850</v>
      </c>
      <c r="F1458" s="1">
        <v>6000</v>
      </c>
      <c r="G1458" s="1">
        <v>38645200</v>
      </c>
      <c r="H1458" s="4">
        <f t="shared" si="48"/>
        <v>1.6949152542372881E-2</v>
      </c>
      <c r="I1458" s="4">
        <f t="shared" si="49"/>
        <v>5.7268722466960353E-2</v>
      </c>
    </row>
    <row r="1459" spans="1:9" x14ac:dyDescent="0.2">
      <c r="A1459" s="2">
        <f ca="1">IFERROR(__xludf.DUMMYFUNCTION("""COMPUTED_VALUE"""),45350.6666666666)</f>
        <v>45350.666666666599</v>
      </c>
      <c r="B1459" s="2" t="s">
        <v>57</v>
      </c>
      <c r="C1459" s="1">
        <v>5950</v>
      </c>
      <c r="D1459" s="1">
        <v>6000</v>
      </c>
      <c r="E1459" s="1">
        <v>5900</v>
      </c>
      <c r="F1459" s="1">
        <v>5975</v>
      </c>
      <c r="G1459" s="1">
        <v>27278600</v>
      </c>
      <c r="H1459" s="4">
        <f t="shared" si="48"/>
        <v>-4.1666666666666666E-3</v>
      </c>
      <c r="I1459" s="4">
        <f t="shared" si="49"/>
        <v>5.2863436123348019E-2</v>
      </c>
    </row>
    <row r="1460" spans="1:9" x14ac:dyDescent="0.2">
      <c r="A1460" s="2">
        <f ca="1">IFERROR(__xludf.DUMMYFUNCTION("""COMPUTED_VALUE"""),45351.6666666666)</f>
        <v>45351.666666666599</v>
      </c>
      <c r="B1460" s="2" t="s">
        <v>57</v>
      </c>
      <c r="C1460" s="1">
        <v>5975</v>
      </c>
      <c r="D1460" s="1">
        <v>6000</v>
      </c>
      <c r="E1460" s="1">
        <v>5900</v>
      </c>
      <c r="F1460" s="1">
        <v>6000</v>
      </c>
      <c r="G1460" s="1">
        <v>48736000</v>
      </c>
      <c r="H1460" s="4">
        <f t="shared" si="48"/>
        <v>4.1841004184100415E-3</v>
      </c>
      <c r="I1460" s="4">
        <f t="shared" si="49"/>
        <v>5.7268722466960353E-2</v>
      </c>
    </row>
    <row r="1461" spans="1:9" x14ac:dyDescent="0.2">
      <c r="A1461" s="2">
        <f ca="1">IFERROR(__xludf.DUMMYFUNCTION("""COMPUTED_VALUE"""),45352.6666666666)</f>
        <v>45352.666666666599</v>
      </c>
      <c r="B1461" s="2" t="s">
        <v>57</v>
      </c>
      <c r="C1461" s="1">
        <v>5925</v>
      </c>
      <c r="D1461" s="1">
        <v>5975</v>
      </c>
      <c r="E1461" s="1">
        <v>5825</v>
      </c>
      <c r="F1461" s="1">
        <v>5900</v>
      </c>
      <c r="G1461" s="1">
        <v>71774400</v>
      </c>
      <c r="H1461" s="4">
        <f t="shared" si="48"/>
        <v>-1.6666666666666666E-2</v>
      </c>
      <c r="I1461" s="4">
        <f t="shared" si="49"/>
        <v>3.9647577092511016E-2</v>
      </c>
    </row>
    <row r="1462" spans="1:9" x14ac:dyDescent="0.2">
      <c r="A1462" s="2">
        <f ca="1">IFERROR(__xludf.DUMMYFUNCTION("""COMPUTED_VALUE"""),45355.6666666666)</f>
        <v>45355.666666666599</v>
      </c>
      <c r="B1462" s="2" t="s">
        <v>57</v>
      </c>
      <c r="C1462" s="1">
        <v>5900</v>
      </c>
      <c r="D1462" s="1">
        <v>5925</v>
      </c>
      <c r="E1462" s="1">
        <v>5800</v>
      </c>
      <c r="F1462" s="1">
        <v>5875</v>
      </c>
      <c r="G1462" s="1">
        <v>35600700</v>
      </c>
      <c r="H1462" s="4">
        <f t="shared" si="48"/>
        <v>-4.2372881355932203E-3</v>
      </c>
      <c r="I1462" s="4">
        <f t="shared" si="49"/>
        <v>3.5242290748898682E-2</v>
      </c>
    </row>
    <row r="1463" spans="1:9" x14ac:dyDescent="0.2">
      <c r="A1463" s="2">
        <f ca="1">IFERROR(__xludf.DUMMYFUNCTION("""COMPUTED_VALUE"""),45356.6666666666)</f>
        <v>45356.666666666599</v>
      </c>
      <c r="B1463" s="2" t="s">
        <v>57</v>
      </c>
      <c r="C1463" s="1">
        <v>5875</v>
      </c>
      <c r="D1463" s="1">
        <v>5950</v>
      </c>
      <c r="E1463" s="1">
        <v>5850</v>
      </c>
      <c r="F1463" s="1">
        <v>5900</v>
      </c>
      <c r="G1463" s="1">
        <v>49795500</v>
      </c>
      <c r="H1463" s="4">
        <f t="shared" si="48"/>
        <v>4.2553191489361703E-3</v>
      </c>
      <c r="I1463" s="4">
        <f t="shared" si="49"/>
        <v>3.9647577092511016E-2</v>
      </c>
    </row>
    <row r="1464" spans="1:9" x14ac:dyDescent="0.2">
      <c r="A1464" s="2">
        <f ca="1">IFERROR(__xludf.DUMMYFUNCTION("""COMPUTED_VALUE"""),45357.6666666666)</f>
        <v>45357.666666666599</v>
      </c>
      <c r="B1464" s="2" t="s">
        <v>57</v>
      </c>
      <c r="C1464" s="1">
        <v>5900</v>
      </c>
      <c r="D1464" s="1">
        <v>5950</v>
      </c>
      <c r="E1464" s="1">
        <v>5875</v>
      </c>
      <c r="F1464" s="1">
        <v>5950</v>
      </c>
      <c r="G1464" s="1">
        <v>28923100</v>
      </c>
      <c r="H1464" s="4">
        <f t="shared" si="48"/>
        <v>8.4745762711864406E-3</v>
      </c>
      <c r="I1464" s="4">
        <f t="shared" si="49"/>
        <v>4.8458149779735685E-2</v>
      </c>
    </row>
    <row r="1465" spans="1:9" x14ac:dyDescent="0.2">
      <c r="A1465" s="2">
        <f ca="1">IFERROR(__xludf.DUMMYFUNCTION("""COMPUTED_VALUE"""),45358.6666666666)</f>
        <v>45358.666666666599</v>
      </c>
      <c r="B1465" s="2" t="s">
        <v>57</v>
      </c>
      <c r="C1465" s="1">
        <v>5975</v>
      </c>
      <c r="D1465" s="1">
        <v>6025</v>
      </c>
      <c r="E1465" s="1">
        <v>5950</v>
      </c>
      <c r="F1465" s="1">
        <v>5975</v>
      </c>
      <c r="G1465" s="1">
        <v>47464200</v>
      </c>
      <c r="H1465" s="4">
        <f t="shared" si="48"/>
        <v>4.2016806722689074E-3</v>
      </c>
      <c r="I1465" s="4">
        <f t="shared" si="49"/>
        <v>5.2863436123348019E-2</v>
      </c>
    </row>
    <row r="1466" spans="1:9" x14ac:dyDescent="0.2">
      <c r="A1466" s="2">
        <f ca="1">IFERROR(__xludf.DUMMYFUNCTION("""COMPUTED_VALUE"""),45359.6666666666)</f>
        <v>45359.666666666599</v>
      </c>
      <c r="B1466" s="2" t="s">
        <v>57</v>
      </c>
      <c r="C1466" s="1">
        <v>6000</v>
      </c>
      <c r="D1466" s="1">
        <v>6125</v>
      </c>
      <c r="E1466" s="1">
        <v>5975</v>
      </c>
      <c r="F1466" s="1">
        <v>6100</v>
      </c>
      <c r="G1466" s="1">
        <v>73185000</v>
      </c>
      <c r="H1466" s="4">
        <f t="shared" si="48"/>
        <v>2.0920502092050208E-2</v>
      </c>
      <c r="I1466" s="4">
        <f t="shared" si="49"/>
        <v>7.4889867841409691E-2</v>
      </c>
    </row>
    <row r="1467" spans="1:9" x14ac:dyDescent="0.2">
      <c r="A1467" s="2">
        <f ca="1">IFERROR(__xludf.DUMMYFUNCTION("""COMPUTED_VALUE"""),45364.6666666666)</f>
        <v>45364.666666666599</v>
      </c>
      <c r="B1467" s="2" t="s">
        <v>57</v>
      </c>
      <c r="C1467" s="1">
        <v>6100</v>
      </c>
      <c r="D1467" s="1">
        <v>6250</v>
      </c>
      <c r="E1467" s="1">
        <v>6100</v>
      </c>
      <c r="F1467" s="1">
        <v>6225</v>
      </c>
      <c r="G1467" s="1">
        <v>87861700</v>
      </c>
      <c r="H1467" s="4">
        <f t="shared" si="48"/>
        <v>2.0491803278688523E-2</v>
      </c>
      <c r="I1467" s="4">
        <f t="shared" si="49"/>
        <v>9.6916299559471369E-2</v>
      </c>
    </row>
    <row r="1468" spans="1:9" x14ac:dyDescent="0.2">
      <c r="A1468" s="2">
        <f ca="1">IFERROR(__xludf.DUMMYFUNCTION("""COMPUTED_VALUE"""),45365.6666666666)</f>
        <v>45365.666666666599</v>
      </c>
      <c r="B1468" s="2" t="s">
        <v>57</v>
      </c>
      <c r="C1468" s="1">
        <v>6225</v>
      </c>
      <c r="D1468" s="1">
        <v>6250</v>
      </c>
      <c r="E1468" s="1">
        <v>6075</v>
      </c>
      <c r="F1468" s="1">
        <v>6150</v>
      </c>
      <c r="G1468" s="1">
        <v>88145400</v>
      </c>
      <c r="H1468" s="4">
        <f t="shared" si="48"/>
        <v>-1.2048192771084338E-2</v>
      </c>
      <c r="I1468" s="4">
        <f t="shared" si="49"/>
        <v>8.3700440528634359E-2</v>
      </c>
    </row>
    <row r="1469" spans="1:9" x14ac:dyDescent="0.2">
      <c r="A1469" s="2">
        <f ca="1">IFERROR(__xludf.DUMMYFUNCTION("""COMPUTED_VALUE"""),45366.6666666666)</f>
        <v>45366.666666666599</v>
      </c>
      <c r="B1469" s="2" t="s">
        <v>57</v>
      </c>
      <c r="C1469" s="1">
        <v>5950</v>
      </c>
      <c r="D1469" s="1">
        <v>5950</v>
      </c>
      <c r="E1469" s="1">
        <v>5725</v>
      </c>
      <c r="F1469" s="1">
        <v>5800</v>
      </c>
      <c r="G1469" s="1">
        <v>144447600</v>
      </c>
      <c r="H1469" s="4">
        <f t="shared" si="48"/>
        <v>-5.6910569105691054E-2</v>
      </c>
      <c r="I1469" s="4">
        <f t="shared" si="49"/>
        <v>2.2026431718061675E-2</v>
      </c>
    </row>
    <row r="1470" spans="1:9" x14ac:dyDescent="0.2">
      <c r="A1470" s="2">
        <f ca="1">IFERROR(__xludf.DUMMYFUNCTION("""COMPUTED_VALUE"""),45369.6666666666)</f>
        <v>45369.666666666599</v>
      </c>
      <c r="B1470" s="2" t="s">
        <v>57</v>
      </c>
      <c r="C1470" s="1">
        <v>5825</v>
      </c>
      <c r="D1470" s="1">
        <v>5900</v>
      </c>
      <c r="E1470" s="1">
        <v>5800</v>
      </c>
      <c r="F1470" s="1">
        <v>5800</v>
      </c>
      <c r="G1470" s="1">
        <v>48979300</v>
      </c>
      <c r="H1470" s="4">
        <f t="shared" si="48"/>
        <v>0</v>
      </c>
      <c r="I1470" s="4">
        <f t="shared" si="49"/>
        <v>2.2026431718061675E-2</v>
      </c>
    </row>
    <row r="1471" spans="1:9" x14ac:dyDescent="0.2">
      <c r="A1471" s="2">
        <f ca="1">IFERROR(__xludf.DUMMYFUNCTION("""COMPUTED_VALUE"""),45370.6666666666)</f>
        <v>45370.666666666599</v>
      </c>
      <c r="B1471" s="2" t="s">
        <v>57</v>
      </c>
      <c r="C1471" s="1">
        <v>5800</v>
      </c>
      <c r="D1471" s="1">
        <v>5875</v>
      </c>
      <c r="E1471" s="1">
        <v>5800</v>
      </c>
      <c r="F1471" s="1">
        <v>5850</v>
      </c>
      <c r="G1471" s="1">
        <v>34162200</v>
      </c>
      <c r="H1471" s="4">
        <f t="shared" si="48"/>
        <v>8.6206896551724137E-3</v>
      </c>
      <c r="I1471" s="4">
        <f t="shared" si="49"/>
        <v>3.0837004405286344E-2</v>
      </c>
    </row>
    <row r="1472" spans="1:9" x14ac:dyDescent="0.2">
      <c r="A1472" s="2">
        <f ca="1">IFERROR(__xludf.DUMMYFUNCTION("""COMPUTED_VALUE"""),45371.6666666666)</f>
        <v>45371.666666666599</v>
      </c>
      <c r="B1472" s="2" t="s">
        <v>57</v>
      </c>
      <c r="C1472" s="1">
        <v>5850</v>
      </c>
      <c r="D1472" s="1">
        <v>5900</v>
      </c>
      <c r="E1472" s="1">
        <v>5850</v>
      </c>
      <c r="F1472" s="1">
        <v>5875</v>
      </c>
      <c r="G1472" s="1">
        <v>32725900</v>
      </c>
      <c r="H1472" s="4">
        <f t="shared" si="48"/>
        <v>4.2735042735042739E-3</v>
      </c>
      <c r="I1472" s="4">
        <f t="shared" si="49"/>
        <v>3.5242290748898682E-2</v>
      </c>
    </row>
    <row r="1473" spans="1:9" x14ac:dyDescent="0.2">
      <c r="A1473" s="2">
        <f ca="1">IFERROR(__xludf.DUMMYFUNCTION("""COMPUTED_VALUE"""),45372.6666666666)</f>
        <v>45372.666666666599</v>
      </c>
      <c r="B1473" s="2" t="s">
        <v>57</v>
      </c>
      <c r="C1473" s="1">
        <v>5900</v>
      </c>
      <c r="D1473" s="1">
        <v>5925</v>
      </c>
      <c r="E1473" s="1">
        <v>5800</v>
      </c>
      <c r="F1473" s="1">
        <v>5800</v>
      </c>
      <c r="G1473" s="1">
        <v>50976000</v>
      </c>
      <c r="H1473" s="4">
        <f t="shared" si="48"/>
        <v>-1.276595744680851E-2</v>
      </c>
      <c r="I1473" s="4">
        <f t="shared" si="49"/>
        <v>2.2026431718061675E-2</v>
      </c>
    </row>
    <row r="1474" spans="1:9" x14ac:dyDescent="0.2">
      <c r="A1474" s="2">
        <f ca="1">IFERROR(__xludf.DUMMYFUNCTION("""COMPUTED_VALUE"""),45373.6666666666)</f>
        <v>45373.666666666599</v>
      </c>
      <c r="B1474" s="2" t="s">
        <v>57</v>
      </c>
      <c r="C1474" s="1">
        <v>5850</v>
      </c>
      <c r="D1474" s="1">
        <v>5875</v>
      </c>
      <c r="E1474" s="1">
        <v>5800</v>
      </c>
      <c r="F1474" s="1">
        <v>5850</v>
      </c>
      <c r="G1474" s="1">
        <v>29927600</v>
      </c>
      <c r="H1474" s="4">
        <f t="shared" si="48"/>
        <v>8.6206896551724137E-3</v>
      </c>
      <c r="I1474" s="4">
        <f t="shared" si="49"/>
        <v>3.0837004405286344E-2</v>
      </c>
    </row>
    <row r="1475" spans="1:9" x14ac:dyDescent="0.2">
      <c r="A1475" s="2">
        <f ca="1">IFERROR(__xludf.DUMMYFUNCTION("""COMPUTED_VALUE"""),45376.6666666666)</f>
        <v>45376.666666666599</v>
      </c>
      <c r="B1475" s="2" t="s">
        <v>57</v>
      </c>
      <c r="C1475" s="1">
        <v>5925</v>
      </c>
      <c r="D1475" s="1">
        <v>5925</v>
      </c>
      <c r="E1475" s="1">
        <v>5825</v>
      </c>
      <c r="F1475" s="1">
        <v>5925</v>
      </c>
      <c r="G1475" s="1">
        <v>43514000</v>
      </c>
      <c r="H1475" s="4">
        <f t="shared" si="48"/>
        <v>1.282051282051282E-2</v>
      </c>
      <c r="I1475" s="4">
        <f t="shared" si="49"/>
        <v>4.405286343612335E-2</v>
      </c>
    </row>
    <row r="1476" spans="1:9" x14ac:dyDescent="0.2">
      <c r="A1476" s="2">
        <f ca="1">IFERROR(__xludf.DUMMYFUNCTION("""COMPUTED_VALUE"""),45377.6666666666)</f>
        <v>45377.666666666599</v>
      </c>
      <c r="B1476" s="2" t="s">
        <v>57</v>
      </c>
      <c r="C1476" s="1">
        <v>5950</v>
      </c>
      <c r="D1476" s="1">
        <v>5950</v>
      </c>
      <c r="E1476" s="1">
        <v>5850</v>
      </c>
      <c r="F1476" s="1">
        <v>5950</v>
      </c>
      <c r="G1476" s="1">
        <v>29383900</v>
      </c>
      <c r="H1476" s="4">
        <f t="shared" si="48"/>
        <v>4.2194092827004216E-3</v>
      </c>
      <c r="I1476" s="4">
        <f t="shared" si="49"/>
        <v>4.8458149779735685E-2</v>
      </c>
    </row>
    <row r="1477" spans="1:9" x14ac:dyDescent="0.2">
      <c r="A1477" s="2">
        <f ca="1">IFERROR(__xludf.DUMMYFUNCTION("""COMPUTED_VALUE"""),45378.6666666666)</f>
        <v>45378.666666666599</v>
      </c>
      <c r="B1477" s="2" t="s">
        <v>57</v>
      </c>
      <c r="C1477" s="1">
        <v>5950</v>
      </c>
      <c r="D1477" s="1">
        <v>5975</v>
      </c>
      <c r="E1477" s="1">
        <v>5900</v>
      </c>
      <c r="F1477" s="1">
        <v>5925</v>
      </c>
      <c r="G1477" s="1">
        <v>19643200</v>
      </c>
      <c r="H1477" s="4">
        <f t="shared" si="48"/>
        <v>-4.2016806722689074E-3</v>
      </c>
      <c r="I1477" s="4">
        <f t="shared" si="49"/>
        <v>4.405286343612335E-2</v>
      </c>
    </row>
    <row r="1478" spans="1:9" x14ac:dyDescent="0.2">
      <c r="A1478" s="2">
        <f ca="1">IFERROR(__xludf.DUMMYFUNCTION("""COMPUTED_VALUE"""),45379.6666666666)</f>
        <v>45379.666666666599</v>
      </c>
      <c r="B1478" s="2" t="s">
        <v>57</v>
      </c>
      <c r="C1478" s="1">
        <v>5950</v>
      </c>
      <c r="D1478" s="1">
        <v>5950</v>
      </c>
      <c r="E1478" s="1">
        <v>5850</v>
      </c>
      <c r="F1478" s="1">
        <v>5900</v>
      </c>
      <c r="G1478" s="1">
        <v>40077400</v>
      </c>
      <c r="H1478" s="4">
        <f t="shared" si="48"/>
        <v>-4.2194092827004216E-3</v>
      </c>
      <c r="I1478" s="4">
        <f t="shared" si="49"/>
        <v>3.9647577092511016E-2</v>
      </c>
    </row>
    <row r="1479" spans="1:9" x14ac:dyDescent="0.2">
      <c r="A1479" s="2">
        <f ca="1">IFERROR(__xludf.DUMMYFUNCTION("""COMPUTED_VALUE"""),45383.6666666666)</f>
        <v>45383.666666666599</v>
      </c>
      <c r="B1479" s="2" t="s">
        <v>57</v>
      </c>
      <c r="C1479" s="1">
        <v>5900</v>
      </c>
      <c r="D1479" s="1">
        <v>5900</v>
      </c>
      <c r="E1479" s="1">
        <v>5550</v>
      </c>
      <c r="F1479" s="1">
        <v>5650</v>
      </c>
      <c r="G1479" s="1">
        <v>100174400</v>
      </c>
      <c r="H1479" s="4">
        <f t="shared" si="48"/>
        <v>-4.2372881355932202E-2</v>
      </c>
      <c r="I1479" s="4">
        <f t="shared" si="49"/>
        <v>-4.4052863436123352E-3</v>
      </c>
    </row>
    <row r="1480" spans="1:9" x14ac:dyDescent="0.2">
      <c r="A1480" s="2">
        <f ca="1">IFERROR(__xludf.DUMMYFUNCTION("""COMPUTED_VALUE"""),45384.6666666666)</f>
        <v>45384.666666666599</v>
      </c>
      <c r="B1480" s="2" t="s">
        <v>57</v>
      </c>
      <c r="C1480" s="1">
        <v>5625</v>
      </c>
      <c r="D1480" s="1">
        <v>5625</v>
      </c>
      <c r="E1480" s="1">
        <v>5425</v>
      </c>
      <c r="F1480" s="1">
        <v>5475</v>
      </c>
      <c r="G1480" s="1">
        <v>121164600</v>
      </c>
      <c r="H1480" s="4">
        <f t="shared" si="48"/>
        <v>-3.0973451327433628E-2</v>
      </c>
      <c r="I1480" s="4">
        <f t="shared" si="49"/>
        <v>-3.5242290748898682E-2</v>
      </c>
    </row>
    <row r="1481" spans="1:9" x14ac:dyDescent="0.2">
      <c r="A1481" s="2">
        <f ca="1">IFERROR(__xludf.DUMMYFUNCTION("""COMPUTED_VALUE"""),45385.6666666666)</f>
        <v>45385.666666666599</v>
      </c>
      <c r="B1481" s="2" t="s">
        <v>57</v>
      </c>
      <c r="C1481" s="1">
        <v>5450</v>
      </c>
      <c r="D1481" s="1">
        <v>5525</v>
      </c>
      <c r="E1481" s="1">
        <v>5225</v>
      </c>
      <c r="F1481" s="1">
        <v>5325</v>
      </c>
      <c r="G1481" s="1">
        <v>126994500</v>
      </c>
      <c r="H1481" s="4">
        <f t="shared" si="48"/>
        <v>-2.7397260273972601E-2</v>
      </c>
      <c r="I1481" s="4">
        <f t="shared" si="49"/>
        <v>-6.1674008810572688E-2</v>
      </c>
    </row>
    <row r="1482" spans="1:9" x14ac:dyDescent="0.2">
      <c r="A1482" s="2">
        <f ca="1">IFERROR(__xludf.DUMMYFUNCTION("""COMPUTED_VALUE"""),45386.6666666666)</f>
        <v>45386.666666666599</v>
      </c>
      <c r="B1482" s="2" t="s">
        <v>57</v>
      </c>
      <c r="C1482" s="1">
        <v>5250</v>
      </c>
      <c r="D1482" s="1">
        <v>5375</v>
      </c>
      <c r="E1482" s="1">
        <v>5250</v>
      </c>
      <c r="F1482" s="1">
        <v>5350</v>
      </c>
      <c r="G1482" s="1">
        <v>163113100</v>
      </c>
      <c r="H1482" s="4">
        <f t="shared" si="48"/>
        <v>4.6948356807511738E-3</v>
      </c>
      <c r="I1482" s="4">
        <f t="shared" si="49"/>
        <v>-5.7268722466960353E-2</v>
      </c>
    </row>
    <row r="1483" spans="1:9" x14ac:dyDescent="0.2">
      <c r="A1483" s="2">
        <f ca="1">IFERROR(__xludf.DUMMYFUNCTION("""COMPUTED_VALUE"""),45387.6666666666)</f>
        <v>45387.666666666599</v>
      </c>
      <c r="B1483" s="2" t="s">
        <v>57</v>
      </c>
      <c r="C1483" s="1">
        <v>5325</v>
      </c>
      <c r="D1483" s="1">
        <v>5375</v>
      </c>
      <c r="E1483" s="1">
        <v>5300</v>
      </c>
      <c r="F1483" s="1">
        <v>5300</v>
      </c>
      <c r="G1483" s="1">
        <v>36818200</v>
      </c>
      <c r="H1483" s="4">
        <f t="shared" si="48"/>
        <v>-9.3457943925233638E-3</v>
      </c>
      <c r="I1483" s="4">
        <f t="shared" si="49"/>
        <v>-6.6079295154185022E-2</v>
      </c>
    </row>
    <row r="1484" spans="1:9" x14ac:dyDescent="0.2">
      <c r="A1484" s="2">
        <f ca="1">IFERROR(__xludf.DUMMYFUNCTION("""COMPUTED_VALUE"""),45398.6666666666)</f>
        <v>45398.666666666599</v>
      </c>
      <c r="B1484" s="2" t="s">
        <v>57</v>
      </c>
      <c r="C1484" s="1">
        <v>5075</v>
      </c>
      <c r="D1484" s="1">
        <v>5300</v>
      </c>
      <c r="E1484" s="1">
        <v>5050</v>
      </c>
      <c r="F1484" s="1">
        <v>5200</v>
      </c>
      <c r="G1484" s="1">
        <v>164123600</v>
      </c>
      <c r="H1484" s="4">
        <f t="shared" si="48"/>
        <v>-1.8867924528301886E-2</v>
      </c>
      <c r="I1484" s="4">
        <f t="shared" si="49"/>
        <v>-8.3700440528634359E-2</v>
      </c>
    </row>
    <row r="1485" spans="1:9" x14ac:dyDescent="0.2">
      <c r="A1485" s="2">
        <f ca="1">IFERROR(__xludf.DUMMYFUNCTION("""COMPUTED_VALUE"""),45399.6666666666)</f>
        <v>45399.666666666599</v>
      </c>
      <c r="B1485" s="2" t="s">
        <v>57</v>
      </c>
      <c r="C1485" s="1">
        <v>5250</v>
      </c>
      <c r="D1485" s="1">
        <v>5350</v>
      </c>
      <c r="E1485" s="1">
        <v>5250</v>
      </c>
      <c r="F1485" s="1">
        <v>5250</v>
      </c>
      <c r="G1485" s="1">
        <v>68948000</v>
      </c>
      <c r="H1485" s="4">
        <f t="shared" si="48"/>
        <v>9.6153846153846159E-3</v>
      </c>
      <c r="I1485" s="4">
        <f t="shared" si="49"/>
        <v>-7.4889867841409691E-2</v>
      </c>
    </row>
    <row r="1486" spans="1:9" x14ac:dyDescent="0.2">
      <c r="A1486" s="2">
        <f ca="1">IFERROR(__xludf.DUMMYFUNCTION("""COMPUTED_VALUE"""),45400.6666666666)</f>
        <v>45400.666666666599</v>
      </c>
      <c r="B1486" s="2" t="s">
        <v>57</v>
      </c>
      <c r="C1486" s="1">
        <v>5250</v>
      </c>
      <c r="D1486" s="1">
        <v>5350</v>
      </c>
      <c r="E1486" s="1">
        <v>5250</v>
      </c>
      <c r="F1486" s="1">
        <v>5300</v>
      </c>
      <c r="G1486" s="1">
        <v>57785900</v>
      </c>
      <c r="H1486" s="4">
        <f t="shared" si="48"/>
        <v>9.5238095238095247E-3</v>
      </c>
      <c r="I1486" s="4">
        <f t="shared" si="49"/>
        <v>-6.6079295154185022E-2</v>
      </c>
    </row>
    <row r="1487" spans="1:9" x14ac:dyDescent="0.2">
      <c r="A1487" s="2">
        <f ca="1">IFERROR(__xludf.DUMMYFUNCTION("""COMPUTED_VALUE"""),45401.6666666666)</f>
        <v>45401.666666666599</v>
      </c>
      <c r="B1487" s="2" t="s">
        <v>57</v>
      </c>
      <c r="C1487" s="1">
        <v>5250</v>
      </c>
      <c r="D1487" s="1">
        <v>5275</v>
      </c>
      <c r="E1487" s="1">
        <v>5175</v>
      </c>
      <c r="F1487" s="1">
        <v>5225</v>
      </c>
      <c r="G1487" s="1">
        <v>52519300</v>
      </c>
      <c r="H1487" s="4">
        <f t="shared" ref="H1487:H1550" si="50">(F1487-F1486)/F1486</f>
        <v>-1.4150943396226415E-2</v>
      </c>
      <c r="I1487" s="4">
        <f t="shared" ref="I1487:I1550" si="51">(F1487-$F$2)/$F$2</f>
        <v>-7.9295154185022032E-2</v>
      </c>
    </row>
    <row r="1488" spans="1:9" x14ac:dyDescent="0.2">
      <c r="A1488" s="2">
        <f ca="1">IFERROR(__xludf.DUMMYFUNCTION("""COMPUTED_VALUE"""),45404.6666666666)</f>
        <v>45404.666666666599</v>
      </c>
      <c r="B1488" s="2" t="s">
        <v>57</v>
      </c>
      <c r="C1488" s="1">
        <v>5250</v>
      </c>
      <c r="D1488" s="1">
        <v>5350</v>
      </c>
      <c r="E1488" s="1">
        <v>5150</v>
      </c>
      <c r="F1488" s="1">
        <v>5350</v>
      </c>
      <c r="G1488" s="1">
        <v>62509300</v>
      </c>
      <c r="H1488" s="4">
        <f t="shared" si="50"/>
        <v>2.3923444976076555E-2</v>
      </c>
      <c r="I1488" s="4">
        <f t="shared" si="51"/>
        <v>-5.7268722466960353E-2</v>
      </c>
    </row>
    <row r="1489" spans="1:9" x14ac:dyDescent="0.2">
      <c r="A1489" s="2">
        <f ca="1">IFERROR(__xludf.DUMMYFUNCTION("""COMPUTED_VALUE"""),45405.6666666666)</f>
        <v>45405.666666666599</v>
      </c>
      <c r="B1489" s="2" t="s">
        <v>57</v>
      </c>
      <c r="C1489" s="1">
        <v>5375</v>
      </c>
      <c r="D1489" s="1">
        <v>5425</v>
      </c>
      <c r="E1489" s="1">
        <v>5250</v>
      </c>
      <c r="F1489" s="1">
        <v>5250</v>
      </c>
      <c r="G1489" s="1">
        <v>45322700</v>
      </c>
      <c r="H1489" s="4">
        <f t="shared" si="50"/>
        <v>-1.8691588785046728E-2</v>
      </c>
      <c r="I1489" s="4">
        <f t="shared" si="51"/>
        <v>-7.4889867841409691E-2</v>
      </c>
    </row>
    <row r="1490" spans="1:9" x14ac:dyDescent="0.2">
      <c r="A1490" s="2">
        <f ca="1">IFERROR(__xludf.DUMMYFUNCTION("""COMPUTED_VALUE"""),45406.6666666666)</f>
        <v>45406.666666666599</v>
      </c>
      <c r="B1490" s="2" t="s">
        <v>57</v>
      </c>
      <c r="C1490" s="1">
        <v>5300</v>
      </c>
      <c r="D1490" s="1">
        <v>5350</v>
      </c>
      <c r="E1490" s="1">
        <v>5200</v>
      </c>
      <c r="F1490" s="1">
        <v>5300</v>
      </c>
      <c r="G1490" s="1">
        <v>44771200</v>
      </c>
      <c r="H1490" s="4">
        <f t="shared" si="50"/>
        <v>9.5238095238095247E-3</v>
      </c>
      <c r="I1490" s="4">
        <f t="shared" si="51"/>
        <v>-6.6079295154185022E-2</v>
      </c>
    </row>
    <row r="1491" spans="1:9" x14ac:dyDescent="0.2">
      <c r="A1491" s="2">
        <f ca="1">IFERROR(__xludf.DUMMYFUNCTION("""COMPUTED_VALUE"""),45407.6666666666)</f>
        <v>45407.666666666599</v>
      </c>
      <c r="B1491" s="2" t="s">
        <v>57</v>
      </c>
      <c r="C1491" s="1">
        <v>5300</v>
      </c>
      <c r="D1491" s="1">
        <v>5325</v>
      </c>
      <c r="E1491" s="1">
        <v>5225</v>
      </c>
      <c r="F1491" s="1">
        <v>5300</v>
      </c>
      <c r="G1491" s="1">
        <v>35922300</v>
      </c>
      <c r="H1491" s="4">
        <f t="shared" si="50"/>
        <v>0</v>
      </c>
      <c r="I1491" s="4">
        <f t="shared" si="51"/>
        <v>-6.6079295154185022E-2</v>
      </c>
    </row>
    <row r="1492" spans="1:9" x14ac:dyDescent="0.2">
      <c r="A1492" s="2">
        <f ca="1">IFERROR(__xludf.DUMMYFUNCTION("""COMPUTED_VALUE"""),45408.6666666666)</f>
        <v>45408.666666666599</v>
      </c>
      <c r="B1492" s="2" t="s">
        <v>57</v>
      </c>
      <c r="C1492" s="1">
        <v>5200</v>
      </c>
      <c r="D1492" s="1">
        <v>5275</v>
      </c>
      <c r="E1492" s="1">
        <v>5100</v>
      </c>
      <c r="F1492" s="1">
        <v>5150</v>
      </c>
      <c r="G1492" s="1">
        <v>80482400</v>
      </c>
      <c r="H1492" s="4">
        <f t="shared" si="50"/>
        <v>-2.8301886792452831E-2</v>
      </c>
      <c r="I1492" s="4">
        <f t="shared" si="51"/>
        <v>-9.2511013215859028E-2</v>
      </c>
    </row>
    <row r="1493" spans="1:9" x14ac:dyDescent="0.2">
      <c r="A1493" s="2">
        <f ca="1">IFERROR(__xludf.DUMMYFUNCTION("""COMPUTED_VALUE"""),45411.6666666666)</f>
        <v>45411.666666666599</v>
      </c>
      <c r="B1493" s="2" t="s">
        <v>57</v>
      </c>
      <c r="C1493" s="1">
        <v>5125</v>
      </c>
      <c r="D1493" s="1">
        <v>5225</v>
      </c>
      <c r="E1493" s="1">
        <v>5050</v>
      </c>
      <c r="F1493" s="1">
        <v>5225</v>
      </c>
      <c r="G1493" s="1">
        <v>41068600</v>
      </c>
      <c r="H1493" s="4">
        <f t="shared" si="50"/>
        <v>1.4563106796116505E-2</v>
      </c>
      <c r="I1493" s="4">
        <f t="shared" si="51"/>
        <v>-7.9295154185022032E-2</v>
      </c>
    </row>
    <row r="1494" spans="1:9" x14ac:dyDescent="0.2">
      <c r="A1494" s="2">
        <f ca="1">IFERROR(__xludf.DUMMYFUNCTION("""COMPUTED_VALUE"""),45412.6666666666)</f>
        <v>45412.666666666599</v>
      </c>
      <c r="B1494" s="2" t="s">
        <v>57</v>
      </c>
      <c r="C1494" s="1">
        <v>5325</v>
      </c>
      <c r="D1494" s="1">
        <v>5350</v>
      </c>
      <c r="E1494" s="1">
        <v>5225</v>
      </c>
      <c r="F1494" s="1">
        <v>5250</v>
      </c>
      <c r="G1494" s="1">
        <v>73658500</v>
      </c>
      <c r="H1494" s="4">
        <f t="shared" si="50"/>
        <v>4.7846889952153108E-3</v>
      </c>
      <c r="I1494" s="4">
        <f t="shared" si="51"/>
        <v>-7.4889867841409691E-2</v>
      </c>
    </row>
    <row r="1495" spans="1:9" x14ac:dyDescent="0.2">
      <c r="A1495" s="2">
        <f ca="1">IFERROR(__xludf.DUMMYFUNCTION("""COMPUTED_VALUE"""),45414.6666666666)</f>
        <v>45414.666666666599</v>
      </c>
      <c r="B1495" s="2" t="s">
        <v>57</v>
      </c>
      <c r="C1495" s="1">
        <v>5200</v>
      </c>
      <c r="D1495" s="1">
        <v>5250</v>
      </c>
      <c r="E1495" s="1">
        <v>4810</v>
      </c>
      <c r="F1495" s="1">
        <v>4830</v>
      </c>
      <c r="G1495" s="1">
        <v>183458300</v>
      </c>
      <c r="H1495" s="4">
        <f t="shared" si="50"/>
        <v>-0.08</v>
      </c>
      <c r="I1495" s="4">
        <f t="shared" si="51"/>
        <v>-0.14889867841409693</v>
      </c>
    </row>
    <row r="1496" spans="1:9" x14ac:dyDescent="0.2">
      <c r="A1496" s="2">
        <f ca="1">IFERROR(__xludf.DUMMYFUNCTION("""COMPUTED_VALUE"""),45415.6666666666)</f>
        <v>45415.666666666599</v>
      </c>
      <c r="B1496" s="2" t="s">
        <v>57</v>
      </c>
      <c r="C1496" s="1">
        <v>4850</v>
      </c>
      <c r="D1496" s="1">
        <v>4880</v>
      </c>
      <c r="E1496" s="1">
        <v>4750</v>
      </c>
      <c r="F1496" s="1">
        <v>4830</v>
      </c>
      <c r="G1496" s="1">
        <v>89058400</v>
      </c>
      <c r="H1496" s="4">
        <f t="shared" si="50"/>
        <v>0</v>
      </c>
      <c r="I1496" s="4">
        <f t="shared" si="51"/>
        <v>-0.14889867841409693</v>
      </c>
    </row>
    <row r="1497" spans="1:9" x14ac:dyDescent="0.2">
      <c r="A1497" s="2">
        <f ca="1">IFERROR(__xludf.DUMMYFUNCTION("""COMPUTED_VALUE"""),45418.6666666666)</f>
        <v>45418.666666666599</v>
      </c>
      <c r="B1497" s="2" t="s">
        <v>57</v>
      </c>
      <c r="C1497" s="1">
        <v>4880</v>
      </c>
      <c r="D1497" s="1">
        <v>4890</v>
      </c>
      <c r="E1497" s="1">
        <v>4800</v>
      </c>
      <c r="F1497" s="1">
        <v>4810</v>
      </c>
      <c r="G1497" s="1">
        <v>81862000</v>
      </c>
      <c r="H1497" s="4">
        <f t="shared" si="50"/>
        <v>-4.140786749482402E-3</v>
      </c>
      <c r="I1497" s="4">
        <f t="shared" si="51"/>
        <v>-0.15242290748898679</v>
      </c>
    </row>
    <row r="1498" spans="1:9" x14ac:dyDescent="0.2">
      <c r="A1498" s="2">
        <f ca="1">IFERROR(__xludf.DUMMYFUNCTION("""COMPUTED_VALUE"""),45419.6666666666)</f>
        <v>45419.666666666599</v>
      </c>
      <c r="B1498" s="2" t="s">
        <v>57</v>
      </c>
      <c r="C1498" s="1">
        <v>4790</v>
      </c>
      <c r="D1498" s="1">
        <v>4810</v>
      </c>
      <c r="E1498" s="1">
        <v>4680</v>
      </c>
      <c r="F1498" s="1">
        <v>4700</v>
      </c>
      <c r="G1498" s="1">
        <v>82580800</v>
      </c>
      <c r="H1498" s="4">
        <f t="shared" si="50"/>
        <v>-2.286902286902287E-2</v>
      </c>
      <c r="I1498" s="4">
        <f t="shared" si="51"/>
        <v>-0.17180616740088106</v>
      </c>
    </row>
    <row r="1499" spans="1:9" x14ac:dyDescent="0.2">
      <c r="A1499" s="2">
        <f ca="1">IFERROR(__xludf.DUMMYFUNCTION("""COMPUTED_VALUE"""),45420.6666666666)</f>
        <v>45420.666666666599</v>
      </c>
      <c r="B1499" s="2" t="s">
        <v>57</v>
      </c>
      <c r="C1499" s="1">
        <v>4680</v>
      </c>
      <c r="D1499" s="1">
        <v>4770</v>
      </c>
      <c r="E1499" s="1">
        <v>4620</v>
      </c>
      <c r="F1499" s="1">
        <v>4670</v>
      </c>
      <c r="G1499" s="1">
        <v>58548300</v>
      </c>
      <c r="H1499" s="4">
        <f t="shared" si="50"/>
        <v>-6.382978723404255E-3</v>
      </c>
      <c r="I1499" s="4">
        <f t="shared" si="51"/>
        <v>-0.17709251101321585</v>
      </c>
    </row>
    <row r="1500" spans="1:9" x14ac:dyDescent="0.2">
      <c r="A1500" s="2">
        <f ca="1">IFERROR(__xludf.DUMMYFUNCTION("""COMPUTED_VALUE"""),45425.6666666666)</f>
        <v>45425.666666666599</v>
      </c>
      <c r="B1500" s="2" t="s">
        <v>57</v>
      </c>
      <c r="C1500" s="1">
        <v>4600</v>
      </c>
      <c r="D1500" s="1">
        <v>4780</v>
      </c>
      <c r="E1500" s="1">
        <v>4600</v>
      </c>
      <c r="F1500" s="1">
        <v>4780</v>
      </c>
      <c r="G1500" s="1">
        <v>54329600</v>
      </c>
      <c r="H1500" s="4">
        <f t="shared" si="50"/>
        <v>2.3554603854389723E-2</v>
      </c>
      <c r="I1500" s="4">
        <f t="shared" si="51"/>
        <v>-0.15770925110132158</v>
      </c>
    </row>
    <row r="1501" spans="1:9" x14ac:dyDescent="0.2">
      <c r="A1501" s="2">
        <f ca="1">IFERROR(__xludf.DUMMYFUNCTION("""COMPUTED_VALUE"""),45426.6666666666)</f>
        <v>45426.666666666599</v>
      </c>
      <c r="B1501" s="2" t="s">
        <v>57</v>
      </c>
      <c r="C1501" s="1">
        <v>4790</v>
      </c>
      <c r="D1501" s="1">
        <v>4940</v>
      </c>
      <c r="E1501" s="1">
        <v>4780</v>
      </c>
      <c r="F1501" s="1">
        <v>4930</v>
      </c>
      <c r="G1501" s="1">
        <v>70014900</v>
      </c>
      <c r="H1501" s="4">
        <f t="shared" si="50"/>
        <v>3.1380753138075312E-2</v>
      </c>
      <c r="I1501" s="4">
        <f t="shared" si="51"/>
        <v>-0.13127753303964756</v>
      </c>
    </row>
    <row r="1502" spans="1:9" x14ac:dyDescent="0.2">
      <c r="A1502" s="2">
        <f ca="1">IFERROR(__xludf.DUMMYFUNCTION("""COMPUTED_VALUE"""),45427.6666666666)</f>
        <v>45427.666666666599</v>
      </c>
      <c r="B1502" s="2" t="s">
        <v>57</v>
      </c>
      <c r="C1502" s="1">
        <v>4880</v>
      </c>
      <c r="D1502" s="1">
        <v>5100</v>
      </c>
      <c r="E1502" s="1">
        <v>4850</v>
      </c>
      <c r="F1502" s="1">
        <v>5025</v>
      </c>
      <c r="G1502" s="1">
        <v>85730700</v>
      </c>
      <c r="H1502" s="4">
        <f t="shared" si="50"/>
        <v>1.9269776876267748E-2</v>
      </c>
      <c r="I1502" s="4">
        <f t="shared" si="51"/>
        <v>-0.11453744493392071</v>
      </c>
    </row>
    <row r="1503" spans="1:9" x14ac:dyDescent="0.2">
      <c r="A1503" s="2">
        <f ca="1">IFERROR(__xludf.DUMMYFUNCTION("""COMPUTED_VALUE"""),45428.6666666666)</f>
        <v>45428.666666666599</v>
      </c>
      <c r="B1503" s="2" t="s">
        <v>57</v>
      </c>
      <c r="C1503" s="1">
        <v>5125</v>
      </c>
      <c r="D1503" s="1">
        <v>5275</v>
      </c>
      <c r="E1503" s="1">
        <v>5100</v>
      </c>
      <c r="F1503" s="1">
        <v>5200</v>
      </c>
      <c r="G1503" s="1">
        <v>118382400</v>
      </c>
      <c r="H1503" s="4">
        <f t="shared" si="50"/>
        <v>3.482587064676617E-2</v>
      </c>
      <c r="I1503" s="4">
        <f t="shared" si="51"/>
        <v>-8.3700440528634359E-2</v>
      </c>
    </row>
    <row r="1504" spans="1:9" x14ac:dyDescent="0.2">
      <c r="A1504" s="2">
        <f ca="1">IFERROR(__xludf.DUMMYFUNCTION("""COMPUTED_VALUE"""),45429.6666666666)</f>
        <v>45429.666666666599</v>
      </c>
      <c r="B1504" s="2" t="s">
        <v>57</v>
      </c>
      <c r="C1504" s="1">
        <v>5200</v>
      </c>
      <c r="D1504" s="1">
        <v>5275</v>
      </c>
      <c r="E1504" s="1">
        <v>5125</v>
      </c>
      <c r="F1504" s="1">
        <v>5175</v>
      </c>
      <c r="G1504" s="1">
        <v>67679700</v>
      </c>
      <c r="H1504" s="4">
        <f t="shared" si="50"/>
        <v>-4.807692307692308E-3</v>
      </c>
      <c r="I1504" s="4">
        <f t="shared" si="51"/>
        <v>-8.8105726872246701E-2</v>
      </c>
    </row>
    <row r="1505" spans="1:9" x14ac:dyDescent="0.2">
      <c r="A1505" s="2">
        <f ca="1">IFERROR(__xludf.DUMMYFUNCTION("""COMPUTED_VALUE"""),45432.6666666666)</f>
        <v>45432.666666666599</v>
      </c>
      <c r="B1505" s="2" t="s">
        <v>57</v>
      </c>
      <c r="C1505" s="1">
        <v>5200</v>
      </c>
      <c r="D1505" s="1">
        <v>5250</v>
      </c>
      <c r="E1505" s="1">
        <v>4950</v>
      </c>
      <c r="F1505" s="1">
        <v>4980</v>
      </c>
      <c r="G1505" s="1">
        <v>76605300</v>
      </c>
      <c r="H1505" s="4">
        <f t="shared" si="50"/>
        <v>-3.7681159420289857E-2</v>
      </c>
      <c r="I1505" s="4">
        <f t="shared" si="51"/>
        <v>-0.12246696035242291</v>
      </c>
    </row>
    <row r="1506" spans="1:9" x14ac:dyDescent="0.2">
      <c r="A1506" s="2">
        <f ca="1">IFERROR(__xludf.DUMMYFUNCTION("""COMPUTED_VALUE"""),45433.6666666666)</f>
        <v>45433.666666666599</v>
      </c>
      <c r="B1506" s="2" t="s">
        <v>57</v>
      </c>
      <c r="C1506" s="1">
        <v>4980</v>
      </c>
      <c r="D1506" s="1">
        <v>4980</v>
      </c>
      <c r="E1506" s="1">
        <v>4760</v>
      </c>
      <c r="F1506" s="1">
        <v>4770</v>
      </c>
      <c r="G1506" s="1">
        <v>87501700</v>
      </c>
      <c r="H1506" s="4">
        <f t="shared" si="50"/>
        <v>-4.2168674698795178E-2</v>
      </c>
      <c r="I1506" s="4">
        <f t="shared" si="51"/>
        <v>-0.15947136563876652</v>
      </c>
    </row>
    <row r="1507" spans="1:9" x14ac:dyDescent="0.2">
      <c r="A1507" s="2">
        <f ca="1">IFERROR(__xludf.DUMMYFUNCTION("""COMPUTED_VALUE"""),45434.6666666666)</f>
        <v>45434.666666666599</v>
      </c>
      <c r="B1507" s="2" t="s">
        <v>57</v>
      </c>
      <c r="C1507" s="1">
        <v>4720</v>
      </c>
      <c r="D1507" s="1">
        <v>4800</v>
      </c>
      <c r="E1507" s="1">
        <v>4720</v>
      </c>
      <c r="F1507" s="1">
        <v>4760</v>
      </c>
      <c r="G1507" s="1">
        <v>60859500</v>
      </c>
      <c r="H1507" s="4">
        <f t="shared" si="50"/>
        <v>-2.0964360587002098E-3</v>
      </c>
      <c r="I1507" s="4">
        <f t="shared" si="51"/>
        <v>-0.16123348017621145</v>
      </c>
    </row>
    <row r="1508" spans="1:9" x14ac:dyDescent="0.2">
      <c r="A1508" s="2">
        <f ca="1">IFERROR(__xludf.DUMMYFUNCTION("""COMPUTED_VALUE"""),45439.6666666666)</f>
        <v>45439.666666666599</v>
      </c>
      <c r="B1508" s="2" t="s">
        <v>57</v>
      </c>
      <c r="C1508" s="1">
        <v>4770</v>
      </c>
      <c r="D1508" s="1">
        <v>4790</v>
      </c>
      <c r="E1508" s="1">
        <v>4630</v>
      </c>
      <c r="F1508" s="1">
        <v>4670</v>
      </c>
      <c r="G1508" s="1">
        <v>60499200</v>
      </c>
      <c r="H1508" s="4">
        <f t="shared" si="50"/>
        <v>-1.8907563025210083E-2</v>
      </c>
      <c r="I1508" s="4">
        <f t="shared" si="51"/>
        <v>-0.17709251101321585</v>
      </c>
    </row>
    <row r="1509" spans="1:9" x14ac:dyDescent="0.2">
      <c r="A1509" s="2">
        <f ca="1">IFERROR(__xludf.DUMMYFUNCTION("""COMPUTED_VALUE"""),45440.6666666666)</f>
        <v>45440.666666666599</v>
      </c>
      <c r="B1509" s="2" t="s">
        <v>57</v>
      </c>
      <c r="C1509" s="1">
        <v>4700</v>
      </c>
      <c r="D1509" s="1">
        <v>4790</v>
      </c>
      <c r="E1509" s="1">
        <v>4690</v>
      </c>
      <c r="F1509" s="1">
        <v>4710</v>
      </c>
      <c r="G1509" s="1">
        <v>25799600</v>
      </c>
      <c r="H1509" s="4">
        <f t="shared" si="50"/>
        <v>8.5653104925053538E-3</v>
      </c>
      <c r="I1509" s="4">
        <f t="shared" si="51"/>
        <v>-0.17004405286343613</v>
      </c>
    </row>
    <row r="1510" spans="1:9" x14ac:dyDescent="0.2">
      <c r="A1510" s="2">
        <f ca="1">IFERROR(__xludf.DUMMYFUNCTION("""COMPUTED_VALUE"""),45441.6666666666)</f>
        <v>45441.666666666599</v>
      </c>
      <c r="B1510" s="2" t="s">
        <v>57</v>
      </c>
      <c r="C1510" s="1">
        <v>4680</v>
      </c>
      <c r="D1510" s="1">
        <v>4690</v>
      </c>
      <c r="E1510" s="1">
        <v>4500</v>
      </c>
      <c r="F1510" s="1">
        <v>4530</v>
      </c>
      <c r="G1510" s="1">
        <v>111830200</v>
      </c>
      <c r="H1510" s="4">
        <f t="shared" si="50"/>
        <v>-3.8216560509554139E-2</v>
      </c>
      <c r="I1510" s="4">
        <f t="shared" si="51"/>
        <v>-0.20176211453744494</v>
      </c>
    </row>
    <row r="1511" spans="1:9" x14ac:dyDescent="0.2">
      <c r="A1511" s="2">
        <f ca="1">IFERROR(__xludf.DUMMYFUNCTION("""COMPUTED_VALUE"""),45442.6666666666)</f>
        <v>45442.666666666599</v>
      </c>
      <c r="B1511" s="2" t="s">
        <v>57</v>
      </c>
      <c r="C1511" s="1">
        <v>4500</v>
      </c>
      <c r="D1511" s="1">
        <v>4560</v>
      </c>
      <c r="E1511" s="1">
        <v>4370</v>
      </c>
      <c r="F1511" s="1">
        <v>4490</v>
      </c>
      <c r="G1511" s="1">
        <v>81608700</v>
      </c>
      <c r="H1511" s="4">
        <f t="shared" si="50"/>
        <v>-8.8300220750551876E-3</v>
      </c>
      <c r="I1511" s="4">
        <f t="shared" si="51"/>
        <v>-0.20881057268722467</v>
      </c>
    </row>
    <row r="1512" spans="1:9" x14ac:dyDescent="0.2">
      <c r="A1512" s="2">
        <f ca="1">IFERROR(__xludf.DUMMYFUNCTION("""COMPUTED_VALUE"""),45443.6666666666)</f>
        <v>45443.666666666599</v>
      </c>
      <c r="B1512" s="2" t="s">
        <v>57</v>
      </c>
      <c r="C1512" s="1">
        <v>4540</v>
      </c>
      <c r="D1512" s="1">
        <v>4570</v>
      </c>
      <c r="E1512" s="1">
        <v>4400</v>
      </c>
      <c r="F1512" s="1">
        <v>4400</v>
      </c>
      <c r="G1512" s="1">
        <v>145978300</v>
      </c>
      <c r="H1512" s="4">
        <f t="shared" si="50"/>
        <v>-2.0044543429844099E-2</v>
      </c>
      <c r="I1512" s="4">
        <f t="shared" si="51"/>
        <v>-0.22466960352422907</v>
      </c>
    </row>
    <row r="1513" spans="1:9" x14ac:dyDescent="0.2">
      <c r="A1513" s="2">
        <f ca="1">IFERROR(__xludf.DUMMYFUNCTION("""COMPUTED_VALUE"""),45446.6666666666)</f>
        <v>45446.666666666599</v>
      </c>
      <c r="B1513" s="2" t="s">
        <v>57</v>
      </c>
      <c r="C1513" s="1">
        <v>4460</v>
      </c>
      <c r="D1513" s="1">
        <v>4640</v>
      </c>
      <c r="E1513" s="1">
        <v>4450</v>
      </c>
      <c r="F1513" s="1">
        <v>4620</v>
      </c>
      <c r="G1513" s="1">
        <v>53865700</v>
      </c>
      <c r="H1513" s="4">
        <f t="shared" si="50"/>
        <v>0.05</v>
      </c>
      <c r="I1513" s="4">
        <f t="shared" si="51"/>
        <v>-0.18590308370044054</v>
      </c>
    </row>
    <row r="1514" spans="1:9" x14ac:dyDescent="0.2">
      <c r="A1514" s="2">
        <f ca="1">IFERROR(__xludf.DUMMYFUNCTION("""COMPUTED_VALUE"""),45447.6666666666)</f>
        <v>45447.666666666599</v>
      </c>
      <c r="B1514" s="2" t="s">
        <v>57</v>
      </c>
      <c r="C1514" s="1">
        <v>4650</v>
      </c>
      <c r="D1514" s="1">
        <v>4700</v>
      </c>
      <c r="E1514" s="1">
        <v>4600</v>
      </c>
      <c r="F1514" s="1">
        <v>4640</v>
      </c>
      <c r="G1514" s="1">
        <v>52885400</v>
      </c>
      <c r="H1514" s="4">
        <f t="shared" si="50"/>
        <v>4.329004329004329E-3</v>
      </c>
      <c r="I1514" s="4">
        <f t="shared" si="51"/>
        <v>-0.18237885462555067</v>
      </c>
    </row>
    <row r="1515" spans="1:9" x14ac:dyDescent="0.2">
      <c r="A1515" s="2">
        <f ca="1">IFERROR(__xludf.DUMMYFUNCTION("""COMPUTED_VALUE"""),45448.6666666666)</f>
        <v>45448.666666666599</v>
      </c>
      <c r="B1515" s="2" t="s">
        <v>57</v>
      </c>
      <c r="C1515" s="1">
        <v>4630</v>
      </c>
      <c r="D1515" s="1">
        <v>4660</v>
      </c>
      <c r="E1515" s="1">
        <v>4580</v>
      </c>
      <c r="F1515" s="1">
        <v>4610</v>
      </c>
      <c r="G1515" s="1">
        <v>46536400</v>
      </c>
      <c r="H1515" s="4">
        <f t="shared" si="50"/>
        <v>-6.4655172413793103E-3</v>
      </c>
      <c r="I1515" s="4">
        <f t="shared" si="51"/>
        <v>-0.18766519823788547</v>
      </c>
    </row>
    <row r="1516" spans="1:9" x14ac:dyDescent="0.2">
      <c r="A1516" s="2">
        <f ca="1">IFERROR(__xludf.DUMMYFUNCTION("""COMPUTED_VALUE"""),45449.6666666666)</f>
        <v>45449.666666666599</v>
      </c>
      <c r="B1516" s="2" t="s">
        <v>57</v>
      </c>
      <c r="C1516" s="1">
        <v>4670</v>
      </c>
      <c r="D1516" s="1">
        <v>4770</v>
      </c>
      <c r="E1516" s="1">
        <v>4630</v>
      </c>
      <c r="F1516" s="1">
        <v>4770</v>
      </c>
      <c r="G1516" s="1">
        <v>69154900</v>
      </c>
      <c r="H1516" s="4">
        <f t="shared" si="50"/>
        <v>3.4707158351409979E-2</v>
      </c>
      <c r="I1516" s="4">
        <f t="shared" si="51"/>
        <v>-0.15947136563876652</v>
      </c>
    </row>
    <row r="1517" spans="1:9" x14ac:dyDescent="0.2">
      <c r="A1517" s="2">
        <f ca="1">IFERROR(__xludf.DUMMYFUNCTION("""COMPUTED_VALUE"""),45450.6666666666)</f>
        <v>45450.666666666599</v>
      </c>
      <c r="B1517" s="2" t="s">
        <v>57</v>
      </c>
      <c r="C1517" s="1">
        <v>4770</v>
      </c>
      <c r="D1517" s="1">
        <v>4780</v>
      </c>
      <c r="E1517" s="1">
        <v>4660</v>
      </c>
      <c r="F1517" s="1">
        <v>4700</v>
      </c>
      <c r="G1517" s="1">
        <v>45575300</v>
      </c>
      <c r="H1517" s="4">
        <f t="shared" si="50"/>
        <v>-1.4675052410901468E-2</v>
      </c>
      <c r="I1517" s="4">
        <f t="shared" si="51"/>
        <v>-0.17180616740088106</v>
      </c>
    </row>
    <row r="1518" spans="1:9" x14ac:dyDescent="0.2">
      <c r="A1518" s="2">
        <f ca="1">IFERROR(__xludf.DUMMYFUNCTION("""COMPUTED_VALUE"""),45453.6666666666)</f>
        <v>45453.666666666599</v>
      </c>
      <c r="B1518" s="2" t="s">
        <v>57</v>
      </c>
      <c r="C1518" s="1">
        <v>4650</v>
      </c>
      <c r="D1518" s="1">
        <v>4660</v>
      </c>
      <c r="E1518" s="1">
        <v>4550</v>
      </c>
      <c r="F1518" s="1">
        <v>4610</v>
      </c>
      <c r="G1518" s="1">
        <v>65704900</v>
      </c>
      <c r="H1518" s="4">
        <f t="shared" si="50"/>
        <v>-1.9148936170212766E-2</v>
      </c>
      <c r="I1518" s="4">
        <f t="shared" si="51"/>
        <v>-0.18766519823788547</v>
      </c>
    </row>
    <row r="1519" spans="1:9" x14ac:dyDescent="0.2">
      <c r="A1519" s="2">
        <f ca="1">IFERROR(__xludf.DUMMYFUNCTION("""COMPUTED_VALUE"""),45454.6666666666)</f>
        <v>45454.666666666599</v>
      </c>
      <c r="B1519" s="2" t="s">
        <v>57</v>
      </c>
      <c r="C1519" s="1">
        <v>4560</v>
      </c>
      <c r="D1519" s="1">
        <v>4630</v>
      </c>
      <c r="E1519" s="1">
        <v>4480</v>
      </c>
      <c r="F1519" s="1">
        <v>4480</v>
      </c>
      <c r="G1519" s="1">
        <v>95286400</v>
      </c>
      <c r="H1519" s="4">
        <f t="shared" si="50"/>
        <v>-2.8199566160520606E-2</v>
      </c>
      <c r="I1519" s="4">
        <f t="shared" si="51"/>
        <v>-0.2105726872246696</v>
      </c>
    </row>
    <row r="1520" spans="1:9" x14ac:dyDescent="0.2">
      <c r="A1520" s="2">
        <f ca="1">IFERROR(__xludf.DUMMYFUNCTION("""COMPUTED_VALUE"""),45455.6666666666)</f>
        <v>45455.666666666599</v>
      </c>
      <c r="B1520" s="2" t="s">
        <v>57</v>
      </c>
      <c r="C1520" s="1">
        <v>4430</v>
      </c>
      <c r="D1520" s="1">
        <v>4460</v>
      </c>
      <c r="E1520" s="1">
        <v>4410</v>
      </c>
      <c r="F1520" s="1">
        <v>4430</v>
      </c>
      <c r="G1520" s="1">
        <v>112781100</v>
      </c>
      <c r="H1520" s="4">
        <f t="shared" si="50"/>
        <v>-1.1160714285714286E-2</v>
      </c>
      <c r="I1520" s="4">
        <f t="shared" si="51"/>
        <v>-0.21938325991189428</v>
      </c>
    </row>
    <row r="1521" spans="1:9" x14ac:dyDescent="0.2">
      <c r="A1521" s="2">
        <f ca="1">IFERROR(__xludf.DUMMYFUNCTION("""COMPUTED_VALUE"""),45456.6666666666)</f>
        <v>45456.666666666599</v>
      </c>
      <c r="B1521" s="2" t="s">
        <v>57</v>
      </c>
      <c r="C1521" s="1">
        <v>4500</v>
      </c>
      <c r="D1521" s="1">
        <v>4520</v>
      </c>
      <c r="E1521" s="1">
        <v>4460</v>
      </c>
      <c r="F1521" s="1">
        <v>4480</v>
      </c>
      <c r="G1521" s="1">
        <v>47763900</v>
      </c>
      <c r="H1521" s="4">
        <f t="shared" si="50"/>
        <v>1.1286681715575621E-2</v>
      </c>
      <c r="I1521" s="4">
        <f t="shared" si="51"/>
        <v>-0.2105726872246696</v>
      </c>
    </row>
    <row r="1522" spans="1:9" x14ac:dyDescent="0.2">
      <c r="A1522" s="2">
        <f ca="1">IFERROR(__xludf.DUMMYFUNCTION("""COMPUTED_VALUE"""),45457.6666666666)</f>
        <v>45457.666666666599</v>
      </c>
      <c r="B1522" s="2" t="s">
        <v>57</v>
      </c>
      <c r="C1522" s="1">
        <v>4480</v>
      </c>
      <c r="D1522" s="1">
        <v>4480</v>
      </c>
      <c r="E1522" s="1">
        <v>4310</v>
      </c>
      <c r="F1522" s="1">
        <v>4310</v>
      </c>
      <c r="G1522" s="1">
        <v>65046900</v>
      </c>
      <c r="H1522" s="4">
        <f t="shared" si="50"/>
        <v>-3.7946428571428568E-2</v>
      </c>
      <c r="I1522" s="4">
        <f t="shared" si="51"/>
        <v>-0.24052863436123348</v>
      </c>
    </row>
    <row r="1523" spans="1:9" x14ac:dyDescent="0.2">
      <c r="A1523" s="2">
        <f ca="1">IFERROR(__xludf.DUMMYFUNCTION("""COMPUTED_VALUE"""),45462.6666666666)</f>
        <v>45462.666666666599</v>
      </c>
      <c r="B1523" s="2" t="s">
        <v>57</v>
      </c>
      <c r="C1523" s="1">
        <v>4310</v>
      </c>
      <c r="D1523" s="1">
        <v>4390</v>
      </c>
      <c r="E1523" s="1">
        <v>4260</v>
      </c>
      <c r="F1523" s="1">
        <v>4300</v>
      </c>
      <c r="G1523" s="1">
        <v>60373800</v>
      </c>
      <c r="H1523" s="4">
        <f t="shared" si="50"/>
        <v>-2.3201856148491878E-3</v>
      </c>
      <c r="I1523" s="4">
        <f t="shared" si="51"/>
        <v>-0.24229074889867841</v>
      </c>
    </row>
    <row r="1524" spans="1:9" x14ac:dyDescent="0.2">
      <c r="A1524" s="2">
        <f ca="1">IFERROR(__xludf.DUMMYFUNCTION("""COMPUTED_VALUE"""),45463.6666666666)</f>
        <v>45463.666666666599</v>
      </c>
      <c r="B1524" s="2" t="s">
        <v>57</v>
      </c>
      <c r="C1524" s="1">
        <v>4320</v>
      </c>
      <c r="D1524" s="1">
        <v>4410</v>
      </c>
      <c r="E1524" s="1">
        <v>4300</v>
      </c>
      <c r="F1524" s="1">
        <v>4400</v>
      </c>
      <c r="G1524" s="1">
        <v>50579900</v>
      </c>
      <c r="H1524" s="4">
        <f t="shared" si="50"/>
        <v>2.3255813953488372E-2</v>
      </c>
      <c r="I1524" s="4">
        <f t="shared" si="51"/>
        <v>-0.22466960352422907</v>
      </c>
    </row>
    <row r="1525" spans="1:9" x14ac:dyDescent="0.2">
      <c r="A1525" s="2">
        <f ca="1">IFERROR(__xludf.DUMMYFUNCTION("""COMPUTED_VALUE"""),45464.6666666666)</f>
        <v>45464.666666666599</v>
      </c>
      <c r="B1525" s="2" t="s">
        <v>57</v>
      </c>
      <c r="C1525" s="1">
        <v>4400</v>
      </c>
      <c r="D1525" s="1">
        <v>4610</v>
      </c>
      <c r="E1525" s="1">
        <v>4400</v>
      </c>
      <c r="F1525" s="1">
        <v>4540</v>
      </c>
      <c r="G1525" s="1">
        <v>108982500</v>
      </c>
      <c r="H1525" s="4">
        <f t="shared" si="50"/>
        <v>3.1818181818181815E-2</v>
      </c>
      <c r="I1525" s="4">
        <f t="shared" si="51"/>
        <v>-0.2</v>
      </c>
    </row>
    <row r="1526" spans="1:9" x14ac:dyDescent="0.2">
      <c r="A1526" s="2">
        <f ca="1">IFERROR(__xludf.DUMMYFUNCTION("""COMPUTED_VALUE"""),45467.6666666666)</f>
        <v>45467.666666666599</v>
      </c>
      <c r="B1526" s="2" t="s">
        <v>57</v>
      </c>
      <c r="C1526" s="1">
        <v>4540</v>
      </c>
      <c r="D1526" s="1">
        <v>4600</v>
      </c>
      <c r="E1526" s="1">
        <v>4460</v>
      </c>
      <c r="F1526" s="1">
        <v>4540</v>
      </c>
      <c r="G1526" s="1">
        <v>49112400</v>
      </c>
      <c r="H1526" s="4">
        <f t="shared" si="50"/>
        <v>0</v>
      </c>
      <c r="I1526" s="4">
        <f t="shared" si="51"/>
        <v>-0.2</v>
      </c>
    </row>
    <row r="1527" spans="1:9" x14ac:dyDescent="0.2">
      <c r="A1527" s="2">
        <f ca="1">IFERROR(__xludf.DUMMYFUNCTION("""COMPUTED_VALUE"""),45468.6666666666)</f>
        <v>45468.666666666599</v>
      </c>
      <c r="B1527" s="2" t="s">
        <v>57</v>
      </c>
      <c r="C1527" s="1">
        <v>4520</v>
      </c>
      <c r="D1527" s="1">
        <v>4530</v>
      </c>
      <c r="E1527" s="1">
        <v>4420</v>
      </c>
      <c r="F1527" s="1">
        <v>4480</v>
      </c>
      <c r="G1527" s="1">
        <v>44861500</v>
      </c>
      <c r="H1527" s="4">
        <f t="shared" si="50"/>
        <v>-1.3215859030837005E-2</v>
      </c>
      <c r="I1527" s="4">
        <f t="shared" si="51"/>
        <v>-0.2105726872246696</v>
      </c>
    </row>
    <row r="1528" spans="1:9" x14ac:dyDescent="0.2">
      <c r="A1528" s="2">
        <f ca="1">IFERROR(__xludf.DUMMYFUNCTION("""COMPUTED_VALUE"""),45469.6666666666)</f>
        <v>45469.666666666599</v>
      </c>
      <c r="B1528" s="2" t="s">
        <v>57</v>
      </c>
      <c r="C1528" s="1">
        <v>4480</v>
      </c>
      <c r="D1528" s="1">
        <v>4530</v>
      </c>
      <c r="E1528" s="1">
        <v>4420</v>
      </c>
      <c r="F1528" s="1">
        <v>4420</v>
      </c>
      <c r="G1528" s="1">
        <v>34063700</v>
      </c>
      <c r="H1528" s="4">
        <f t="shared" si="50"/>
        <v>-1.3392857142857142E-2</v>
      </c>
      <c r="I1528" s="4">
        <f t="shared" si="51"/>
        <v>-0.22114537444933921</v>
      </c>
    </row>
    <row r="1529" spans="1:9" x14ac:dyDescent="0.2">
      <c r="A1529" s="2">
        <f ca="1">IFERROR(__xludf.DUMMYFUNCTION("""COMPUTED_VALUE"""),45470.6666666666)</f>
        <v>45470.666666666599</v>
      </c>
      <c r="B1529" s="2" t="s">
        <v>57</v>
      </c>
      <c r="C1529" s="1">
        <v>4450</v>
      </c>
      <c r="D1529" s="1">
        <v>4610</v>
      </c>
      <c r="E1529" s="1">
        <v>4430</v>
      </c>
      <c r="F1529" s="1">
        <v>4580</v>
      </c>
      <c r="G1529" s="1">
        <v>85462100</v>
      </c>
      <c r="H1529" s="4">
        <f t="shared" si="50"/>
        <v>3.6199095022624438E-2</v>
      </c>
      <c r="I1529" s="4">
        <f t="shared" si="51"/>
        <v>-0.19295154185022026</v>
      </c>
    </row>
    <row r="1530" spans="1:9" x14ac:dyDescent="0.2">
      <c r="A1530" s="2">
        <f ca="1">IFERROR(__xludf.DUMMYFUNCTION("""COMPUTED_VALUE"""),45471.6666666666)</f>
        <v>45471.666666666599</v>
      </c>
      <c r="B1530" s="2" t="s">
        <v>57</v>
      </c>
      <c r="C1530" s="1">
        <v>4590</v>
      </c>
      <c r="D1530" s="1">
        <v>4740</v>
      </c>
      <c r="E1530" s="1">
        <v>4590</v>
      </c>
      <c r="F1530" s="1">
        <v>4660</v>
      </c>
      <c r="G1530" s="1">
        <v>95384300</v>
      </c>
      <c r="H1530" s="4">
        <f t="shared" si="50"/>
        <v>1.7467248908296942E-2</v>
      </c>
      <c r="I1530" s="4">
        <f t="shared" si="51"/>
        <v>-0.17885462555066078</v>
      </c>
    </row>
    <row r="1531" spans="1:9" x14ac:dyDescent="0.2">
      <c r="A1531" s="2">
        <f ca="1">IFERROR(__xludf.DUMMYFUNCTION("""COMPUTED_VALUE"""),45474.6666666666)</f>
        <v>45474.666666666599</v>
      </c>
      <c r="B1531" s="2" t="s">
        <v>57</v>
      </c>
      <c r="C1531" s="1">
        <v>4690</v>
      </c>
      <c r="D1531" s="1">
        <v>4720</v>
      </c>
      <c r="E1531" s="1">
        <v>4650</v>
      </c>
      <c r="F1531" s="1">
        <v>4710</v>
      </c>
      <c r="G1531" s="1">
        <v>43250900</v>
      </c>
      <c r="H1531" s="4">
        <f t="shared" si="50"/>
        <v>1.0729613733905579E-2</v>
      </c>
      <c r="I1531" s="4">
        <f t="shared" si="51"/>
        <v>-0.17004405286343613</v>
      </c>
    </row>
    <row r="1532" spans="1:9" x14ac:dyDescent="0.2">
      <c r="A1532" s="2">
        <f ca="1">IFERROR(__xludf.DUMMYFUNCTION("""COMPUTED_VALUE"""),45475.6666666666)</f>
        <v>45475.666666666599</v>
      </c>
      <c r="B1532" s="2" t="s">
        <v>57</v>
      </c>
      <c r="C1532" s="1">
        <v>4710</v>
      </c>
      <c r="D1532" s="1">
        <v>4730</v>
      </c>
      <c r="E1532" s="1">
        <v>4670</v>
      </c>
      <c r="F1532" s="1">
        <v>4710</v>
      </c>
      <c r="G1532" s="1">
        <v>35142800</v>
      </c>
      <c r="H1532" s="4">
        <f t="shared" si="50"/>
        <v>0</v>
      </c>
      <c r="I1532" s="4">
        <f t="shared" si="51"/>
        <v>-0.17004405286343613</v>
      </c>
    </row>
    <row r="1533" spans="1:9" x14ac:dyDescent="0.2">
      <c r="A1533" s="2">
        <f ca="1">IFERROR(__xludf.DUMMYFUNCTION("""COMPUTED_VALUE"""),45476.6666666666)</f>
        <v>45476.666666666599</v>
      </c>
      <c r="B1533" s="2" t="s">
        <v>57</v>
      </c>
      <c r="C1533" s="1">
        <v>4730</v>
      </c>
      <c r="D1533" s="1">
        <v>4740</v>
      </c>
      <c r="E1533" s="1">
        <v>4630</v>
      </c>
      <c r="F1533" s="1">
        <v>4650</v>
      </c>
      <c r="G1533" s="1">
        <v>41531700</v>
      </c>
      <c r="H1533" s="4">
        <f t="shared" si="50"/>
        <v>-1.2738853503184714E-2</v>
      </c>
      <c r="I1533" s="4">
        <f t="shared" si="51"/>
        <v>-0.18061674008810572</v>
      </c>
    </row>
    <row r="1534" spans="1:9" x14ac:dyDescent="0.2">
      <c r="A1534" s="2">
        <f ca="1">IFERROR(__xludf.DUMMYFUNCTION("""COMPUTED_VALUE"""),45477.6666666666)</f>
        <v>45477.666666666599</v>
      </c>
      <c r="B1534" s="2" t="s">
        <v>57</v>
      </c>
      <c r="C1534" s="1">
        <v>4690</v>
      </c>
      <c r="D1534" s="1">
        <v>4770</v>
      </c>
      <c r="E1534" s="1">
        <v>4660</v>
      </c>
      <c r="F1534" s="1">
        <v>4710</v>
      </c>
      <c r="G1534" s="1">
        <v>61435900</v>
      </c>
      <c r="H1534" s="4">
        <f t="shared" si="50"/>
        <v>1.2903225806451613E-2</v>
      </c>
      <c r="I1534" s="4">
        <f t="shared" si="51"/>
        <v>-0.17004405286343613</v>
      </c>
    </row>
    <row r="1535" spans="1:9" x14ac:dyDescent="0.2">
      <c r="A1535" s="2">
        <f ca="1">IFERROR(__xludf.DUMMYFUNCTION("""COMPUTED_VALUE"""),45478.6666666666)</f>
        <v>45478.666666666599</v>
      </c>
      <c r="B1535" s="2" t="s">
        <v>57</v>
      </c>
      <c r="C1535" s="1">
        <v>4730</v>
      </c>
      <c r="D1535" s="1">
        <v>4780</v>
      </c>
      <c r="E1535" s="1">
        <v>4690</v>
      </c>
      <c r="F1535" s="1">
        <v>4700</v>
      </c>
      <c r="G1535" s="1">
        <v>67585600</v>
      </c>
      <c r="H1535" s="4">
        <f t="shared" si="50"/>
        <v>-2.1231422505307855E-3</v>
      </c>
      <c r="I1535" s="4">
        <f t="shared" si="51"/>
        <v>-0.17180616740088106</v>
      </c>
    </row>
    <row r="1536" spans="1:9" x14ac:dyDescent="0.2">
      <c r="A1536" s="2">
        <f ca="1">IFERROR(__xludf.DUMMYFUNCTION("""COMPUTED_VALUE"""),45481.6666666666)</f>
        <v>45481.666666666599</v>
      </c>
      <c r="B1536" s="2" t="s">
        <v>57</v>
      </c>
      <c r="C1536" s="1">
        <v>4730</v>
      </c>
      <c r="D1536" s="1">
        <v>4740</v>
      </c>
      <c r="E1536" s="1">
        <v>4670</v>
      </c>
      <c r="F1536" s="1">
        <v>4670</v>
      </c>
      <c r="G1536" s="1">
        <v>36004700</v>
      </c>
      <c r="H1536" s="4">
        <f t="shared" si="50"/>
        <v>-6.382978723404255E-3</v>
      </c>
      <c r="I1536" s="4">
        <f t="shared" si="51"/>
        <v>-0.17709251101321585</v>
      </c>
    </row>
    <row r="1537" spans="1:9" x14ac:dyDescent="0.2">
      <c r="A1537" s="2">
        <f ca="1">IFERROR(__xludf.DUMMYFUNCTION("""COMPUTED_VALUE"""),45482.6666666666)</f>
        <v>45482.666666666599</v>
      </c>
      <c r="B1537" s="2" t="s">
        <v>57</v>
      </c>
      <c r="C1537" s="1">
        <v>4670</v>
      </c>
      <c r="D1537" s="1">
        <v>4870</v>
      </c>
      <c r="E1537" s="1">
        <v>4670</v>
      </c>
      <c r="F1537" s="1">
        <v>4860</v>
      </c>
      <c r="G1537" s="1">
        <v>87456600</v>
      </c>
      <c r="H1537" s="4">
        <f t="shared" si="50"/>
        <v>4.068522483940043E-2</v>
      </c>
      <c r="I1537" s="4">
        <f t="shared" si="51"/>
        <v>-0.14361233480176211</v>
      </c>
    </row>
    <row r="1538" spans="1:9" x14ac:dyDescent="0.2">
      <c r="A1538" s="2">
        <f ca="1">IFERROR(__xludf.DUMMYFUNCTION("""COMPUTED_VALUE"""),45483.6666666666)</f>
        <v>45483.666666666599</v>
      </c>
      <c r="B1538" s="2" t="s">
        <v>57</v>
      </c>
      <c r="C1538" s="1">
        <v>4850</v>
      </c>
      <c r="D1538" s="1">
        <v>4900</v>
      </c>
      <c r="E1538" s="1">
        <v>4820</v>
      </c>
      <c r="F1538" s="1">
        <v>4820</v>
      </c>
      <c r="G1538" s="1">
        <v>48700200</v>
      </c>
      <c r="H1538" s="4">
        <f t="shared" si="50"/>
        <v>-8.23045267489712E-3</v>
      </c>
      <c r="I1538" s="4">
        <f t="shared" si="51"/>
        <v>-0.15066079295154186</v>
      </c>
    </row>
    <row r="1539" spans="1:9" x14ac:dyDescent="0.2">
      <c r="A1539" s="2">
        <f ca="1">IFERROR(__xludf.DUMMYFUNCTION("""COMPUTED_VALUE"""),45484.6666666666)</f>
        <v>45484.666666666599</v>
      </c>
      <c r="B1539" s="2" t="s">
        <v>57</v>
      </c>
      <c r="C1539" s="1">
        <v>4850</v>
      </c>
      <c r="D1539" s="1">
        <v>4880</v>
      </c>
      <c r="E1539" s="1">
        <v>4830</v>
      </c>
      <c r="F1539" s="1">
        <v>4870</v>
      </c>
      <c r="G1539" s="1">
        <v>37573700</v>
      </c>
      <c r="H1539" s="4">
        <f t="shared" si="50"/>
        <v>1.0373443983402489E-2</v>
      </c>
      <c r="I1539" s="4">
        <f t="shared" si="51"/>
        <v>-0.14185022026431718</v>
      </c>
    </row>
    <row r="1540" spans="1:9" x14ac:dyDescent="0.2">
      <c r="A1540" s="2">
        <f ca="1">IFERROR(__xludf.DUMMYFUNCTION("""COMPUTED_VALUE"""),45485.6666666666)</f>
        <v>45485.666666666599</v>
      </c>
      <c r="B1540" s="2" t="s">
        <v>57</v>
      </c>
      <c r="C1540" s="1">
        <v>4920</v>
      </c>
      <c r="D1540" s="1">
        <v>5125</v>
      </c>
      <c r="E1540" s="1">
        <v>4920</v>
      </c>
      <c r="F1540" s="1">
        <v>5025</v>
      </c>
      <c r="G1540" s="1">
        <v>151520700</v>
      </c>
      <c r="H1540" s="4">
        <f t="shared" si="50"/>
        <v>3.1827515400410678E-2</v>
      </c>
      <c r="I1540" s="4">
        <f t="shared" si="51"/>
        <v>-0.11453744493392071</v>
      </c>
    </row>
    <row r="1541" spans="1:9" x14ac:dyDescent="0.2">
      <c r="A1541" s="2">
        <f ca="1">IFERROR(__xludf.DUMMYFUNCTION("""COMPUTED_VALUE"""),45488.6666666666)</f>
        <v>45488.666666666599</v>
      </c>
      <c r="B1541" s="2" t="s">
        <v>57</v>
      </c>
      <c r="C1541" s="1">
        <v>5050</v>
      </c>
      <c r="D1541" s="1">
        <v>5075</v>
      </c>
      <c r="E1541" s="1">
        <v>4980</v>
      </c>
      <c r="F1541" s="1">
        <v>5025</v>
      </c>
      <c r="G1541" s="1">
        <v>94794900</v>
      </c>
      <c r="H1541" s="4">
        <f t="shared" si="50"/>
        <v>0</v>
      </c>
      <c r="I1541" s="4">
        <f t="shared" si="51"/>
        <v>-0.11453744493392071</v>
      </c>
    </row>
    <row r="1542" spans="1:9" x14ac:dyDescent="0.2">
      <c r="A1542" s="2">
        <f ca="1">IFERROR(__xludf.DUMMYFUNCTION("""COMPUTED_VALUE"""),45489.6666666666)</f>
        <v>45489.666666666599</v>
      </c>
      <c r="B1542" s="2" t="s">
        <v>57</v>
      </c>
      <c r="C1542" s="1">
        <v>5050</v>
      </c>
      <c r="D1542" s="1">
        <v>5050</v>
      </c>
      <c r="E1542" s="1">
        <v>4980</v>
      </c>
      <c r="F1542" s="1">
        <v>4980</v>
      </c>
      <c r="G1542" s="1">
        <v>66371200</v>
      </c>
      <c r="H1542" s="4">
        <f t="shared" si="50"/>
        <v>-8.9552238805970154E-3</v>
      </c>
      <c r="I1542" s="4">
        <f t="shared" si="51"/>
        <v>-0.12246696035242291</v>
      </c>
    </row>
    <row r="1543" spans="1:9" x14ac:dyDescent="0.2">
      <c r="A1543" s="2">
        <f ca="1">IFERROR(__xludf.DUMMYFUNCTION("""COMPUTED_VALUE"""),45490.6666666666)</f>
        <v>45490.666666666599</v>
      </c>
      <c r="B1543" s="2" t="s">
        <v>57</v>
      </c>
      <c r="C1543" s="1">
        <v>5050</v>
      </c>
      <c r="D1543" s="1">
        <v>5075</v>
      </c>
      <c r="E1543" s="1">
        <v>5000</v>
      </c>
      <c r="F1543" s="1">
        <v>5000</v>
      </c>
      <c r="G1543" s="1">
        <v>59615300</v>
      </c>
      <c r="H1543" s="4">
        <f t="shared" si="50"/>
        <v>4.0160642570281121E-3</v>
      </c>
      <c r="I1543" s="4">
        <f t="shared" si="51"/>
        <v>-0.11894273127753303</v>
      </c>
    </row>
    <row r="1544" spans="1:9" x14ac:dyDescent="0.2">
      <c r="A1544" s="2">
        <f ca="1">IFERROR(__xludf.DUMMYFUNCTION("""COMPUTED_VALUE"""),45491.6666666666)</f>
        <v>45491.666666666599</v>
      </c>
      <c r="B1544" s="2" t="s">
        <v>57</v>
      </c>
      <c r="C1544" s="1">
        <v>4990</v>
      </c>
      <c r="D1544" s="1">
        <v>5125</v>
      </c>
      <c r="E1544" s="1">
        <v>4990</v>
      </c>
      <c r="F1544" s="1">
        <v>5075</v>
      </c>
      <c r="G1544" s="1">
        <v>86127800</v>
      </c>
      <c r="H1544" s="4">
        <f t="shared" si="50"/>
        <v>1.4999999999999999E-2</v>
      </c>
      <c r="I1544" s="4">
        <f t="shared" si="51"/>
        <v>-0.10572687224669604</v>
      </c>
    </row>
    <row r="1545" spans="1:9" x14ac:dyDescent="0.2">
      <c r="A1545" s="2">
        <f ca="1">IFERROR(__xludf.DUMMYFUNCTION("""COMPUTED_VALUE"""),45492.6666666666)</f>
        <v>45492.666666666599</v>
      </c>
      <c r="B1545" s="2" t="s">
        <v>57</v>
      </c>
      <c r="C1545" s="1">
        <v>5075</v>
      </c>
      <c r="D1545" s="1">
        <v>5100</v>
      </c>
      <c r="E1545" s="1">
        <v>5025</v>
      </c>
      <c r="F1545" s="1">
        <v>5100</v>
      </c>
      <c r="G1545" s="1">
        <v>66907300</v>
      </c>
      <c r="H1545" s="4">
        <f t="shared" si="50"/>
        <v>4.9261083743842365E-3</v>
      </c>
      <c r="I1545" s="4">
        <f t="shared" si="51"/>
        <v>-0.1013215859030837</v>
      </c>
    </row>
    <row r="1546" spans="1:9" x14ac:dyDescent="0.2">
      <c r="A1546" s="2">
        <f ca="1">IFERROR(__xludf.DUMMYFUNCTION("""COMPUTED_VALUE"""),45495.6666666666)</f>
        <v>45495.666666666599</v>
      </c>
      <c r="B1546" s="2" t="s">
        <v>57</v>
      </c>
      <c r="C1546" s="1">
        <v>5125</v>
      </c>
      <c r="D1546" s="1">
        <v>5150</v>
      </c>
      <c r="E1546" s="1">
        <v>5050</v>
      </c>
      <c r="F1546" s="1">
        <v>5100</v>
      </c>
      <c r="G1546" s="1">
        <v>32378000</v>
      </c>
      <c r="H1546" s="4">
        <f t="shared" si="50"/>
        <v>0</v>
      </c>
      <c r="I1546" s="4">
        <f t="shared" si="51"/>
        <v>-0.1013215859030837</v>
      </c>
    </row>
    <row r="1547" spans="1:9" x14ac:dyDescent="0.2">
      <c r="A1547" s="2">
        <f ca="1">IFERROR(__xludf.DUMMYFUNCTION("""COMPUTED_VALUE"""),45496.6666666666)</f>
        <v>45496.666666666599</v>
      </c>
      <c r="B1547" s="2" t="s">
        <v>57</v>
      </c>
      <c r="C1547" s="1">
        <v>5100</v>
      </c>
      <c r="D1547" s="1">
        <v>5125</v>
      </c>
      <c r="E1547" s="1">
        <v>5050</v>
      </c>
      <c r="F1547" s="1">
        <v>5050</v>
      </c>
      <c r="G1547" s="1">
        <v>30554100</v>
      </c>
      <c r="H1547" s="4">
        <f t="shared" si="50"/>
        <v>-9.8039215686274508E-3</v>
      </c>
      <c r="I1547" s="4">
        <f t="shared" si="51"/>
        <v>-0.11013215859030837</v>
      </c>
    </row>
    <row r="1548" spans="1:9" x14ac:dyDescent="0.2">
      <c r="A1548" s="2">
        <f ca="1">IFERROR(__xludf.DUMMYFUNCTION("""COMPUTED_VALUE"""),45497.6666666666)</f>
        <v>45497.666666666599</v>
      </c>
      <c r="B1548" s="2" t="s">
        <v>57</v>
      </c>
      <c r="C1548" s="1">
        <v>5050</v>
      </c>
      <c r="D1548" s="1">
        <v>5100</v>
      </c>
      <c r="E1548" s="1">
        <v>5000</v>
      </c>
      <c r="F1548" s="1">
        <v>5100</v>
      </c>
      <c r="G1548" s="1">
        <v>23442100</v>
      </c>
      <c r="H1548" s="4">
        <f t="shared" si="50"/>
        <v>9.9009900990099011E-3</v>
      </c>
      <c r="I1548" s="4">
        <f t="shared" si="51"/>
        <v>-0.1013215859030837</v>
      </c>
    </row>
    <row r="1549" spans="1:9" x14ac:dyDescent="0.2">
      <c r="A1549" s="2">
        <f ca="1">IFERROR(__xludf.DUMMYFUNCTION("""COMPUTED_VALUE"""),45498.6666666666)</f>
        <v>45498.666666666599</v>
      </c>
      <c r="B1549" s="2" t="s">
        <v>57</v>
      </c>
      <c r="C1549" s="1">
        <v>5050</v>
      </c>
      <c r="D1549" s="1">
        <v>5075</v>
      </c>
      <c r="E1549" s="1">
        <v>4980</v>
      </c>
      <c r="F1549" s="1">
        <v>5025</v>
      </c>
      <c r="G1549" s="1">
        <v>52463300</v>
      </c>
      <c r="H1549" s="4">
        <f t="shared" si="50"/>
        <v>-1.4705882352941176E-2</v>
      </c>
      <c r="I1549" s="4">
        <f t="shared" si="51"/>
        <v>-0.11453744493392071</v>
      </c>
    </row>
    <row r="1550" spans="1:9" x14ac:dyDescent="0.2">
      <c r="A1550" s="2">
        <f ca="1">IFERROR(__xludf.DUMMYFUNCTION("""COMPUTED_VALUE"""),45499.6666666666)</f>
        <v>45499.666666666599</v>
      </c>
      <c r="B1550" s="2" t="s">
        <v>57</v>
      </c>
      <c r="C1550" s="1">
        <v>5000</v>
      </c>
      <c r="D1550" s="1">
        <v>5075</v>
      </c>
      <c r="E1550" s="1">
        <v>4990</v>
      </c>
      <c r="F1550" s="1">
        <v>5000</v>
      </c>
      <c r="G1550" s="1">
        <v>41982600</v>
      </c>
      <c r="H1550" s="4">
        <f t="shared" si="50"/>
        <v>-4.9751243781094526E-3</v>
      </c>
      <c r="I1550" s="4">
        <f t="shared" si="51"/>
        <v>-0.11894273127753303</v>
      </c>
    </row>
    <row r="1551" spans="1:9" x14ac:dyDescent="0.2">
      <c r="A1551" s="2">
        <f ca="1">IFERROR(__xludf.DUMMYFUNCTION("""COMPUTED_VALUE"""),45502.6666666666)</f>
        <v>45502.666666666599</v>
      </c>
      <c r="B1551" s="2" t="s">
        <v>57</v>
      </c>
      <c r="C1551" s="1">
        <v>5025</v>
      </c>
      <c r="D1551" s="1">
        <v>5050</v>
      </c>
      <c r="E1551" s="1">
        <v>5000</v>
      </c>
      <c r="F1551" s="1">
        <v>5025</v>
      </c>
      <c r="G1551" s="1">
        <v>19854800</v>
      </c>
      <c r="H1551" s="4">
        <f t="shared" ref="H1551:H1614" si="52">(F1551-F1550)/F1550</f>
        <v>5.0000000000000001E-3</v>
      </c>
      <c r="I1551" s="4">
        <f t="shared" ref="I1551:I1614" si="53">(F1551-$F$2)/$F$2</f>
        <v>-0.11453744493392071</v>
      </c>
    </row>
    <row r="1552" spans="1:9" x14ac:dyDescent="0.2">
      <c r="A1552" s="2">
        <f ca="1">IFERROR(__xludf.DUMMYFUNCTION("""COMPUTED_VALUE"""),45503.6666666666)</f>
        <v>45503.666666666599</v>
      </c>
      <c r="B1552" s="2" t="s">
        <v>57</v>
      </c>
      <c r="C1552" s="1">
        <v>5000</v>
      </c>
      <c r="D1552" s="1">
        <v>5000</v>
      </c>
      <c r="E1552" s="1">
        <v>4950</v>
      </c>
      <c r="F1552" s="1">
        <v>4950</v>
      </c>
      <c r="G1552" s="1">
        <v>36234500</v>
      </c>
      <c r="H1552" s="4">
        <f t="shared" si="52"/>
        <v>-1.4925373134328358E-2</v>
      </c>
      <c r="I1552" s="4">
        <f t="shared" si="53"/>
        <v>-0.1277533039647577</v>
      </c>
    </row>
    <row r="1553" spans="1:9" x14ac:dyDescent="0.2">
      <c r="A1553" s="2">
        <f ca="1">IFERROR(__xludf.DUMMYFUNCTION("""COMPUTED_VALUE"""),45504.6666666666)</f>
        <v>45504.666666666599</v>
      </c>
      <c r="B1553" s="2" t="s">
        <v>57</v>
      </c>
      <c r="C1553" s="1">
        <v>4970</v>
      </c>
      <c r="D1553" s="1">
        <v>5025</v>
      </c>
      <c r="E1553" s="1">
        <v>4920</v>
      </c>
      <c r="F1553" s="1">
        <v>4970</v>
      </c>
      <c r="G1553" s="1">
        <v>34106000</v>
      </c>
      <c r="H1553" s="4">
        <f t="shared" si="52"/>
        <v>4.0404040404040404E-3</v>
      </c>
      <c r="I1553" s="4">
        <f t="shared" si="53"/>
        <v>-0.12422907488986784</v>
      </c>
    </row>
    <row r="1554" spans="1:9" x14ac:dyDescent="0.2">
      <c r="A1554" s="2">
        <f ca="1">IFERROR(__xludf.DUMMYFUNCTION("""COMPUTED_VALUE"""),45505.6666666666)</f>
        <v>45505.666666666599</v>
      </c>
      <c r="B1554" s="2" t="s">
        <v>57</v>
      </c>
      <c r="C1554" s="1">
        <v>4940</v>
      </c>
      <c r="D1554" s="1">
        <v>5075</v>
      </c>
      <c r="E1554" s="1">
        <v>4940</v>
      </c>
      <c r="F1554" s="1">
        <v>5075</v>
      </c>
      <c r="G1554" s="1">
        <v>54207300</v>
      </c>
      <c r="H1554" s="4">
        <f t="shared" si="52"/>
        <v>2.1126760563380281E-2</v>
      </c>
      <c r="I1554" s="4">
        <f t="shared" si="53"/>
        <v>-0.10572687224669604</v>
      </c>
    </row>
    <row r="1555" spans="1:9" x14ac:dyDescent="0.2">
      <c r="A1555" s="2">
        <f ca="1">IFERROR(__xludf.DUMMYFUNCTION("""COMPUTED_VALUE"""),45506.6666666666)</f>
        <v>45506.666666666599</v>
      </c>
      <c r="B1555" s="2" t="s">
        <v>57</v>
      </c>
      <c r="C1555" s="1">
        <v>5050</v>
      </c>
      <c r="D1555" s="1">
        <v>5150</v>
      </c>
      <c r="E1555" s="1">
        <v>5025</v>
      </c>
      <c r="F1555" s="1">
        <v>5100</v>
      </c>
      <c r="G1555" s="1">
        <v>75959300</v>
      </c>
      <c r="H1555" s="4">
        <f t="shared" si="52"/>
        <v>4.9261083743842365E-3</v>
      </c>
      <c r="I1555" s="4">
        <f t="shared" si="53"/>
        <v>-0.1013215859030837</v>
      </c>
    </row>
    <row r="1556" spans="1:9" x14ac:dyDescent="0.2">
      <c r="A1556" s="2">
        <f ca="1">IFERROR(__xludf.DUMMYFUNCTION("""COMPUTED_VALUE"""),45509.6666666666)</f>
        <v>45509.666666666599</v>
      </c>
      <c r="B1556" s="2" t="s">
        <v>57</v>
      </c>
      <c r="C1556" s="1">
        <v>5025</v>
      </c>
      <c r="D1556" s="1">
        <v>5050</v>
      </c>
      <c r="E1556" s="1">
        <v>4880</v>
      </c>
      <c r="F1556" s="1">
        <v>4960</v>
      </c>
      <c r="G1556" s="1">
        <v>65485300</v>
      </c>
      <c r="H1556" s="4">
        <f t="shared" si="52"/>
        <v>-2.7450980392156862E-2</v>
      </c>
      <c r="I1556" s="4">
        <f t="shared" si="53"/>
        <v>-0.12599118942731277</v>
      </c>
    </row>
    <row r="1557" spans="1:9" x14ac:dyDescent="0.2">
      <c r="A1557" s="2">
        <f ca="1">IFERROR(__xludf.DUMMYFUNCTION("""COMPUTED_VALUE"""),45510.6666666666)</f>
        <v>45510.666666666599</v>
      </c>
      <c r="B1557" s="2" t="s">
        <v>57</v>
      </c>
      <c r="C1557" s="1">
        <v>5000</v>
      </c>
      <c r="D1557" s="1">
        <v>5075</v>
      </c>
      <c r="E1557" s="1">
        <v>4940</v>
      </c>
      <c r="F1557" s="1">
        <v>5025</v>
      </c>
      <c r="G1557" s="1">
        <v>51827100</v>
      </c>
      <c r="H1557" s="4">
        <f t="shared" si="52"/>
        <v>1.310483870967742E-2</v>
      </c>
      <c r="I1557" s="4">
        <f t="shared" si="53"/>
        <v>-0.11453744493392071</v>
      </c>
    </row>
    <row r="1558" spans="1:9" x14ac:dyDescent="0.2">
      <c r="A1558" s="2">
        <f ca="1">IFERROR(__xludf.DUMMYFUNCTION("""COMPUTED_VALUE"""),45511.6666666666)</f>
        <v>45511.666666666599</v>
      </c>
      <c r="B1558" s="2" t="s">
        <v>57</v>
      </c>
      <c r="C1558" s="1">
        <v>5025</v>
      </c>
      <c r="D1558" s="1">
        <v>5050</v>
      </c>
      <c r="E1558" s="1">
        <v>4980</v>
      </c>
      <c r="F1558" s="1">
        <v>5000</v>
      </c>
      <c r="G1558" s="1">
        <v>32556500</v>
      </c>
      <c r="H1558" s="4">
        <f t="shared" si="52"/>
        <v>-4.9751243781094526E-3</v>
      </c>
      <c r="I1558" s="4">
        <f t="shared" si="53"/>
        <v>-0.11894273127753303</v>
      </c>
    </row>
    <row r="1559" spans="1:9" x14ac:dyDescent="0.2">
      <c r="A1559" s="2">
        <f ca="1">IFERROR(__xludf.DUMMYFUNCTION("""COMPUTED_VALUE"""),45512.6666666666)</f>
        <v>45512.666666666599</v>
      </c>
      <c r="B1559" s="2" t="s">
        <v>57</v>
      </c>
      <c r="C1559" s="1">
        <v>5000</v>
      </c>
      <c r="D1559" s="1">
        <v>5100</v>
      </c>
      <c r="E1559" s="1">
        <v>4970</v>
      </c>
      <c r="F1559" s="1">
        <v>5025</v>
      </c>
      <c r="G1559" s="1">
        <v>51493100</v>
      </c>
      <c r="H1559" s="4">
        <f t="shared" si="52"/>
        <v>5.0000000000000001E-3</v>
      </c>
      <c r="I1559" s="4">
        <f t="shared" si="53"/>
        <v>-0.11453744493392071</v>
      </c>
    </row>
    <row r="1560" spans="1:9" x14ac:dyDescent="0.2">
      <c r="A1560" s="2">
        <f ca="1">IFERROR(__xludf.DUMMYFUNCTION("""COMPUTED_VALUE"""),45513.6666666666)</f>
        <v>45513.666666666599</v>
      </c>
      <c r="B1560" s="2" t="s">
        <v>57</v>
      </c>
      <c r="C1560" s="1">
        <v>5050</v>
      </c>
      <c r="D1560" s="1">
        <v>5200</v>
      </c>
      <c r="E1560" s="1">
        <v>5050</v>
      </c>
      <c r="F1560" s="1">
        <v>5125</v>
      </c>
      <c r="G1560" s="1">
        <v>33031700</v>
      </c>
      <c r="H1560" s="4">
        <f t="shared" si="52"/>
        <v>1.9900497512437811E-2</v>
      </c>
      <c r="I1560" s="4">
        <f t="shared" si="53"/>
        <v>-9.6916299559471369E-2</v>
      </c>
    </row>
    <row r="1561" spans="1:9" x14ac:dyDescent="0.2">
      <c r="A1561" s="2">
        <f ca="1">IFERROR(__xludf.DUMMYFUNCTION("""COMPUTED_VALUE"""),45516.6666666666)</f>
        <v>45516.666666666599</v>
      </c>
      <c r="B1561" s="2" t="s">
        <v>57</v>
      </c>
      <c r="C1561" s="1">
        <v>5150</v>
      </c>
      <c r="D1561" s="1">
        <v>5150</v>
      </c>
      <c r="E1561" s="1">
        <v>5075</v>
      </c>
      <c r="F1561" s="1">
        <v>5125</v>
      </c>
      <c r="G1561" s="1">
        <v>14296000</v>
      </c>
      <c r="H1561" s="4">
        <f t="shared" si="52"/>
        <v>0</v>
      </c>
      <c r="I1561" s="4">
        <f t="shared" si="53"/>
        <v>-9.6916299559471369E-2</v>
      </c>
    </row>
    <row r="1562" spans="1:9" x14ac:dyDescent="0.2">
      <c r="A1562" s="2">
        <f ca="1">IFERROR(__xludf.DUMMYFUNCTION("""COMPUTED_VALUE"""),45517.6666666666)</f>
        <v>45517.666666666599</v>
      </c>
      <c r="B1562" s="2" t="s">
        <v>57</v>
      </c>
      <c r="C1562" s="1">
        <v>5175</v>
      </c>
      <c r="D1562" s="1">
        <v>5200</v>
      </c>
      <c r="E1562" s="1">
        <v>5125</v>
      </c>
      <c r="F1562" s="1">
        <v>5175</v>
      </c>
      <c r="G1562" s="1">
        <v>26196400</v>
      </c>
      <c r="H1562" s="4">
        <f t="shared" si="52"/>
        <v>9.7560975609756097E-3</v>
      </c>
      <c r="I1562" s="4">
        <f t="shared" si="53"/>
        <v>-8.8105726872246701E-2</v>
      </c>
    </row>
    <row r="1563" spans="1:9" x14ac:dyDescent="0.2">
      <c r="A1563" s="2">
        <f ca="1">IFERROR(__xludf.DUMMYFUNCTION("""COMPUTED_VALUE"""),45518.6666666666)</f>
        <v>45518.666666666599</v>
      </c>
      <c r="B1563" s="2" t="s">
        <v>57</v>
      </c>
      <c r="C1563" s="1">
        <v>5250</v>
      </c>
      <c r="D1563" s="1">
        <v>5375</v>
      </c>
      <c r="E1563" s="1">
        <v>5225</v>
      </c>
      <c r="F1563" s="1">
        <v>5275</v>
      </c>
      <c r="G1563" s="1">
        <v>93112500</v>
      </c>
      <c r="H1563" s="4">
        <f t="shared" si="52"/>
        <v>1.932367149758454E-2</v>
      </c>
      <c r="I1563" s="4">
        <f t="shared" si="53"/>
        <v>-7.0484581497797363E-2</v>
      </c>
    </row>
    <row r="1564" spans="1:9" x14ac:dyDescent="0.2">
      <c r="A1564" s="2">
        <f ca="1">IFERROR(__xludf.DUMMYFUNCTION("""COMPUTED_VALUE"""),45519.6666666666)</f>
        <v>45519.666666666599</v>
      </c>
      <c r="B1564" s="2" t="s">
        <v>57</v>
      </c>
      <c r="C1564" s="1">
        <v>5300</v>
      </c>
      <c r="D1564" s="1">
        <v>5325</v>
      </c>
      <c r="E1564" s="1">
        <v>5225</v>
      </c>
      <c r="F1564" s="1">
        <v>5250</v>
      </c>
      <c r="G1564" s="1">
        <v>33034700</v>
      </c>
      <c r="H1564" s="4">
        <f t="shared" si="52"/>
        <v>-4.7393364928909956E-3</v>
      </c>
      <c r="I1564" s="4">
        <f t="shared" si="53"/>
        <v>-7.4889867841409691E-2</v>
      </c>
    </row>
    <row r="1565" spans="1:9" x14ac:dyDescent="0.2">
      <c r="A1565" s="2">
        <f ca="1">IFERROR(__xludf.DUMMYFUNCTION("""COMPUTED_VALUE"""),45520.6666666666)</f>
        <v>45520.666666666599</v>
      </c>
      <c r="B1565" s="2" t="s">
        <v>57</v>
      </c>
      <c r="C1565" s="1">
        <v>5300</v>
      </c>
      <c r="D1565" s="1">
        <v>5350</v>
      </c>
      <c r="E1565" s="1">
        <v>5275</v>
      </c>
      <c r="F1565" s="1">
        <v>5300</v>
      </c>
      <c r="G1565" s="1">
        <v>33604900</v>
      </c>
      <c r="H1565" s="4">
        <f t="shared" si="52"/>
        <v>9.5238095238095247E-3</v>
      </c>
      <c r="I1565" s="4">
        <f t="shared" si="53"/>
        <v>-6.6079295154185022E-2</v>
      </c>
    </row>
    <row r="1566" spans="1:9" x14ac:dyDescent="0.2">
      <c r="A1566" s="2">
        <f ca="1">IFERROR(__xludf.DUMMYFUNCTION("""COMPUTED_VALUE"""),45523.6666666666)</f>
        <v>45523.666666666599</v>
      </c>
      <c r="B1566" s="2" t="s">
        <v>57</v>
      </c>
      <c r="C1566" s="1">
        <v>5300</v>
      </c>
      <c r="D1566" s="1">
        <v>5450</v>
      </c>
      <c r="E1566" s="1">
        <v>5275</v>
      </c>
      <c r="F1566" s="1">
        <v>5350</v>
      </c>
      <c r="G1566" s="1">
        <v>55661900</v>
      </c>
      <c r="H1566" s="4">
        <f t="shared" si="52"/>
        <v>9.433962264150943E-3</v>
      </c>
      <c r="I1566" s="4">
        <f t="shared" si="53"/>
        <v>-5.7268722466960353E-2</v>
      </c>
    </row>
    <row r="1567" spans="1:9" x14ac:dyDescent="0.2">
      <c r="A1567" s="2">
        <f ca="1">IFERROR(__xludf.DUMMYFUNCTION("""COMPUTED_VALUE"""),45524.6666666666)</f>
        <v>45524.666666666599</v>
      </c>
      <c r="B1567" s="2" t="s">
        <v>57</v>
      </c>
      <c r="C1567" s="1">
        <v>5375</v>
      </c>
      <c r="D1567" s="1">
        <v>5500</v>
      </c>
      <c r="E1567" s="1">
        <v>5375</v>
      </c>
      <c r="F1567" s="1">
        <v>5475</v>
      </c>
      <c r="G1567" s="1">
        <v>69978300</v>
      </c>
      <c r="H1567" s="4">
        <f t="shared" si="52"/>
        <v>2.336448598130841E-2</v>
      </c>
      <c r="I1567" s="4">
        <f t="shared" si="53"/>
        <v>-3.5242290748898682E-2</v>
      </c>
    </row>
    <row r="1568" spans="1:9" x14ac:dyDescent="0.2">
      <c r="A1568" s="2">
        <f ca="1">IFERROR(__xludf.DUMMYFUNCTION("""COMPUTED_VALUE"""),45525.6666666666)</f>
        <v>45525.666666666599</v>
      </c>
      <c r="B1568" s="2" t="s">
        <v>57</v>
      </c>
      <c r="C1568" s="1">
        <v>5475</v>
      </c>
      <c r="D1568" s="1">
        <v>5550</v>
      </c>
      <c r="E1568" s="1">
        <v>5425</v>
      </c>
      <c r="F1568" s="1">
        <v>5450</v>
      </c>
      <c r="G1568" s="1">
        <v>92703900</v>
      </c>
      <c r="H1568" s="4">
        <f t="shared" si="52"/>
        <v>-4.5662100456621002E-3</v>
      </c>
      <c r="I1568" s="4">
        <f t="shared" si="53"/>
        <v>-3.9647577092511016E-2</v>
      </c>
    </row>
    <row r="1569" spans="1:9" x14ac:dyDescent="0.2">
      <c r="A1569" s="2">
        <f ca="1">IFERROR(__xludf.DUMMYFUNCTION("""COMPUTED_VALUE"""),45526.6666666666)</f>
        <v>45526.666666666599</v>
      </c>
      <c r="B1569" s="2" t="s">
        <v>57</v>
      </c>
      <c r="C1569" s="1">
        <v>5425</v>
      </c>
      <c r="D1569" s="1">
        <v>5425</v>
      </c>
      <c r="E1569" s="1">
        <v>5225</v>
      </c>
      <c r="F1569" s="1">
        <v>5275</v>
      </c>
      <c r="G1569" s="1">
        <v>72626600</v>
      </c>
      <c r="H1569" s="4">
        <f t="shared" si="52"/>
        <v>-3.2110091743119268E-2</v>
      </c>
      <c r="I1569" s="4">
        <f t="shared" si="53"/>
        <v>-7.0484581497797363E-2</v>
      </c>
    </row>
    <row r="1570" spans="1:9" x14ac:dyDescent="0.2">
      <c r="A1570" s="2">
        <f ca="1">IFERROR(__xludf.DUMMYFUNCTION("""COMPUTED_VALUE"""),45527.6666666666)</f>
        <v>45527.666666666599</v>
      </c>
      <c r="B1570" s="2" t="s">
        <v>57</v>
      </c>
      <c r="C1570" s="1">
        <v>5300</v>
      </c>
      <c r="D1570" s="1">
        <v>5500</v>
      </c>
      <c r="E1570" s="1">
        <v>5300</v>
      </c>
      <c r="F1570" s="1">
        <v>5450</v>
      </c>
      <c r="G1570" s="1">
        <v>69905300</v>
      </c>
      <c r="H1570" s="4">
        <f t="shared" si="52"/>
        <v>3.3175355450236969E-2</v>
      </c>
      <c r="I1570" s="4">
        <f t="shared" si="53"/>
        <v>-3.9647577092511016E-2</v>
      </c>
    </row>
    <row r="1571" spans="1:9" x14ac:dyDescent="0.2">
      <c r="A1571" s="2">
        <f ca="1">IFERROR(__xludf.DUMMYFUNCTION("""COMPUTED_VALUE"""),45530.6666666666)</f>
        <v>45530.666666666599</v>
      </c>
      <c r="B1571" s="2" t="s">
        <v>57</v>
      </c>
      <c r="C1571" s="1">
        <v>5450</v>
      </c>
      <c r="D1571" s="1">
        <v>5550</v>
      </c>
      <c r="E1571" s="1">
        <v>5450</v>
      </c>
      <c r="F1571" s="1">
        <v>5525</v>
      </c>
      <c r="G1571" s="1">
        <v>68435700</v>
      </c>
      <c r="H1571" s="4">
        <f t="shared" si="52"/>
        <v>1.3761467889908258E-2</v>
      </c>
      <c r="I1571" s="4">
        <f t="shared" si="53"/>
        <v>-2.643171806167401E-2</v>
      </c>
    </row>
    <row r="1572" spans="1:9" x14ac:dyDescent="0.2">
      <c r="A1572" s="2">
        <f ca="1">IFERROR(__xludf.DUMMYFUNCTION("""COMPUTED_VALUE"""),45531.6666666666)</f>
        <v>45531.666666666599</v>
      </c>
      <c r="B1572" s="2" t="s">
        <v>57</v>
      </c>
      <c r="C1572" s="1">
        <v>5525</v>
      </c>
      <c r="D1572" s="1">
        <v>5550</v>
      </c>
      <c r="E1572" s="1">
        <v>5350</v>
      </c>
      <c r="F1572" s="1">
        <v>5400</v>
      </c>
      <c r="G1572" s="1">
        <v>57135700</v>
      </c>
      <c r="H1572" s="4">
        <f t="shared" si="52"/>
        <v>-2.2624434389140271E-2</v>
      </c>
      <c r="I1572" s="4">
        <f t="shared" si="53"/>
        <v>-4.8458149779735685E-2</v>
      </c>
    </row>
    <row r="1573" spans="1:9" x14ac:dyDescent="0.2">
      <c r="A1573" s="2">
        <f ca="1">IFERROR(__xludf.DUMMYFUNCTION("""COMPUTED_VALUE"""),45532.6666666666)</f>
        <v>45532.666666666599</v>
      </c>
      <c r="B1573" s="2" t="s">
        <v>57</v>
      </c>
      <c r="C1573" s="1">
        <v>5400</v>
      </c>
      <c r="D1573" s="1">
        <v>5425</v>
      </c>
      <c r="E1573" s="1">
        <v>5275</v>
      </c>
      <c r="F1573" s="1">
        <v>5375</v>
      </c>
      <c r="G1573" s="1">
        <v>48476500</v>
      </c>
      <c r="H1573" s="4">
        <f t="shared" si="52"/>
        <v>-4.6296296296296294E-3</v>
      </c>
      <c r="I1573" s="4">
        <f t="shared" si="53"/>
        <v>-5.2863436123348019E-2</v>
      </c>
    </row>
    <row r="1574" spans="1:9" x14ac:dyDescent="0.2">
      <c r="A1574" s="2">
        <f ca="1">IFERROR(__xludf.DUMMYFUNCTION("""COMPUTED_VALUE"""),45533.6666666666)</f>
        <v>45533.666666666599</v>
      </c>
      <c r="B1574" s="2" t="s">
        <v>57</v>
      </c>
      <c r="C1574" s="1">
        <v>5425</v>
      </c>
      <c r="D1574" s="1">
        <v>5425</v>
      </c>
      <c r="E1574" s="1">
        <v>5300</v>
      </c>
      <c r="F1574" s="1">
        <v>5300</v>
      </c>
      <c r="G1574" s="1">
        <v>40749200</v>
      </c>
      <c r="H1574" s="4">
        <f t="shared" si="52"/>
        <v>-1.3953488372093023E-2</v>
      </c>
      <c r="I1574" s="4">
        <f t="shared" si="53"/>
        <v>-6.6079295154185022E-2</v>
      </c>
    </row>
    <row r="1575" spans="1:9" x14ac:dyDescent="0.2">
      <c r="A1575" s="2">
        <f ca="1">IFERROR(__xludf.DUMMYFUNCTION("""COMPUTED_VALUE"""),45534.6666666666)</f>
        <v>45534.666666666599</v>
      </c>
      <c r="B1575" s="2" t="s">
        <v>57</v>
      </c>
      <c r="C1575" s="1">
        <v>5300</v>
      </c>
      <c r="D1575" s="1">
        <v>5400</v>
      </c>
      <c r="E1575" s="1">
        <v>5300</v>
      </c>
      <c r="F1575" s="1">
        <v>5350</v>
      </c>
      <c r="G1575" s="1">
        <v>86718500</v>
      </c>
      <c r="H1575" s="4">
        <f t="shared" si="52"/>
        <v>9.433962264150943E-3</v>
      </c>
      <c r="I1575" s="4">
        <f t="shared" si="53"/>
        <v>-5.7268722466960353E-2</v>
      </c>
    </row>
    <row r="1576" spans="1:9" x14ac:dyDescent="0.2">
      <c r="A1576" s="2">
        <f ca="1">IFERROR(__xludf.DUMMYFUNCTION("""COMPUTED_VALUE"""),45537.6666666666)</f>
        <v>45537.666666666599</v>
      </c>
      <c r="B1576" s="2" t="s">
        <v>57</v>
      </c>
      <c r="C1576" s="1">
        <v>5350</v>
      </c>
      <c r="D1576" s="1">
        <v>5400</v>
      </c>
      <c r="E1576" s="1">
        <v>5325</v>
      </c>
      <c r="F1576" s="1">
        <v>5350</v>
      </c>
      <c r="G1576" s="1">
        <v>22988100</v>
      </c>
      <c r="H1576" s="4">
        <f t="shared" si="52"/>
        <v>0</v>
      </c>
      <c r="I1576" s="4">
        <f t="shared" si="53"/>
        <v>-5.7268722466960353E-2</v>
      </c>
    </row>
    <row r="1577" spans="1:9" x14ac:dyDescent="0.2">
      <c r="A1577" s="2">
        <f ca="1">IFERROR(__xludf.DUMMYFUNCTION("""COMPUTED_VALUE"""),45538.6666666666)</f>
        <v>45538.666666666599</v>
      </c>
      <c r="B1577" s="2" t="s">
        <v>57</v>
      </c>
      <c r="C1577" s="1">
        <v>5375</v>
      </c>
      <c r="D1577" s="1">
        <v>5400</v>
      </c>
      <c r="E1577" s="1">
        <v>5325</v>
      </c>
      <c r="F1577" s="1">
        <v>5375</v>
      </c>
      <c r="G1577" s="1">
        <v>20288700</v>
      </c>
      <c r="H1577" s="4">
        <f t="shared" si="52"/>
        <v>4.6728971962616819E-3</v>
      </c>
      <c r="I1577" s="4">
        <f t="shared" si="53"/>
        <v>-5.2863436123348019E-2</v>
      </c>
    </row>
    <row r="1578" spans="1:9" x14ac:dyDescent="0.2">
      <c r="A1578" s="2">
        <f ca="1">IFERROR(__xludf.DUMMYFUNCTION("""COMPUTED_VALUE"""),45539.6666666666)</f>
        <v>45539.666666666599</v>
      </c>
      <c r="B1578" s="2" t="s">
        <v>57</v>
      </c>
      <c r="C1578" s="1">
        <v>5325</v>
      </c>
      <c r="D1578" s="1">
        <v>5375</v>
      </c>
      <c r="E1578" s="1">
        <v>5300</v>
      </c>
      <c r="F1578" s="1">
        <v>5350</v>
      </c>
      <c r="G1578" s="1">
        <v>47278700</v>
      </c>
      <c r="H1578" s="4">
        <f t="shared" si="52"/>
        <v>-4.6511627906976744E-3</v>
      </c>
      <c r="I1578" s="4">
        <f t="shared" si="53"/>
        <v>-5.7268722466960353E-2</v>
      </c>
    </row>
    <row r="1579" spans="1:9" x14ac:dyDescent="0.2">
      <c r="A1579" s="2">
        <f ca="1">IFERROR(__xludf.DUMMYFUNCTION("""COMPUTED_VALUE"""),45540.6666666666)</f>
        <v>45540.666666666599</v>
      </c>
      <c r="B1579" s="2" t="s">
        <v>57</v>
      </c>
      <c r="C1579" s="1">
        <v>5375</v>
      </c>
      <c r="D1579" s="1">
        <v>5450</v>
      </c>
      <c r="E1579" s="1">
        <v>5350</v>
      </c>
      <c r="F1579" s="1">
        <v>5450</v>
      </c>
      <c r="G1579" s="1">
        <v>62221800</v>
      </c>
      <c r="H1579" s="4">
        <f t="shared" si="52"/>
        <v>1.8691588785046728E-2</v>
      </c>
      <c r="I1579" s="4">
        <f t="shared" si="53"/>
        <v>-3.9647577092511016E-2</v>
      </c>
    </row>
    <row r="1580" spans="1:9" x14ac:dyDescent="0.2">
      <c r="A1580" s="2">
        <f ca="1">IFERROR(__xludf.DUMMYFUNCTION("""COMPUTED_VALUE"""),45541.6666666666)</f>
        <v>45541.666666666599</v>
      </c>
      <c r="B1580" s="2" t="s">
        <v>57</v>
      </c>
      <c r="C1580" s="1">
        <v>5500</v>
      </c>
      <c r="D1580" s="1">
        <v>5675</v>
      </c>
      <c r="E1580" s="1">
        <v>5475</v>
      </c>
      <c r="F1580" s="1">
        <v>5650</v>
      </c>
      <c r="G1580" s="1">
        <v>139365300</v>
      </c>
      <c r="H1580" s="4">
        <f t="shared" si="52"/>
        <v>3.669724770642202E-2</v>
      </c>
      <c r="I1580" s="4">
        <f t="shared" si="53"/>
        <v>-4.4052863436123352E-3</v>
      </c>
    </row>
    <row r="1581" spans="1:9" x14ac:dyDescent="0.2">
      <c r="A1581" s="2">
        <f ca="1">IFERROR(__xludf.DUMMYFUNCTION("""COMPUTED_VALUE"""),45544.6666666666)</f>
        <v>45544.666666666599</v>
      </c>
      <c r="B1581" s="2" t="s">
        <v>57</v>
      </c>
      <c r="C1581" s="1">
        <v>5650</v>
      </c>
      <c r="D1581" s="1">
        <v>5750</v>
      </c>
      <c r="E1581" s="1">
        <v>5625</v>
      </c>
      <c r="F1581" s="1">
        <v>5725</v>
      </c>
      <c r="G1581" s="1">
        <v>78827500</v>
      </c>
      <c r="H1581" s="4">
        <f t="shared" si="52"/>
        <v>1.3274336283185841E-2</v>
      </c>
      <c r="I1581" s="4">
        <f t="shared" si="53"/>
        <v>8.8105726872246704E-3</v>
      </c>
    </row>
    <row r="1582" spans="1:9" x14ac:dyDescent="0.2">
      <c r="A1582" s="2">
        <f ca="1">IFERROR(__xludf.DUMMYFUNCTION("""COMPUTED_VALUE"""),45545.6666666666)</f>
        <v>45545.666666666599</v>
      </c>
      <c r="B1582" s="2" t="s">
        <v>57</v>
      </c>
      <c r="C1582" s="1">
        <v>5750</v>
      </c>
      <c r="D1582" s="1">
        <v>5775</v>
      </c>
      <c r="E1582" s="1">
        <v>5700</v>
      </c>
      <c r="F1582" s="1">
        <v>5700</v>
      </c>
      <c r="G1582" s="1">
        <v>55033900</v>
      </c>
      <c r="H1582" s="4">
        <f t="shared" si="52"/>
        <v>-4.3668122270742356E-3</v>
      </c>
      <c r="I1582" s="4">
        <f t="shared" si="53"/>
        <v>4.4052863436123352E-3</v>
      </c>
    </row>
    <row r="1583" spans="1:9" x14ac:dyDescent="0.2">
      <c r="A1583" s="2">
        <f ca="1">IFERROR(__xludf.DUMMYFUNCTION("""COMPUTED_VALUE"""),45546.6666666666)</f>
        <v>45546.666666666599</v>
      </c>
      <c r="B1583" s="2" t="s">
        <v>57</v>
      </c>
      <c r="C1583" s="1">
        <v>5700</v>
      </c>
      <c r="D1583" s="1">
        <v>5750</v>
      </c>
      <c r="E1583" s="1">
        <v>5650</v>
      </c>
      <c r="F1583" s="1">
        <v>5650</v>
      </c>
      <c r="G1583" s="1">
        <v>33792600</v>
      </c>
      <c r="H1583" s="4">
        <f t="shared" si="52"/>
        <v>-8.771929824561403E-3</v>
      </c>
      <c r="I1583" s="4">
        <f t="shared" si="53"/>
        <v>-4.4052863436123352E-3</v>
      </c>
    </row>
    <row r="1584" spans="1:9" x14ac:dyDescent="0.2">
      <c r="A1584" s="2">
        <f ca="1">IFERROR(__xludf.DUMMYFUNCTION("""COMPUTED_VALUE"""),45547.6666666666)</f>
        <v>45547.666666666599</v>
      </c>
      <c r="B1584" s="2" t="s">
        <v>57</v>
      </c>
      <c r="C1584" s="1">
        <v>5625</v>
      </c>
      <c r="D1584" s="1">
        <v>5650</v>
      </c>
      <c r="E1584" s="1">
        <v>5575</v>
      </c>
      <c r="F1584" s="1">
        <v>5600</v>
      </c>
      <c r="G1584" s="1">
        <v>43318600</v>
      </c>
      <c r="H1584" s="4">
        <f t="shared" si="52"/>
        <v>-8.8495575221238937E-3</v>
      </c>
      <c r="I1584" s="4">
        <f t="shared" si="53"/>
        <v>-1.3215859030837005E-2</v>
      </c>
    </row>
    <row r="1585" spans="1:9" x14ac:dyDescent="0.2">
      <c r="A1585" s="2">
        <f ca="1">IFERROR(__xludf.DUMMYFUNCTION("""COMPUTED_VALUE"""),45548.6666666666)</f>
        <v>45548.666666666599</v>
      </c>
      <c r="B1585" s="2" t="s">
        <v>57</v>
      </c>
      <c r="C1585" s="1">
        <v>5600</v>
      </c>
      <c r="D1585" s="1">
        <v>5650</v>
      </c>
      <c r="E1585" s="1">
        <v>5575</v>
      </c>
      <c r="F1585" s="1">
        <v>5625</v>
      </c>
      <c r="G1585" s="1">
        <v>34311700</v>
      </c>
      <c r="H1585" s="4">
        <f t="shared" si="52"/>
        <v>4.464285714285714E-3</v>
      </c>
      <c r="I1585" s="4">
        <f t="shared" si="53"/>
        <v>-8.8105726872246704E-3</v>
      </c>
    </row>
    <row r="1586" spans="1:9" x14ac:dyDescent="0.2">
      <c r="A1586" s="2">
        <f ca="1">IFERROR(__xludf.DUMMYFUNCTION("""COMPUTED_VALUE"""),45552.6666666666)</f>
        <v>45552.666666666599</v>
      </c>
      <c r="B1586" s="2" t="s">
        <v>57</v>
      </c>
      <c r="C1586" s="1">
        <v>5600</v>
      </c>
      <c r="D1586" s="1">
        <v>5700</v>
      </c>
      <c r="E1586" s="1">
        <v>5600</v>
      </c>
      <c r="F1586" s="1">
        <v>5650</v>
      </c>
      <c r="G1586" s="1">
        <v>40776200</v>
      </c>
      <c r="H1586" s="4">
        <f t="shared" si="52"/>
        <v>4.4444444444444444E-3</v>
      </c>
      <c r="I1586" s="4">
        <f t="shared" si="53"/>
        <v>-4.4052863436123352E-3</v>
      </c>
    </row>
    <row r="1587" spans="1:9" x14ac:dyDescent="0.2">
      <c r="A1587" s="2">
        <f ca="1">IFERROR(__xludf.DUMMYFUNCTION("""COMPUTED_VALUE"""),45553.6666666666)</f>
        <v>45553.666666666599</v>
      </c>
      <c r="B1587" s="2" t="s">
        <v>57</v>
      </c>
      <c r="C1587" s="1">
        <v>5700</v>
      </c>
      <c r="D1587" s="1">
        <v>5700</v>
      </c>
      <c r="E1587" s="1">
        <v>5600</v>
      </c>
      <c r="F1587" s="1">
        <v>5700</v>
      </c>
      <c r="G1587" s="1">
        <v>64489200</v>
      </c>
      <c r="H1587" s="4">
        <f t="shared" si="52"/>
        <v>8.8495575221238937E-3</v>
      </c>
      <c r="I1587" s="4">
        <f t="shared" si="53"/>
        <v>4.4052863436123352E-3</v>
      </c>
    </row>
    <row r="1588" spans="1:9" x14ac:dyDescent="0.2">
      <c r="A1588" s="2">
        <f ca="1">IFERROR(__xludf.DUMMYFUNCTION("""COMPUTED_VALUE"""),45554.6666666666)</f>
        <v>45554.666666666599</v>
      </c>
      <c r="B1588" s="2" t="s">
        <v>57</v>
      </c>
      <c r="C1588" s="1">
        <v>5800</v>
      </c>
      <c r="D1588" s="1">
        <v>5850</v>
      </c>
      <c r="E1588" s="1">
        <v>5750</v>
      </c>
      <c r="F1588" s="1">
        <v>5825</v>
      </c>
      <c r="G1588" s="1">
        <v>93847800</v>
      </c>
      <c r="H1588" s="4">
        <f t="shared" si="52"/>
        <v>2.1929824561403508E-2</v>
      </c>
      <c r="I1588" s="4">
        <f t="shared" si="53"/>
        <v>2.643171806167401E-2</v>
      </c>
    </row>
    <row r="1589" spans="1:9" x14ac:dyDescent="0.2">
      <c r="A1589" s="2">
        <f ca="1">IFERROR(__xludf.DUMMYFUNCTION("""COMPUTED_VALUE"""),45555.6666666666)</f>
        <v>45555.666666666599</v>
      </c>
      <c r="B1589" s="2" t="s">
        <v>57</v>
      </c>
      <c r="C1589" s="1">
        <v>5825</v>
      </c>
      <c r="D1589" s="1">
        <v>5825</v>
      </c>
      <c r="E1589" s="1">
        <v>5750</v>
      </c>
      <c r="F1589" s="1">
        <v>5750</v>
      </c>
      <c r="G1589" s="1">
        <v>47673600</v>
      </c>
      <c r="H1589" s="4">
        <f t="shared" si="52"/>
        <v>-1.2875536480686695E-2</v>
      </c>
      <c r="I1589" s="4">
        <f t="shared" si="53"/>
        <v>1.3215859030837005E-2</v>
      </c>
    </row>
    <row r="1590" spans="1:9" x14ac:dyDescent="0.2">
      <c r="A1590" s="2">
        <f ca="1">IFERROR(__xludf.DUMMYFUNCTION("""COMPUTED_VALUE"""),45558.6666666666)</f>
        <v>45558.666666666599</v>
      </c>
      <c r="B1590" s="2" t="s">
        <v>57</v>
      </c>
      <c r="C1590" s="1">
        <v>5750</v>
      </c>
      <c r="D1590" s="1">
        <v>5850</v>
      </c>
      <c r="E1590" s="1">
        <v>5725</v>
      </c>
      <c r="F1590" s="1">
        <v>5800</v>
      </c>
      <c r="G1590" s="1">
        <v>48008700</v>
      </c>
      <c r="H1590" s="4">
        <f t="shared" si="52"/>
        <v>8.6956521739130436E-3</v>
      </c>
      <c r="I1590" s="4">
        <f t="shared" si="53"/>
        <v>2.2026431718061675E-2</v>
      </c>
    </row>
    <row r="1591" spans="1:9" x14ac:dyDescent="0.2">
      <c r="A1591" s="2">
        <f ca="1">IFERROR(__xludf.DUMMYFUNCTION("""COMPUTED_VALUE"""),45559.6666666666)</f>
        <v>45559.666666666599</v>
      </c>
      <c r="B1591" s="2" t="s">
        <v>57</v>
      </c>
      <c r="C1591" s="1">
        <v>5800</v>
      </c>
      <c r="D1591" s="1">
        <v>5825</v>
      </c>
      <c r="E1591" s="1">
        <v>5750</v>
      </c>
      <c r="F1591" s="1">
        <v>5800</v>
      </c>
      <c r="G1591" s="1">
        <v>39900400</v>
      </c>
      <c r="H1591" s="4">
        <f t="shared" si="52"/>
        <v>0</v>
      </c>
      <c r="I1591" s="4">
        <f t="shared" si="53"/>
        <v>2.2026431718061675E-2</v>
      </c>
    </row>
    <row r="1592" spans="1:9" x14ac:dyDescent="0.2">
      <c r="A1592" s="2">
        <f ca="1">IFERROR(__xludf.DUMMYFUNCTION("""COMPUTED_VALUE"""),45560.6666666666)</f>
        <v>45560.666666666599</v>
      </c>
      <c r="B1592" s="2" t="s">
        <v>57</v>
      </c>
      <c r="C1592" s="1">
        <v>5750</v>
      </c>
      <c r="D1592" s="1">
        <v>5750</v>
      </c>
      <c r="E1592" s="1">
        <v>5450</v>
      </c>
      <c r="F1592" s="1">
        <v>5600</v>
      </c>
      <c r="G1592" s="1">
        <v>120885200</v>
      </c>
      <c r="H1592" s="4">
        <f t="shared" si="52"/>
        <v>-3.4482758620689655E-2</v>
      </c>
      <c r="I1592" s="4">
        <f t="shared" si="53"/>
        <v>-1.3215859030837005E-2</v>
      </c>
    </row>
    <row r="1593" spans="1:9" x14ac:dyDescent="0.2">
      <c r="A1593" s="2">
        <f ca="1">IFERROR(__xludf.DUMMYFUNCTION("""COMPUTED_VALUE"""),45561.6666666666)</f>
        <v>45561.666666666599</v>
      </c>
      <c r="B1593" s="2" t="s">
        <v>57</v>
      </c>
      <c r="C1593" s="1">
        <v>5600</v>
      </c>
      <c r="D1593" s="1">
        <v>5625</v>
      </c>
      <c r="E1593" s="1">
        <v>5450</v>
      </c>
      <c r="F1593" s="1">
        <v>5600</v>
      </c>
      <c r="G1593" s="1">
        <v>59306200</v>
      </c>
      <c r="H1593" s="4">
        <f t="shared" si="52"/>
        <v>0</v>
      </c>
      <c r="I1593" s="4">
        <f t="shared" si="53"/>
        <v>-1.3215859030837005E-2</v>
      </c>
    </row>
    <row r="1594" spans="1:9" x14ac:dyDescent="0.2">
      <c r="A1594" s="2">
        <f ca="1">IFERROR(__xludf.DUMMYFUNCTION("""COMPUTED_VALUE"""),45562.6666666666)</f>
        <v>45562.666666666599</v>
      </c>
      <c r="B1594" s="2" t="s">
        <v>57</v>
      </c>
      <c r="C1594" s="1">
        <v>5600</v>
      </c>
      <c r="D1594" s="1">
        <v>5600</v>
      </c>
      <c r="E1594" s="1">
        <v>5400</v>
      </c>
      <c r="F1594" s="1">
        <v>5450</v>
      </c>
      <c r="G1594" s="1">
        <v>79718100</v>
      </c>
      <c r="H1594" s="4">
        <f t="shared" si="52"/>
        <v>-2.6785714285714284E-2</v>
      </c>
      <c r="I1594" s="4">
        <f t="shared" si="53"/>
        <v>-3.9647577092511016E-2</v>
      </c>
    </row>
    <row r="1595" spans="1:9" x14ac:dyDescent="0.2">
      <c r="A1595" s="2">
        <f ca="1">IFERROR(__xludf.DUMMYFUNCTION("""COMPUTED_VALUE"""),45565.6666666666)</f>
        <v>45565.666666666599</v>
      </c>
      <c r="B1595" s="2" t="s">
        <v>57</v>
      </c>
      <c r="C1595" s="1">
        <v>5400</v>
      </c>
      <c r="D1595" s="1">
        <v>5450</v>
      </c>
      <c r="E1595" s="1">
        <v>5325</v>
      </c>
      <c r="F1595" s="1">
        <v>5350</v>
      </c>
      <c r="G1595" s="1">
        <v>69417600</v>
      </c>
      <c r="H1595" s="4">
        <f t="shared" si="52"/>
        <v>-1.834862385321101E-2</v>
      </c>
      <c r="I1595" s="4">
        <f t="shared" si="53"/>
        <v>-5.7268722466960353E-2</v>
      </c>
    </row>
    <row r="1596" spans="1:9" x14ac:dyDescent="0.2">
      <c r="A1596" s="2">
        <f ca="1">IFERROR(__xludf.DUMMYFUNCTION("""COMPUTED_VALUE"""),45566.6666666666)</f>
        <v>45566.666666666599</v>
      </c>
      <c r="B1596" s="2" t="s">
        <v>57</v>
      </c>
      <c r="C1596" s="1">
        <v>5375</v>
      </c>
      <c r="D1596" s="1">
        <v>5450</v>
      </c>
      <c r="E1596" s="1">
        <v>5350</v>
      </c>
      <c r="F1596" s="1">
        <v>5375</v>
      </c>
      <c r="G1596" s="1">
        <v>40085600</v>
      </c>
      <c r="H1596" s="4">
        <f t="shared" si="52"/>
        <v>4.6728971962616819E-3</v>
      </c>
      <c r="I1596" s="4">
        <f t="shared" si="53"/>
        <v>-5.2863436123348019E-2</v>
      </c>
    </row>
    <row r="1597" spans="1:9" x14ac:dyDescent="0.2">
      <c r="A1597" s="2">
        <f ca="1">IFERROR(__xludf.DUMMYFUNCTION("""COMPUTED_VALUE"""),45567.6666666666)</f>
        <v>45567.666666666599</v>
      </c>
      <c r="B1597" s="2" t="s">
        <v>57</v>
      </c>
      <c r="C1597" s="1">
        <v>5325</v>
      </c>
      <c r="D1597" s="1">
        <v>5400</v>
      </c>
      <c r="E1597" s="1">
        <v>5300</v>
      </c>
      <c r="F1597" s="1">
        <v>5350</v>
      </c>
      <c r="G1597" s="1">
        <v>27716400</v>
      </c>
      <c r="H1597" s="4">
        <f t="shared" si="52"/>
        <v>-4.6511627906976744E-3</v>
      </c>
      <c r="I1597" s="4">
        <f t="shared" si="53"/>
        <v>-5.7268722466960353E-2</v>
      </c>
    </row>
    <row r="1598" spans="1:9" x14ac:dyDescent="0.2">
      <c r="A1598" s="2">
        <f ca="1">IFERROR(__xludf.DUMMYFUNCTION("""COMPUTED_VALUE"""),45568.6666666666)</f>
        <v>45568.666666666599</v>
      </c>
      <c r="B1598" s="2" t="s">
        <v>57</v>
      </c>
      <c r="C1598" s="1">
        <v>5375</v>
      </c>
      <c r="D1598" s="1">
        <v>5400</v>
      </c>
      <c r="E1598" s="1">
        <v>5300</v>
      </c>
      <c r="F1598" s="1">
        <v>5375</v>
      </c>
      <c r="G1598" s="1">
        <v>42597000</v>
      </c>
      <c r="H1598" s="4">
        <f t="shared" si="52"/>
        <v>4.6728971962616819E-3</v>
      </c>
      <c r="I1598" s="4">
        <f t="shared" si="53"/>
        <v>-5.2863436123348019E-2</v>
      </c>
    </row>
    <row r="1599" spans="1:9" x14ac:dyDescent="0.2">
      <c r="A1599" s="2">
        <f ca="1">IFERROR(__xludf.DUMMYFUNCTION("""COMPUTED_VALUE"""),45569.6666666666)</f>
        <v>45569.666666666599</v>
      </c>
      <c r="B1599" s="2" t="s">
        <v>57</v>
      </c>
      <c r="C1599" s="1">
        <v>5400</v>
      </c>
      <c r="D1599" s="1">
        <v>5425</v>
      </c>
      <c r="E1599" s="1">
        <v>5250</v>
      </c>
      <c r="F1599" s="1">
        <v>5325</v>
      </c>
      <c r="G1599" s="1">
        <v>35822100</v>
      </c>
      <c r="H1599" s="4">
        <f t="shared" si="52"/>
        <v>-9.3023255813953487E-3</v>
      </c>
      <c r="I1599" s="4">
        <f t="shared" si="53"/>
        <v>-6.1674008810572688E-2</v>
      </c>
    </row>
    <row r="1600" spans="1:9" x14ac:dyDescent="0.2">
      <c r="A1600" s="2">
        <f ca="1">IFERROR(__xludf.DUMMYFUNCTION("""COMPUTED_VALUE"""),45572.6666666666)</f>
        <v>45572.666666666599</v>
      </c>
      <c r="B1600" s="2" t="s">
        <v>57</v>
      </c>
      <c r="C1600" s="1">
        <v>5325</v>
      </c>
      <c r="D1600" s="1">
        <v>5350</v>
      </c>
      <c r="E1600" s="1">
        <v>5200</v>
      </c>
      <c r="F1600" s="1">
        <v>5200</v>
      </c>
      <c r="G1600" s="1">
        <v>52624000</v>
      </c>
      <c r="H1600" s="4">
        <f t="shared" si="52"/>
        <v>-2.3474178403755867E-2</v>
      </c>
      <c r="I1600" s="4">
        <f t="shared" si="53"/>
        <v>-8.3700440528634359E-2</v>
      </c>
    </row>
    <row r="1601" spans="1:9" x14ac:dyDescent="0.2">
      <c r="A1601" s="2">
        <f ca="1">IFERROR(__xludf.DUMMYFUNCTION("""COMPUTED_VALUE"""),45573.6666666666)</f>
        <v>45573.666666666599</v>
      </c>
      <c r="B1601" s="2" t="s">
        <v>57</v>
      </c>
      <c r="C1601" s="1">
        <v>5150</v>
      </c>
      <c r="D1601" s="1">
        <v>5400</v>
      </c>
      <c r="E1601" s="1">
        <v>5100</v>
      </c>
      <c r="F1601" s="1">
        <v>5350</v>
      </c>
      <c r="G1601" s="1">
        <v>90686900</v>
      </c>
      <c r="H1601" s="4">
        <f t="shared" si="52"/>
        <v>2.8846153846153848E-2</v>
      </c>
      <c r="I1601" s="4">
        <f t="shared" si="53"/>
        <v>-5.7268722466960353E-2</v>
      </c>
    </row>
    <row r="1602" spans="1:9" x14ac:dyDescent="0.2">
      <c r="A1602" s="2">
        <f ca="1">IFERROR(__xludf.DUMMYFUNCTION("""COMPUTED_VALUE"""),45574.6666666666)</f>
        <v>45574.666666666599</v>
      </c>
      <c r="B1602" s="2" t="s">
        <v>57</v>
      </c>
      <c r="C1602" s="1">
        <v>5350</v>
      </c>
      <c r="D1602" s="1">
        <v>5425</v>
      </c>
      <c r="E1602" s="1">
        <v>5275</v>
      </c>
      <c r="F1602" s="1">
        <v>5325</v>
      </c>
      <c r="G1602" s="1">
        <v>70831500</v>
      </c>
      <c r="H1602" s="4">
        <f t="shared" si="52"/>
        <v>-4.6728971962616819E-3</v>
      </c>
      <c r="I1602" s="4">
        <f t="shared" si="53"/>
        <v>-6.1674008810572688E-2</v>
      </c>
    </row>
    <row r="1603" spans="1:9" x14ac:dyDescent="0.2">
      <c r="A1603" s="2">
        <f ca="1">IFERROR(__xludf.DUMMYFUNCTION("""COMPUTED_VALUE"""),45575.6666666666)</f>
        <v>45575.666666666599</v>
      </c>
      <c r="B1603" s="2" t="s">
        <v>57</v>
      </c>
      <c r="C1603" s="1">
        <v>5350</v>
      </c>
      <c r="D1603" s="1">
        <v>5400</v>
      </c>
      <c r="E1603" s="1">
        <v>5325</v>
      </c>
      <c r="F1603" s="1">
        <v>5325</v>
      </c>
      <c r="G1603" s="1">
        <v>25892500</v>
      </c>
      <c r="H1603" s="4">
        <f t="shared" si="52"/>
        <v>0</v>
      </c>
      <c r="I1603" s="4">
        <f t="shared" si="53"/>
        <v>-6.1674008810572688E-2</v>
      </c>
    </row>
    <row r="1604" spans="1:9" x14ac:dyDescent="0.2">
      <c r="A1604" s="2">
        <f ca="1">IFERROR(__xludf.DUMMYFUNCTION("""COMPUTED_VALUE"""),45576.6666666666)</f>
        <v>45576.666666666599</v>
      </c>
      <c r="B1604" s="2" t="s">
        <v>57</v>
      </c>
      <c r="C1604" s="1">
        <v>5425</v>
      </c>
      <c r="D1604" s="1">
        <v>5425</v>
      </c>
      <c r="E1604" s="1">
        <v>5325</v>
      </c>
      <c r="F1604" s="1">
        <v>5375</v>
      </c>
      <c r="G1604" s="1">
        <v>14488900</v>
      </c>
      <c r="H1604" s="4">
        <f t="shared" si="52"/>
        <v>9.3896713615023476E-3</v>
      </c>
      <c r="I1604" s="4">
        <f t="shared" si="53"/>
        <v>-5.2863436123348019E-2</v>
      </c>
    </row>
    <row r="1605" spans="1:9" x14ac:dyDescent="0.2">
      <c r="A1605" s="2">
        <f ca="1">IFERROR(__xludf.DUMMYFUNCTION("""COMPUTED_VALUE"""),45579.6666666666)</f>
        <v>45579.666666666599</v>
      </c>
      <c r="B1605" s="2" t="s">
        <v>57</v>
      </c>
      <c r="C1605" s="1">
        <v>5375</v>
      </c>
      <c r="D1605" s="1">
        <v>5450</v>
      </c>
      <c r="E1605" s="1">
        <v>5375</v>
      </c>
      <c r="F1605" s="1">
        <v>5425</v>
      </c>
      <c r="G1605" s="1">
        <v>36808100</v>
      </c>
      <c r="H1605" s="4">
        <f t="shared" si="52"/>
        <v>9.3023255813953487E-3</v>
      </c>
      <c r="I1605" s="4">
        <f t="shared" si="53"/>
        <v>-4.405286343612335E-2</v>
      </c>
    </row>
    <row r="1606" spans="1:9" x14ac:dyDescent="0.2">
      <c r="A1606" s="2">
        <f ca="1">IFERROR(__xludf.DUMMYFUNCTION("""COMPUTED_VALUE"""),45580.6666666666)</f>
        <v>45580.666666666599</v>
      </c>
      <c r="B1606" s="2" t="s">
        <v>57</v>
      </c>
      <c r="C1606" s="1">
        <v>5450</v>
      </c>
      <c r="D1606" s="1">
        <v>5525</v>
      </c>
      <c r="E1606" s="1">
        <v>5425</v>
      </c>
      <c r="F1606" s="1">
        <v>5500</v>
      </c>
      <c r="G1606" s="1">
        <v>44248600</v>
      </c>
      <c r="H1606" s="4">
        <f t="shared" si="52"/>
        <v>1.3824884792626729E-2</v>
      </c>
      <c r="I1606" s="4">
        <f t="shared" si="53"/>
        <v>-3.0837004405286344E-2</v>
      </c>
    </row>
    <row r="1607" spans="1:9" x14ac:dyDescent="0.2">
      <c r="A1607" s="2">
        <f ca="1">IFERROR(__xludf.DUMMYFUNCTION("""COMPUTED_VALUE"""),45581.6666666666)</f>
        <v>45581.666666666599</v>
      </c>
      <c r="B1607" s="2" t="s">
        <v>57</v>
      </c>
      <c r="C1607" s="1">
        <v>5500</v>
      </c>
      <c r="D1607" s="1">
        <v>5500</v>
      </c>
      <c r="E1607" s="1">
        <v>5450</v>
      </c>
      <c r="F1607" s="1">
        <v>5475</v>
      </c>
      <c r="G1607" s="1">
        <v>26629100</v>
      </c>
      <c r="H1607" s="4">
        <f t="shared" si="52"/>
        <v>-4.5454545454545452E-3</v>
      </c>
      <c r="I1607" s="4">
        <f t="shared" si="53"/>
        <v>-3.5242290748898682E-2</v>
      </c>
    </row>
    <row r="1608" spans="1:9" x14ac:dyDescent="0.2">
      <c r="A1608" s="2">
        <f ca="1">IFERROR(__xludf.DUMMYFUNCTION("""COMPUTED_VALUE"""),45582.6666666666)</f>
        <v>45582.666666666599</v>
      </c>
      <c r="B1608" s="2" t="s">
        <v>57</v>
      </c>
      <c r="C1608" s="1">
        <v>5500</v>
      </c>
      <c r="D1608" s="1">
        <v>5575</v>
      </c>
      <c r="E1608" s="1">
        <v>5475</v>
      </c>
      <c r="F1608" s="1">
        <v>5500</v>
      </c>
      <c r="G1608" s="1">
        <v>48570900</v>
      </c>
      <c r="H1608" s="4">
        <f t="shared" si="52"/>
        <v>4.5662100456621002E-3</v>
      </c>
      <c r="I1608" s="4">
        <f t="shared" si="53"/>
        <v>-3.0837004405286344E-2</v>
      </c>
    </row>
    <row r="1609" spans="1:9" x14ac:dyDescent="0.2">
      <c r="A1609" s="2">
        <f ca="1">IFERROR(__xludf.DUMMYFUNCTION("""COMPUTED_VALUE"""),45583.6666666666)</f>
        <v>45583.666666666599</v>
      </c>
      <c r="B1609" s="2" t="s">
        <v>57</v>
      </c>
      <c r="C1609" s="1">
        <v>5550</v>
      </c>
      <c r="D1609" s="1">
        <v>5650</v>
      </c>
      <c r="E1609" s="1">
        <v>5550</v>
      </c>
      <c r="F1609" s="1">
        <v>5650</v>
      </c>
      <c r="G1609" s="1">
        <v>58870300</v>
      </c>
      <c r="H1609" s="4">
        <f t="shared" si="52"/>
        <v>2.7272727272727271E-2</v>
      </c>
      <c r="I1609" s="4">
        <f t="shared" si="53"/>
        <v>-4.4052863436123352E-3</v>
      </c>
    </row>
    <row r="1610" spans="1:9" x14ac:dyDescent="0.2">
      <c r="A1610" s="2">
        <f ca="1">IFERROR(__xludf.DUMMYFUNCTION("""COMPUTED_VALUE"""),45586.6666666666)</f>
        <v>45586.666666666599</v>
      </c>
      <c r="B1610" s="2" t="s">
        <v>57</v>
      </c>
      <c r="C1610" s="1">
        <v>5700</v>
      </c>
      <c r="D1610" s="1">
        <v>5750</v>
      </c>
      <c r="E1610" s="1">
        <v>5600</v>
      </c>
      <c r="F1610" s="1">
        <v>5625</v>
      </c>
      <c r="G1610" s="1">
        <v>50980600</v>
      </c>
      <c r="H1610" s="4">
        <f t="shared" si="52"/>
        <v>-4.4247787610619468E-3</v>
      </c>
      <c r="I1610" s="4">
        <f t="shared" si="53"/>
        <v>-8.8105726872246704E-3</v>
      </c>
    </row>
    <row r="1611" spans="1:9" x14ac:dyDescent="0.2">
      <c r="A1611" s="2">
        <f ca="1">IFERROR(__xludf.DUMMYFUNCTION("""COMPUTED_VALUE"""),45587.6666666666)</f>
        <v>45587.666666666599</v>
      </c>
      <c r="B1611" s="2" t="s">
        <v>57</v>
      </c>
      <c r="C1611" s="1">
        <v>5650</v>
      </c>
      <c r="D1611" s="1">
        <v>5675</v>
      </c>
      <c r="E1611" s="1">
        <v>5575</v>
      </c>
      <c r="F1611" s="1">
        <v>5650</v>
      </c>
      <c r="G1611" s="1">
        <v>59956900</v>
      </c>
      <c r="H1611" s="4">
        <f t="shared" si="52"/>
        <v>4.4444444444444444E-3</v>
      </c>
      <c r="I1611" s="4">
        <f t="shared" si="53"/>
        <v>-4.4052863436123352E-3</v>
      </c>
    </row>
    <row r="1612" spans="1:9" x14ac:dyDescent="0.2">
      <c r="A1612" s="2">
        <f ca="1">IFERROR(__xludf.DUMMYFUNCTION("""COMPUTED_VALUE"""),45588.6666666666)</f>
        <v>45588.666666666599</v>
      </c>
      <c r="B1612" s="2" t="s">
        <v>57</v>
      </c>
      <c r="C1612" s="1">
        <v>5675</v>
      </c>
      <c r="D1612" s="1">
        <v>5675</v>
      </c>
      <c r="E1612" s="1">
        <v>5600</v>
      </c>
      <c r="F1612" s="1">
        <v>5675</v>
      </c>
      <c r="G1612" s="1">
        <v>63163700</v>
      </c>
      <c r="H1612" s="4">
        <f t="shared" si="52"/>
        <v>4.4247787610619468E-3</v>
      </c>
      <c r="I1612" s="4">
        <f t="shared" si="53"/>
        <v>0</v>
      </c>
    </row>
    <row r="1613" spans="1:9" x14ac:dyDescent="0.2">
      <c r="A1613" s="2">
        <f ca="1">IFERROR(__xludf.DUMMYFUNCTION("""COMPUTED_VALUE"""),45589.6666666666)</f>
        <v>45589.666666666599</v>
      </c>
      <c r="B1613" s="2" t="s">
        <v>57</v>
      </c>
      <c r="C1613" s="1">
        <v>5650</v>
      </c>
      <c r="D1613" s="1">
        <v>5700</v>
      </c>
      <c r="E1613" s="1">
        <v>5625</v>
      </c>
      <c r="F1613" s="1">
        <v>5625</v>
      </c>
      <c r="G1613" s="1">
        <v>26445200</v>
      </c>
      <c r="H1613" s="4">
        <f t="shared" si="52"/>
        <v>-8.8105726872246704E-3</v>
      </c>
      <c r="I1613" s="4">
        <f t="shared" si="53"/>
        <v>-8.8105726872246704E-3</v>
      </c>
    </row>
    <row r="1614" spans="1:9" x14ac:dyDescent="0.2">
      <c r="A1614" s="2">
        <f ca="1">IFERROR(__xludf.DUMMYFUNCTION("""COMPUTED_VALUE"""),45590.6666666666)</f>
        <v>45590.666666666599</v>
      </c>
      <c r="B1614" s="2" t="s">
        <v>57</v>
      </c>
      <c r="C1614" s="1">
        <v>5625</v>
      </c>
      <c r="D1614" s="1">
        <v>5650</v>
      </c>
      <c r="E1614" s="1">
        <v>5550</v>
      </c>
      <c r="F1614" s="1">
        <v>5650</v>
      </c>
      <c r="G1614" s="1">
        <v>20200300</v>
      </c>
      <c r="H1614" s="4">
        <f t="shared" si="52"/>
        <v>4.4444444444444444E-3</v>
      </c>
      <c r="I1614" s="4">
        <f t="shared" si="53"/>
        <v>-4.4052863436123352E-3</v>
      </c>
    </row>
    <row r="1615" spans="1:9" x14ac:dyDescent="0.2">
      <c r="A1615" s="2">
        <f ca="1">IFERROR(__xludf.DUMMYFUNCTION("""COMPUTED_VALUE"""),45593.6666666666)</f>
        <v>45593.666666666599</v>
      </c>
      <c r="B1615" s="2" t="s">
        <v>57</v>
      </c>
      <c r="C1615" s="1">
        <v>5650</v>
      </c>
      <c r="D1615" s="1">
        <v>5675</v>
      </c>
      <c r="E1615" s="1">
        <v>5425</v>
      </c>
      <c r="F1615" s="1">
        <v>5500</v>
      </c>
      <c r="G1615" s="1">
        <v>48523000</v>
      </c>
      <c r="H1615" s="4">
        <f t="shared" ref="H1615:H1678" si="54">(F1615-F1614)/F1614</f>
        <v>-2.6548672566371681E-2</v>
      </c>
      <c r="I1615" s="4">
        <f t="shared" ref="I1615:I1678" si="55">(F1615-$F$2)/$F$2</f>
        <v>-3.0837004405286344E-2</v>
      </c>
    </row>
    <row r="1616" spans="1:9" x14ac:dyDescent="0.2">
      <c r="A1616" s="2">
        <f ca="1">IFERROR(__xludf.DUMMYFUNCTION("""COMPUTED_VALUE"""),45594.6666666666)</f>
        <v>45594.666666666599</v>
      </c>
      <c r="B1616" s="2" t="s">
        <v>57</v>
      </c>
      <c r="C1616" s="1">
        <v>5400</v>
      </c>
      <c r="D1616" s="1">
        <v>5500</v>
      </c>
      <c r="E1616" s="1">
        <v>5275</v>
      </c>
      <c r="F1616" s="1">
        <v>5300</v>
      </c>
      <c r="G1616" s="1">
        <v>77068500</v>
      </c>
      <c r="H1616" s="4">
        <f t="shared" si="54"/>
        <v>-3.6363636363636362E-2</v>
      </c>
      <c r="I1616" s="4">
        <f t="shared" si="55"/>
        <v>-6.6079295154185022E-2</v>
      </c>
    </row>
    <row r="1617" spans="1:9" x14ac:dyDescent="0.2">
      <c r="A1617" s="2">
        <f ca="1">IFERROR(__xludf.DUMMYFUNCTION("""COMPUTED_VALUE"""),45595.6666666666)</f>
        <v>45595.666666666599</v>
      </c>
      <c r="B1617" s="2" t="s">
        <v>57</v>
      </c>
      <c r="C1617" s="1">
        <v>5300</v>
      </c>
      <c r="D1617" s="1">
        <v>5325</v>
      </c>
      <c r="E1617" s="1">
        <v>5200</v>
      </c>
      <c r="F1617" s="1">
        <v>5225</v>
      </c>
      <c r="G1617" s="1">
        <v>58411700</v>
      </c>
      <c r="H1617" s="4">
        <f t="shared" si="54"/>
        <v>-1.4150943396226415E-2</v>
      </c>
      <c r="I1617" s="4">
        <f t="shared" si="55"/>
        <v>-7.9295154185022032E-2</v>
      </c>
    </row>
    <row r="1618" spans="1:9" x14ac:dyDescent="0.2">
      <c r="A1618" s="2">
        <f ca="1">IFERROR(__xludf.DUMMYFUNCTION("""COMPUTED_VALUE"""),45596.6666666666)</f>
        <v>45596.666666666599</v>
      </c>
      <c r="B1618" s="2" t="s">
        <v>57</v>
      </c>
      <c r="C1618" s="1">
        <v>5200</v>
      </c>
      <c r="D1618" s="1">
        <v>5300</v>
      </c>
      <c r="E1618" s="1">
        <v>5175</v>
      </c>
      <c r="F1618" s="1">
        <v>5250</v>
      </c>
      <c r="G1618" s="1">
        <v>50040800</v>
      </c>
      <c r="H1618" s="4">
        <f t="shared" si="54"/>
        <v>4.7846889952153108E-3</v>
      </c>
      <c r="I1618" s="4">
        <f t="shared" si="55"/>
        <v>-7.4889867841409691E-2</v>
      </c>
    </row>
    <row r="1619" spans="1:9" x14ac:dyDescent="0.2">
      <c r="A1619" s="2">
        <f ca="1">IFERROR(__xludf.DUMMYFUNCTION("""COMPUTED_VALUE"""),45597.6666666666)</f>
        <v>45597.666666666599</v>
      </c>
      <c r="B1619" s="2" t="s">
        <v>57</v>
      </c>
      <c r="C1619" s="1">
        <v>5250</v>
      </c>
      <c r="D1619" s="1">
        <v>5250</v>
      </c>
      <c r="E1619" s="1">
        <v>5175</v>
      </c>
      <c r="F1619" s="1">
        <v>5200</v>
      </c>
      <c r="G1619" s="1">
        <v>21870200</v>
      </c>
      <c r="H1619" s="4">
        <f t="shared" si="54"/>
        <v>-9.5238095238095247E-3</v>
      </c>
      <c r="I1619" s="4">
        <f t="shared" si="55"/>
        <v>-8.3700440528634359E-2</v>
      </c>
    </row>
    <row r="1620" spans="1:9" x14ac:dyDescent="0.2">
      <c r="A1620" s="2">
        <f ca="1">IFERROR(__xludf.DUMMYFUNCTION("""COMPUTED_VALUE"""),45600.6666666666)</f>
        <v>45600.666666666599</v>
      </c>
      <c r="B1620" s="2" t="s">
        <v>57</v>
      </c>
      <c r="C1620" s="1">
        <v>5225</v>
      </c>
      <c r="D1620" s="1">
        <v>5325</v>
      </c>
      <c r="E1620" s="1">
        <v>5150</v>
      </c>
      <c r="F1620" s="1">
        <v>5300</v>
      </c>
      <c r="G1620" s="1">
        <v>31669500</v>
      </c>
      <c r="H1620" s="4">
        <f t="shared" si="54"/>
        <v>1.9230769230769232E-2</v>
      </c>
      <c r="I1620" s="4">
        <f t="shared" si="55"/>
        <v>-6.6079295154185022E-2</v>
      </c>
    </row>
    <row r="1621" spans="1:9" x14ac:dyDescent="0.2">
      <c r="A1621" s="2">
        <f ca="1">IFERROR(__xludf.DUMMYFUNCTION("""COMPUTED_VALUE"""),45601.6666666666)</f>
        <v>45601.666666666599</v>
      </c>
      <c r="B1621" s="2" t="s">
        <v>57</v>
      </c>
      <c r="C1621" s="1">
        <v>5275</v>
      </c>
      <c r="D1621" s="1">
        <v>5450</v>
      </c>
      <c r="E1621" s="1">
        <v>5250</v>
      </c>
      <c r="F1621" s="1">
        <v>5400</v>
      </c>
      <c r="G1621" s="1">
        <v>32446400</v>
      </c>
      <c r="H1621" s="4">
        <f t="shared" si="54"/>
        <v>1.8867924528301886E-2</v>
      </c>
      <c r="I1621" s="4">
        <f t="shared" si="55"/>
        <v>-4.8458149779735685E-2</v>
      </c>
    </row>
    <row r="1622" spans="1:9" x14ac:dyDescent="0.2">
      <c r="A1622" s="2">
        <f ca="1">IFERROR(__xludf.DUMMYFUNCTION("""COMPUTED_VALUE"""),45602.6666666666)</f>
        <v>45602.666666666599</v>
      </c>
      <c r="B1622" s="2" t="s">
        <v>57</v>
      </c>
      <c r="C1622" s="1">
        <v>5425</v>
      </c>
      <c r="D1622" s="1">
        <v>5425</v>
      </c>
      <c r="E1622" s="1">
        <v>5100</v>
      </c>
      <c r="F1622" s="1">
        <v>5125</v>
      </c>
      <c r="G1622" s="1">
        <v>67214100</v>
      </c>
      <c r="H1622" s="4">
        <f t="shared" si="54"/>
        <v>-5.0925925925925923E-2</v>
      </c>
      <c r="I1622" s="4">
        <f t="shared" si="55"/>
        <v>-9.6916299559471369E-2</v>
      </c>
    </row>
    <row r="1623" spans="1:9" x14ac:dyDescent="0.2">
      <c r="A1623" s="2">
        <f ca="1">IFERROR(__xludf.DUMMYFUNCTION("""COMPUTED_VALUE"""),45603.6666666666)</f>
        <v>45603.666666666599</v>
      </c>
      <c r="B1623" s="2" t="s">
        <v>57</v>
      </c>
      <c r="C1623" s="1">
        <v>5150</v>
      </c>
      <c r="D1623" s="1">
        <v>5175</v>
      </c>
      <c r="E1623" s="1">
        <v>5025</v>
      </c>
      <c r="F1623" s="1">
        <v>5025</v>
      </c>
      <c r="G1623" s="1">
        <v>63745800</v>
      </c>
      <c r="H1623" s="4">
        <f t="shared" si="54"/>
        <v>-1.9512195121951219E-2</v>
      </c>
      <c r="I1623" s="4">
        <f t="shared" si="55"/>
        <v>-0.11453744493392071</v>
      </c>
    </row>
    <row r="1624" spans="1:9" x14ac:dyDescent="0.2">
      <c r="A1624" s="2">
        <f ca="1">IFERROR(__xludf.DUMMYFUNCTION("""COMPUTED_VALUE"""),45604.6666666666)</f>
        <v>45604.666666666599</v>
      </c>
      <c r="B1624" s="2" t="s">
        <v>57</v>
      </c>
      <c r="C1624" s="1">
        <v>5075</v>
      </c>
      <c r="D1624" s="1">
        <v>5125</v>
      </c>
      <c r="E1624" s="1">
        <v>4970</v>
      </c>
      <c r="F1624" s="1">
        <v>4980</v>
      </c>
      <c r="G1624" s="1">
        <v>51146300</v>
      </c>
      <c r="H1624" s="4">
        <f t="shared" si="54"/>
        <v>-8.9552238805970154E-3</v>
      </c>
      <c r="I1624" s="4">
        <f t="shared" si="55"/>
        <v>-0.12246696035242291</v>
      </c>
    </row>
    <row r="1625" spans="1:9" x14ac:dyDescent="0.2">
      <c r="A1625" s="2">
        <f ca="1">IFERROR(__xludf.DUMMYFUNCTION("""COMPUTED_VALUE"""),45607.6666666666)</f>
        <v>45607.666666666599</v>
      </c>
      <c r="B1625" s="2" t="s">
        <v>57</v>
      </c>
      <c r="C1625" s="1">
        <v>4950</v>
      </c>
      <c r="D1625" s="1">
        <v>5025</v>
      </c>
      <c r="E1625" s="1">
        <v>4800</v>
      </c>
      <c r="F1625" s="1">
        <v>4990</v>
      </c>
      <c r="G1625" s="1">
        <v>44028300</v>
      </c>
      <c r="H1625" s="4">
        <f t="shared" si="54"/>
        <v>2.008032128514056E-3</v>
      </c>
      <c r="I1625" s="4">
        <f t="shared" si="55"/>
        <v>-0.12070484581497798</v>
      </c>
    </row>
    <row r="1626" spans="1:9" x14ac:dyDescent="0.2">
      <c r="A1626" s="2">
        <f ca="1">IFERROR(__xludf.DUMMYFUNCTION("""COMPUTED_VALUE"""),45608.6666666666)</f>
        <v>45608.666666666599</v>
      </c>
      <c r="B1626" s="2" t="s">
        <v>57</v>
      </c>
      <c r="C1626" s="1">
        <v>4960</v>
      </c>
      <c r="D1626" s="1">
        <v>5000</v>
      </c>
      <c r="E1626" s="1">
        <v>4870</v>
      </c>
      <c r="F1626" s="1">
        <v>4930</v>
      </c>
      <c r="G1626" s="1">
        <v>70220900</v>
      </c>
      <c r="H1626" s="4">
        <f t="shared" si="54"/>
        <v>-1.2024048096192385E-2</v>
      </c>
      <c r="I1626" s="4">
        <f t="shared" si="55"/>
        <v>-0.13127753303964756</v>
      </c>
    </row>
    <row r="1627" spans="1:9" x14ac:dyDescent="0.2">
      <c r="A1627" s="2">
        <f ca="1">IFERROR(__xludf.DUMMYFUNCTION("""COMPUTED_VALUE"""),45609.6666666666)</f>
        <v>45609.666666666599</v>
      </c>
      <c r="B1627" s="2" t="s">
        <v>57</v>
      </c>
      <c r="C1627" s="1">
        <v>4930</v>
      </c>
      <c r="D1627" s="1">
        <v>5025</v>
      </c>
      <c r="E1627" s="1">
        <v>4910</v>
      </c>
      <c r="F1627" s="1">
        <v>4960</v>
      </c>
      <c r="G1627" s="1">
        <v>64548800</v>
      </c>
      <c r="H1627" s="4">
        <f t="shared" si="54"/>
        <v>6.0851926977687626E-3</v>
      </c>
      <c r="I1627" s="4">
        <f t="shared" si="55"/>
        <v>-0.12599118942731277</v>
      </c>
    </row>
    <row r="1628" spans="1:9" x14ac:dyDescent="0.2">
      <c r="A1628" s="2">
        <f ca="1">IFERROR(__xludf.DUMMYFUNCTION("""COMPUTED_VALUE"""),45610.6666666666)</f>
        <v>45610.666666666599</v>
      </c>
      <c r="B1628" s="2" t="s">
        <v>57</v>
      </c>
      <c r="C1628" s="1">
        <v>4960</v>
      </c>
      <c r="D1628" s="1">
        <v>4970</v>
      </c>
      <c r="E1628" s="1">
        <v>4910</v>
      </c>
      <c r="F1628" s="1">
        <v>4950</v>
      </c>
      <c r="G1628" s="1">
        <v>33431400</v>
      </c>
      <c r="H1628" s="4">
        <f t="shared" si="54"/>
        <v>-2.0161290322580645E-3</v>
      </c>
      <c r="I1628" s="4">
        <f t="shared" si="55"/>
        <v>-0.1277533039647577</v>
      </c>
    </row>
    <row r="1629" spans="1:9" x14ac:dyDescent="0.2">
      <c r="A1629" s="2">
        <f ca="1">IFERROR(__xludf.DUMMYFUNCTION("""COMPUTED_VALUE"""),45611.6666666666)</f>
        <v>45611.666666666599</v>
      </c>
      <c r="B1629" s="2" t="s">
        <v>57</v>
      </c>
      <c r="C1629" s="1">
        <v>4920</v>
      </c>
      <c r="D1629" s="1">
        <v>4940</v>
      </c>
      <c r="E1629" s="1">
        <v>4870</v>
      </c>
      <c r="F1629" s="1">
        <v>4910</v>
      </c>
      <c r="G1629" s="1">
        <v>32785700</v>
      </c>
      <c r="H1629" s="4">
        <f t="shared" si="54"/>
        <v>-8.0808080808080808E-3</v>
      </c>
      <c r="I1629" s="4">
        <f t="shared" si="55"/>
        <v>-0.13480176211453745</v>
      </c>
    </row>
    <row r="1630" spans="1:9" x14ac:dyDescent="0.2">
      <c r="A1630" s="2">
        <f ca="1">IFERROR(__xludf.DUMMYFUNCTION("""COMPUTED_VALUE"""),45614.6666666666)</f>
        <v>45614.666666666599</v>
      </c>
      <c r="B1630" s="2" t="s">
        <v>57</v>
      </c>
      <c r="C1630" s="1">
        <v>4930</v>
      </c>
      <c r="D1630" s="1">
        <v>4930</v>
      </c>
      <c r="E1630" s="1">
        <v>4830</v>
      </c>
      <c r="F1630" s="1">
        <v>4870</v>
      </c>
      <c r="G1630" s="1">
        <v>22240200</v>
      </c>
      <c r="H1630" s="4">
        <f t="shared" si="54"/>
        <v>-8.1466395112016286E-3</v>
      </c>
      <c r="I1630" s="4">
        <f t="shared" si="55"/>
        <v>-0.14185022026431718</v>
      </c>
    </row>
    <row r="1631" spans="1:9" x14ac:dyDescent="0.2">
      <c r="A1631" s="2">
        <f ca="1">IFERROR(__xludf.DUMMYFUNCTION("""COMPUTED_VALUE"""),45615.6666666666)</f>
        <v>45615.666666666599</v>
      </c>
      <c r="B1631" s="2" t="s">
        <v>57</v>
      </c>
      <c r="C1631" s="1">
        <v>4860</v>
      </c>
      <c r="D1631" s="1">
        <v>4890</v>
      </c>
      <c r="E1631" s="1">
        <v>4800</v>
      </c>
      <c r="F1631" s="1">
        <v>4850</v>
      </c>
      <c r="G1631" s="1">
        <v>28214800</v>
      </c>
      <c r="H1631" s="4">
        <f t="shared" si="54"/>
        <v>-4.1067761806981521E-3</v>
      </c>
      <c r="I1631" s="4">
        <f t="shared" si="55"/>
        <v>-0.14537444933920704</v>
      </c>
    </row>
    <row r="1632" spans="1:9" x14ac:dyDescent="0.2">
      <c r="A1632" s="2">
        <f ca="1">IFERROR(__xludf.DUMMYFUNCTION("""COMPUTED_VALUE"""),45616.6666666666)</f>
        <v>45616.666666666599</v>
      </c>
      <c r="B1632" s="2" t="s">
        <v>57</v>
      </c>
      <c r="C1632" s="1">
        <v>4870</v>
      </c>
      <c r="D1632" s="1">
        <v>4900</v>
      </c>
      <c r="E1632" s="1">
        <v>4800</v>
      </c>
      <c r="F1632" s="1">
        <v>4850</v>
      </c>
      <c r="G1632" s="1">
        <v>24693600</v>
      </c>
      <c r="H1632" s="4">
        <f t="shared" si="54"/>
        <v>0</v>
      </c>
      <c r="I1632" s="4">
        <f t="shared" si="55"/>
        <v>-0.14537444933920704</v>
      </c>
    </row>
    <row r="1633" spans="1:9" x14ac:dyDescent="0.2">
      <c r="A1633" s="2">
        <f ca="1">IFERROR(__xludf.DUMMYFUNCTION("""COMPUTED_VALUE"""),45617.6666666666)</f>
        <v>45617.666666666599</v>
      </c>
      <c r="B1633" s="2" t="s">
        <v>57</v>
      </c>
      <c r="C1633" s="1">
        <v>4820</v>
      </c>
      <c r="D1633" s="1">
        <v>4850</v>
      </c>
      <c r="E1633" s="1">
        <v>4710</v>
      </c>
      <c r="F1633" s="1">
        <v>4720</v>
      </c>
      <c r="G1633" s="1">
        <v>45727200</v>
      </c>
      <c r="H1633" s="4">
        <f t="shared" si="54"/>
        <v>-2.6804123711340205E-2</v>
      </c>
      <c r="I1633" s="4">
        <f t="shared" si="55"/>
        <v>-0.1682819383259912</v>
      </c>
    </row>
    <row r="1634" spans="1:9" x14ac:dyDescent="0.2">
      <c r="A1634" s="2">
        <f ca="1">IFERROR(__xludf.DUMMYFUNCTION("""COMPUTED_VALUE"""),45618.6666666666)</f>
        <v>45618.666666666599</v>
      </c>
      <c r="B1634" s="2" t="s">
        <v>57</v>
      </c>
      <c r="C1634" s="1">
        <v>4750</v>
      </c>
      <c r="D1634" s="1">
        <v>4860</v>
      </c>
      <c r="E1634" s="1">
        <v>4740</v>
      </c>
      <c r="F1634" s="1">
        <v>4840</v>
      </c>
      <c r="G1634" s="1">
        <v>50258400</v>
      </c>
      <c r="H1634" s="4">
        <f t="shared" si="54"/>
        <v>2.5423728813559324E-2</v>
      </c>
      <c r="I1634" s="4">
        <f t="shared" si="55"/>
        <v>-0.14713656387665197</v>
      </c>
    </row>
    <row r="1635" spans="1:9" x14ac:dyDescent="0.2">
      <c r="A1635" s="2">
        <f ca="1">IFERROR(__xludf.DUMMYFUNCTION("""COMPUTED_VALUE"""),45621.6666666666)</f>
        <v>45621.666666666599</v>
      </c>
      <c r="B1635" s="2" t="s">
        <v>57</v>
      </c>
      <c r="C1635" s="1">
        <v>4850</v>
      </c>
      <c r="D1635" s="1">
        <v>5075</v>
      </c>
      <c r="E1635" s="1">
        <v>4840</v>
      </c>
      <c r="F1635" s="1">
        <v>4990</v>
      </c>
      <c r="G1635" s="1">
        <v>98405900</v>
      </c>
      <c r="H1635" s="4">
        <f t="shared" si="54"/>
        <v>3.0991735537190084E-2</v>
      </c>
      <c r="I1635" s="4">
        <f t="shared" si="55"/>
        <v>-0.12070484581497798</v>
      </c>
    </row>
    <row r="1636" spans="1:9" x14ac:dyDescent="0.2">
      <c r="A1636" s="2">
        <f ca="1">IFERROR(__xludf.DUMMYFUNCTION("""COMPUTED_VALUE"""),45622.6666666666)</f>
        <v>45622.666666666599</v>
      </c>
      <c r="B1636" s="2" t="s">
        <v>57</v>
      </c>
      <c r="C1636" s="1">
        <v>5025</v>
      </c>
      <c r="D1636" s="1">
        <v>5050</v>
      </c>
      <c r="E1636" s="1">
        <v>4950</v>
      </c>
      <c r="F1636" s="1">
        <v>4950</v>
      </c>
      <c r="G1636" s="1">
        <v>37322800</v>
      </c>
      <c r="H1636" s="4">
        <f t="shared" si="54"/>
        <v>-8.0160320641282558E-3</v>
      </c>
      <c r="I1636" s="4">
        <f t="shared" si="55"/>
        <v>-0.1277533039647577</v>
      </c>
    </row>
    <row r="1637" spans="1:9" x14ac:dyDescent="0.2">
      <c r="A1637" s="2">
        <f ca="1">IFERROR(__xludf.DUMMYFUNCTION("""COMPUTED_VALUE"""),45624.6666666666)</f>
        <v>45624.666666666599</v>
      </c>
      <c r="B1637" s="2" t="s">
        <v>57</v>
      </c>
      <c r="C1637" s="1">
        <v>5025</v>
      </c>
      <c r="D1637" s="1">
        <v>5075</v>
      </c>
      <c r="E1637" s="1">
        <v>4950</v>
      </c>
      <c r="F1637" s="1">
        <v>5025</v>
      </c>
      <c r="G1637" s="1">
        <v>28337000</v>
      </c>
      <c r="H1637" s="4">
        <f t="shared" si="54"/>
        <v>1.5151515151515152E-2</v>
      </c>
      <c r="I1637" s="4">
        <f t="shared" si="55"/>
        <v>-0.11453744493392071</v>
      </c>
    </row>
    <row r="1638" spans="1:9" x14ac:dyDescent="0.2">
      <c r="A1638" s="2">
        <f ca="1">IFERROR(__xludf.DUMMYFUNCTION("""COMPUTED_VALUE"""),45625.6666666666)</f>
        <v>45625.666666666599</v>
      </c>
      <c r="B1638" s="2" t="s">
        <v>57</v>
      </c>
      <c r="C1638" s="1">
        <v>5025</v>
      </c>
      <c r="D1638" s="1">
        <v>5050</v>
      </c>
      <c r="E1638" s="1">
        <v>4940</v>
      </c>
      <c r="F1638" s="1">
        <v>4980</v>
      </c>
      <c r="G1638" s="1">
        <v>48885400</v>
      </c>
      <c r="H1638" s="4">
        <f t="shared" si="54"/>
        <v>-8.9552238805970154E-3</v>
      </c>
      <c r="I1638" s="4">
        <f t="shared" si="55"/>
        <v>-0.12246696035242291</v>
      </c>
    </row>
    <row r="1639" spans="1:9" x14ac:dyDescent="0.2">
      <c r="A1639" s="2">
        <f ca="1">IFERROR(__xludf.DUMMYFUNCTION("""COMPUTED_VALUE"""),45628.6666666666)</f>
        <v>45628.666666666599</v>
      </c>
      <c r="B1639" s="2" t="s">
        <v>57</v>
      </c>
      <c r="C1639" s="1">
        <v>4980</v>
      </c>
      <c r="D1639" s="1">
        <v>5000</v>
      </c>
      <c r="E1639" s="1">
        <v>4710</v>
      </c>
      <c r="F1639" s="1">
        <v>4710</v>
      </c>
      <c r="G1639" s="1">
        <v>49318100</v>
      </c>
      <c r="H1639" s="4">
        <f t="shared" si="54"/>
        <v>-5.4216867469879519E-2</v>
      </c>
      <c r="I1639" s="4">
        <f t="shared" si="55"/>
        <v>-0.17004405286343613</v>
      </c>
    </row>
    <row r="1640" spans="1:9" x14ac:dyDescent="0.2">
      <c r="A1640" s="2">
        <f ca="1">IFERROR(__xludf.DUMMYFUNCTION("""COMPUTED_VALUE"""),45629.6666666666)</f>
        <v>45629.666666666599</v>
      </c>
      <c r="B1640" s="2" t="s">
        <v>57</v>
      </c>
      <c r="C1640" s="1">
        <v>4740</v>
      </c>
      <c r="D1640" s="1">
        <v>4840</v>
      </c>
      <c r="E1640" s="1">
        <v>4730</v>
      </c>
      <c r="F1640" s="1">
        <v>4780</v>
      </c>
      <c r="G1640" s="1">
        <v>60101100</v>
      </c>
      <c r="H1640" s="4">
        <f t="shared" si="54"/>
        <v>1.4861995753715499E-2</v>
      </c>
      <c r="I1640" s="4">
        <f t="shared" si="55"/>
        <v>-0.15770925110132158</v>
      </c>
    </row>
    <row r="1641" spans="1:9" x14ac:dyDescent="0.2">
      <c r="A1641" s="2">
        <f ca="1">IFERROR(__xludf.DUMMYFUNCTION("""COMPUTED_VALUE"""),45630.6666666666)</f>
        <v>45630.666666666599</v>
      </c>
      <c r="B1641" s="2" t="s">
        <v>57</v>
      </c>
      <c r="C1641" s="1">
        <v>4800</v>
      </c>
      <c r="D1641" s="1">
        <v>4980</v>
      </c>
      <c r="E1641" s="1">
        <v>4790</v>
      </c>
      <c r="F1641" s="1">
        <v>4950</v>
      </c>
      <c r="G1641" s="1">
        <v>46942200</v>
      </c>
      <c r="H1641" s="4">
        <f t="shared" si="54"/>
        <v>3.5564853556485358E-2</v>
      </c>
      <c r="I1641" s="4">
        <f t="shared" si="55"/>
        <v>-0.1277533039647577</v>
      </c>
    </row>
    <row r="1642" spans="1:9" x14ac:dyDescent="0.2">
      <c r="A1642" s="2">
        <f ca="1">IFERROR(__xludf.DUMMYFUNCTION("""COMPUTED_VALUE"""),45631.6666666666)</f>
        <v>45631.666666666599</v>
      </c>
      <c r="B1642" s="2" t="s">
        <v>57</v>
      </c>
      <c r="C1642" s="1">
        <v>4950</v>
      </c>
      <c r="D1642" s="1">
        <v>4950</v>
      </c>
      <c r="E1642" s="1">
        <v>4810</v>
      </c>
      <c r="F1642" s="1">
        <v>4820</v>
      </c>
      <c r="G1642" s="1">
        <v>33537600</v>
      </c>
      <c r="H1642" s="4">
        <f t="shared" si="54"/>
        <v>-2.6262626262626262E-2</v>
      </c>
      <c r="I1642" s="4">
        <f t="shared" si="55"/>
        <v>-0.15066079295154186</v>
      </c>
    </row>
    <row r="1643" spans="1:9" x14ac:dyDescent="0.2">
      <c r="A1643" s="2">
        <f ca="1">IFERROR(__xludf.DUMMYFUNCTION("""COMPUTED_VALUE"""),45632.6666666666)</f>
        <v>45632.666666666599</v>
      </c>
      <c r="B1643" s="2" t="s">
        <v>57</v>
      </c>
      <c r="C1643" s="1">
        <v>4820</v>
      </c>
      <c r="D1643" s="1">
        <v>4880</v>
      </c>
      <c r="E1643" s="1">
        <v>4780</v>
      </c>
      <c r="F1643" s="1">
        <v>4860</v>
      </c>
      <c r="G1643" s="1">
        <v>25735100</v>
      </c>
      <c r="H1643" s="4">
        <f t="shared" si="54"/>
        <v>8.2987551867219917E-3</v>
      </c>
      <c r="I1643" s="4">
        <f t="shared" si="55"/>
        <v>-0.14361233480176211</v>
      </c>
    </row>
    <row r="1644" spans="1:9" x14ac:dyDescent="0.2">
      <c r="A1644" s="2">
        <f ca="1">IFERROR(__xludf.DUMMYFUNCTION("""COMPUTED_VALUE"""),45635.6666666666)</f>
        <v>45635.666666666599</v>
      </c>
      <c r="B1644" s="2" t="s">
        <v>57</v>
      </c>
      <c r="C1644" s="1">
        <v>4890</v>
      </c>
      <c r="D1644" s="1">
        <v>5050</v>
      </c>
      <c r="E1644" s="1">
        <v>4880</v>
      </c>
      <c r="F1644" s="1">
        <v>5000</v>
      </c>
      <c r="G1644" s="1">
        <v>43938100</v>
      </c>
      <c r="H1644" s="4">
        <f t="shared" si="54"/>
        <v>2.8806584362139918E-2</v>
      </c>
      <c r="I1644" s="4">
        <f t="shared" si="55"/>
        <v>-0.11894273127753303</v>
      </c>
    </row>
    <row r="1645" spans="1:9" x14ac:dyDescent="0.2">
      <c r="A1645" s="2">
        <f ca="1">IFERROR(__xludf.DUMMYFUNCTION("""COMPUTED_VALUE"""),45636.6666666666)</f>
        <v>45636.666666666599</v>
      </c>
      <c r="B1645" s="2" t="s">
        <v>57</v>
      </c>
      <c r="C1645" s="1">
        <v>4990</v>
      </c>
      <c r="D1645" s="1">
        <v>5100</v>
      </c>
      <c r="E1645" s="1">
        <v>4930</v>
      </c>
      <c r="F1645" s="1">
        <v>5100</v>
      </c>
      <c r="G1645" s="1">
        <v>39158900</v>
      </c>
      <c r="H1645" s="4">
        <f t="shared" si="54"/>
        <v>0.02</v>
      </c>
      <c r="I1645" s="4">
        <f t="shared" si="55"/>
        <v>-0.1013215859030837</v>
      </c>
    </row>
    <row r="1646" spans="1:9" x14ac:dyDescent="0.2">
      <c r="A1646" s="2">
        <f ca="1">IFERROR(__xludf.DUMMYFUNCTION("""COMPUTED_VALUE"""),45637.6666666666)</f>
        <v>45637.666666666599</v>
      </c>
      <c r="B1646" s="2" t="s">
        <v>57</v>
      </c>
      <c r="C1646" s="1">
        <v>5050</v>
      </c>
      <c r="D1646" s="1">
        <v>5175</v>
      </c>
      <c r="E1646" s="1">
        <v>5050</v>
      </c>
      <c r="F1646" s="1">
        <v>5075</v>
      </c>
      <c r="G1646" s="1">
        <v>39770900</v>
      </c>
      <c r="H1646" s="4">
        <f t="shared" si="54"/>
        <v>-4.9019607843137254E-3</v>
      </c>
      <c r="I1646" s="4">
        <f t="shared" si="55"/>
        <v>-0.10572687224669604</v>
      </c>
    </row>
    <row r="1647" spans="1:9" x14ac:dyDescent="0.2">
      <c r="A1647" s="2">
        <f ca="1">IFERROR(__xludf.DUMMYFUNCTION("""COMPUTED_VALUE"""),45638.6666666666)</f>
        <v>45638.666666666599</v>
      </c>
      <c r="B1647" s="2" t="s">
        <v>57</v>
      </c>
      <c r="C1647" s="1">
        <v>5025</v>
      </c>
      <c r="D1647" s="1">
        <v>5025</v>
      </c>
      <c r="E1647" s="1">
        <v>4880</v>
      </c>
      <c r="F1647" s="1">
        <v>4880</v>
      </c>
      <c r="G1647" s="1">
        <v>45911900</v>
      </c>
      <c r="H1647" s="4">
        <f t="shared" si="54"/>
        <v>-3.8423645320197042E-2</v>
      </c>
      <c r="I1647" s="4">
        <f t="shared" si="55"/>
        <v>-0.14008810572687225</v>
      </c>
    </row>
    <row r="1648" spans="1:9" x14ac:dyDescent="0.2">
      <c r="A1648" s="2">
        <f ca="1">IFERROR(__xludf.DUMMYFUNCTION("""COMPUTED_VALUE"""),45639.6666666666)</f>
        <v>45639.666666666599</v>
      </c>
      <c r="B1648" s="2" t="s">
        <v>57</v>
      </c>
      <c r="C1648" s="1">
        <v>4800</v>
      </c>
      <c r="D1648" s="1">
        <v>4830</v>
      </c>
      <c r="E1648" s="1">
        <v>4720</v>
      </c>
      <c r="F1648" s="1">
        <v>4730</v>
      </c>
      <c r="G1648" s="1">
        <v>72851000</v>
      </c>
      <c r="H1648" s="4">
        <f t="shared" si="54"/>
        <v>-3.0737704918032786E-2</v>
      </c>
      <c r="I1648" s="4">
        <f t="shared" si="55"/>
        <v>-0.16651982378854627</v>
      </c>
    </row>
    <row r="1649" spans="1:9" x14ac:dyDescent="0.2">
      <c r="A1649" s="2">
        <f ca="1">IFERROR(__xludf.DUMMYFUNCTION("""COMPUTED_VALUE"""),45642.6666666666)</f>
        <v>45642.666666666599</v>
      </c>
      <c r="B1649" s="2" t="s">
        <v>57</v>
      </c>
      <c r="C1649" s="1">
        <v>4610</v>
      </c>
      <c r="D1649" s="1">
        <v>4720</v>
      </c>
      <c r="E1649" s="1">
        <v>4600</v>
      </c>
      <c r="F1649" s="1">
        <v>4640</v>
      </c>
      <c r="G1649" s="1">
        <v>83736700</v>
      </c>
      <c r="H1649" s="4">
        <f t="shared" si="54"/>
        <v>-1.9027484143763214E-2</v>
      </c>
      <c r="I1649" s="4">
        <f t="shared" si="55"/>
        <v>-0.18237885462555067</v>
      </c>
    </row>
    <row r="1650" spans="1:9" x14ac:dyDescent="0.2">
      <c r="A1650" s="2">
        <f ca="1">IFERROR(__xludf.DUMMYFUNCTION("""COMPUTED_VALUE"""),45643.6666666666)</f>
        <v>45643.666666666599</v>
      </c>
      <c r="B1650" s="2" t="s">
        <v>57</v>
      </c>
      <c r="C1650" s="1">
        <v>4620</v>
      </c>
      <c r="D1650" s="1">
        <v>4640</v>
      </c>
      <c r="E1650" s="1">
        <v>4430</v>
      </c>
      <c r="F1650" s="1">
        <v>4470</v>
      </c>
      <c r="G1650" s="1">
        <v>119873700</v>
      </c>
      <c r="H1650" s="4">
        <f t="shared" si="54"/>
        <v>-3.6637931034482756E-2</v>
      </c>
      <c r="I1650" s="4">
        <f t="shared" si="55"/>
        <v>-0.21233480176211453</v>
      </c>
    </row>
    <row r="1651" spans="1:9" x14ac:dyDescent="0.2">
      <c r="A1651" s="2">
        <f ca="1">IFERROR(__xludf.DUMMYFUNCTION("""COMPUTED_VALUE"""),45644.6666666666)</f>
        <v>45644.666666666599</v>
      </c>
      <c r="B1651" s="2" t="s">
        <v>57</v>
      </c>
      <c r="C1651" s="1">
        <v>4470</v>
      </c>
      <c r="D1651" s="1">
        <v>4530</v>
      </c>
      <c r="E1651" s="1">
        <v>4410</v>
      </c>
      <c r="F1651" s="1">
        <v>4430</v>
      </c>
      <c r="G1651" s="1">
        <v>56470100</v>
      </c>
      <c r="H1651" s="4">
        <f t="shared" si="54"/>
        <v>-8.948545861297539E-3</v>
      </c>
      <c r="I1651" s="4">
        <f t="shared" si="55"/>
        <v>-0.21938325991189428</v>
      </c>
    </row>
    <row r="1652" spans="1:9" x14ac:dyDescent="0.2">
      <c r="A1652" s="2">
        <f ca="1">IFERROR(__xludf.DUMMYFUNCTION("""COMPUTED_VALUE"""),45645.6666666666)</f>
        <v>45645.666666666599</v>
      </c>
      <c r="B1652" s="2" t="s">
        <v>57</v>
      </c>
      <c r="C1652" s="1">
        <v>4360</v>
      </c>
      <c r="D1652" s="1">
        <v>4370</v>
      </c>
      <c r="E1652" s="1">
        <v>4300</v>
      </c>
      <c r="F1652" s="1">
        <v>4310</v>
      </c>
      <c r="G1652" s="1">
        <v>71247000</v>
      </c>
      <c r="H1652" s="4">
        <f t="shared" si="54"/>
        <v>-2.7088036117381489E-2</v>
      </c>
      <c r="I1652" s="4">
        <f t="shared" si="55"/>
        <v>-0.24052863436123348</v>
      </c>
    </row>
    <row r="1653" spans="1:9" x14ac:dyDescent="0.2">
      <c r="A1653" s="2">
        <f ca="1">IFERROR(__xludf.DUMMYFUNCTION("""COMPUTED_VALUE"""),45646.6666666666)</f>
        <v>45646.666666666599</v>
      </c>
      <c r="B1653" s="2" t="s">
        <v>57</v>
      </c>
      <c r="C1653" s="1">
        <v>4330</v>
      </c>
      <c r="D1653" s="1">
        <v>4360</v>
      </c>
      <c r="E1653" s="1">
        <v>4260</v>
      </c>
      <c r="F1653" s="1">
        <v>4260</v>
      </c>
      <c r="G1653" s="1">
        <v>83872500</v>
      </c>
      <c r="H1653" s="4">
        <f t="shared" si="54"/>
        <v>-1.1600928074245939E-2</v>
      </c>
      <c r="I1653" s="4">
        <f t="shared" si="55"/>
        <v>-0.24933920704845816</v>
      </c>
    </row>
    <row r="1654" spans="1:9" x14ac:dyDescent="0.2">
      <c r="A1654" s="2">
        <f ca="1">IFERROR(__xludf.DUMMYFUNCTION("""COMPUTED_VALUE"""),45649.6666666666)</f>
        <v>45649.666666666599</v>
      </c>
      <c r="B1654" s="2" t="s">
        <v>57</v>
      </c>
      <c r="C1654" s="1">
        <v>4320</v>
      </c>
      <c r="D1654" s="1">
        <v>4390</v>
      </c>
      <c r="E1654" s="1">
        <v>4320</v>
      </c>
      <c r="F1654" s="1">
        <v>4380</v>
      </c>
      <c r="G1654" s="1">
        <v>43668100</v>
      </c>
      <c r="H1654" s="4">
        <f t="shared" si="54"/>
        <v>2.8169014084507043E-2</v>
      </c>
      <c r="I1654" s="4">
        <f t="shared" si="55"/>
        <v>-0.22819383259911893</v>
      </c>
    </row>
    <row r="1655" spans="1:9" x14ac:dyDescent="0.2">
      <c r="A1655" s="2">
        <f ca="1">IFERROR(__xludf.DUMMYFUNCTION("""COMPUTED_VALUE"""),45650.6666666666)</f>
        <v>45650.666666666599</v>
      </c>
      <c r="B1655" s="2" t="s">
        <v>57</v>
      </c>
      <c r="C1655" s="1">
        <v>4380</v>
      </c>
      <c r="D1655" s="1">
        <v>4400</v>
      </c>
      <c r="E1655" s="1">
        <v>4340</v>
      </c>
      <c r="F1655" s="1">
        <v>4380</v>
      </c>
      <c r="G1655" s="1">
        <v>21458900</v>
      </c>
      <c r="H1655" s="4">
        <f t="shared" si="54"/>
        <v>0</v>
      </c>
      <c r="I1655" s="4">
        <f t="shared" si="55"/>
        <v>-0.22819383259911893</v>
      </c>
    </row>
    <row r="1656" spans="1:9" x14ac:dyDescent="0.2">
      <c r="A1656" s="2">
        <f ca="1">IFERROR(__xludf.DUMMYFUNCTION("""COMPUTED_VALUE"""),45653.6666666666)</f>
        <v>45653.666666666599</v>
      </c>
      <c r="B1656" s="2" t="s">
        <v>57</v>
      </c>
      <c r="C1656" s="1">
        <v>4380</v>
      </c>
      <c r="D1656" s="1">
        <v>4430</v>
      </c>
      <c r="E1656" s="1">
        <v>4360</v>
      </c>
      <c r="F1656" s="1">
        <v>4360</v>
      </c>
      <c r="G1656" s="1">
        <v>22838700</v>
      </c>
      <c r="H1656" s="4">
        <f t="shared" si="54"/>
        <v>-4.5662100456621002E-3</v>
      </c>
      <c r="I1656" s="4">
        <f t="shared" si="55"/>
        <v>-0.23171806167400882</v>
      </c>
    </row>
    <row r="1657" spans="1:9" x14ac:dyDescent="0.2">
      <c r="A1657" s="2">
        <f ca="1">IFERROR(__xludf.DUMMYFUNCTION("""COMPUTED_VALUE"""),45656.6666666666)</f>
        <v>45656.666666666599</v>
      </c>
      <c r="B1657" s="2" t="s">
        <v>57</v>
      </c>
      <c r="C1657" s="1">
        <v>4340</v>
      </c>
      <c r="D1657" s="1">
        <v>4380</v>
      </c>
      <c r="E1657" s="1">
        <v>4270</v>
      </c>
      <c r="F1657" s="1">
        <v>4350</v>
      </c>
      <c r="G1657" s="1">
        <v>43899600</v>
      </c>
      <c r="H1657" s="4">
        <f t="shared" si="54"/>
        <v>-2.2935779816513763E-3</v>
      </c>
      <c r="I1657" s="4">
        <f t="shared" si="55"/>
        <v>-0.23348017621145375</v>
      </c>
    </row>
    <row r="1658" spans="1:9" x14ac:dyDescent="0.2">
      <c r="A1658" s="2">
        <f ca="1">IFERROR(__xludf.DUMMYFUNCTION("""COMPUTED_VALUE"""),45659.6666666666)</f>
        <v>45659.666666666599</v>
      </c>
      <c r="B1658" s="2" t="s">
        <v>57</v>
      </c>
      <c r="C1658" s="1">
        <v>4360</v>
      </c>
      <c r="D1658" s="1">
        <v>4590</v>
      </c>
      <c r="E1658" s="1">
        <v>4360</v>
      </c>
      <c r="F1658" s="1">
        <v>4590</v>
      </c>
      <c r="G1658" s="1">
        <v>56985400</v>
      </c>
      <c r="H1658" s="4">
        <f t="shared" si="54"/>
        <v>5.5172413793103448E-2</v>
      </c>
      <c r="I1658" s="4">
        <f t="shared" si="55"/>
        <v>-0.19118942731277533</v>
      </c>
    </row>
    <row r="1659" spans="1:9" x14ac:dyDescent="0.2">
      <c r="A1659" s="2">
        <f ca="1">IFERROR(__xludf.DUMMYFUNCTION("""COMPUTED_VALUE"""),45660.6666666666)</f>
        <v>45660.666666666599</v>
      </c>
      <c r="B1659" s="2" t="s">
        <v>57</v>
      </c>
      <c r="C1659" s="1">
        <v>4600</v>
      </c>
      <c r="D1659" s="1">
        <v>4630</v>
      </c>
      <c r="E1659" s="1">
        <v>4540</v>
      </c>
      <c r="F1659" s="1">
        <v>4540</v>
      </c>
      <c r="G1659" s="1">
        <v>76388000</v>
      </c>
      <c r="H1659" s="4">
        <f t="shared" si="54"/>
        <v>-1.0893246187363835E-2</v>
      </c>
      <c r="I1659" s="4">
        <f t="shared" si="55"/>
        <v>-0.2</v>
      </c>
    </row>
    <row r="1660" spans="1:9" x14ac:dyDescent="0.2">
      <c r="A1660" s="2">
        <f ca="1">IFERROR(__xludf.DUMMYFUNCTION("""COMPUTED_VALUE"""),45663.6666666666)</f>
        <v>45663.666666666599</v>
      </c>
      <c r="B1660" s="2" t="s">
        <v>57</v>
      </c>
      <c r="C1660" s="1">
        <v>4550</v>
      </c>
      <c r="D1660" s="1">
        <v>4560</v>
      </c>
      <c r="E1660" s="1">
        <v>4410</v>
      </c>
      <c r="F1660" s="1">
        <v>4430</v>
      </c>
      <c r="G1660" s="1">
        <v>26008100</v>
      </c>
      <c r="H1660" s="4">
        <f t="shared" si="54"/>
        <v>-2.4229074889867842E-2</v>
      </c>
      <c r="I1660" s="4">
        <f t="shared" si="55"/>
        <v>-0.21938325991189428</v>
      </c>
    </row>
    <row r="1661" spans="1:9" x14ac:dyDescent="0.2">
      <c r="A1661" s="2">
        <f ca="1">IFERROR(__xludf.DUMMYFUNCTION("""COMPUTED_VALUE"""),45664.6666666666)</f>
        <v>45664.666666666599</v>
      </c>
      <c r="B1661" s="2" t="s">
        <v>57</v>
      </c>
      <c r="C1661" s="1">
        <v>4370</v>
      </c>
      <c r="D1661" s="1">
        <v>4410</v>
      </c>
      <c r="E1661" s="1">
        <v>4340</v>
      </c>
      <c r="F1661" s="1">
        <v>4360</v>
      </c>
      <c r="G1661" s="1">
        <v>36973900</v>
      </c>
      <c r="H1661" s="4">
        <f t="shared" si="54"/>
        <v>-1.580135440180587E-2</v>
      </c>
      <c r="I1661" s="4">
        <f t="shared" si="55"/>
        <v>-0.23171806167400882</v>
      </c>
    </row>
    <row r="1662" spans="1:9" x14ac:dyDescent="0.2">
      <c r="A1662" s="2">
        <f ca="1">IFERROR(__xludf.DUMMYFUNCTION("""COMPUTED_VALUE"""),45665.6666666666)</f>
        <v>45665.666666666599</v>
      </c>
      <c r="B1662" s="2" t="s">
        <v>57</v>
      </c>
      <c r="C1662" s="1">
        <v>4350</v>
      </c>
      <c r="D1662" s="1">
        <v>4430</v>
      </c>
      <c r="E1662" s="1">
        <v>4350</v>
      </c>
      <c r="F1662" s="1">
        <v>4370</v>
      </c>
      <c r="G1662" s="1">
        <v>39476000</v>
      </c>
      <c r="H1662" s="4">
        <f t="shared" si="54"/>
        <v>2.2935779816513763E-3</v>
      </c>
      <c r="I1662" s="4">
        <f t="shared" si="55"/>
        <v>-0.22995594713656387</v>
      </c>
    </row>
    <row r="1663" spans="1:9" x14ac:dyDescent="0.2">
      <c r="A1663" s="2">
        <f ca="1">IFERROR(__xludf.DUMMYFUNCTION("""COMPUTED_VALUE"""),45666.6666666666)</f>
        <v>45666.666666666599</v>
      </c>
      <c r="B1663" s="2" t="s">
        <v>57</v>
      </c>
      <c r="C1663" s="1">
        <v>4360</v>
      </c>
      <c r="D1663" s="1">
        <v>4410</v>
      </c>
      <c r="E1663" s="1">
        <v>4350</v>
      </c>
      <c r="F1663" s="1">
        <v>4380</v>
      </c>
      <c r="G1663" s="1">
        <v>25545500</v>
      </c>
      <c r="H1663" s="4">
        <f t="shared" si="54"/>
        <v>2.2883295194508009E-3</v>
      </c>
      <c r="I1663" s="4">
        <f t="shared" si="55"/>
        <v>-0.22819383259911893</v>
      </c>
    </row>
    <row r="1664" spans="1:9" x14ac:dyDescent="0.2">
      <c r="A1664" s="2">
        <f ca="1">IFERROR(__xludf.DUMMYFUNCTION("""COMPUTED_VALUE"""),45667.6666666666)</f>
        <v>45667.666666666599</v>
      </c>
      <c r="B1664" s="2" t="s">
        <v>57</v>
      </c>
      <c r="C1664" s="1">
        <v>4380</v>
      </c>
      <c r="D1664" s="1">
        <v>4420</v>
      </c>
      <c r="E1664" s="1">
        <v>4350</v>
      </c>
      <c r="F1664" s="1">
        <v>4350</v>
      </c>
      <c r="G1664" s="1">
        <v>28235300</v>
      </c>
      <c r="H1664" s="4">
        <f t="shared" si="54"/>
        <v>-6.8493150684931503E-3</v>
      </c>
      <c r="I1664" s="4">
        <f t="shared" si="55"/>
        <v>-0.23348017621145375</v>
      </c>
    </row>
    <row r="1665" spans="1:9" x14ac:dyDescent="0.2">
      <c r="A1665" s="2">
        <f ca="1">IFERROR(__xludf.DUMMYFUNCTION("""COMPUTED_VALUE"""),45670.6666666666)</f>
        <v>45670.666666666599</v>
      </c>
      <c r="B1665" s="2" t="s">
        <v>57</v>
      </c>
      <c r="C1665" s="1">
        <v>4320</v>
      </c>
      <c r="D1665" s="1">
        <v>4330</v>
      </c>
      <c r="E1665" s="1">
        <v>4200</v>
      </c>
      <c r="F1665" s="1">
        <v>4210</v>
      </c>
      <c r="G1665" s="1">
        <v>54029800</v>
      </c>
      <c r="H1665" s="4">
        <f t="shared" si="54"/>
        <v>-3.2183908045977011E-2</v>
      </c>
      <c r="I1665" s="4">
        <f t="shared" si="55"/>
        <v>-0.25814977973568282</v>
      </c>
    </row>
    <row r="1666" spans="1:9" x14ac:dyDescent="0.2">
      <c r="A1666" s="2">
        <f ca="1">IFERROR(__xludf.DUMMYFUNCTION("""COMPUTED_VALUE"""),45671.6666666666)</f>
        <v>45671.666666666599</v>
      </c>
      <c r="B1666" s="2" t="s">
        <v>57</v>
      </c>
      <c r="C1666" s="1">
        <v>4170</v>
      </c>
      <c r="D1666" s="1">
        <v>4240</v>
      </c>
      <c r="E1666" s="1">
        <v>4110</v>
      </c>
      <c r="F1666" s="1">
        <v>4130</v>
      </c>
      <c r="G1666" s="1">
        <v>71568000</v>
      </c>
      <c r="H1666" s="4">
        <f t="shared" si="54"/>
        <v>-1.9002375296912115E-2</v>
      </c>
      <c r="I1666" s="4">
        <f t="shared" si="55"/>
        <v>-0.27224669603524226</v>
      </c>
    </row>
    <row r="1667" spans="1:9" x14ac:dyDescent="0.2">
      <c r="A1667" s="2">
        <f ca="1">IFERROR(__xludf.DUMMYFUNCTION("""COMPUTED_VALUE"""),45672.6666666666)</f>
        <v>45672.666666666599</v>
      </c>
      <c r="B1667" s="2" t="s">
        <v>57</v>
      </c>
      <c r="C1667" s="1">
        <v>4150</v>
      </c>
      <c r="D1667" s="1">
        <v>4430</v>
      </c>
      <c r="E1667" s="1">
        <v>4150</v>
      </c>
      <c r="F1667" s="1">
        <v>4410</v>
      </c>
      <c r="G1667" s="1">
        <v>82038200</v>
      </c>
      <c r="H1667" s="4">
        <f t="shared" si="54"/>
        <v>6.7796610169491525E-2</v>
      </c>
      <c r="I1667" s="4">
        <f t="shared" si="55"/>
        <v>-0.22290748898678414</v>
      </c>
    </row>
    <row r="1668" spans="1:9" x14ac:dyDescent="0.2">
      <c r="A1668" s="2">
        <f ca="1">IFERROR(__xludf.DUMMYFUNCTION("""COMPUTED_VALUE"""),45673.6666666666)</f>
        <v>45673.666666666599</v>
      </c>
      <c r="B1668" s="2" t="s">
        <v>57</v>
      </c>
      <c r="C1668" s="1">
        <v>4600</v>
      </c>
      <c r="D1668" s="1">
        <v>4600</v>
      </c>
      <c r="E1668" s="1">
        <v>4480</v>
      </c>
      <c r="F1668" s="1">
        <v>4500</v>
      </c>
      <c r="G1668" s="1">
        <v>113849300</v>
      </c>
      <c r="H1668" s="4">
        <f t="shared" si="54"/>
        <v>2.0408163265306121E-2</v>
      </c>
      <c r="I1668" s="4">
        <f t="shared" si="55"/>
        <v>-0.20704845814977973</v>
      </c>
    </row>
    <row r="1669" spans="1:9" x14ac:dyDescent="0.2">
      <c r="A1669" s="2">
        <f ca="1">IFERROR(__xludf.DUMMYFUNCTION("""COMPUTED_VALUE"""),45674.6666666666)</f>
        <v>45674.666666666599</v>
      </c>
      <c r="B1669" s="2" t="s">
        <v>57</v>
      </c>
      <c r="C1669" s="1">
        <v>4450</v>
      </c>
      <c r="D1669" s="1">
        <v>4570</v>
      </c>
      <c r="E1669" s="1">
        <v>4380</v>
      </c>
      <c r="F1669" s="1">
        <v>4470</v>
      </c>
      <c r="G1669" s="1">
        <v>40130000</v>
      </c>
      <c r="H1669" s="4">
        <f t="shared" si="54"/>
        <v>-6.6666666666666671E-3</v>
      </c>
      <c r="I1669" s="4">
        <f t="shared" si="55"/>
        <v>-0.21233480176211453</v>
      </c>
    </row>
    <row r="1670" spans="1:9" x14ac:dyDescent="0.2">
      <c r="A1670" s="2">
        <f ca="1">IFERROR(__xludf.DUMMYFUNCTION("""COMPUTED_VALUE"""),45677.6666666666)</f>
        <v>45677.666666666599</v>
      </c>
      <c r="B1670" s="2" t="s">
        <v>57</v>
      </c>
      <c r="C1670" s="1">
        <v>4520</v>
      </c>
      <c r="D1670" s="1">
        <v>4660</v>
      </c>
      <c r="E1670" s="1">
        <v>4490</v>
      </c>
      <c r="F1670" s="1">
        <v>4620</v>
      </c>
      <c r="G1670" s="1">
        <v>67692300</v>
      </c>
      <c r="H1670" s="4">
        <f t="shared" si="54"/>
        <v>3.3557046979865772E-2</v>
      </c>
      <c r="I1670" s="4">
        <f t="shared" si="55"/>
        <v>-0.18590308370044054</v>
      </c>
    </row>
    <row r="1671" spans="1:9" x14ac:dyDescent="0.2">
      <c r="A1671" s="2">
        <f ca="1">IFERROR(__xludf.DUMMYFUNCTION("""COMPUTED_VALUE"""),45678.6666666666)</f>
        <v>45678.666666666599</v>
      </c>
      <c r="B1671" s="2" t="s">
        <v>57</v>
      </c>
      <c r="C1671" s="1">
        <v>4690</v>
      </c>
      <c r="D1671" s="1">
        <v>4820</v>
      </c>
      <c r="E1671" s="1">
        <v>4650</v>
      </c>
      <c r="F1671" s="1">
        <v>4740</v>
      </c>
      <c r="G1671" s="1">
        <v>96008700</v>
      </c>
      <c r="H1671" s="4">
        <f t="shared" si="54"/>
        <v>2.5974025974025976E-2</v>
      </c>
      <c r="I1671" s="4">
        <f t="shared" si="55"/>
        <v>-0.16475770925110131</v>
      </c>
    </row>
    <row r="1672" spans="1:9" x14ac:dyDescent="0.2">
      <c r="A1672" s="2">
        <f ca="1">IFERROR(__xludf.DUMMYFUNCTION("""COMPUTED_VALUE"""),45679.6666666666)</f>
        <v>45679.666666666599</v>
      </c>
      <c r="B1672" s="2" t="s">
        <v>57</v>
      </c>
      <c r="C1672" s="1">
        <v>4790</v>
      </c>
      <c r="D1672" s="1">
        <v>4810</v>
      </c>
      <c r="E1672" s="1">
        <v>4760</v>
      </c>
      <c r="F1672" s="1">
        <v>4790</v>
      </c>
      <c r="G1672" s="1">
        <v>55899500</v>
      </c>
      <c r="H1672" s="4">
        <f t="shared" si="54"/>
        <v>1.0548523206751054E-2</v>
      </c>
      <c r="I1672" s="4">
        <f t="shared" si="55"/>
        <v>-0.15594713656387665</v>
      </c>
    </row>
    <row r="1673" spans="1:9" x14ac:dyDescent="0.2">
      <c r="A1673" s="2">
        <f ca="1">IFERROR(__xludf.DUMMYFUNCTION("""COMPUTED_VALUE"""),45680.6666666666)</f>
        <v>45680.666666666599</v>
      </c>
      <c r="B1673" s="2" t="s">
        <v>57</v>
      </c>
      <c r="C1673" s="1">
        <v>4790</v>
      </c>
      <c r="D1673" s="1">
        <v>4820</v>
      </c>
      <c r="E1673" s="1">
        <v>4650</v>
      </c>
      <c r="F1673" s="1">
        <v>4650</v>
      </c>
      <c r="G1673" s="1">
        <v>86704800</v>
      </c>
      <c r="H1673" s="4">
        <f t="shared" si="54"/>
        <v>-2.9227557411273485E-2</v>
      </c>
      <c r="I1673" s="4">
        <f t="shared" si="55"/>
        <v>-0.18061674008810572</v>
      </c>
    </row>
    <row r="1674" spans="1:9" x14ac:dyDescent="0.2">
      <c r="A1674" s="2">
        <f ca="1">IFERROR(__xludf.DUMMYFUNCTION("""COMPUTED_VALUE"""),45681.6666666666)</f>
        <v>45681.666666666599</v>
      </c>
      <c r="B1674" s="2" t="s">
        <v>57</v>
      </c>
      <c r="C1674" s="1">
        <v>4660</v>
      </c>
      <c r="D1674" s="1">
        <v>4700</v>
      </c>
      <c r="E1674" s="1">
        <v>4610</v>
      </c>
      <c r="F1674" s="1">
        <v>4610</v>
      </c>
      <c r="G1674" s="1">
        <v>42140900</v>
      </c>
      <c r="H1674" s="4">
        <f t="shared" si="54"/>
        <v>-8.6021505376344086E-3</v>
      </c>
      <c r="I1674" s="4">
        <f t="shared" si="55"/>
        <v>-0.18766519823788547</v>
      </c>
    </row>
    <row r="1675" spans="1:9" x14ac:dyDescent="0.2">
      <c r="A1675" s="2">
        <f ca="1">IFERROR(__xludf.DUMMYFUNCTION("""COMPUTED_VALUE"""),45687.6666666666)</f>
        <v>45687.666666666599</v>
      </c>
      <c r="B1675" s="2" t="s">
        <v>57</v>
      </c>
      <c r="C1675" s="1">
        <v>4610</v>
      </c>
      <c r="D1675" s="1">
        <v>4670</v>
      </c>
      <c r="E1675" s="1">
        <v>4580</v>
      </c>
      <c r="F1675" s="1">
        <v>4640</v>
      </c>
      <c r="G1675" s="1">
        <v>23980100</v>
      </c>
      <c r="H1675" s="4">
        <f t="shared" si="54"/>
        <v>6.5075921908893707E-3</v>
      </c>
      <c r="I1675" s="4">
        <f t="shared" si="55"/>
        <v>-0.18237885462555067</v>
      </c>
    </row>
    <row r="1676" spans="1:9" x14ac:dyDescent="0.2">
      <c r="A1676" s="2">
        <f ca="1">IFERROR(__xludf.DUMMYFUNCTION("""COMPUTED_VALUE"""),45688.6666666666)</f>
        <v>45688.666666666599</v>
      </c>
      <c r="B1676" s="2" t="s">
        <v>57</v>
      </c>
      <c r="C1676" s="1">
        <v>4660</v>
      </c>
      <c r="D1676" s="1">
        <v>4880</v>
      </c>
      <c r="E1676" s="1">
        <v>4660</v>
      </c>
      <c r="F1676" s="1">
        <v>4770</v>
      </c>
      <c r="G1676" s="1">
        <v>78958600</v>
      </c>
      <c r="H1676" s="4">
        <f t="shared" si="54"/>
        <v>2.8017241379310345E-2</v>
      </c>
      <c r="I1676" s="4">
        <f t="shared" si="55"/>
        <v>-0.15947136563876652</v>
      </c>
    </row>
    <row r="1677" spans="1:9" x14ac:dyDescent="0.2">
      <c r="A1677" s="2">
        <f ca="1">IFERROR(__xludf.DUMMYFUNCTION("""COMPUTED_VALUE"""),45691.6666666666)</f>
        <v>45691.666666666599</v>
      </c>
      <c r="B1677" s="2" t="s">
        <v>57</v>
      </c>
      <c r="C1677" s="1">
        <v>4770</v>
      </c>
      <c r="D1677" s="1">
        <v>4800</v>
      </c>
      <c r="E1677" s="1">
        <v>4640</v>
      </c>
      <c r="F1677" s="1">
        <v>4780</v>
      </c>
      <c r="G1677" s="1">
        <v>63072700</v>
      </c>
      <c r="H1677" s="4">
        <f t="shared" si="54"/>
        <v>2.0964360587002098E-3</v>
      </c>
      <c r="I1677" s="4">
        <f t="shared" si="55"/>
        <v>-0.15770925110132158</v>
      </c>
    </row>
    <row r="1678" spans="1:9" x14ac:dyDescent="0.2">
      <c r="A1678" s="2">
        <f ca="1">IFERROR(__xludf.DUMMYFUNCTION("""COMPUTED_VALUE"""),45692.6666666666)</f>
        <v>45692.666666666599</v>
      </c>
      <c r="B1678" s="2" t="s">
        <v>57</v>
      </c>
      <c r="C1678" s="1">
        <v>4770</v>
      </c>
      <c r="D1678" s="1">
        <v>4780</v>
      </c>
      <c r="E1678" s="1">
        <v>4700</v>
      </c>
      <c r="F1678" s="1">
        <v>4700</v>
      </c>
      <c r="G1678" s="1">
        <v>44266700</v>
      </c>
      <c r="H1678" s="4">
        <f t="shared" si="54"/>
        <v>-1.6736401673640166E-2</v>
      </c>
      <c r="I1678" s="4">
        <f t="shared" si="55"/>
        <v>-0.17180616740088106</v>
      </c>
    </row>
    <row r="1679" spans="1:9" x14ac:dyDescent="0.2">
      <c r="A1679" s="2">
        <f ca="1">IFERROR(__xludf.DUMMYFUNCTION("""COMPUTED_VALUE"""),45693.6666666666)</f>
        <v>45693.666666666599</v>
      </c>
      <c r="B1679" s="2" t="s">
        <v>57</v>
      </c>
      <c r="C1679" s="1">
        <v>4650</v>
      </c>
      <c r="D1679" s="1">
        <v>4680</v>
      </c>
      <c r="E1679" s="1">
        <v>4480</v>
      </c>
      <c r="F1679" s="1">
        <v>4500</v>
      </c>
      <c r="G1679" s="1">
        <v>52077600</v>
      </c>
      <c r="H1679" s="4">
        <f t="shared" ref="H1679:H1742" si="56">(F1679-F1678)/F1678</f>
        <v>-4.2553191489361701E-2</v>
      </c>
      <c r="I1679" s="4">
        <f t="shared" ref="I1679:I1742" si="57">(F1679-$F$2)/$F$2</f>
        <v>-0.20704845814977973</v>
      </c>
    </row>
    <row r="1680" spans="1:9" x14ac:dyDescent="0.2">
      <c r="A1680" s="2">
        <f ca="1">IFERROR(__xludf.DUMMYFUNCTION("""COMPUTED_VALUE"""),45694.6666666666)</f>
        <v>45694.666666666599</v>
      </c>
      <c r="B1680" s="2" t="s">
        <v>57</v>
      </c>
      <c r="C1680" s="1">
        <v>4500</v>
      </c>
      <c r="D1680" s="1">
        <v>4510</v>
      </c>
      <c r="E1680" s="1">
        <v>4260</v>
      </c>
      <c r="F1680" s="1">
        <v>4290</v>
      </c>
      <c r="G1680" s="1">
        <v>72520900</v>
      </c>
      <c r="H1680" s="4">
        <f t="shared" si="56"/>
        <v>-4.6666666666666669E-2</v>
      </c>
      <c r="I1680" s="4">
        <f t="shared" si="57"/>
        <v>-0.24405286343612334</v>
      </c>
    </row>
    <row r="1681" spans="1:9" x14ac:dyDescent="0.2">
      <c r="A1681" s="2">
        <f ca="1">IFERROR(__xludf.DUMMYFUNCTION("""COMPUTED_VALUE"""),45695.6666666666)</f>
        <v>45695.666666666599</v>
      </c>
      <c r="B1681" s="2" t="s">
        <v>57</v>
      </c>
      <c r="C1681" s="1">
        <v>4250</v>
      </c>
      <c r="D1681" s="1">
        <v>4350</v>
      </c>
      <c r="E1681" s="1">
        <v>4160</v>
      </c>
      <c r="F1681" s="1">
        <v>4270</v>
      </c>
      <c r="G1681" s="1">
        <v>69268900</v>
      </c>
      <c r="H1681" s="4">
        <f t="shared" si="56"/>
        <v>-4.662004662004662E-3</v>
      </c>
      <c r="I1681" s="4">
        <f t="shared" si="57"/>
        <v>-0.2475770925110132</v>
      </c>
    </row>
    <row r="1682" spans="1:9" x14ac:dyDescent="0.2">
      <c r="A1682" s="2">
        <f ca="1">IFERROR(__xludf.DUMMYFUNCTION("""COMPUTED_VALUE"""),45698.6666666666)</f>
        <v>45698.666666666599</v>
      </c>
      <c r="B1682" s="2" t="s">
        <v>57</v>
      </c>
      <c r="C1682" s="1">
        <v>4270</v>
      </c>
      <c r="D1682" s="1">
        <v>4310</v>
      </c>
      <c r="E1682" s="1">
        <v>4150</v>
      </c>
      <c r="F1682" s="1">
        <v>4150</v>
      </c>
      <c r="G1682" s="1">
        <v>46856100</v>
      </c>
      <c r="H1682" s="4">
        <f t="shared" si="56"/>
        <v>-2.8103044496487119E-2</v>
      </c>
      <c r="I1682" s="4">
        <f t="shared" si="57"/>
        <v>-0.2687224669603524</v>
      </c>
    </row>
    <row r="1683" spans="1:9" x14ac:dyDescent="0.2">
      <c r="A1683" s="2">
        <f ca="1">IFERROR(__xludf.DUMMYFUNCTION("""COMPUTED_VALUE"""),45699.6666666666)</f>
        <v>45699.666666666599</v>
      </c>
      <c r="B1683" s="2" t="s">
        <v>57</v>
      </c>
      <c r="C1683" s="1">
        <v>4150</v>
      </c>
      <c r="D1683" s="1">
        <v>4170</v>
      </c>
      <c r="E1683" s="1">
        <v>4050</v>
      </c>
      <c r="F1683" s="1">
        <v>4070</v>
      </c>
      <c r="G1683" s="1">
        <v>52994400</v>
      </c>
      <c r="H1683" s="4">
        <f t="shared" si="56"/>
        <v>-1.9277108433734941E-2</v>
      </c>
      <c r="I1683" s="4">
        <f t="shared" si="57"/>
        <v>-0.28281938325991191</v>
      </c>
    </row>
    <row r="1684" spans="1:9" x14ac:dyDescent="0.2">
      <c r="A1684" s="2">
        <f ca="1">IFERROR(__xludf.DUMMYFUNCTION("""COMPUTED_VALUE"""),45700.6666666666)</f>
        <v>45700.666666666599</v>
      </c>
      <c r="B1684" s="2" t="s">
        <v>57</v>
      </c>
      <c r="C1684" s="1">
        <v>4130</v>
      </c>
      <c r="D1684" s="1">
        <v>4300</v>
      </c>
      <c r="E1684" s="1">
        <v>4100</v>
      </c>
      <c r="F1684" s="1">
        <v>4300</v>
      </c>
      <c r="G1684" s="1">
        <v>57782300</v>
      </c>
      <c r="H1684" s="4">
        <f t="shared" si="56"/>
        <v>5.6511056511056514E-2</v>
      </c>
      <c r="I1684" s="4">
        <f t="shared" si="57"/>
        <v>-0.24229074889867841</v>
      </c>
    </row>
    <row r="1685" spans="1:9" x14ac:dyDescent="0.2">
      <c r="A1685" s="2">
        <f ca="1">IFERROR(__xludf.DUMMYFUNCTION("""COMPUTED_VALUE"""),45701.6666666666)</f>
        <v>45701.666666666599</v>
      </c>
      <c r="B1685" s="2" t="s">
        <v>57</v>
      </c>
      <c r="C1685" s="1">
        <v>4280</v>
      </c>
      <c r="D1685" s="1">
        <v>4300</v>
      </c>
      <c r="E1685" s="1">
        <v>4210</v>
      </c>
      <c r="F1685" s="1">
        <v>4250</v>
      </c>
      <c r="G1685" s="1">
        <v>38173200</v>
      </c>
      <c r="H1685" s="4">
        <f t="shared" si="56"/>
        <v>-1.1627906976744186E-2</v>
      </c>
      <c r="I1685" s="4">
        <f t="shared" si="57"/>
        <v>-0.25110132158590309</v>
      </c>
    </row>
    <row r="1686" spans="1:9" x14ac:dyDescent="0.2">
      <c r="A1686" s="2">
        <f ca="1">IFERROR(__xludf.DUMMYFUNCTION("""COMPUTED_VALUE"""),45702.6666666666)</f>
        <v>45702.666666666599</v>
      </c>
      <c r="B1686" s="2" t="s">
        <v>57</v>
      </c>
      <c r="C1686" s="1">
        <v>4310</v>
      </c>
      <c r="D1686" s="1">
        <v>4390</v>
      </c>
      <c r="E1686" s="1">
        <v>4300</v>
      </c>
      <c r="F1686" s="1">
        <v>4370</v>
      </c>
      <c r="G1686" s="1">
        <v>61932800</v>
      </c>
      <c r="H1686" s="4">
        <f t="shared" si="56"/>
        <v>2.823529411764706E-2</v>
      </c>
      <c r="I1686" s="4">
        <f t="shared" si="57"/>
        <v>-0.22995594713656387</v>
      </c>
    </row>
    <row r="1687" spans="1:9" x14ac:dyDescent="0.2">
      <c r="A1687" s="2">
        <f ca="1">IFERROR(__xludf.DUMMYFUNCTION("""COMPUTED_VALUE"""),45705.6666666666)</f>
        <v>45705.666666666599</v>
      </c>
      <c r="B1687" s="2" t="s">
        <v>57</v>
      </c>
      <c r="C1687" s="1">
        <v>4370</v>
      </c>
      <c r="D1687" s="1">
        <v>4590</v>
      </c>
      <c r="E1687" s="1">
        <v>4350</v>
      </c>
      <c r="F1687" s="1">
        <v>4570</v>
      </c>
      <c r="G1687" s="1">
        <v>52492800</v>
      </c>
      <c r="H1687" s="4">
        <f t="shared" si="56"/>
        <v>4.5766590389016017E-2</v>
      </c>
      <c r="I1687" s="4">
        <f t="shared" si="57"/>
        <v>-0.19471365638766519</v>
      </c>
    </row>
    <row r="1688" spans="1:9" x14ac:dyDescent="0.2">
      <c r="A1688" s="2">
        <f ca="1">IFERROR(__xludf.DUMMYFUNCTION("""COMPUTED_VALUE"""),45706.6666666666)</f>
        <v>45706.666666666599</v>
      </c>
      <c r="B1688" s="2" t="s">
        <v>57</v>
      </c>
      <c r="C1688" s="1">
        <v>4600</v>
      </c>
      <c r="D1688" s="1">
        <v>4750</v>
      </c>
      <c r="E1688" s="1">
        <v>4600</v>
      </c>
      <c r="F1688" s="1">
        <v>4750</v>
      </c>
      <c r="G1688" s="1">
        <v>73992700</v>
      </c>
      <c r="H1688" s="4">
        <f t="shared" si="56"/>
        <v>3.9387308533916851E-2</v>
      </c>
      <c r="I1688" s="4">
        <f t="shared" si="57"/>
        <v>-0.16299559471365638</v>
      </c>
    </row>
    <row r="1689" spans="1:9" x14ac:dyDescent="0.2">
      <c r="A1689" s="2">
        <f ca="1">IFERROR(__xludf.DUMMYFUNCTION("""COMPUTED_VALUE"""),45707.6666666666)</f>
        <v>45707.666666666599</v>
      </c>
      <c r="B1689" s="2" t="s">
        <v>57</v>
      </c>
      <c r="C1689" s="1">
        <v>4750</v>
      </c>
      <c r="D1689" s="1">
        <v>4750</v>
      </c>
      <c r="E1689" s="1">
        <v>4480</v>
      </c>
      <c r="F1689" s="1">
        <v>4520</v>
      </c>
      <c r="G1689" s="1">
        <v>72303300</v>
      </c>
      <c r="H1689" s="4">
        <f t="shared" si="56"/>
        <v>-4.8421052631578948E-2</v>
      </c>
      <c r="I1689" s="4">
        <f t="shared" si="57"/>
        <v>-0.20352422907488987</v>
      </c>
    </row>
    <row r="1690" spans="1:9" x14ac:dyDescent="0.2">
      <c r="A1690" s="2">
        <f ca="1">IFERROR(__xludf.DUMMYFUNCTION("""COMPUTED_VALUE"""),45708.6666666666)</f>
        <v>45708.666666666599</v>
      </c>
      <c r="B1690" s="2" t="s">
        <v>57</v>
      </c>
      <c r="C1690" s="1">
        <v>4520</v>
      </c>
      <c r="D1690" s="1">
        <v>4550</v>
      </c>
      <c r="E1690" s="1">
        <v>4400</v>
      </c>
      <c r="F1690" s="1">
        <v>4460</v>
      </c>
      <c r="G1690" s="1">
        <v>49467500</v>
      </c>
      <c r="H1690" s="4">
        <f t="shared" si="56"/>
        <v>-1.3274336283185841E-2</v>
      </c>
      <c r="I1690" s="4">
        <f t="shared" si="57"/>
        <v>-0.21409691629955946</v>
      </c>
    </row>
    <row r="1691" spans="1:9" x14ac:dyDescent="0.2">
      <c r="A1691" s="2">
        <f ca="1">IFERROR(__xludf.DUMMYFUNCTION("""COMPUTED_VALUE"""),45709.6666666666)</f>
        <v>45709.666666666599</v>
      </c>
      <c r="B1691" s="2" t="s">
        <v>57</v>
      </c>
      <c r="C1691" s="1">
        <v>4410</v>
      </c>
      <c r="D1691" s="1">
        <v>4440</v>
      </c>
      <c r="E1691" s="1">
        <v>4300</v>
      </c>
      <c r="F1691" s="1">
        <v>4300</v>
      </c>
      <c r="G1691" s="1">
        <v>70115400</v>
      </c>
      <c r="H1691" s="4">
        <f t="shared" si="56"/>
        <v>-3.5874439461883408E-2</v>
      </c>
      <c r="I1691" s="4">
        <f t="shared" si="57"/>
        <v>-0.24229074889867841</v>
      </c>
    </row>
    <row r="1692" spans="1:9" x14ac:dyDescent="0.2">
      <c r="A1692" s="2">
        <f ca="1">IFERROR(__xludf.DUMMYFUNCTION("""COMPUTED_VALUE"""),45712.6666666666)</f>
        <v>45712.666666666599</v>
      </c>
      <c r="B1692" s="2" t="s">
        <v>57</v>
      </c>
      <c r="C1692" s="1">
        <v>4300</v>
      </c>
      <c r="D1692" s="1">
        <v>4320</v>
      </c>
      <c r="E1692" s="1">
        <v>4200</v>
      </c>
      <c r="F1692" s="1">
        <v>4200</v>
      </c>
      <c r="G1692" s="1">
        <v>61467000</v>
      </c>
      <c r="H1692" s="4">
        <f t="shared" si="56"/>
        <v>-2.3255813953488372E-2</v>
      </c>
      <c r="I1692" s="4">
        <f t="shared" si="57"/>
        <v>-0.25991189427312777</v>
      </c>
    </row>
    <row r="1693" spans="1:9" x14ac:dyDescent="0.2">
      <c r="A1693" s="2">
        <f ca="1">IFERROR(__xludf.DUMMYFUNCTION("""COMPUTED_VALUE"""),45713.6666666666)</f>
        <v>45713.666666666599</v>
      </c>
      <c r="B1693" s="2" t="s">
        <v>57</v>
      </c>
      <c r="C1693" s="1">
        <v>4230</v>
      </c>
      <c r="D1693" s="1">
        <v>4280</v>
      </c>
      <c r="E1693" s="1">
        <v>4110</v>
      </c>
      <c r="F1693" s="1">
        <v>4230</v>
      </c>
      <c r="G1693" s="1">
        <v>45778400</v>
      </c>
      <c r="H1693" s="4">
        <f t="shared" si="56"/>
        <v>7.1428571428571426E-3</v>
      </c>
      <c r="I1693" s="4">
        <f t="shared" si="57"/>
        <v>-0.25462555066079295</v>
      </c>
    </row>
    <row r="1694" spans="1:9" x14ac:dyDescent="0.2">
      <c r="A1694" s="2">
        <f ca="1">IFERROR(__xludf.DUMMYFUNCTION("""COMPUTED_VALUE"""),45714.6666666666)</f>
        <v>45714.666666666599</v>
      </c>
      <c r="B1694" s="2" t="s">
        <v>57</v>
      </c>
      <c r="C1694" s="1">
        <v>4250</v>
      </c>
      <c r="D1694" s="1">
        <v>4350</v>
      </c>
      <c r="E1694" s="1">
        <v>4210</v>
      </c>
      <c r="F1694" s="1">
        <v>4350</v>
      </c>
      <c r="G1694" s="1">
        <v>42114300</v>
      </c>
      <c r="H1694" s="4">
        <f t="shared" si="56"/>
        <v>2.8368794326241134E-2</v>
      </c>
      <c r="I1694" s="4">
        <f t="shared" si="57"/>
        <v>-0.23348017621145375</v>
      </c>
    </row>
    <row r="1695" spans="1:9" x14ac:dyDescent="0.2">
      <c r="A1695" s="2">
        <f ca="1">IFERROR(__xludf.DUMMYFUNCTION("""COMPUTED_VALUE"""),45715.6666666666)</f>
        <v>45715.666666666599</v>
      </c>
      <c r="B1695" s="2" t="s">
        <v>57</v>
      </c>
      <c r="C1695" s="1">
        <v>4350</v>
      </c>
      <c r="D1695" s="1">
        <v>4370</v>
      </c>
      <c r="E1695" s="1">
        <v>4200</v>
      </c>
      <c r="F1695" s="1">
        <v>4340</v>
      </c>
      <c r="G1695" s="1">
        <v>58362900</v>
      </c>
      <c r="H1695" s="4">
        <f t="shared" si="56"/>
        <v>-2.2988505747126436E-3</v>
      </c>
      <c r="I1695" s="4">
        <f t="shared" si="57"/>
        <v>-0.23524229074889869</v>
      </c>
    </row>
    <row r="1696" spans="1:9" x14ac:dyDescent="0.2">
      <c r="A1696" s="2">
        <f ca="1">IFERROR(__xludf.DUMMYFUNCTION("""COMPUTED_VALUE"""),45716.6666666666)</f>
        <v>45716.666666666599</v>
      </c>
      <c r="B1696" s="2" t="s">
        <v>57</v>
      </c>
      <c r="C1696" s="1">
        <v>4270</v>
      </c>
      <c r="D1696" s="1">
        <v>4270</v>
      </c>
      <c r="E1696" s="1">
        <v>4010</v>
      </c>
      <c r="F1696" s="1">
        <v>4030</v>
      </c>
      <c r="G1696" s="1">
        <v>156574800</v>
      </c>
      <c r="H1696" s="4">
        <f t="shared" si="56"/>
        <v>-7.1428571428571425E-2</v>
      </c>
      <c r="I1696" s="4">
        <f t="shared" si="57"/>
        <v>-0.28986784140969163</v>
      </c>
    </row>
    <row r="1697" spans="1:9" x14ac:dyDescent="0.2">
      <c r="A1697" s="2">
        <f ca="1">IFERROR(__xludf.DUMMYFUNCTION("""COMPUTED_VALUE"""),45719.6666666666)</f>
        <v>45719.666666666599</v>
      </c>
      <c r="B1697" s="2" t="s">
        <v>57</v>
      </c>
      <c r="C1697" s="1">
        <v>4180</v>
      </c>
      <c r="D1697" s="1">
        <v>4310</v>
      </c>
      <c r="E1697" s="1">
        <v>4120</v>
      </c>
      <c r="F1697" s="1">
        <v>4260</v>
      </c>
      <c r="G1697" s="1">
        <v>156616300</v>
      </c>
      <c r="H1697" s="4">
        <f t="shared" si="56"/>
        <v>5.7071960297766747E-2</v>
      </c>
      <c r="I1697" s="4">
        <f t="shared" si="57"/>
        <v>-0.24933920704845816</v>
      </c>
    </row>
    <row r="1698" spans="1:9" x14ac:dyDescent="0.2">
      <c r="A1698" s="2">
        <f ca="1">IFERROR(__xludf.DUMMYFUNCTION("""COMPUTED_VALUE"""),45720.6666666666)</f>
        <v>45720.666666666599</v>
      </c>
      <c r="B1698" s="2" t="s">
        <v>57</v>
      </c>
      <c r="C1698" s="1">
        <v>4240</v>
      </c>
      <c r="D1698" s="1">
        <v>4290</v>
      </c>
      <c r="E1698" s="1">
        <v>4170</v>
      </c>
      <c r="F1698" s="1">
        <v>4220</v>
      </c>
      <c r="G1698" s="1">
        <v>71340000</v>
      </c>
      <c r="H1698" s="4">
        <f t="shared" si="56"/>
        <v>-9.3896713615023476E-3</v>
      </c>
      <c r="I1698" s="4">
        <f t="shared" si="57"/>
        <v>-0.25638766519823791</v>
      </c>
    </row>
    <row r="1699" spans="1:9" x14ac:dyDescent="0.2">
      <c r="A1699" s="2">
        <f ca="1">IFERROR(__xludf.DUMMYFUNCTION("""COMPUTED_VALUE"""),45721.6666666666)</f>
        <v>45721.666666666599</v>
      </c>
      <c r="B1699" s="2" t="s">
        <v>57</v>
      </c>
      <c r="C1699" s="1">
        <v>4250</v>
      </c>
      <c r="D1699" s="1">
        <v>4540</v>
      </c>
      <c r="E1699" s="1">
        <v>4250</v>
      </c>
      <c r="F1699" s="1">
        <v>4460</v>
      </c>
      <c r="G1699" s="1">
        <v>101995600</v>
      </c>
      <c r="H1699" s="4">
        <f t="shared" si="56"/>
        <v>5.6872037914691941E-2</v>
      </c>
      <c r="I1699" s="4">
        <f t="shared" si="57"/>
        <v>-0.21409691629955946</v>
      </c>
    </row>
    <row r="1700" spans="1:9" x14ac:dyDescent="0.2">
      <c r="A1700" s="2">
        <f ca="1">IFERROR(__xludf.DUMMYFUNCTION("""COMPUTED_VALUE"""),45722.6666666666)</f>
        <v>45722.666666666599</v>
      </c>
      <c r="B1700" s="2" t="s">
        <v>57</v>
      </c>
      <c r="C1700" s="1">
        <v>4550</v>
      </c>
      <c r="D1700" s="1">
        <v>4700</v>
      </c>
      <c r="E1700" s="1">
        <v>4540</v>
      </c>
      <c r="F1700" s="1">
        <v>4590</v>
      </c>
      <c r="G1700" s="1">
        <v>104226000</v>
      </c>
      <c r="H1700" s="4">
        <f t="shared" si="56"/>
        <v>2.914798206278027E-2</v>
      </c>
      <c r="I1700" s="4">
        <f t="shared" si="57"/>
        <v>-0.19118942731277533</v>
      </c>
    </row>
    <row r="1701" spans="1:9" x14ac:dyDescent="0.2">
      <c r="A1701" s="2">
        <f ca="1">IFERROR(__xludf.DUMMYFUNCTION("""COMPUTED_VALUE"""),45723.6666666666)</f>
        <v>45723.666666666599</v>
      </c>
      <c r="B1701" s="2" t="s">
        <v>57</v>
      </c>
      <c r="C1701" s="1">
        <v>4590</v>
      </c>
      <c r="D1701" s="1">
        <v>4590</v>
      </c>
      <c r="E1701" s="1">
        <v>4460</v>
      </c>
      <c r="F1701" s="1">
        <v>4540</v>
      </c>
      <c r="G1701" s="1">
        <v>61630700</v>
      </c>
      <c r="H1701" s="4">
        <f t="shared" si="56"/>
        <v>-1.0893246187363835E-2</v>
      </c>
      <c r="I1701" s="4">
        <f t="shared" si="57"/>
        <v>-0.2</v>
      </c>
    </row>
    <row r="1702" spans="1:9" x14ac:dyDescent="0.2">
      <c r="A1702" s="2">
        <f ca="1">IFERROR(__xludf.DUMMYFUNCTION("""COMPUTED_VALUE"""),45726.6666666666)</f>
        <v>45726.666666666599</v>
      </c>
      <c r="B1702" s="2" t="s">
        <v>57</v>
      </c>
      <c r="C1702" s="1">
        <v>4540</v>
      </c>
      <c r="D1702" s="1">
        <v>4540</v>
      </c>
      <c r="E1702" s="1">
        <v>4410</v>
      </c>
      <c r="F1702" s="1">
        <v>4450</v>
      </c>
      <c r="G1702" s="1">
        <v>43038000</v>
      </c>
      <c r="H1702" s="4">
        <f t="shared" si="56"/>
        <v>-1.9823788546255508E-2</v>
      </c>
      <c r="I1702" s="4">
        <f t="shared" si="57"/>
        <v>-0.21585903083700442</v>
      </c>
    </row>
    <row r="1703" spans="1:9" x14ac:dyDescent="0.2">
      <c r="A1703" s="2">
        <f ca="1">IFERROR(__xludf.DUMMYFUNCTION("""COMPUTED_VALUE"""),45727.6666666666)</f>
        <v>45727.666666666599</v>
      </c>
      <c r="B1703" s="2" t="s">
        <v>57</v>
      </c>
      <c r="C1703" s="1">
        <v>4380</v>
      </c>
      <c r="D1703" s="1">
        <v>4460</v>
      </c>
      <c r="E1703" s="1">
        <v>4360</v>
      </c>
      <c r="F1703" s="1">
        <v>4450</v>
      </c>
      <c r="G1703" s="1">
        <v>44323600</v>
      </c>
      <c r="H1703" s="4">
        <f t="shared" si="56"/>
        <v>0</v>
      </c>
      <c r="I1703" s="4">
        <f t="shared" si="57"/>
        <v>-0.21585903083700442</v>
      </c>
    </row>
    <row r="1704" spans="1:9" x14ac:dyDescent="0.2">
      <c r="A1704" s="2">
        <f ca="1">IFERROR(__xludf.DUMMYFUNCTION("""COMPUTED_VALUE"""),45728.6666666666)</f>
        <v>45728.666666666599</v>
      </c>
      <c r="B1704" s="2" t="s">
        <v>57</v>
      </c>
      <c r="C1704" s="1">
        <v>4490</v>
      </c>
      <c r="D1704" s="1">
        <v>4550</v>
      </c>
      <c r="E1704" s="1">
        <v>4480</v>
      </c>
      <c r="F1704" s="1">
        <v>4530</v>
      </c>
      <c r="G1704" s="1">
        <v>44656600</v>
      </c>
      <c r="H1704" s="4">
        <f t="shared" si="56"/>
        <v>1.7977528089887642E-2</v>
      </c>
      <c r="I1704" s="4">
        <f t="shared" si="57"/>
        <v>-0.20176211453744494</v>
      </c>
    </row>
    <row r="1705" spans="1:9" x14ac:dyDescent="0.2">
      <c r="A1705" s="2">
        <f ca="1">IFERROR(__xludf.DUMMYFUNCTION("""COMPUTED_VALUE"""),45729.6666666666)</f>
        <v>45729.666666666599</v>
      </c>
      <c r="B1705" s="2" t="s">
        <v>57</v>
      </c>
      <c r="C1705" s="1">
        <v>4600</v>
      </c>
      <c r="D1705" s="1">
        <v>4600</v>
      </c>
      <c r="E1705" s="1">
        <v>4440</v>
      </c>
      <c r="F1705" s="1">
        <v>4530</v>
      </c>
      <c r="G1705" s="1">
        <v>48947400</v>
      </c>
      <c r="H1705" s="4">
        <f t="shared" si="56"/>
        <v>0</v>
      </c>
      <c r="I1705" s="4">
        <f t="shared" si="57"/>
        <v>-0.20176211453744494</v>
      </c>
    </row>
    <row r="1706" spans="1:9" x14ac:dyDescent="0.2">
      <c r="A1706" s="2">
        <f ca="1">IFERROR(__xludf.DUMMYFUNCTION("""COMPUTED_VALUE"""),45730.6666666666)</f>
        <v>45730.666666666599</v>
      </c>
      <c r="B1706" s="2" t="s">
        <v>57</v>
      </c>
      <c r="C1706" s="1">
        <v>4470</v>
      </c>
      <c r="D1706" s="1">
        <v>4520</v>
      </c>
      <c r="E1706" s="1">
        <v>4400</v>
      </c>
      <c r="F1706" s="1">
        <v>4430</v>
      </c>
      <c r="G1706" s="1">
        <v>50335900</v>
      </c>
      <c r="H1706" s="4">
        <f t="shared" si="56"/>
        <v>-2.2075055187637971E-2</v>
      </c>
      <c r="I1706" s="4">
        <f t="shared" si="57"/>
        <v>-0.21938325991189428</v>
      </c>
    </row>
    <row r="1707" spans="1:9" x14ac:dyDescent="0.2">
      <c r="A1707" s="2">
        <f ca="1">IFERROR(__xludf.DUMMYFUNCTION("""COMPUTED_VALUE"""),45733.6666666666)</f>
        <v>45733.666666666599</v>
      </c>
      <c r="B1707" s="2" t="s">
        <v>57</v>
      </c>
      <c r="C1707" s="1">
        <v>4430</v>
      </c>
      <c r="D1707" s="1">
        <v>4460</v>
      </c>
      <c r="E1707" s="1">
        <v>4260</v>
      </c>
      <c r="F1707" s="1">
        <v>4330</v>
      </c>
      <c r="G1707" s="1">
        <v>60911900</v>
      </c>
      <c r="H1707" s="4">
        <f t="shared" si="56"/>
        <v>-2.2573363431151242E-2</v>
      </c>
      <c r="I1707" s="4">
        <f t="shared" si="57"/>
        <v>-0.23700440528634362</v>
      </c>
    </row>
    <row r="1708" spans="1:9" x14ac:dyDescent="0.2">
      <c r="A1708" s="2">
        <f ca="1">IFERROR(__xludf.DUMMYFUNCTION("""COMPUTED_VALUE"""),45734.6666666666)</f>
        <v>45734.666666666599</v>
      </c>
      <c r="B1708" s="2" t="s">
        <v>57</v>
      </c>
      <c r="C1708" s="1">
        <v>4300</v>
      </c>
      <c r="D1708" s="1">
        <v>4310</v>
      </c>
      <c r="E1708" s="1">
        <v>4030</v>
      </c>
      <c r="F1708" s="1">
        <v>4190</v>
      </c>
      <c r="G1708" s="1">
        <v>80141500</v>
      </c>
      <c r="H1708" s="4">
        <f t="shared" si="56"/>
        <v>-3.2332563510392612E-2</v>
      </c>
      <c r="I1708" s="4">
        <f t="shared" si="57"/>
        <v>-0.26167400881057268</v>
      </c>
    </row>
    <row r="1709" spans="1:9" x14ac:dyDescent="0.2">
      <c r="A1709" s="2">
        <f ca="1">IFERROR(__xludf.DUMMYFUNCTION("""COMPUTED_VALUE"""),45735.6666666666)</f>
        <v>45735.666666666599</v>
      </c>
      <c r="B1709" s="2" t="s">
        <v>57</v>
      </c>
      <c r="C1709" s="1">
        <v>4190</v>
      </c>
      <c r="D1709" s="1">
        <v>4250</v>
      </c>
      <c r="E1709" s="1">
        <v>4120</v>
      </c>
      <c r="F1709" s="1">
        <v>4170</v>
      </c>
      <c r="G1709" s="1">
        <v>110420100</v>
      </c>
      <c r="H1709" s="4">
        <f t="shared" si="56"/>
        <v>-4.7732696897374704E-3</v>
      </c>
      <c r="I1709" s="4">
        <f t="shared" si="57"/>
        <v>-0.26519823788546254</v>
      </c>
    </row>
    <row r="1710" spans="1:9" x14ac:dyDescent="0.2">
      <c r="A1710" s="2">
        <f ca="1">IFERROR(__xludf.DUMMYFUNCTION("""COMPUTED_VALUE"""),45736.6666666666)</f>
        <v>45736.666666666599</v>
      </c>
      <c r="B1710" s="2" t="s">
        <v>57</v>
      </c>
      <c r="C1710" s="1">
        <v>4240</v>
      </c>
      <c r="D1710" s="1">
        <v>4270</v>
      </c>
      <c r="E1710" s="1">
        <v>4050</v>
      </c>
      <c r="F1710" s="1">
        <v>4080</v>
      </c>
      <c r="G1710" s="1">
        <v>109598400</v>
      </c>
      <c r="H1710" s="4">
        <f t="shared" si="56"/>
        <v>-2.1582733812949641E-2</v>
      </c>
      <c r="I1710" s="4">
        <f t="shared" si="57"/>
        <v>-0.28105726872246695</v>
      </c>
    </row>
    <row r="1711" spans="1:9" x14ac:dyDescent="0.2">
      <c r="A1711" s="2">
        <f ca="1">IFERROR(__xludf.DUMMYFUNCTION("""COMPUTED_VALUE"""),45737.6666666666)</f>
        <v>45737.666666666599</v>
      </c>
      <c r="B1711" s="2" t="s">
        <v>57</v>
      </c>
      <c r="C1711" s="1">
        <v>4080</v>
      </c>
      <c r="D1711" s="1">
        <v>4090</v>
      </c>
      <c r="E1711" s="1">
        <v>3770</v>
      </c>
      <c r="F1711" s="1">
        <v>3770</v>
      </c>
      <c r="G1711" s="1">
        <v>246727700</v>
      </c>
      <c r="H1711" s="4">
        <f t="shared" si="56"/>
        <v>-7.5980392156862739E-2</v>
      </c>
      <c r="I1711" s="4">
        <f t="shared" si="57"/>
        <v>-0.33568281938325989</v>
      </c>
    </row>
    <row r="1712" spans="1:9" x14ac:dyDescent="0.2">
      <c r="A1712" s="2">
        <f ca="1">IFERROR(__xludf.DUMMYFUNCTION("""COMPUTED_VALUE"""),45740.6666666666)</f>
        <v>45740.666666666599</v>
      </c>
      <c r="B1712" s="2" t="s">
        <v>57</v>
      </c>
      <c r="C1712" s="1">
        <v>3770</v>
      </c>
      <c r="D1712" s="1">
        <v>3830</v>
      </c>
      <c r="E1712" s="1">
        <v>3630</v>
      </c>
      <c r="F1712" s="1">
        <v>3720</v>
      </c>
      <c r="G1712" s="1">
        <v>135658700</v>
      </c>
      <c r="H1712" s="4">
        <f t="shared" si="56"/>
        <v>-1.3262599469496022E-2</v>
      </c>
      <c r="I1712" s="4">
        <f t="shared" si="57"/>
        <v>-0.34449339207048457</v>
      </c>
    </row>
    <row r="1713" spans="1:9" x14ac:dyDescent="0.2">
      <c r="A1713" s="2">
        <f ca="1">IFERROR(__xludf.DUMMYFUNCTION("""COMPUTED_VALUE"""),45741.6666666666)</f>
        <v>45741.666666666599</v>
      </c>
      <c r="B1713" s="2" t="s">
        <v>57</v>
      </c>
      <c r="C1713" s="1">
        <v>3770</v>
      </c>
      <c r="D1713" s="1">
        <v>3930</v>
      </c>
      <c r="E1713" s="1">
        <v>3740</v>
      </c>
      <c r="F1713" s="1">
        <v>3900</v>
      </c>
      <c r="G1713" s="1">
        <v>157671900</v>
      </c>
      <c r="H1713" s="4">
        <f t="shared" si="56"/>
        <v>4.8387096774193547E-2</v>
      </c>
      <c r="I1713" s="4">
        <f t="shared" si="57"/>
        <v>-0.31277533039647576</v>
      </c>
    </row>
    <row r="1714" spans="1:9" x14ac:dyDescent="0.2">
      <c r="A1714" s="2">
        <f ca="1">IFERROR(__xludf.DUMMYFUNCTION("""COMPUTED_VALUE"""),45742.6666666666)</f>
        <v>45742.666666666599</v>
      </c>
      <c r="B1714" s="2" t="s">
        <v>57</v>
      </c>
      <c r="C1714" s="1">
        <v>4010</v>
      </c>
      <c r="D1714" s="1">
        <v>4280</v>
      </c>
      <c r="E1714" s="1">
        <v>4000</v>
      </c>
      <c r="F1714" s="1">
        <v>4250</v>
      </c>
      <c r="G1714" s="1">
        <v>229422000</v>
      </c>
      <c r="H1714" s="4">
        <f t="shared" si="56"/>
        <v>8.9743589743589744E-2</v>
      </c>
      <c r="I1714" s="4">
        <f t="shared" si="57"/>
        <v>-0.25110132158590309</v>
      </c>
    </row>
    <row r="1715" spans="1:9" x14ac:dyDescent="0.2">
      <c r="A1715" s="2">
        <f ca="1">IFERROR(__xludf.DUMMYFUNCTION("""COMPUTED_VALUE"""),45743.6666666666)</f>
        <v>45743.666666666599</v>
      </c>
      <c r="B1715" s="2" t="s">
        <v>57</v>
      </c>
      <c r="C1715" s="1">
        <v>4250</v>
      </c>
      <c r="D1715" s="1">
        <v>4280</v>
      </c>
      <c r="E1715" s="1">
        <v>4110</v>
      </c>
      <c r="F1715" s="1">
        <v>4240</v>
      </c>
      <c r="G1715" s="1">
        <v>101189600</v>
      </c>
      <c r="H1715" s="4">
        <f t="shared" si="56"/>
        <v>-2.352941176470588E-3</v>
      </c>
      <c r="I1715" s="4">
        <f t="shared" si="57"/>
        <v>-0.252863436123348</v>
      </c>
    </row>
    <row r="1716" spans="1:9" x14ac:dyDescent="0.2">
      <c r="A1716" s="2">
        <f ca="1">IFERROR(__xludf.DUMMYFUNCTION("""COMPUTED_VALUE"""),45755.6666666666)</f>
        <v>45755.666666666599</v>
      </c>
      <c r="B1716" s="2" t="s">
        <v>57</v>
      </c>
      <c r="C1716" s="1">
        <v>3680</v>
      </c>
      <c r="D1716" s="1">
        <v>4080</v>
      </c>
      <c r="E1716" s="1">
        <v>3610</v>
      </c>
      <c r="F1716" s="1">
        <v>4030</v>
      </c>
      <c r="G1716" s="1">
        <v>185281600</v>
      </c>
      <c r="H1716" s="4">
        <f t="shared" si="56"/>
        <v>-4.9528301886792456E-2</v>
      </c>
      <c r="I1716" s="4">
        <f t="shared" si="57"/>
        <v>-0.28986784140969163</v>
      </c>
    </row>
    <row r="1717" spans="1:9" x14ac:dyDescent="0.2">
      <c r="A1717" s="2">
        <f ca="1">IFERROR(__xludf.DUMMYFUNCTION("""COMPUTED_VALUE"""),45756.6666666666)</f>
        <v>45756.666666666599</v>
      </c>
      <c r="B1717" s="2" t="s">
        <v>57</v>
      </c>
      <c r="C1717" s="1">
        <v>4030</v>
      </c>
      <c r="D1717" s="1">
        <v>4140</v>
      </c>
      <c r="E1717" s="1">
        <v>3970</v>
      </c>
      <c r="F1717" s="1">
        <v>4040</v>
      </c>
      <c r="G1717" s="1">
        <v>81414200</v>
      </c>
      <c r="H1717" s="4">
        <f t="shared" si="56"/>
        <v>2.4813895781637717E-3</v>
      </c>
      <c r="I1717" s="4">
        <f t="shared" si="57"/>
        <v>-0.28810572687224667</v>
      </c>
    </row>
    <row r="1718" spans="1:9" x14ac:dyDescent="0.2">
      <c r="A1718" s="2">
        <f ca="1">IFERROR(__xludf.DUMMYFUNCTION("""COMPUTED_VALUE"""),45757.6666666666)</f>
        <v>45757.666666666599</v>
      </c>
      <c r="B1718" s="2" t="s">
        <v>57</v>
      </c>
      <c r="C1718" s="1">
        <v>4380</v>
      </c>
      <c r="D1718" s="1">
        <v>4400</v>
      </c>
      <c r="E1718" s="1">
        <v>4220</v>
      </c>
      <c r="F1718" s="1">
        <v>4260</v>
      </c>
      <c r="G1718" s="1">
        <v>131182600</v>
      </c>
      <c r="H1718" s="4">
        <f t="shared" si="56"/>
        <v>5.4455445544554455E-2</v>
      </c>
      <c r="I1718" s="4">
        <f t="shared" si="57"/>
        <v>-0.24933920704845816</v>
      </c>
    </row>
    <row r="1719" spans="1:9" x14ac:dyDescent="0.2">
      <c r="A1719" s="2">
        <f ca="1">IFERROR(__xludf.DUMMYFUNCTION("""COMPUTED_VALUE"""),45758.6666666666)</f>
        <v>45758.666666666599</v>
      </c>
      <c r="B1719" s="2" t="s">
        <v>57</v>
      </c>
      <c r="C1719" s="1">
        <v>4240</v>
      </c>
      <c r="D1719" s="1">
        <v>4400</v>
      </c>
      <c r="E1719" s="1">
        <v>4200</v>
      </c>
      <c r="F1719" s="1">
        <v>4390</v>
      </c>
      <c r="G1719" s="1">
        <v>90221600</v>
      </c>
      <c r="H1719" s="4">
        <f t="shared" si="56"/>
        <v>3.0516431924882629E-2</v>
      </c>
      <c r="I1719" s="4">
        <f t="shared" si="57"/>
        <v>-0.226431718061674</v>
      </c>
    </row>
    <row r="1720" spans="1:9" x14ac:dyDescent="0.2">
      <c r="A1720" s="2">
        <f ca="1">IFERROR(__xludf.DUMMYFUNCTION("""COMPUTED_VALUE"""),45761.6666666666)</f>
        <v>45761.666666666599</v>
      </c>
      <c r="B1720" s="2" t="s">
        <v>57</v>
      </c>
      <c r="C1720" s="1">
        <v>4450</v>
      </c>
      <c r="D1720" s="1">
        <v>4550</v>
      </c>
      <c r="E1720" s="1">
        <v>4440</v>
      </c>
      <c r="F1720" s="1">
        <v>4550</v>
      </c>
      <c r="G1720" s="1">
        <v>162128800</v>
      </c>
      <c r="H1720" s="4">
        <f t="shared" si="56"/>
        <v>3.644646924829157E-2</v>
      </c>
      <c r="I1720" s="4">
        <f t="shared" si="57"/>
        <v>-0.19823788546255505</v>
      </c>
    </row>
    <row r="1721" spans="1:9" x14ac:dyDescent="0.2">
      <c r="A1721" s="2">
        <f ca="1">IFERROR(__xludf.DUMMYFUNCTION("""COMPUTED_VALUE"""),45762.6666666666)</f>
        <v>45762.666666666599</v>
      </c>
      <c r="B1721" s="2" t="s">
        <v>57</v>
      </c>
      <c r="C1721" s="1">
        <v>4280</v>
      </c>
      <c r="D1721" s="1">
        <v>4350</v>
      </c>
      <c r="E1721" s="1">
        <v>4270</v>
      </c>
      <c r="F1721" s="1">
        <v>4280</v>
      </c>
      <c r="G1721" s="1">
        <v>156480600</v>
      </c>
      <c r="H1721" s="4">
        <f t="shared" si="56"/>
        <v>-5.9340659340659338E-2</v>
      </c>
      <c r="I1721" s="4">
        <f t="shared" si="57"/>
        <v>-0.24581497797356827</v>
      </c>
    </row>
    <row r="1722" spans="1:9" x14ac:dyDescent="0.2">
      <c r="A1722" s="2">
        <f ca="1">IFERROR(__xludf.DUMMYFUNCTION("""COMPUTED_VALUE"""),45763.6666666666)</f>
        <v>45763.666666666599</v>
      </c>
      <c r="B1722" s="2" t="s">
        <v>57</v>
      </c>
      <c r="C1722" s="1">
        <v>4280</v>
      </c>
      <c r="D1722" s="1">
        <v>4290</v>
      </c>
      <c r="E1722" s="1">
        <v>4090</v>
      </c>
      <c r="F1722" s="1">
        <v>4100</v>
      </c>
      <c r="G1722" s="1">
        <v>109735100</v>
      </c>
      <c r="H1722" s="4">
        <f t="shared" si="56"/>
        <v>-4.2056074766355138E-2</v>
      </c>
      <c r="I1722" s="4">
        <f t="shared" si="57"/>
        <v>-0.27753303964757708</v>
      </c>
    </row>
    <row r="1723" spans="1:9" x14ac:dyDescent="0.2">
      <c r="A1723" s="2">
        <f ca="1">IFERROR(__xludf.DUMMYFUNCTION("""COMPUTED_VALUE"""),45764.6666666666)</f>
        <v>45764.666666666599</v>
      </c>
      <c r="B1723" s="2" t="s">
        <v>57</v>
      </c>
      <c r="C1723" s="1">
        <v>4110</v>
      </c>
      <c r="D1723" s="1">
        <v>4150</v>
      </c>
      <c r="E1723" s="1">
        <v>4040</v>
      </c>
      <c r="F1723" s="1">
        <v>4040</v>
      </c>
      <c r="G1723" s="1">
        <v>68392500</v>
      </c>
      <c r="H1723" s="4">
        <f t="shared" si="56"/>
        <v>-1.4634146341463415E-2</v>
      </c>
      <c r="I1723" s="4">
        <f t="shared" si="57"/>
        <v>-0.28810572687224667</v>
      </c>
    </row>
    <row r="1724" spans="1:9" x14ac:dyDescent="0.2">
      <c r="A1724" s="2">
        <f ca="1">IFERROR(__xludf.DUMMYFUNCTION("""COMPUTED_VALUE"""),45768.6666666666)</f>
        <v>45768.666666666599</v>
      </c>
      <c r="B1724" s="2" t="s">
        <v>57</v>
      </c>
      <c r="C1724" s="1">
        <v>4040</v>
      </c>
      <c r="D1724" s="1">
        <v>4050</v>
      </c>
      <c r="E1724" s="1">
        <v>3950</v>
      </c>
      <c r="F1724" s="1">
        <v>3990</v>
      </c>
      <c r="G1724" s="1">
        <v>67071400</v>
      </c>
      <c r="H1724" s="4">
        <f t="shared" si="56"/>
        <v>-1.2376237623762377E-2</v>
      </c>
      <c r="I1724" s="4">
        <f t="shared" si="57"/>
        <v>-0.29691629955947135</v>
      </c>
    </row>
    <row r="1725" spans="1:9" x14ac:dyDescent="0.2">
      <c r="A1725" s="2">
        <f ca="1">IFERROR(__xludf.DUMMYFUNCTION("""COMPUTED_VALUE"""),45769.6666666666)</f>
        <v>45769.666666666599</v>
      </c>
      <c r="B1725" s="2" t="s">
        <v>57</v>
      </c>
      <c r="C1725" s="1">
        <v>3990</v>
      </c>
      <c r="D1725" s="1">
        <v>4050</v>
      </c>
      <c r="E1725" s="1">
        <v>3960</v>
      </c>
      <c r="F1725" s="1">
        <v>4010</v>
      </c>
      <c r="G1725" s="1">
        <v>84001100</v>
      </c>
      <c r="H1725" s="4">
        <f t="shared" si="56"/>
        <v>5.0125313283208017E-3</v>
      </c>
      <c r="I1725" s="4">
        <f t="shared" si="57"/>
        <v>-0.29339207048458149</v>
      </c>
    </row>
    <row r="1726" spans="1:9" x14ac:dyDescent="0.2">
      <c r="A1726" s="2">
        <f ca="1">IFERROR(__xludf.DUMMYFUNCTION("""COMPUTED_VALUE"""),45770.6666666666)</f>
        <v>45770.666666666599</v>
      </c>
      <c r="B1726" s="2" t="s">
        <v>57</v>
      </c>
      <c r="C1726" s="1">
        <v>4080</v>
      </c>
      <c r="D1726" s="1">
        <v>4170</v>
      </c>
      <c r="E1726" s="1">
        <v>4030</v>
      </c>
      <c r="F1726" s="1">
        <v>4150</v>
      </c>
      <c r="G1726" s="1">
        <v>128948700</v>
      </c>
      <c r="H1726" s="4">
        <f t="shared" si="56"/>
        <v>3.4912718204488775E-2</v>
      </c>
      <c r="I1726" s="4">
        <f t="shared" si="57"/>
        <v>-0.2687224669603524</v>
      </c>
    </row>
    <row r="1727" spans="1:9" x14ac:dyDescent="0.2">
      <c r="A1727" s="2">
        <f ca="1">IFERROR(__xludf.DUMMYFUNCTION("""COMPUTED_VALUE"""),45771.6666666666)</f>
        <v>45771.666666666599</v>
      </c>
      <c r="B1727" s="2" t="s">
        <v>57</v>
      </c>
      <c r="C1727" s="1">
        <v>4200</v>
      </c>
      <c r="D1727" s="1">
        <v>4250</v>
      </c>
      <c r="E1727" s="1">
        <v>4120</v>
      </c>
      <c r="F1727" s="1">
        <v>4170</v>
      </c>
      <c r="G1727" s="1">
        <v>145433700</v>
      </c>
      <c r="H1727" s="4">
        <f t="shared" si="56"/>
        <v>4.8192771084337354E-3</v>
      </c>
      <c r="I1727" s="4">
        <f t="shared" si="57"/>
        <v>-0.26519823788546254</v>
      </c>
    </row>
    <row r="1728" spans="1:9" x14ac:dyDescent="0.2">
      <c r="A1728" s="2">
        <f ca="1">IFERROR(__xludf.DUMMYFUNCTION("""COMPUTED_VALUE"""),45772.6666666666)</f>
        <v>45772.666666666599</v>
      </c>
      <c r="B1728" s="2" t="s">
        <v>57</v>
      </c>
      <c r="C1728" s="1">
        <v>4200</v>
      </c>
      <c r="D1728" s="1">
        <v>4210</v>
      </c>
      <c r="E1728" s="1">
        <v>4140</v>
      </c>
      <c r="F1728" s="1">
        <v>4200</v>
      </c>
      <c r="G1728" s="1">
        <v>102065100</v>
      </c>
      <c r="H1728" s="4">
        <f t="shared" si="56"/>
        <v>7.1942446043165471E-3</v>
      </c>
      <c r="I1728" s="4">
        <f t="shared" si="57"/>
        <v>-0.25991189427312777</v>
      </c>
    </row>
    <row r="1729" spans="1:9" x14ac:dyDescent="0.2">
      <c r="A1729" s="2">
        <f ca="1">IFERROR(__xludf.DUMMYFUNCTION("""COMPUTED_VALUE"""),45775.6666666666)</f>
        <v>45775.666666666599</v>
      </c>
      <c r="B1729" s="2" t="s">
        <v>57</v>
      </c>
      <c r="C1729" s="1">
        <v>4210</v>
      </c>
      <c r="D1729" s="1">
        <v>4250</v>
      </c>
      <c r="E1729" s="1">
        <v>4170</v>
      </c>
      <c r="F1729" s="1">
        <v>4190</v>
      </c>
      <c r="G1729" s="1">
        <v>68481300</v>
      </c>
      <c r="H1729" s="4">
        <f t="shared" si="56"/>
        <v>-2.3809523809523812E-3</v>
      </c>
      <c r="I1729" s="4">
        <f t="shared" si="57"/>
        <v>-0.26167400881057268</v>
      </c>
    </row>
    <row r="1730" spans="1:9" x14ac:dyDescent="0.2">
      <c r="A1730" s="2">
        <f ca="1">IFERROR(__xludf.DUMMYFUNCTION("""COMPUTED_VALUE"""),45776.6666666666)</f>
        <v>45776.666666666599</v>
      </c>
      <c r="B1730" s="2" t="s">
        <v>57</v>
      </c>
      <c r="C1730" s="1">
        <v>4210</v>
      </c>
      <c r="D1730" s="1">
        <v>4220</v>
      </c>
      <c r="E1730" s="1">
        <v>4120</v>
      </c>
      <c r="F1730" s="1">
        <v>4140</v>
      </c>
      <c r="G1730" s="1">
        <v>61824000</v>
      </c>
      <c r="H1730" s="4">
        <f t="shared" si="56"/>
        <v>-1.1933174224343675E-2</v>
      </c>
      <c r="I1730" s="4">
        <f t="shared" si="57"/>
        <v>-0.27048458149779736</v>
      </c>
    </row>
    <row r="1731" spans="1:9" x14ac:dyDescent="0.2">
      <c r="A1731" s="2">
        <f ca="1">IFERROR(__xludf.DUMMYFUNCTION("""COMPUTED_VALUE"""),45777.6666666666)</f>
        <v>45777.666666666599</v>
      </c>
      <c r="B1731" s="2" t="s">
        <v>57</v>
      </c>
      <c r="C1731" s="1">
        <v>4160</v>
      </c>
      <c r="D1731" s="1">
        <v>4180</v>
      </c>
      <c r="E1731" s="1">
        <v>4080</v>
      </c>
      <c r="F1731" s="1">
        <v>4180</v>
      </c>
      <c r="G1731" s="1">
        <v>85510000</v>
      </c>
      <c r="H1731" s="4">
        <f t="shared" si="56"/>
        <v>9.6618357487922701E-3</v>
      </c>
      <c r="I1731" s="4">
        <f t="shared" si="57"/>
        <v>-0.26343612334801764</v>
      </c>
    </row>
    <row r="1732" spans="1:9" x14ac:dyDescent="0.2">
      <c r="A1732" s="2">
        <f ca="1">IFERROR(__xludf.DUMMYFUNCTION("""COMPUTED_VALUE"""),45779.6666666666)</f>
        <v>45779.666666666599</v>
      </c>
      <c r="B1732" s="2" t="s">
        <v>57</v>
      </c>
      <c r="C1732" s="1">
        <v>4220</v>
      </c>
      <c r="D1732" s="1">
        <v>4230</v>
      </c>
      <c r="E1732" s="1">
        <v>4160</v>
      </c>
      <c r="F1732" s="1">
        <v>4200</v>
      </c>
      <c r="G1732" s="1">
        <v>81966800</v>
      </c>
      <c r="H1732" s="4">
        <f t="shared" si="56"/>
        <v>4.7846889952153108E-3</v>
      </c>
      <c r="I1732" s="4">
        <f t="shared" si="57"/>
        <v>-0.25991189427312777</v>
      </c>
    </row>
    <row r="1733" spans="1:9" x14ac:dyDescent="0.2">
      <c r="A1733" s="2">
        <f ca="1">IFERROR(__xludf.DUMMYFUNCTION("""COMPUTED_VALUE"""),45782.6666666666)</f>
        <v>45782.666666666599</v>
      </c>
      <c r="B1733" s="2" t="s">
        <v>57</v>
      </c>
      <c r="C1733" s="1">
        <v>4210</v>
      </c>
      <c r="D1733" s="1">
        <v>4280</v>
      </c>
      <c r="E1733" s="1">
        <v>4180</v>
      </c>
      <c r="F1733" s="1">
        <v>4210</v>
      </c>
      <c r="G1733" s="1">
        <v>60392100</v>
      </c>
      <c r="H1733" s="4">
        <f t="shared" si="56"/>
        <v>2.3809523809523812E-3</v>
      </c>
      <c r="I1733" s="4">
        <f t="shared" si="57"/>
        <v>-0.25814977973568282</v>
      </c>
    </row>
    <row r="1734" spans="1:9" x14ac:dyDescent="0.2">
      <c r="A1734" s="2">
        <f ca="1">IFERROR(__xludf.DUMMYFUNCTION("""COMPUTED_VALUE"""),45783.6666666666)</f>
        <v>45783.666666666599</v>
      </c>
      <c r="B1734" s="2" t="s">
        <v>57</v>
      </c>
      <c r="C1734" s="1">
        <v>4220</v>
      </c>
      <c r="D1734" s="1">
        <v>4230</v>
      </c>
      <c r="E1734" s="1">
        <v>4170</v>
      </c>
      <c r="F1734" s="1">
        <v>4180</v>
      </c>
      <c r="G1734" s="1">
        <v>66444400</v>
      </c>
      <c r="H1734" s="4">
        <f t="shared" si="56"/>
        <v>-7.1258907363420431E-3</v>
      </c>
      <c r="I1734" s="4">
        <f t="shared" si="57"/>
        <v>-0.26343612334801764</v>
      </c>
    </row>
    <row r="1735" spans="1:9" x14ac:dyDescent="0.2">
      <c r="A1735" s="2">
        <f ca="1">IFERROR(__xludf.DUMMYFUNCTION("""COMPUTED_VALUE"""),45784.6666666666)</f>
        <v>45784.666666666599</v>
      </c>
      <c r="B1735" s="2" t="s">
        <v>57</v>
      </c>
      <c r="C1735" s="1">
        <v>4190</v>
      </c>
      <c r="D1735" s="1">
        <v>4200</v>
      </c>
      <c r="E1735" s="1">
        <v>4140</v>
      </c>
      <c r="F1735" s="1">
        <v>4160</v>
      </c>
      <c r="G1735" s="1">
        <v>57689300</v>
      </c>
      <c r="H1735" s="4">
        <f t="shared" si="56"/>
        <v>-4.7846889952153108E-3</v>
      </c>
      <c r="I1735" s="4">
        <f t="shared" si="57"/>
        <v>-0.2669603524229075</v>
      </c>
    </row>
    <row r="1736" spans="1:9" x14ac:dyDescent="0.2">
      <c r="A1736" s="2">
        <f ca="1">IFERROR(__xludf.DUMMYFUNCTION("""COMPUTED_VALUE"""),45785.6666666666)</f>
        <v>45785.666666666599</v>
      </c>
      <c r="B1736" s="2" t="s">
        <v>57</v>
      </c>
      <c r="C1736" s="1">
        <v>4160</v>
      </c>
      <c r="D1736" s="1">
        <v>4220</v>
      </c>
      <c r="E1736" s="1">
        <v>4080</v>
      </c>
      <c r="F1736" s="1">
        <v>4120</v>
      </c>
      <c r="G1736" s="1">
        <v>77995600</v>
      </c>
      <c r="H1736" s="4">
        <f t="shared" si="56"/>
        <v>-9.6153846153846159E-3</v>
      </c>
      <c r="I1736" s="4">
        <f t="shared" si="57"/>
        <v>-0.27400881057268722</v>
      </c>
    </row>
    <row r="1737" spans="1:9" x14ac:dyDescent="0.2">
      <c r="A1737" s="2">
        <f ca="1">IFERROR(__xludf.DUMMYFUNCTION("""COMPUTED_VALUE"""),45786.6666666666)</f>
        <v>45786.666666666599</v>
      </c>
      <c r="B1737" s="2" t="s">
        <v>57</v>
      </c>
      <c r="C1737" s="1">
        <v>4120</v>
      </c>
      <c r="D1737" s="1">
        <v>4140</v>
      </c>
      <c r="E1737" s="1">
        <v>4060</v>
      </c>
      <c r="F1737" s="1">
        <v>4100</v>
      </c>
      <c r="G1737" s="1">
        <v>37787800</v>
      </c>
      <c r="H1737" s="4">
        <f t="shared" si="56"/>
        <v>-4.8543689320388345E-3</v>
      </c>
      <c r="I1737" s="4">
        <f t="shared" si="57"/>
        <v>-0.27753303964757708</v>
      </c>
    </row>
    <row r="1738" spans="1:9" x14ac:dyDescent="0.2">
      <c r="A1738" s="2">
        <f ca="1">IFERROR(__xludf.DUMMYFUNCTION("""COMPUTED_VALUE"""),45791.6666666666)</f>
        <v>45791.666666666599</v>
      </c>
      <c r="B1738" s="2" t="s">
        <v>57</v>
      </c>
      <c r="C1738" s="1">
        <v>4180</v>
      </c>
      <c r="D1738" s="1">
        <v>4370</v>
      </c>
      <c r="E1738" s="1">
        <v>4160</v>
      </c>
      <c r="F1738" s="1">
        <v>4370</v>
      </c>
      <c r="G1738" s="1">
        <v>179465400</v>
      </c>
      <c r="H1738" s="4">
        <f t="shared" si="56"/>
        <v>6.5853658536585369E-2</v>
      </c>
      <c r="I1738" s="4">
        <f t="shared" si="57"/>
        <v>-0.22995594713656387</v>
      </c>
    </row>
    <row r="1739" spans="1:9" x14ac:dyDescent="0.2">
      <c r="A1739" s="2">
        <f ca="1">IFERROR(__xludf.DUMMYFUNCTION("""COMPUTED_VALUE"""),45792.6666666666)</f>
        <v>45792.666666666599</v>
      </c>
      <c r="B1739" s="2" t="s">
        <v>57</v>
      </c>
      <c r="C1739" s="1">
        <v>4390</v>
      </c>
      <c r="D1739" s="1">
        <v>4530</v>
      </c>
      <c r="E1739" s="1">
        <v>4390</v>
      </c>
      <c r="F1739" s="1">
        <v>4500</v>
      </c>
      <c r="G1739" s="1">
        <v>120598100</v>
      </c>
      <c r="H1739" s="4">
        <f t="shared" si="56"/>
        <v>2.9748283752860413E-2</v>
      </c>
      <c r="I1739" s="4">
        <f t="shared" si="57"/>
        <v>-0.20704845814977973</v>
      </c>
    </row>
    <row r="1740" spans="1:9" x14ac:dyDescent="0.2">
      <c r="A1740" s="2">
        <f ca="1">IFERROR(__xludf.DUMMYFUNCTION("""COMPUTED_VALUE"""),45793.6666666666)</f>
        <v>45793.666666666599</v>
      </c>
      <c r="B1740" s="2" t="s">
        <v>57</v>
      </c>
      <c r="C1740" s="1">
        <v>4530</v>
      </c>
      <c r="D1740" s="1">
        <v>4530</v>
      </c>
      <c r="E1740" s="1">
        <v>4360</v>
      </c>
      <c r="F1740" s="1">
        <v>4500</v>
      </c>
      <c r="G1740" s="1">
        <v>88956700</v>
      </c>
      <c r="H1740" s="4">
        <f t="shared" si="56"/>
        <v>0</v>
      </c>
      <c r="I1740" s="4">
        <f t="shared" si="57"/>
        <v>-0.20704845814977973</v>
      </c>
    </row>
    <row r="1741" spans="1:9" x14ac:dyDescent="0.2">
      <c r="A1741" s="2">
        <f ca="1">IFERROR(__xludf.DUMMYFUNCTION("""COMPUTED_VALUE"""),45796.6666666666)</f>
        <v>45796.666666666599</v>
      </c>
      <c r="B1741" s="2" t="s">
        <v>57</v>
      </c>
      <c r="C1741" s="1">
        <v>4480</v>
      </c>
      <c r="D1741" s="1">
        <v>4520</v>
      </c>
      <c r="E1741" s="1">
        <v>4430</v>
      </c>
      <c r="F1741" s="1">
        <v>4460</v>
      </c>
      <c r="G1741" s="1">
        <v>60120200</v>
      </c>
      <c r="H1741" s="4">
        <f t="shared" si="56"/>
        <v>-8.8888888888888889E-3</v>
      </c>
      <c r="I1741" s="4">
        <f t="shared" si="57"/>
        <v>-0.21409691629955946</v>
      </c>
    </row>
    <row r="1742" spans="1:9" x14ac:dyDescent="0.2">
      <c r="A1742" s="2">
        <f ca="1">IFERROR(__xludf.DUMMYFUNCTION("""COMPUTED_VALUE"""),45797.6666666666)</f>
        <v>45797.666666666599</v>
      </c>
      <c r="B1742" s="2" t="s">
        <v>57</v>
      </c>
      <c r="C1742" s="1">
        <v>4460</v>
      </c>
      <c r="D1742" s="1">
        <v>4570</v>
      </c>
      <c r="E1742" s="1">
        <v>4420</v>
      </c>
      <c r="F1742" s="1">
        <v>4450</v>
      </c>
      <c r="G1742" s="1">
        <v>81048500</v>
      </c>
      <c r="H1742" s="4">
        <f t="shared" si="56"/>
        <v>-2.242152466367713E-3</v>
      </c>
      <c r="I1742" s="4">
        <f t="shared" si="57"/>
        <v>-0.21585903083700442</v>
      </c>
    </row>
    <row r="1743" spans="1:9" x14ac:dyDescent="0.2">
      <c r="A1743" s="2">
        <f ca="1">IFERROR(__xludf.DUMMYFUNCTION("""COMPUTED_VALUE"""),45798.6666666666)</f>
        <v>45798.666666666599</v>
      </c>
      <c r="B1743" s="2" t="s">
        <v>57</v>
      </c>
      <c r="C1743" s="1">
        <v>4480</v>
      </c>
      <c r="D1743" s="1">
        <v>4580</v>
      </c>
      <c r="E1743" s="1">
        <v>4470</v>
      </c>
      <c r="F1743" s="1">
        <v>4520</v>
      </c>
      <c r="G1743" s="1">
        <v>79967600</v>
      </c>
      <c r="H1743" s="4">
        <f t="shared" ref="H1743:H1806" si="58">(F1743-F1742)/F1742</f>
        <v>1.5730337078651686E-2</v>
      </c>
      <c r="I1743" s="4">
        <f t="shared" ref="I1743:I1806" si="59">(F1743-$F$2)/$F$2</f>
        <v>-0.20352422907488987</v>
      </c>
    </row>
    <row r="1744" spans="1:9" x14ac:dyDescent="0.2">
      <c r="A1744" s="2">
        <f ca="1">IFERROR(__xludf.DUMMYFUNCTION("""COMPUTED_VALUE"""),45799.6666666666)</f>
        <v>45799.666666666599</v>
      </c>
      <c r="B1744" s="2" t="s">
        <v>57</v>
      </c>
      <c r="C1744" s="1">
        <v>4520</v>
      </c>
      <c r="D1744" s="1">
        <v>4540</v>
      </c>
      <c r="E1744" s="1">
        <v>4470</v>
      </c>
      <c r="F1744" s="1">
        <v>4470</v>
      </c>
      <c r="G1744" s="1">
        <v>42314700</v>
      </c>
      <c r="H1744" s="4">
        <f t="shared" si="58"/>
        <v>-1.1061946902654867E-2</v>
      </c>
      <c r="I1744" s="4">
        <f t="shared" si="59"/>
        <v>-0.21233480176211453</v>
      </c>
    </row>
    <row r="1745" spans="1:9" x14ac:dyDescent="0.2">
      <c r="A1745" s="2">
        <f ca="1">IFERROR(__xludf.DUMMYFUNCTION("""COMPUTED_VALUE"""),45800.6666666666)</f>
        <v>45800.666666666599</v>
      </c>
      <c r="B1745" s="2" t="s">
        <v>57</v>
      </c>
      <c r="C1745" s="1">
        <v>4510</v>
      </c>
      <c r="D1745" s="1">
        <v>4520</v>
      </c>
      <c r="E1745" s="1">
        <v>4480</v>
      </c>
      <c r="F1745" s="1">
        <v>4510</v>
      </c>
      <c r="G1745" s="1">
        <v>21621500</v>
      </c>
      <c r="H1745" s="4">
        <f t="shared" si="58"/>
        <v>8.948545861297539E-3</v>
      </c>
      <c r="I1745" s="4">
        <f t="shared" si="59"/>
        <v>-0.2052863436123348</v>
      </c>
    </row>
    <row r="1746" spans="1:9" x14ac:dyDescent="0.2">
      <c r="A1746" s="2">
        <f ca="1">IFERROR(__xludf.DUMMYFUNCTION("""COMPUTED_VALUE"""),45803.6666666666)</f>
        <v>45803.666666666599</v>
      </c>
      <c r="B1746" s="2" t="s">
        <v>57</v>
      </c>
      <c r="C1746" s="1">
        <v>4510</v>
      </c>
      <c r="D1746" s="1">
        <v>4520</v>
      </c>
      <c r="E1746" s="1">
        <v>4420</v>
      </c>
      <c r="F1746" s="1">
        <v>4500</v>
      </c>
      <c r="G1746" s="1">
        <v>36713800</v>
      </c>
      <c r="H1746" s="4">
        <f t="shared" si="58"/>
        <v>-2.2172949002217295E-3</v>
      </c>
      <c r="I1746" s="4">
        <f t="shared" si="59"/>
        <v>-0.20704845814977973</v>
      </c>
    </row>
    <row r="1747" spans="1:9" x14ac:dyDescent="0.2">
      <c r="A1747" s="2">
        <f ca="1">IFERROR(__xludf.DUMMYFUNCTION("""COMPUTED_VALUE"""),45804.6666666666)</f>
        <v>45804.666666666599</v>
      </c>
      <c r="B1747" s="2" t="s">
        <v>57</v>
      </c>
      <c r="C1747" s="1">
        <v>4500</v>
      </c>
      <c r="D1747" s="1">
        <v>4530</v>
      </c>
      <c r="E1747" s="1">
        <v>4460</v>
      </c>
      <c r="F1747" s="1">
        <v>4530</v>
      </c>
      <c r="G1747" s="1">
        <v>40871300</v>
      </c>
      <c r="H1747" s="4">
        <f t="shared" si="58"/>
        <v>6.6666666666666671E-3</v>
      </c>
      <c r="I1747" s="4">
        <f t="shared" si="59"/>
        <v>-0.20176211453744494</v>
      </c>
    </row>
    <row r="1748" spans="1:9" x14ac:dyDescent="0.2">
      <c r="A1748" s="2">
        <f ca="1">IFERROR(__xludf.DUMMYFUNCTION("""COMPUTED_VALUE"""),45805.6666666666)</f>
        <v>45805.666666666599</v>
      </c>
      <c r="B1748" s="2" t="s">
        <v>57</v>
      </c>
      <c r="C1748" s="1">
        <v>4520</v>
      </c>
      <c r="D1748" s="1">
        <v>4540</v>
      </c>
      <c r="E1748" s="1">
        <v>4470</v>
      </c>
      <c r="F1748" s="1">
        <v>4490</v>
      </c>
      <c r="G1748" s="1">
        <v>63745800</v>
      </c>
      <c r="H1748" s="4">
        <f t="shared" si="58"/>
        <v>-8.8300220750551876E-3</v>
      </c>
      <c r="I1748" s="4">
        <f t="shared" si="59"/>
        <v>-0.20881057268722467</v>
      </c>
    </row>
    <row r="1749" spans="1:9" x14ac:dyDescent="0.2">
      <c r="A1749" s="2">
        <f ca="1">IFERROR(__xludf.DUMMYFUNCTION("""COMPUTED_VALUE"""),45810.6666666666)</f>
        <v>45810.666666666599</v>
      </c>
      <c r="B1749" s="2" t="s">
        <v>57</v>
      </c>
      <c r="C1749" s="1">
        <v>4480</v>
      </c>
      <c r="D1749" s="1">
        <v>4480</v>
      </c>
      <c r="E1749" s="1">
        <v>4300</v>
      </c>
      <c r="F1749" s="1">
        <v>4370</v>
      </c>
      <c r="G1749" s="1">
        <v>68993300</v>
      </c>
      <c r="H1749" s="4">
        <f t="shared" si="58"/>
        <v>-2.6726057906458798E-2</v>
      </c>
      <c r="I1749" s="4">
        <f t="shared" si="59"/>
        <v>-0.22995594713656387</v>
      </c>
    </row>
    <row r="1750" spans="1:9" x14ac:dyDescent="0.2">
      <c r="A1750" s="2">
        <f ca="1">IFERROR(__xludf.DUMMYFUNCTION("""COMPUTED_VALUE"""),45811.6666666666)</f>
        <v>45811.666666666599</v>
      </c>
      <c r="B1750" s="2" t="s">
        <v>57</v>
      </c>
      <c r="C1750" s="1">
        <v>4350</v>
      </c>
      <c r="D1750" s="1">
        <v>4380</v>
      </c>
      <c r="E1750" s="1">
        <v>4260</v>
      </c>
      <c r="F1750" s="1">
        <v>4370</v>
      </c>
      <c r="G1750" s="1">
        <v>42954800</v>
      </c>
      <c r="H1750" s="4">
        <f t="shared" si="58"/>
        <v>0</v>
      </c>
      <c r="I1750" s="4">
        <f t="shared" si="59"/>
        <v>-0.22995594713656387</v>
      </c>
    </row>
    <row r="1751" spans="1:9" x14ac:dyDescent="0.2">
      <c r="A1751" s="2">
        <f ca="1">IFERROR(__xludf.DUMMYFUNCTION("""COMPUTED_VALUE"""),45812.6666666666)</f>
        <v>45812.666666666599</v>
      </c>
      <c r="B1751" s="2" t="s">
        <v>57</v>
      </c>
      <c r="C1751" s="1">
        <v>4420</v>
      </c>
      <c r="D1751" s="1">
        <v>4420</v>
      </c>
      <c r="E1751" s="1">
        <v>4300</v>
      </c>
      <c r="F1751" s="1">
        <v>4300</v>
      </c>
      <c r="G1751" s="1">
        <v>35499900</v>
      </c>
      <c r="H1751" s="4">
        <f t="shared" si="58"/>
        <v>-1.6018306636155607E-2</v>
      </c>
      <c r="I1751" s="4">
        <f t="shared" si="59"/>
        <v>-0.24229074889867841</v>
      </c>
    </row>
    <row r="1752" spans="1:9" x14ac:dyDescent="0.2">
      <c r="A1752" s="2">
        <f ca="1">IFERROR(__xludf.DUMMYFUNCTION("""COMPUTED_VALUE"""),45813.6666666666)</f>
        <v>45813.666666666599</v>
      </c>
      <c r="B1752" s="2" t="s">
        <v>57</v>
      </c>
      <c r="C1752" s="1">
        <v>4310</v>
      </c>
      <c r="D1752" s="1">
        <v>4420</v>
      </c>
      <c r="E1752" s="1">
        <v>4310</v>
      </c>
      <c r="F1752" s="1">
        <v>4420</v>
      </c>
      <c r="G1752" s="1">
        <v>36143400</v>
      </c>
      <c r="H1752" s="4">
        <f t="shared" si="58"/>
        <v>2.7906976744186046E-2</v>
      </c>
      <c r="I1752" s="4">
        <f t="shared" si="59"/>
        <v>-0.22114537444933921</v>
      </c>
    </row>
    <row r="1753" spans="1:9" x14ac:dyDescent="0.2">
      <c r="A1753" s="2">
        <f ca="1">IFERROR(__xludf.DUMMYFUNCTION("""COMPUTED_VALUE"""),45818.6666666666)</f>
        <v>45818.666666666599</v>
      </c>
      <c r="B1753" s="2" t="s">
        <v>57</v>
      </c>
      <c r="C1753" s="1">
        <v>4470</v>
      </c>
      <c r="D1753" s="1">
        <v>4520</v>
      </c>
      <c r="E1753" s="1">
        <v>4450</v>
      </c>
      <c r="F1753" s="1">
        <v>4520</v>
      </c>
      <c r="G1753" s="1">
        <v>45818600</v>
      </c>
      <c r="H1753" s="4">
        <f t="shared" si="58"/>
        <v>2.2624434389140271E-2</v>
      </c>
      <c r="I1753" s="4">
        <f t="shared" si="59"/>
        <v>-0.20352422907488987</v>
      </c>
    </row>
    <row r="1754" spans="1:9" x14ac:dyDescent="0.2">
      <c r="A1754" s="2">
        <f ca="1">IFERROR(__xludf.DUMMYFUNCTION("""COMPUTED_VALUE"""),45819.6666666666)</f>
        <v>45819.666666666599</v>
      </c>
      <c r="B1754" s="2" t="s">
        <v>57</v>
      </c>
      <c r="C1754" s="1">
        <v>4530</v>
      </c>
      <c r="D1754" s="1">
        <v>4540</v>
      </c>
      <c r="E1754" s="1">
        <v>4480</v>
      </c>
      <c r="F1754" s="1">
        <v>4540</v>
      </c>
      <c r="G1754" s="1">
        <v>35008700</v>
      </c>
      <c r="H1754" s="4">
        <f t="shared" si="58"/>
        <v>4.4247787610619468E-3</v>
      </c>
      <c r="I1754" s="4">
        <f t="shared" si="59"/>
        <v>-0.2</v>
      </c>
    </row>
    <row r="1755" spans="1:9" x14ac:dyDescent="0.2">
      <c r="A1755" s="2">
        <f ca="1">IFERROR(__xludf.DUMMYFUNCTION("""COMPUTED_VALUE"""),45820.6666666666)</f>
        <v>45820.666666666599</v>
      </c>
      <c r="B1755" s="2" t="s">
        <v>57</v>
      </c>
      <c r="C1755" s="1">
        <v>4530</v>
      </c>
      <c r="D1755" s="1">
        <v>4540</v>
      </c>
      <c r="E1755" s="1">
        <v>4480</v>
      </c>
      <c r="F1755" s="1">
        <v>4540</v>
      </c>
      <c r="G1755" s="1">
        <v>29571100</v>
      </c>
      <c r="H1755" s="4">
        <f t="shared" si="58"/>
        <v>0</v>
      </c>
      <c r="I1755" s="4">
        <f t="shared" si="59"/>
        <v>-0.2</v>
      </c>
    </row>
    <row r="1756" spans="1:9" x14ac:dyDescent="0.2">
      <c r="A1756" s="2">
        <f ca="1">IFERROR(__xludf.DUMMYFUNCTION("""COMPUTED_VALUE"""),45821.6666666666)</f>
        <v>45821.666666666599</v>
      </c>
      <c r="B1756" s="2" t="s">
        <v>57</v>
      </c>
      <c r="C1756" s="1">
        <v>4480</v>
      </c>
      <c r="D1756" s="1">
        <v>4540</v>
      </c>
      <c r="E1756" s="1">
        <v>4450</v>
      </c>
      <c r="F1756" s="1">
        <v>4540</v>
      </c>
      <c r="G1756" s="1">
        <v>30548300</v>
      </c>
      <c r="H1756" s="4">
        <f t="shared" si="58"/>
        <v>0</v>
      </c>
      <c r="I1756" s="4">
        <f t="shared" si="59"/>
        <v>-0.2</v>
      </c>
    </row>
    <row r="1757" spans="1:9" x14ac:dyDescent="0.2">
      <c r="A1757" s="2">
        <f ca="1">IFERROR(__xludf.DUMMYFUNCTION("""COMPUTED_VALUE"""),45824.6666666666)</f>
        <v>45824.666666666599</v>
      </c>
      <c r="B1757" s="2" t="s">
        <v>57</v>
      </c>
      <c r="C1757" s="1">
        <v>4490</v>
      </c>
      <c r="D1757" s="1">
        <v>4490</v>
      </c>
      <c r="E1757" s="1">
        <v>4360</v>
      </c>
      <c r="F1757" s="1">
        <v>4400</v>
      </c>
      <c r="G1757" s="1">
        <v>90223800</v>
      </c>
      <c r="H1757" s="4">
        <f t="shared" si="58"/>
        <v>-3.0837004405286344E-2</v>
      </c>
      <c r="I1757" s="4">
        <f t="shared" si="59"/>
        <v>-0.22466960352422907</v>
      </c>
    </row>
    <row r="1758" spans="1:9" x14ac:dyDescent="0.2">
      <c r="A1758" s="2">
        <f ca="1">IFERROR(__xludf.DUMMYFUNCTION("""COMPUTED_VALUE"""),45825.6666666666)</f>
        <v>45825.666666666599</v>
      </c>
      <c r="B1758" s="2" t="s">
        <v>57</v>
      </c>
      <c r="C1758" s="1">
        <v>4400</v>
      </c>
      <c r="D1758" s="1">
        <v>4420</v>
      </c>
      <c r="E1758" s="1">
        <v>4350</v>
      </c>
      <c r="F1758" s="1">
        <v>4360</v>
      </c>
      <c r="G1758" s="1">
        <v>44876400</v>
      </c>
      <c r="H1758" s="4">
        <f t="shared" si="58"/>
        <v>-9.0909090909090905E-3</v>
      </c>
      <c r="I1758" s="4">
        <f t="shared" si="59"/>
        <v>-0.23171806167400882</v>
      </c>
    </row>
    <row r="1759" spans="1:9" x14ac:dyDescent="0.2">
      <c r="A1759" s="2">
        <f ca="1">IFERROR(__xludf.DUMMYFUNCTION("""COMPUTED_VALUE"""),45826.6666666666)</f>
        <v>45826.666666666599</v>
      </c>
      <c r="B1759" s="2" t="s">
        <v>57</v>
      </c>
      <c r="C1759" s="1">
        <v>4350</v>
      </c>
      <c r="D1759" s="1">
        <v>4360</v>
      </c>
      <c r="E1759" s="1">
        <v>4250</v>
      </c>
      <c r="F1759" s="1">
        <v>4300</v>
      </c>
      <c r="G1759" s="1">
        <v>40711200</v>
      </c>
      <c r="H1759" s="4">
        <f t="shared" si="58"/>
        <v>-1.3761467889908258E-2</v>
      </c>
      <c r="I1759" s="4">
        <f t="shared" si="59"/>
        <v>-0.24229074889867841</v>
      </c>
    </row>
    <row r="1760" spans="1:9" x14ac:dyDescent="0.2">
      <c r="A1760" s="2">
        <f ca="1">IFERROR(__xludf.DUMMYFUNCTION("""COMPUTED_VALUE"""),45827.6666666666)</f>
        <v>45827.666666666599</v>
      </c>
      <c r="B1760" s="2" t="s">
        <v>57</v>
      </c>
      <c r="C1760" s="1">
        <v>4300</v>
      </c>
      <c r="D1760" s="1">
        <v>4300</v>
      </c>
      <c r="E1760" s="1">
        <v>4100</v>
      </c>
      <c r="F1760" s="1">
        <v>4130</v>
      </c>
      <c r="G1760" s="1">
        <v>87781700</v>
      </c>
      <c r="H1760" s="4">
        <f t="shared" si="58"/>
        <v>-3.9534883720930232E-2</v>
      </c>
      <c r="I1760" s="4">
        <f t="shared" si="59"/>
        <v>-0.27224669603524226</v>
      </c>
    </row>
    <row r="1761" spans="1:9" x14ac:dyDescent="0.2">
      <c r="A1761" s="2">
        <f ca="1">IFERROR(__xludf.DUMMYFUNCTION("""COMPUTED_VALUE"""),45828.6666666666)</f>
        <v>45828.666666666599</v>
      </c>
      <c r="B1761" s="2" t="s">
        <v>57</v>
      </c>
      <c r="C1761" s="1">
        <v>4120</v>
      </c>
      <c r="D1761" s="1">
        <v>4140</v>
      </c>
      <c r="E1761" s="1">
        <v>4050</v>
      </c>
      <c r="F1761" s="1">
        <v>4110</v>
      </c>
      <c r="G1761" s="1">
        <v>178503500</v>
      </c>
      <c r="H1761" s="4">
        <f t="shared" si="58"/>
        <v>-4.8426150121065378E-3</v>
      </c>
      <c r="I1761" s="4">
        <f t="shared" si="59"/>
        <v>-0.27577092511013218</v>
      </c>
    </row>
    <row r="1762" spans="1:9" x14ac:dyDescent="0.2">
      <c r="A1762" s="2">
        <f ca="1">IFERROR(__xludf.DUMMYFUNCTION("""COMPUTED_VALUE"""),45831.6666666666)</f>
        <v>45831.666666666599</v>
      </c>
      <c r="B1762" s="2" t="s">
        <v>57</v>
      </c>
      <c r="C1762" s="1">
        <v>4060</v>
      </c>
      <c r="D1762" s="1">
        <v>4100</v>
      </c>
      <c r="E1762" s="1">
        <v>3970</v>
      </c>
      <c r="F1762" s="1">
        <v>4060</v>
      </c>
      <c r="G1762" s="1">
        <v>53486300</v>
      </c>
      <c r="H1762" s="4">
        <f t="shared" si="58"/>
        <v>-1.2165450121654502E-2</v>
      </c>
      <c r="I1762" s="4">
        <f t="shared" si="59"/>
        <v>-0.28458149779735681</v>
      </c>
    </row>
    <row r="1763" spans="1:9" x14ac:dyDescent="0.2">
      <c r="A1763" s="2">
        <f ca="1">IFERROR(__xludf.DUMMYFUNCTION("""COMPUTED_VALUE"""),45832.6666666666)</f>
        <v>45832.666666666599</v>
      </c>
      <c r="B1763" s="2" t="s">
        <v>57</v>
      </c>
      <c r="C1763" s="1">
        <v>4160</v>
      </c>
      <c r="D1763" s="1">
        <v>4210</v>
      </c>
      <c r="E1763" s="1">
        <v>4140</v>
      </c>
      <c r="F1763" s="1">
        <v>4140</v>
      </c>
      <c r="G1763" s="1">
        <v>51925200</v>
      </c>
      <c r="H1763" s="4">
        <f t="shared" si="58"/>
        <v>1.9704433497536946E-2</v>
      </c>
      <c r="I1763" s="4">
        <f t="shared" si="59"/>
        <v>-0.27048458149779736</v>
      </c>
    </row>
    <row r="1764" spans="1:9" x14ac:dyDescent="0.2">
      <c r="A1764" s="2">
        <f ca="1">IFERROR(__xludf.DUMMYFUNCTION("""COMPUTED_VALUE"""),45833.6666666666)</f>
        <v>45833.666666666599</v>
      </c>
      <c r="B1764" s="2" t="s">
        <v>57</v>
      </c>
      <c r="C1764" s="1">
        <v>4200</v>
      </c>
      <c r="D1764" s="1">
        <v>4200</v>
      </c>
      <c r="E1764" s="1">
        <v>4060</v>
      </c>
      <c r="F1764" s="1">
        <v>4110</v>
      </c>
      <c r="G1764" s="1">
        <v>33883900</v>
      </c>
      <c r="H1764" s="4">
        <f t="shared" si="58"/>
        <v>-7.246376811594203E-3</v>
      </c>
      <c r="I1764" s="4">
        <f t="shared" si="59"/>
        <v>-0.27577092511013218</v>
      </c>
    </row>
    <row r="1765" spans="1:9" x14ac:dyDescent="0.2">
      <c r="A1765" s="2">
        <f ca="1">IFERROR(__xludf.DUMMYFUNCTION("""COMPUTED_VALUE"""),45834.6666666666)</f>
        <v>45834.666666666599</v>
      </c>
      <c r="B1765" s="2" t="s">
        <v>57</v>
      </c>
      <c r="C1765" s="1">
        <v>4110</v>
      </c>
      <c r="D1765" s="1">
        <v>4120</v>
      </c>
      <c r="E1765" s="1">
        <v>4050</v>
      </c>
      <c r="F1765" s="1">
        <v>4120</v>
      </c>
      <c r="G1765" s="1">
        <v>31912200</v>
      </c>
      <c r="H1765" s="4">
        <f t="shared" si="58"/>
        <v>2.4330900243309003E-3</v>
      </c>
      <c r="I1765" s="4">
        <f t="shared" si="59"/>
        <v>-0.27400881057268722</v>
      </c>
    </row>
    <row r="1766" spans="1:9" x14ac:dyDescent="0.2">
      <c r="A1766" s="2">
        <f ca="1">IFERROR(__xludf.DUMMYFUNCTION("""COMPUTED_VALUE"""),45838.6666666666)</f>
        <v>45838.666666666599</v>
      </c>
      <c r="B1766" s="2" t="s">
        <v>57</v>
      </c>
      <c r="C1766" s="1">
        <v>4130</v>
      </c>
      <c r="D1766" s="1">
        <v>4130</v>
      </c>
      <c r="E1766" s="1">
        <v>4050</v>
      </c>
      <c r="F1766" s="1">
        <v>4120</v>
      </c>
      <c r="G1766" s="1">
        <v>53732100</v>
      </c>
      <c r="H1766" s="4">
        <f t="shared" si="58"/>
        <v>0</v>
      </c>
      <c r="I1766" s="4">
        <f t="shared" si="59"/>
        <v>-0.27400881057268722</v>
      </c>
    </row>
    <row r="1767" spans="1:9" x14ac:dyDescent="0.2">
      <c r="A1767" s="2">
        <f ca="1">IFERROR(__xludf.DUMMYFUNCTION("""COMPUTED_VALUE"""),45839.6666666666)</f>
        <v>45839.666666666599</v>
      </c>
      <c r="B1767" s="2" t="s">
        <v>57</v>
      </c>
      <c r="C1767" s="1">
        <v>4120</v>
      </c>
      <c r="D1767" s="1">
        <v>4130</v>
      </c>
      <c r="E1767" s="1">
        <v>4000</v>
      </c>
      <c r="F1767" s="1">
        <v>4010</v>
      </c>
      <c r="G1767" s="1">
        <v>55713800</v>
      </c>
      <c r="H1767" s="4">
        <f t="shared" si="58"/>
        <v>-2.6699029126213591E-2</v>
      </c>
      <c r="I1767" s="4">
        <f t="shared" si="59"/>
        <v>-0.29339207048458149</v>
      </c>
    </row>
    <row r="1768" spans="1:9" x14ac:dyDescent="0.2">
      <c r="A1768" s="2">
        <f ca="1">IFERROR(__xludf.DUMMYFUNCTION("""COMPUTED_VALUE"""),45840.6666666666)</f>
        <v>45840.666666666599</v>
      </c>
      <c r="B1768" s="2" t="s">
        <v>57</v>
      </c>
      <c r="C1768" s="1">
        <v>4010</v>
      </c>
      <c r="D1768" s="1">
        <v>4040</v>
      </c>
      <c r="E1768" s="1">
        <v>3970</v>
      </c>
      <c r="F1768" s="1">
        <v>4020</v>
      </c>
      <c r="G1768" s="1">
        <v>31192900</v>
      </c>
      <c r="H1768" s="4">
        <f t="shared" si="58"/>
        <v>2.4937655860349127E-3</v>
      </c>
      <c r="I1768" s="4">
        <f t="shared" si="59"/>
        <v>-0.29162995594713659</v>
      </c>
    </row>
    <row r="1769" spans="1:9" x14ac:dyDescent="0.2">
      <c r="A1769" s="2">
        <f ca="1">IFERROR(__xludf.DUMMYFUNCTION("""COMPUTED_VALUE"""),45841.6666666666)</f>
        <v>45841.666666666599</v>
      </c>
      <c r="B1769" s="2" t="s">
        <v>57</v>
      </c>
      <c r="C1769" s="1">
        <v>4010</v>
      </c>
      <c r="D1769" s="1">
        <v>4060</v>
      </c>
      <c r="E1769" s="1">
        <v>3970</v>
      </c>
      <c r="F1769" s="1">
        <v>3970</v>
      </c>
      <c r="G1769" s="1">
        <v>49947500</v>
      </c>
      <c r="H1769" s="4">
        <f t="shared" si="58"/>
        <v>-1.2437810945273632E-2</v>
      </c>
      <c r="I1769" s="4">
        <f t="shared" si="59"/>
        <v>-0.30044052863436121</v>
      </c>
    </row>
    <row r="1770" spans="1:9" x14ac:dyDescent="0.2">
      <c r="A1770" s="2">
        <f ca="1">IFERROR(__xludf.DUMMYFUNCTION("""COMPUTED_VALUE"""),45842.6666666666)</f>
        <v>45842.666666666599</v>
      </c>
      <c r="B1770" s="2" t="s">
        <v>57</v>
      </c>
      <c r="C1770" s="1">
        <v>3970</v>
      </c>
      <c r="D1770" s="1">
        <v>4010</v>
      </c>
      <c r="E1770" s="1">
        <v>3950</v>
      </c>
      <c r="F1770" s="1">
        <v>4000</v>
      </c>
      <c r="G1770" s="1">
        <v>30396500</v>
      </c>
      <c r="H1770" s="4">
        <f t="shared" si="58"/>
        <v>7.556675062972292E-3</v>
      </c>
      <c r="I1770" s="4">
        <f t="shared" si="59"/>
        <v>-0.29515418502202645</v>
      </c>
    </row>
    <row r="1771" spans="1:9" x14ac:dyDescent="0.2">
      <c r="A1771" s="2">
        <f ca="1">IFERROR(__xludf.DUMMYFUNCTION("""COMPUTED_VALUE"""),45845.6666666666)</f>
        <v>45845.666666666599</v>
      </c>
      <c r="B1771" s="2" t="s">
        <v>57</v>
      </c>
      <c r="C1771" s="1">
        <v>4000</v>
      </c>
      <c r="D1771" s="1">
        <v>4010</v>
      </c>
      <c r="E1771" s="1">
        <v>3930</v>
      </c>
      <c r="F1771" s="1">
        <v>4000</v>
      </c>
      <c r="G1771" s="1">
        <v>28005400</v>
      </c>
      <c r="H1771" s="4">
        <f t="shared" si="58"/>
        <v>0</v>
      </c>
      <c r="I1771" s="4">
        <f t="shared" si="59"/>
        <v>-0.29515418502202645</v>
      </c>
    </row>
    <row r="1772" spans="1:9" x14ac:dyDescent="0.2">
      <c r="A1772" s="2">
        <f ca="1">IFERROR(__xludf.DUMMYFUNCTION("""COMPUTED_VALUE"""),45846.6666666666)</f>
        <v>45846.666666666599</v>
      </c>
      <c r="B1772" s="2" t="s">
        <v>57</v>
      </c>
      <c r="C1772" s="1">
        <v>3980</v>
      </c>
      <c r="D1772" s="1">
        <v>4020</v>
      </c>
      <c r="E1772" s="1">
        <v>3950</v>
      </c>
      <c r="F1772" s="1">
        <v>3970</v>
      </c>
      <c r="G1772" s="1">
        <v>27867600</v>
      </c>
      <c r="H1772" s="4">
        <f t="shared" si="58"/>
        <v>-7.4999999999999997E-3</v>
      </c>
      <c r="I1772" s="4">
        <f t="shared" si="59"/>
        <v>-0.30044052863436121</v>
      </c>
    </row>
    <row r="1773" spans="1:9" x14ac:dyDescent="0.2">
      <c r="A1773" s="2">
        <f ca="1">IFERROR(__xludf.DUMMYFUNCTION("""COMPUTED_VALUE"""),45847.6666666666)</f>
        <v>45847.666666666599</v>
      </c>
      <c r="B1773" s="2" t="s">
        <v>57</v>
      </c>
      <c r="C1773" s="1">
        <v>3960</v>
      </c>
      <c r="D1773" s="1">
        <v>4000</v>
      </c>
      <c r="E1773" s="1">
        <v>3950</v>
      </c>
      <c r="F1773" s="1">
        <v>4000</v>
      </c>
      <c r="G1773" s="1">
        <v>27904300</v>
      </c>
      <c r="H1773" s="4">
        <f t="shared" si="58"/>
        <v>7.556675062972292E-3</v>
      </c>
      <c r="I1773" s="4">
        <f t="shared" si="59"/>
        <v>-0.29515418502202645</v>
      </c>
    </row>
    <row r="1774" spans="1:9" x14ac:dyDescent="0.2">
      <c r="A1774" s="2">
        <f ca="1">IFERROR(__xludf.DUMMYFUNCTION("""COMPUTED_VALUE"""),45848.6666666666)</f>
        <v>45848.666666666599</v>
      </c>
      <c r="B1774" s="2" t="s">
        <v>57</v>
      </c>
      <c r="C1774" s="1">
        <v>3980</v>
      </c>
      <c r="D1774" s="1">
        <v>4140</v>
      </c>
      <c r="E1774" s="1">
        <v>3980</v>
      </c>
      <c r="F1774" s="1">
        <v>4110</v>
      </c>
      <c r="G1774" s="1">
        <v>44060900</v>
      </c>
      <c r="H1774" s="4">
        <f t="shared" si="58"/>
        <v>2.75E-2</v>
      </c>
      <c r="I1774" s="4">
        <f t="shared" si="59"/>
        <v>-0.27577092511013218</v>
      </c>
    </row>
    <row r="1775" spans="1:9" x14ac:dyDescent="0.2">
      <c r="A1775" s="2">
        <f ca="1">IFERROR(__xludf.DUMMYFUNCTION("""COMPUTED_VALUE"""),45849.6666666666)</f>
        <v>45849.666666666599</v>
      </c>
      <c r="B1775" s="2" t="s">
        <v>57</v>
      </c>
      <c r="C1775" s="1">
        <v>4130</v>
      </c>
      <c r="D1775" s="1">
        <v>4220</v>
      </c>
      <c r="E1775" s="1">
        <v>4120</v>
      </c>
      <c r="F1775" s="1">
        <v>4180</v>
      </c>
      <c r="G1775" s="1">
        <v>48939300</v>
      </c>
      <c r="H1775" s="4">
        <f t="shared" si="58"/>
        <v>1.7031630170316302E-2</v>
      </c>
      <c r="I1775" s="4">
        <f t="shared" si="59"/>
        <v>-0.26343612334801764</v>
      </c>
    </row>
    <row r="1776" spans="1:9" x14ac:dyDescent="0.2">
      <c r="A1776" s="2">
        <f ca="1">IFERROR(__xludf.DUMMYFUNCTION("""COMPUTED_VALUE"""),45852.6666666666)</f>
        <v>45852.666666666599</v>
      </c>
      <c r="B1776" s="2" t="s">
        <v>57</v>
      </c>
      <c r="C1776" s="1">
        <v>4190</v>
      </c>
      <c r="D1776" s="1">
        <v>4190</v>
      </c>
      <c r="E1776" s="1">
        <v>4000</v>
      </c>
      <c r="F1776" s="1">
        <v>4040</v>
      </c>
      <c r="G1776" s="1">
        <v>68377100</v>
      </c>
      <c r="H1776" s="4">
        <f t="shared" si="58"/>
        <v>-3.3492822966507178E-2</v>
      </c>
      <c r="I1776" s="4">
        <f t="shared" si="59"/>
        <v>-0.28810572687224667</v>
      </c>
    </row>
    <row r="1777" spans="1:9" x14ac:dyDescent="0.2">
      <c r="A1777" s="2">
        <f ca="1">IFERROR(__xludf.DUMMYFUNCTION("""COMPUTED_VALUE"""),45853.6666666666)</f>
        <v>45853.666666666599</v>
      </c>
      <c r="B1777" s="2" t="s">
        <v>57</v>
      </c>
      <c r="C1777" s="1">
        <v>4040</v>
      </c>
      <c r="D1777" s="1">
        <v>4070</v>
      </c>
      <c r="E1777" s="1">
        <v>4010</v>
      </c>
      <c r="F1777" s="1">
        <v>4050</v>
      </c>
      <c r="G1777" s="1">
        <v>30497400</v>
      </c>
      <c r="H1777" s="4">
        <f t="shared" si="58"/>
        <v>2.4752475247524753E-3</v>
      </c>
      <c r="I1777" s="4">
        <f t="shared" si="59"/>
        <v>-0.28634361233480177</v>
      </c>
    </row>
    <row r="1778" spans="1:9" x14ac:dyDescent="0.2">
      <c r="A1778" s="2">
        <f ca="1">IFERROR(__xludf.DUMMYFUNCTION("""COMPUTED_VALUE"""),45854.6666666666)</f>
        <v>45854.666666666599</v>
      </c>
      <c r="B1778" s="2" t="s">
        <v>57</v>
      </c>
      <c r="C1778" s="1">
        <v>4130</v>
      </c>
      <c r="D1778" s="1">
        <v>4150</v>
      </c>
      <c r="E1778" s="1">
        <v>4080</v>
      </c>
      <c r="F1778" s="1">
        <v>4130</v>
      </c>
      <c r="G1778" s="1">
        <v>66349800</v>
      </c>
      <c r="H1778" s="4">
        <f t="shared" si="58"/>
        <v>1.9753086419753086E-2</v>
      </c>
      <c r="I1778" s="4">
        <f t="shared" si="59"/>
        <v>-0.27224669603524226</v>
      </c>
    </row>
    <row r="1779" spans="1:9" x14ac:dyDescent="0.2">
      <c r="A1779" s="2">
        <f ca="1">IFERROR(__xludf.DUMMYFUNCTION("""COMPUTED_VALUE"""),45855.6666666666)</f>
        <v>45855.666666666599</v>
      </c>
      <c r="B1779" s="2" t="s">
        <v>57</v>
      </c>
      <c r="C1779" s="1">
        <v>4140</v>
      </c>
      <c r="D1779" s="1">
        <v>4140</v>
      </c>
      <c r="E1779" s="1">
        <v>4090</v>
      </c>
      <c r="F1779" s="1">
        <v>4110</v>
      </c>
      <c r="G1779" s="1">
        <v>25818000</v>
      </c>
      <c r="H1779" s="4">
        <f t="shared" si="58"/>
        <v>-4.8426150121065378E-3</v>
      </c>
      <c r="I1779" s="4">
        <f t="shared" si="59"/>
        <v>-0.27577092511013218</v>
      </c>
    </row>
    <row r="1780" spans="1:9" x14ac:dyDescent="0.2">
      <c r="A1780" s="2">
        <f ca="1">IFERROR(__xludf.DUMMYFUNCTION("""COMPUTED_VALUE"""),45856.6666666666)</f>
        <v>45856.666666666599</v>
      </c>
      <c r="B1780" s="2" t="s">
        <v>57</v>
      </c>
      <c r="C1780" s="1">
        <v>4120</v>
      </c>
      <c r="D1780" s="1">
        <v>4150</v>
      </c>
      <c r="E1780" s="1">
        <v>4100</v>
      </c>
      <c r="F1780" s="1">
        <v>4120</v>
      </c>
      <c r="G1780" s="1">
        <v>35072000</v>
      </c>
      <c r="H1780" s="4">
        <f t="shared" si="58"/>
        <v>2.4330900243309003E-3</v>
      </c>
      <c r="I1780" s="4">
        <f t="shared" si="59"/>
        <v>-0.27400881057268722</v>
      </c>
    </row>
    <row r="1781" spans="1:9" x14ac:dyDescent="0.2">
      <c r="A1781" s="2">
        <f ca="1">IFERROR(__xludf.DUMMYFUNCTION("""COMPUTED_VALUE"""),45859.6666666666)</f>
        <v>45859.666666666599</v>
      </c>
      <c r="B1781" s="2" t="s">
        <v>57</v>
      </c>
      <c r="C1781" s="1">
        <v>4140</v>
      </c>
      <c r="D1781" s="1">
        <v>4140</v>
      </c>
      <c r="E1781" s="1">
        <v>4070</v>
      </c>
      <c r="F1781" s="1">
        <v>4070</v>
      </c>
      <c r="G1781" s="1">
        <v>35004100</v>
      </c>
      <c r="H1781" s="4">
        <f t="shared" si="58"/>
        <v>-1.2135922330097087E-2</v>
      </c>
      <c r="I1781" s="4">
        <f t="shared" si="59"/>
        <v>-0.28281938325991191</v>
      </c>
    </row>
    <row r="1782" spans="1:9" x14ac:dyDescent="0.2">
      <c r="A1782" s="2">
        <f ca="1">IFERROR(__xludf.DUMMYFUNCTION("""COMPUTED_VALUE"""),45860.6666666666)</f>
        <v>45860.666666666599</v>
      </c>
      <c r="B1782" s="2" t="s">
        <v>57</v>
      </c>
      <c r="C1782" s="1">
        <v>4090</v>
      </c>
      <c r="D1782" s="1">
        <v>4090</v>
      </c>
      <c r="E1782" s="1">
        <v>4040</v>
      </c>
      <c r="F1782" s="1">
        <v>4050</v>
      </c>
      <c r="G1782" s="1">
        <v>32607800</v>
      </c>
      <c r="H1782" s="4">
        <f t="shared" si="58"/>
        <v>-4.9140049140049139E-3</v>
      </c>
      <c r="I1782" s="4">
        <f t="shared" si="59"/>
        <v>-0.28634361233480177</v>
      </c>
    </row>
    <row r="1783" spans="1:9" x14ac:dyDescent="0.2">
      <c r="A1783" s="2">
        <f ca="1">IFERROR(__xludf.DUMMYFUNCTION("""COMPUTED_VALUE"""),45861.6666666666)</f>
        <v>45861.666666666599</v>
      </c>
      <c r="B1783" s="2" t="s">
        <v>57</v>
      </c>
      <c r="C1783" s="1">
        <v>4080</v>
      </c>
      <c r="D1783" s="1">
        <v>4100</v>
      </c>
      <c r="E1783" s="1">
        <v>4040</v>
      </c>
      <c r="F1783" s="1">
        <v>4100</v>
      </c>
      <c r="G1783" s="1">
        <v>23315700</v>
      </c>
      <c r="H1783" s="4">
        <f t="shared" si="58"/>
        <v>1.2345679012345678E-2</v>
      </c>
      <c r="I1783" s="4">
        <f t="shared" si="59"/>
        <v>-0.27753303964757708</v>
      </c>
    </row>
    <row r="1784" spans="1:9" x14ac:dyDescent="0.2">
      <c r="A1784" s="2">
        <f ca="1">IFERROR(__xludf.DUMMYFUNCTION("""COMPUTED_VALUE"""),45862.6666666666)</f>
        <v>45862.666666666599</v>
      </c>
      <c r="B1784" s="2" t="s">
        <v>57</v>
      </c>
      <c r="C1784" s="1">
        <v>4100</v>
      </c>
      <c r="D1784" s="1">
        <v>4250</v>
      </c>
      <c r="E1784" s="1">
        <v>4080</v>
      </c>
      <c r="F1784" s="1">
        <v>4220</v>
      </c>
      <c r="G1784" s="1">
        <v>57276100</v>
      </c>
      <c r="H1784" s="4">
        <f t="shared" si="58"/>
        <v>2.9268292682926831E-2</v>
      </c>
      <c r="I1784" s="4">
        <f t="shared" si="59"/>
        <v>-0.25638766519823791</v>
      </c>
    </row>
    <row r="1785" spans="1:9" x14ac:dyDescent="0.2">
      <c r="A1785" s="2">
        <f ca="1">IFERROR(__xludf.DUMMYFUNCTION("""COMPUTED_VALUE"""),45863.6666666666)</f>
        <v>45863.666666666599</v>
      </c>
      <c r="B1785" s="2" t="s">
        <v>57</v>
      </c>
      <c r="C1785" s="1">
        <v>4160</v>
      </c>
      <c r="D1785" s="1">
        <v>4180</v>
      </c>
      <c r="E1785" s="1">
        <v>4070</v>
      </c>
      <c r="F1785" s="1">
        <v>4090</v>
      </c>
      <c r="G1785" s="1">
        <v>48597600</v>
      </c>
      <c r="H1785" s="4">
        <f t="shared" si="58"/>
        <v>-3.0805687203791468E-2</v>
      </c>
      <c r="I1785" s="4">
        <f t="shared" si="59"/>
        <v>-0.27929515418502204</v>
      </c>
    </row>
    <row r="1786" spans="1:9" x14ac:dyDescent="0.2">
      <c r="A1786" s="2">
        <f ca="1">IFERROR(__xludf.DUMMYFUNCTION("""COMPUTED_VALUE"""),45866.6666666666)</f>
        <v>45866.666666666599</v>
      </c>
      <c r="B1786" s="2" t="s">
        <v>57</v>
      </c>
      <c r="C1786" s="1">
        <v>4110</v>
      </c>
      <c r="D1786" s="1">
        <v>4220</v>
      </c>
      <c r="E1786" s="1">
        <v>4090</v>
      </c>
      <c r="F1786" s="1">
        <v>4210</v>
      </c>
      <c r="G1786" s="1">
        <v>45451600</v>
      </c>
      <c r="H1786" s="4">
        <f t="shared" si="58"/>
        <v>2.9339853300733496E-2</v>
      </c>
      <c r="I1786" s="4">
        <f t="shared" si="59"/>
        <v>-0.25814977973568282</v>
      </c>
    </row>
    <row r="1787" spans="1:9" x14ac:dyDescent="0.2">
      <c r="A1787" s="2">
        <f ca="1">IFERROR(__xludf.DUMMYFUNCTION("""COMPUTED_VALUE"""),45867.6666666666)</f>
        <v>45867.666666666599</v>
      </c>
      <c r="B1787" s="2" t="s">
        <v>57</v>
      </c>
      <c r="C1787" s="1">
        <v>4200</v>
      </c>
      <c r="D1787" s="1">
        <v>4200</v>
      </c>
      <c r="E1787" s="1">
        <v>4120</v>
      </c>
      <c r="F1787" s="1">
        <v>4150</v>
      </c>
      <c r="G1787" s="1">
        <v>27287100</v>
      </c>
      <c r="H1787" s="4">
        <f t="shared" si="58"/>
        <v>-1.4251781472684086E-2</v>
      </c>
      <c r="I1787" s="4">
        <f t="shared" si="59"/>
        <v>-0.2687224669603524</v>
      </c>
    </row>
    <row r="1788" spans="1:9" x14ac:dyDescent="0.2">
      <c r="A1788" s="2">
        <f ca="1">IFERROR(__xludf.DUMMYFUNCTION("""COMPUTED_VALUE"""),45868.6666666666)</f>
        <v>45868.666666666599</v>
      </c>
      <c r="B1788" s="2" t="s">
        <v>57</v>
      </c>
      <c r="C1788" s="1">
        <v>4150</v>
      </c>
      <c r="D1788" s="1">
        <v>4160</v>
      </c>
      <c r="E1788" s="1">
        <v>4090</v>
      </c>
      <c r="F1788" s="1">
        <v>4120</v>
      </c>
      <c r="G1788" s="1">
        <v>33919100</v>
      </c>
      <c r="H1788" s="4">
        <f t="shared" si="58"/>
        <v>-7.2289156626506026E-3</v>
      </c>
      <c r="I1788" s="4">
        <f t="shared" si="59"/>
        <v>-0.27400881057268722</v>
      </c>
    </row>
    <row r="1789" spans="1:9" x14ac:dyDescent="0.2">
      <c r="A1789" s="2">
        <f ca="1">IFERROR(__xludf.DUMMYFUNCTION("""COMPUTED_VALUE"""),45869.6666666666)</f>
        <v>45869.666666666599</v>
      </c>
      <c r="B1789" s="2" t="s">
        <v>57</v>
      </c>
      <c r="C1789" s="1">
        <v>4100</v>
      </c>
      <c r="D1789" s="1">
        <v>4110</v>
      </c>
      <c r="E1789" s="1">
        <v>4010</v>
      </c>
      <c r="F1789" s="1">
        <v>4010</v>
      </c>
      <c r="G1789" s="1">
        <v>50384500</v>
      </c>
      <c r="H1789" s="4">
        <f t="shared" si="58"/>
        <v>-2.6699029126213591E-2</v>
      </c>
      <c r="I1789" s="4">
        <f t="shared" si="59"/>
        <v>-0.29339207048458149</v>
      </c>
    </row>
    <row r="1790" spans="1:9" x14ac:dyDescent="0.2">
      <c r="A1790" s="2">
        <f ca="1">IFERROR(__xludf.DUMMYFUNCTION("""COMPUTED_VALUE"""),45870.6666666666)</f>
        <v>45870.666666666599</v>
      </c>
      <c r="B1790" s="2" t="s">
        <v>57</v>
      </c>
      <c r="C1790" s="1">
        <v>4050</v>
      </c>
      <c r="D1790" s="1">
        <v>4070</v>
      </c>
      <c r="E1790" s="1">
        <v>4010</v>
      </c>
      <c r="F1790" s="1">
        <v>4010</v>
      </c>
      <c r="G1790" s="1">
        <v>32295500</v>
      </c>
      <c r="H1790" s="4">
        <f t="shared" si="58"/>
        <v>0</v>
      </c>
      <c r="I1790" s="4">
        <f t="shared" si="59"/>
        <v>-0.29339207048458149</v>
      </c>
    </row>
    <row r="1791" spans="1:9" x14ac:dyDescent="0.2">
      <c r="A1791" s="2">
        <f ca="1">IFERROR(__xludf.DUMMYFUNCTION("""COMPUTED_VALUE"""),45873.6666666666)</f>
        <v>45873.666666666599</v>
      </c>
      <c r="B1791" s="2" t="s">
        <v>57</v>
      </c>
      <c r="C1791" s="1">
        <v>4000</v>
      </c>
      <c r="D1791" s="1">
        <v>4030</v>
      </c>
      <c r="E1791" s="1">
        <v>3990</v>
      </c>
      <c r="F1791" s="1">
        <v>4010</v>
      </c>
      <c r="G1791" s="1">
        <v>30440700</v>
      </c>
      <c r="H1791" s="4">
        <f t="shared" si="58"/>
        <v>0</v>
      </c>
      <c r="I1791" s="4">
        <f t="shared" si="59"/>
        <v>-0.29339207048458149</v>
      </c>
    </row>
    <row r="1792" spans="1:9" x14ac:dyDescent="0.2">
      <c r="A1792" s="2">
        <f ca="1">IFERROR(__xludf.DUMMYFUNCTION("""COMPUTED_VALUE"""),45874.6666666666)</f>
        <v>45874.666666666599</v>
      </c>
      <c r="B1792" s="2" t="s">
        <v>57</v>
      </c>
      <c r="C1792" s="1">
        <v>4040</v>
      </c>
      <c r="D1792" s="1">
        <v>4230</v>
      </c>
      <c r="E1792" s="1">
        <v>4040</v>
      </c>
      <c r="F1792" s="1">
        <v>4220</v>
      </c>
      <c r="G1792" s="1">
        <v>93772600</v>
      </c>
      <c r="H1792" s="4">
        <f t="shared" si="58"/>
        <v>5.2369077306733167E-2</v>
      </c>
      <c r="I1792" s="4">
        <f t="shared" si="59"/>
        <v>-0.25638766519823791</v>
      </c>
    </row>
    <row r="1793" spans="1:9" x14ac:dyDescent="0.2">
      <c r="A1793" s="2">
        <f ca="1">IFERROR(__xludf.DUMMYFUNCTION("""COMPUTED_VALUE"""),45875.6666666666)</f>
        <v>45875.666666666599</v>
      </c>
      <c r="B1793" s="2" t="s">
        <v>57</v>
      </c>
      <c r="C1793" s="1">
        <v>4220</v>
      </c>
      <c r="D1793" s="1">
        <v>4230</v>
      </c>
      <c r="E1793" s="1">
        <v>4100</v>
      </c>
      <c r="F1793" s="1">
        <v>4100</v>
      </c>
      <c r="G1793" s="1">
        <v>27975700</v>
      </c>
      <c r="H1793" s="4">
        <f t="shared" si="58"/>
        <v>-2.843601895734597E-2</v>
      </c>
      <c r="I1793" s="4">
        <f t="shared" si="59"/>
        <v>-0.27753303964757708</v>
      </c>
    </row>
    <row r="1794" spans="1:9" x14ac:dyDescent="0.2">
      <c r="A1794" s="2">
        <f ca="1">IFERROR(__xludf.DUMMYFUNCTION("""COMPUTED_VALUE"""),45876.6666666666)</f>
        <v>45876.666666666599</v>
      </c>
      <c r="B1794" s="2" t="s">
        <v>57</v>
      </c>
      <c r="C1794" s="1">
        <v>4120</v>
      </c>
      <c r="D1794" s="1">
        <v>4140</v>
      </c>
      <c r="E1794" s="1">
        <v>4100</v>
      </c>
      <c r="F1794" s="1">
        <v>4120</v>
      </c>
      <c r="G1794" s="1">
        <v>21207800</v>
      </c>
      <c r="H1794" s="4">
        <f t="shared" si="58"/>
        <v>4.8780487804878049E-3</v>
      </c>
      <c r="I1794" s="4">
        <f t="shared" si="59"/>
        <v>-0.27400881057268722</v>
      </c>
    </row>
    <row r="1795" spans="1:9" x14ac:dyDescent="0.2">
      <c r="A1795" s="2">
        <f ca="1">IFERROR(__xludf.DUMMYFUNCTION("""COMPUTED_VALUE"""),45877.6666666666)</f>
        <v>45877.666666666599</v>
      </c>
      <c r="B1795" s="2" t="s">
        <v>57</v>
      </c>
      <c r="C1795" s="1">
        <v>4090</v>
      </c>
      <c r="D1795" s="1">
        <v>4100</v>
      </c>
      <c r="E1795" s="1">
        <v>4070</v>
      </c>
      <c r="F1795" s="1">
        <v>4070</v>
      </c>
      <c r="G1795" s="1">
        <v>43531000</v>
      </c>
      <c r="H1795" s="4">
        <f t="shared" si="58"/>
        <v>-1.2135922330097087E-2</v>
      </c>
      <c r="I1795" s="4">
        <f t="shared" si="59"/>
        <v>-0.28281938325991191</v>
      </c>
    </row>
    <row r="1796" spans="1:9" x14ac:dyDescent="0.2">
      <c r="A1796" s="2">
        <f ca="1">IFERROR(__xludf.DUMMYFUNCTION("""COMPUTED_VALUE"""),45880.6666666666)</f>
        <v>45880.666666666599</v>
      </c>
      <c r="B1796" s="2" t="s">
        <v>57</v>
      </c>
      <c r="C1796" s="1">
        <v>4090</v>
      </c>
      <c r="D1796" s="1">
        <v>4220</v>
      </c>
      <c r="E1796" s="1">
        <v>4080</v>
      </c>
      <c r="F1796" s="1">
        <v>4200</v>
      </c>
      <c r="G1796" s="1">
        <v>61703500</v>
      </c>
      <c r="H1796" s="4">
        <f t="shared" si="58"/>
        <v>3.1941031941031942E-2</v>
      </c>
      <c r="I1796" s="4">
        <f t="shared" si="59"/>
        <v>-0.25991189427312777</v>
      </c>
    </row>
    <row r="1797" spans="1:9" x14ac:dyDescent="0.2">
      <c r="A1797" s="2">
        <f ca="1">IFERROR(__xludf.DUMMYFUNCTION("""COMPUTED_VALUE"""),45881.6666666666)</f>
        <v>45881.666666666599</v>
      </c>
      <c r="B1797" s="2" t="s">
        <v>57</v>
      </c>
      <c r="C1797" s="1">
        <v>4220</v>
      </c>
      <c r="D1797" s="1">
        <v>4420</v>
      </c>
      <c r="E1797" s="1">
        <v>4210</v>
      </c>
      <c r="F1797" s="1">
        <v>4360</v>
      </c>
      <c r="G1797" s="1">
        <v>120908000</v>
      </c>
      <c r="H1797" s="4">
        <f t="shared" si="58"/>
        <v>3.8095238095238099E-2</v>
      </c>
      <c r="I1797" s="4">
        <f t="shared" si="59"/>
        <v>-0.23171806167400882</v>
      </c>
    </row>
    <row r="1798" spans="1:9" x14ac:dyDescent="0.2">
      <c r="A1798" s="2">
        <f ca="1">IFERROR(__xludf.DUMMYFUNCTION("""COMPUTED_VALUE"""),45882.6666666666)</f>
        <v>45882.666666666599</v>
      </c>
      <c r="B1798" s="2" t="s">
        <v>57</v>
      </c>
      <c r="C1798" s="1">
        <v>4390</v>
      </c>
      <c r="D1798" s="1">
        <v>4420</v>
      </c>
      <c r="E1798" s="1">
        <v>4310</v>
      </c>
      <c r="F1798" s="1">
        <v>4370</v>
      </c>
      <c r="G1798" s="1">
        <v>54042400</v>
      </c>
      <c r="H1798" s="4">
        <f t="shared" si="58"/>
        <v>2.2935779816513763E-3</v>
      </c>
      <c r="I1798" s="4">
        <f t="shared" si="59"/>
        <v>-0.22995594713656387</v>
      </c>
    </row>
    <row r="1799" spans="1:9" x14ac:dyDescent="0.2">
      <c r="A1799" s="2">
        <f ca="1">IFERROR(__xludf.DUMMYFUNCTION("""COMPUTED_VALUE"""),45883.6666666666)</f>
        <v>45883.666666666599</v>
      </c>
      <c r="B1799" s="2" t="s">
        <v>57</v>
      </c>
      <c r="C1799" s="1">
        <v>4400</v>
      </c>
      <c r="D1799" s="1">
        <v>4400</v>
      </c>
      <c r="E1799" s="1">
        <v>4360</v>
      </c>
      <c r="F1799" s="1">
        <v>4390</v>
      </c>
      <c r="G1799" s="1">
        <v>43156900</v>
      </c>
      <c r="H1799" s="4">
        <f t="shared" si="58"/>
        <v>4.5766590389016018E-3</v>
      </c>
      <c r="I1799" s="4">
        <f t="shared" si="59"/>
        <v>-0.226431718061674</v>
      </c>
    </row>
    <row r="1800" spans="1:9" x14ac:dyDescent="0.2">
      <c r="A1800" s="2">
        <f ca="1">IFERROR(__xludf.DUMMYFUNCTION("""COMPUTED_VALUE"""),45884.6666666666)</f>
        <v>45884.666666666599</v>
      </c>
      <c r="B1800" s="2" t="s">
        <v>57</v>
      </c>
      <c r="C1800" s="1">
        <v>4370</v>
      </c>
      <c r="D1800" s="1">
        <v>4450</v>
      </c>
      <c r="E1800" s="1">
        <v>4370</v>
      </c>
      <c r="F1800" s="1">
        <v>4370</v>
      </c>
      <c r="G1800" s="1">
        <v>62301400</v>
      </c>
      <c r="H1800" s="4">
        <f t="shared" si="58"/>
        <v>-4.5558086560364463E-3</v>
      </c>
      <c r="I1800" s="4">
        <f t="shared" si="59"/>
        <v>-0.22995594713656387</v>
      </c>
    </row>
    <row r="1801" spans="1:9" x14ac:dyDescent="0.2">
      <c r="A1801" s="2">
        <f ca="1">IFERROR(__xludf.DUMMYFUNCTION("""COMPUTED_VALUE"""),45888.6666666666)</f>
        <v>45888.666666666599</v>
      </c>
      <c r="B1801" s="2" t="s">
        <v>57</v>
      </c>
      <c r="C1801" s="1">
        <v>4360</v>
      </c>
      <c r="D1801" s="1">
        <v>4360</v>
      </c>
      <c r="E1801" s="1">
        <v>4280</v>
      </c>
      <c r="F1801" s="1">
        <v>4330</v>
      </c>
      <c r="G1801" s="1">
        <v>34407300</v>
      </c>
      <c r="H1801" s="4">
        <f t="shared" si="58"/>
        <v>-9.1533180778032037E-3</v>
      </c>
      <c r="I1801" s="4">
        <f t="shared" si="59"/>
        <v>-0.23700440528634362</v>
      </c>
    </row>
    <row r="1802" spans="1:9" x14ac:dyDescent="0.2">
      <c r="A1802" s="2">
        <f ca="1">IFERROR(__xludf.DUMMYFUNCTION("""COMPUTED_VALUE"""),45889.6666666666)</f>
        <v>45889.666666666599</v>
      </c>
      <c r="B1802" s="2" t="s">
        <v>57</v>
      </c>
      <c r="C1802" s="1">
        <v>4290</v>
      </c>
      <c r="D1802" s="1">
        <v>4450</v>
      </c>
      <c r="E1802" s="1">
        <v>4290</v>
      </c>
      <c r="F1802" s="1">
        <v>4430</v>
      </c>
      <c r="G1802" s="1">
        <v>52897600</v>
      </c>
      <c r="H1802" s="4">
        <f t="shared" si="58"/>
        <v>2.3094688221709007E-2</v>
      </c>
      <c r="I1802" s="4">
        <f t="shared" si="59"/>
        <v>-0.21938325991189428</v>
      </c>
    </row>
    <row r="1803" spans="1:9" x14ac:dyDescent="0.2">
      <c r="A1803" s="2">
        <f ca="1">IFERROR(__xludf.DUMMYFUNCTION("""COMPUTED_VALUE"""),45890.6666666666)</f>
        <v>45890.666666666599</v>
      </c>
      <c r="B1803" s="2" t="s">
        <v>57</v>
      </c>
      <c r="C1803" s="1">
        <v>4420</v>
      </c>
      <c r="D1803" s="1">
        <v>4490</v>
      </c>
      <c r="E1803" s="1">
        <v>4400</v>
      </c>
      <c r="F1803" s="1">
        <v>4490</v>
      </c>
      <c r="G1803" s="1">
        <v>60899400</v>
      </c>
      <c r="H1803" s="4">
        <f t="shared" si="58"/>
        <v>1.3544018058690745E-2</v>
      </c>
      <c r="I1803" s="4">
        <f t="shared" si="59"/>
        <v>-0.20881057268722467</v>
      </c>
    </row>
    <row r="1804" spans="1:9" x14ac:dyDescent="0.2">
      <c r="A1804" s="2">
        <f ca="1">IFERROR(__xludf.DUMMYFUNCTION("""COMPUTED_VALUE"""),45891.6666666666)</f>
        <v>45891.666666666599</v>
      </c>
      <c r="B1804" s="2" t="s">
        <v>57</v>
      </c>
      <c r="C1804" s="1">
        <v>4500</v>
      </c>
      <c r="D1804" s="1">
        <v>4500</v>
      </c>
      <c r="E1804" s="1">
        <v>4380</v>
      </c>
      <c r="F1804" s="1">
        <v>4390</v>
      </c>
      <c r="G1804" s="1">
        <v>32633000</v>
      </c>
      <c r="H1804" s="4">
        <f t="shared" si="58"/>
        <v>-2.2271714922048998E-2</v>
      </c>
      <c r="I1804" s="4">
        <f t="shared" si="59"/>
        <v>-0.226431718061674</v>
      </c>
    </row>
    <row r="1805" spans="1:9" x14ac:dyDescent="0.2">
      <c r="A1805" s="2">
        <f ca="1">IFERROR(__xludf.DUMMYFUNCTION("""COMPUTED_VALUE"""),45894.6666666666)</f>
        <v>45894.666666666599</v>
      </c>
      <c r="B1805" s="2" t="s">
        <v>57</v>
      </c>
      <c r="C1805" s="1">
        <v>4460</v>
      </c>
      <c r="D1805" s="1">
        <v>4520</v>
      </c>
      <c r="E1805" s="1">
        <v>4440</v>
      </c>
      <c r="F1805" s="1">
        <v>4450</v>
      </c>
      <c r="G1805" s="1">
        <v>53434200</v>
      </c>
      <c r="H1805" s="4">
        <f t="shared" si="58"/>
        <v>1.366742596810934E-2</v>
      </c>
      <c r="I1805" s="4">
        <f t="shared" si="59"/>
        <v>-0.21585903083700442</v>
      </c>
    </row>
    <row r="1806" spans="1:9" x14ac:dyDescent="0.2">
      <c r="A1806" s="2">
        <f ca="1">IFERROR(__xludf.DUMMYFUNCTION("""COMPUTED_VALUE"""),45895.6666666666)</f>
        <v>45895.666666666599</v>
      </c>
      <c r="B1806" s="2" t="s">
        <v>57</v>
      </c>
      <c r="C1806" s="1">
        <v>4430</v>
      </c>
      <c r="D1806" s="1">
        <v>4540</v>
      </c>
      <c r="E1806" s="1">
        <v>4370</v>
      </c>
      <c r="F1806" s="1">
        <v>4540</v>
      </c>
      <c r="G1806" s="1">
        <v>85603900</v>
      </c>
      <c r="H1806" s="4">
        <f t="shared" si="58"/>
        <v>2.0224719101123594E-2</v>
      </c>
      <c r="I1806" s="4">
        <f t="shared" si="59"/>
        <v>-0.2</v>
      </c>
    </row>
    <row r="1807" spans="1:9" x14ac:dyDescent="0.2">
      <c r="A1807" s="2">
        <f ca="1">IFERROR(__xludf.DUMMYFUNCTION("""COMPUTED_VALUE"""),45896.6666666666)</f>
        <v>45896.666666666599</v>
      </c>
      <c r="B1807" s="2" t="s">
        <v>57</v>
      </c>
      <c r="C1807" s="1">
        <v>4500</v>
      </c>
      <c r="D1807" s="1">
        <v>4500</v>
      </c>
      <c r="E1807" s="1">
        <v>4400</v>
      </c>
      <c r="F1807" s="1">
        <v>4450</v>
      </c>
      <c r="G1807" s="1">
        <v>45966700</v>
      </c>
      <c r="H1807" s="4">
        <f t="shared" ref="H1807:H1870" si="60">(F1807-F1806)/F1806</f>
        <v>-1.9823788546255508E-2</v>
      </c>
      <c r="I1807" s="4">
        <f t="shared" ref="I1807:I1870" si="61">(F1807-$F$2)/$F$2</f>
        <v>-0.21585903083700442</v>
      </c>
    </row>
    <row r="1808" spans="1:9" x14ac:dyDescent="0.2">
      <c r="A1808" s="2">
        <f ca="1">IFERROR(__xludf.DUMMYFUNCTION("""COMPUTED_VALUE"""),45897.6666666666)</f>
        <v>45897.666666666599</v>
      </c>
      <c r="B1808" s="2" t="s">
        <v>57</v>
      </c>
      <c r="C1808" s="1">
        <v>4480</v>
      </c>
      <c r="D1808" s="1">
        <v>4500</v>
      </c>
      <c r="E1808" s="1">
        <v>4450</v>
      </c>
      <c r="F1808" s="1">
        <v>4460</v>
      </c>
      <c r="G1808" s="1">
        <v>37274600</v>
      </c>
      <c r="H1808" s="4">
        <f t="shared" si="60"/>
        <v>2.2471910112359553E-3</v>
      </c>
      <c r="I1808" s="4">
        <f t="shared" si="61"/>
        <v>-0.21409691629955946</v>
      </c>
    </row>
    <row r="1809" spans="1:9" x14ac:dyDescent="0.2">
      <c r="A1809" s="2">
        <f ca="1">IFERROR(__xludf.DUMMYFUNCTION("""COMPUTED_VALUE"""),45898.6666666666)</f>
        <v>45898.666666666599</v>
      </c>
      <c r="B1809" s="2" t="s">
        <v>57</v>
      </c>
      <c r="C1809" s="1">
        <v>4440</v>
      </c>
      <c r="D1809" s="1">
        <v>4460</v>
      </c>
      <c r="E1809" s="1">
        <v>4350</v>
      </c>
      <c r="F1809" s="1">
        <v>4380</v>
      </c>
      <c r="G1809" s="1">
        <v>60711900</v>
      </c>
      <c r="H1809" s="4">
        <f t="shared" si="60"/>
        <v>-1.7937219730941704E-2</v>
      </c>
      <c r="I1809" s="4">
        <f t="shared" si="61"/>
        <v>-0.22819383259911893</v>
      </c>
    </row>
    <row r="1810" spans="1:9" x14ac:dyDescent="0.2">
      <c r="A1810" s="2">
        <f ca="1">IFERROR(__xludf.DUMMYFUNCTION("""COMPUTED_VALUE"""),45901.6666666666)</f>
        <v>45901.666666666599</v>
      </c>
      <c r="B1810" s="2" t="s">
        <v>57</v>
      </c>
      <c r="C1810" s="1">
        <v>4170</v>
      </c>
      <c r="D1810" s="1">
        <v>4400</v>
      </c>
      <c r="E1810" s="1">
        <v>4150</v>
      </c>
      <c r="F1810" s="1">
        <v>4320</v>
      </c>
      <c r="G1810" s="1">
        <v>60513100</v>
      </c>
      <c r="H1810" s="4">
        <f t="shared" si="60"/>
        <v>-1.3698630136986301E-2</v>
      </c>
      <c r="I1810" s="4">
        <f t="shared" si="61"/>
        <v>-0.23876651982378855</v>
      </c>
    </row>
    <row r="1811" spans="1:9" x14ac:dyDescent="0.2">
      <c r="A1811" s="2">
        <f ca="1">IFERROR(__xludf.DUMMYFUNCTION("""COMPUTED_VALUE"""),45902.6666666666)</f>
        <v>45902.666666666599</v>
      </c>
      <c r="B1811" s="2" t="s">
        <v>57</v>
      </c>
      <c r="C1811" s="1">
        <v>4340</v>
      </c>
      <c r="D1811" s="1">
        <v>4430</v>
      </c>
      <c r="E1811" s="1">
        <v>4290</v>
      </c>
      <c r="F1811" s="1">
        <v>4310</v>
      </c>
      <c r="G1811" s="1">
        <v>28513000</v>
      </c>
      <c r="H1811" s="4">
        <f t="shared" si="60"/>
        <v>-2.3148148148148147E-3</v>
      </c>
      <c r="I1811" s="4">
        <f t="shared" si="61"/>
        <v>-0.24052863436123348</v>
      </c>
    </row>
    <row r="1812" spans="1:9" x14ac:dyDescent="0.2">
      <c r="A1812" s="2">
        <f ca="1">IFERROR(__xludf.DUMMYFUNCTION("""COMPUTED_VALUE"""),45903.6666666666)</f>
        <v>45903.666666666599</v>
      </c>
      <c r="B1812" s="2" t="s">
        <v>57</v>
      </c>
      <c r="C1812" s="1">
        <v>4320</v>
      </c>
      <c r="D1812" s="1">
        <v>4410</v>
      </c>
      <c r="E1812" s="1">
        <v>4320</v>
      </c>
      <c r="F1812" s="1">
        <v>4410</v>
      </c>
      <c r="G1812" s="1">
        <v>29754100</v>
      </c>
      <c r="H1812" s="4">
        <f t="shared" si="60"/>
        <v>2.3201856148491878E-2</v>
      </c>
      <c r="I1812" s="4">
        <f t="shared" si="61"/>
        <v>-0.22290748898678414</v>
      </c>
    </row>
    <row r="1813" spans="1:9" x14ac:dyDescent="0.2">
      <c r="A1813" s="2">
        <f ca="1">IFERROR(__xludf.DUMMYFUNCTION("""COMPUTED_VALUE"""),45904.6666666666)</f>
        <v>45904.666666666599</v>
      </c>
      <c r="B1813" s="2" t="s">
        <v>57</v>
      </c>
      <c r="C1813" s="1">
        <v>4410</v>
      </c>
      <c r="D1813" s="1">
        <v>4410</v>
      </c>
      <c r="E1813" s="1">
        <v>4340</v>
      </c>
      <c r="F1813" s="1">
        <v>4370</v>
      </c>
      <c r="G1813" s="1">
        <v>17346200</v>
      </c>
      <c r="H1813" s="4">
        <f t="shared" si="60"/>
        <v>-9.0702947845804991E-3</v>
      </c>
      <c r="I1813" s="4">
        <f t="shared" si="61"/>
        <v>-0.22995594713656387</v>
      </c>
    </row>
    <row r="1814" spans="1:9" x14ac:dyDescent="0.2">
      <c r="A1814" s="2">
        <f ca="1">IFERROR(__xludf.DUMMYFUNCTION("""COMPUTED_VALUE"""),45908.6666666666)</f>
        <v>45908.666666666599</v>
      </c>
      <c r="B1814" s="2" t="s">
        <v>57</v>
      </c>
      <c r="C1814" s="1">
        <v>4430</v>
      </c>
      <c r="D1814" s="1">
        <v>4440</v>
      </c>
      <c r="E1814" s="1">
        <v>4050</v>
      </c>
      <c r="F1814" s="1">
        <v>4180</v>
      </c>
      <c r="G1814" s="1">
        <v>55687200</v>
      </c>
      <c r="H1814" s="4">
        <f t="shared" si="60"/>
        <v>-4.3478260869565216E-2</v>
      </c>
      <c r="I1814" s="4">
        <f t="shared" si="61"/>
        <v>-0.26343612334801764</v>
      </c>
    </row>
    <row r="1815" spans="1:9" x14ac:dyDescent="0.2">
      <c r="A1815" s="2">
        <f ca="1">IFERROR(__xludf.DUMMYFUNCTION("""COMPUTED_VALUE"""),45909.6666666666)</f>
        <v>45909.666666666599</v>
      </c>
      <c r="B1815" s="2" t="s">
        <v>57</v>
      </c>
      <c r="C1815" s="1">
        <v>4160</v>
      </c>
      <c r="D1815" s="1">
        <v>4200</v>
      </c>
      <c r="E1815" s="1">
        <v>4020</v>
      </c>
      <c r="F1815" s="1">
        <v>4080</v>
      </c>
      <c r="G1815" s="1">
        <v>102884200</v>
      </c>
      <c r="H1815" s="4">
        <f t="shared" si="60"/>
        <v>-2.3923444976076555E-2</v>
      </c>
      <c r="I1815" s="4">
        <f t="shared" si="61"/>
        <v>-0.28105726872246695</v>
      </c>
    </row>
    <row r="1816" spans="1:9" x14ac:dyDescent="0.2">
      <c r="A1816" s="2">
        <f ca="1">IFERROR(__xludf.DUMMYFUNCTION("""COMPUTED_VALUE"""),45910.6666666666)</f>
        <v>45910.666666666599</v>
      </c>
      <c r="B1816" s="2" t="s">
        <v>57</v>
      </c>
      <c r="C1816" s="1">
        <v>4100</v>
      </c>
      <c r="D1816" s="1">
        <v>4100</v>
      </c>
      <c r="E1816" s="1">
        <v>4100</v>
      </c>
      <c r="F1816" s="1">
        <v>4100</v>
      </c>
      <c r="G1816" s="1">
        <v>801500</v>
      </c>
      <c r="H1816" s="4">
        <f t="shared" si="60"/>
        <v>4.9019607843137254E-3</v>
      </c>
      <c r="I1816" s="4">
        <f t="shared" si="61"/>
        <v>-0.27753303964757708</v>
      </c>
    </row>
    <row r="1817" spans="1:9" x14ac:dyDescent="0.2">
      <c r="A1817" s="2">
        <f ca="1">IFERROR(__xludf.DUMMYFUNCTION("""COMPUTED_VALUE"""),45911.6666666666)</f>
        <v>45911.666666666599</v>
      </c>
      <c r="B1817" s="2" t="s">
        <v>57</v>
      </c>
      <c r="C1817" s="1">
        <v>4210</v>
      </c>
      <c r="D1817" s="1">
        <v>4430</v>
      </c>
      <c r="E1817" s="1">
        <v>4210</v>
      </c>
      <c r="F1817" s="1">
        <v>4420</v>
      </c>
      <c r="G1817" s="1">
        <v>130159900</v>
      </c>
      <c r="H1817" s="4">
        <f t="shared" si="60"/>
        <v>7.8048780487804878E-2</v>
      </c>
      <c r="I1817" s="4">
        <f t="shared" si="61"/>
        <v>-0.22114537444933921</v>
      </c>
    </row>
    <row r="1818" spans="1:9" x14ac:dyDescent="0.2">
      <c r="A1818" s="2">
        <f ca="1">IFERROR(__xludf.DUMMYFUNCTION("""COMPUTED_VALUE"""),45912.6666666666)</f>
        <v>45912.666666666599</v>
      </c>
      <c r="B1818" s="2" t="s">
        <v>57</v>
      </c>
      <c r="C1818" s="1">
        <v>4430</v>
      </c>
      <c r="D1818" s="1">
        <v>4530</v>
      </c>
      <c r="E1818" s="1">
        <v>4330</v>
      </c>
      <c r="F1818" s="1">
        <v>4520</v>
      </c>
      <c r="G1818" s="1">
        <v>109797000</v>
      </c>
      <c r="H1818" s="4">
        <f t="shared" si="60"/>
        <v>2.2624434389140271E-2</v>
      </c>
      <c r="I1818" s="4">
        <f t="shared" si="61"/>
        <v>-0.20352422907488987</v>
      </c>
    </row>
    <row r="1819" spans="1:9" x14ac:dyDescent="0.2">
      <c r="A1819" s="2">
        <f ca="1">IFERROR(__xludf.DUMMYFUNCTION("""COMPUTED_VALUE"""),45915.6666666666)</f>
        <v>45915.666666666599</v>
      </c>
      <c r="B1819" s="2" t="s">
        <v>57</v>
      </c>
      <c r="C1819" s="1">
        <v>4550</v>
      </c>
      <c r="D1819" s="1">
        <v>4600</v>
      </c>
      <c r="E1819" s="1">
        <v>4410</v>
      </c>
      <c r="F1819" s="1">
        <v>4410</v>
      </c>
      <c r="G1819" s="1">
        <v>74523200</v>
      </c>
      <c r="H1819" s="4">
        <f t="shared" si="60"/>
        <v>-2.4336283185840708E-2</v>
      </c>
      <c r="I1819" s="4">
        <f t="shared" si="61"/>
        <v>-0.22290748898678414</v>
      </c>
    </row>
    <row r="1820" spans="1:9" x14ac:dyDescent="0.2">
      <c r="A1820" s="2">
        <f ca="1">IFERROR(__xludf.DUMMYFUNCTION("""COMPUTED_VALUE"""),45916.6666666666)</f>
        <v>45916.666666666599</v>
      </c>
      <c r="B1820" s="2" t="s">
        <v>57</v>
      </c>
      <c r="C1820" s="1">
        <v>4440</v>
      </c>
      <c r="D1820" s="1">
        <v>4450</v>
      </c>
      <c r="E1820" s="1">
        <v>4320</v>
      </c>
      <c r="F1820" s="1">
        <v>4370</v>
      </c>
      <c r="G1820" s="1">
        <v>52083500</v>
      </c>
      <c r="H1820" s="4">
        <f t="shared" si="60"/>
        <v>-9.0702947845804991E-3</v>
      </c>
      <c r="I1820" s="4">
        <f t="shared" si="61"/>
        <v>-0.22995594713656387</v>
      </c>
    </row>
    <row r="1821" spans="1:9" x14ac:dyDescent="0.2">
      <c r="A1821" s="2">
        <f ca="1">IFERROR(__xludf.DUMMYFUNCTION("""COMPUTED_VALUE"""),45917.6666666666)</f>
        <v>45917.666666666599</v>
      </c>
      <c r="B1821" s="2" t="s">
        <v>57</v>
      </c>
      <c r="C1821" s="1">
        <v>4390</v>
      </c>
      <c r="D1821" s="1">
        <v>4450</v>
      </c>
      <c r="E1821" s="1">
        <v>4330</v>
      </c>
      <c r="F1821" s="1">
        <v>4450</v>
      </c>
      <c r="G1821" s="1">
        <v>54546000</v>
      </c>
      <c r="H1821" s="4">
        <f t="shared" si="60"/>
        <v>1.8306636155606407E-2</v>
      </c>
      <c r="I1821" s="4">
        <f t="shared" si="61"/>
        <v>-0.21585903083700442</v>
      </c>
    </row>
    <row r="1822" spans="1:9" x14ac:dyDescent="0.2">
      <c r="A1822" s="2">
        <f ca="1">IFERROR(__xludf.DUMMYFUNCTION("""COMPUTED_VALUE"""),45918.6666666666)</f>
        <v>45918.666666666599</v>
      </c>
      <c r="B1822" s="2" t="s">
        <v>57</v>
      </c>
      <c r="C1822" s="1">
        <v>4480</v>
      </c>
      <c r="D1822" s="1">
        <v>4490</v>
      </c>
      <c r="E1822" s="1">
        <v>4250</v>
      </c>
      <c r="F1822" s="1">
        <v>4340</v>
      </c>
      <c r="G1822" s="1">
        <v>90929900</v>
      </c>
      <c r="H1822" s="4">
        <f t="shared" si="60"/>
        <v>-2.4719101123595506E-2</v>
      </c>
      <c r="I1822" s="4">
        <f t="shared" si="61"/>
        <v>-0.23524229074889869</v>
      </c>
    </row>
    <row r="1823" spans="1:9" x14ac:dyDescent="0.2">
      <c r="A1823" s="2">
        <f ca="1">IFERROR(__xludf.DUMMYFUNCTION("""COMPUTED_VALUE"""),45919.6666666666)</f>
        <v>45919.666666666599</v>
      </c>
      <c r="B1823" s="2" t="s">
        <v>57</v>
      </c>
      <c r="C1823" s="1">
        <v>4250</v>
      </c>
      <c r="D1823" s="1">
        <v>4290</v>
      </c>
      <c r="E1823" s="1">
        <v>4210</v>
      </c>
      <c r="F1823" s="1">
        <v>4270</v>
      </c>
      <c r="G1823" s="1">
        <v>100584800</v>
      </c>
      <c r="H1823" s="4">
        <f t="shared" si="60"/>
        <v>-1.6129032258064516E-2</v>
      </c>
      <c r="I1823" s="4">
        <f t="shared" si="61"/>
        <v>-0.2475770925110132</v>
      </c>
    </row>
    <row r="1824" spans="1:9" x14ac:dyDescent="0.2">
      <c r="A1824" s="2">
        <f ca="1">IFERROR(__xludf.DUMMYFUNCTION("""COMPUTED_VALUE"""),45922.6666666666)</f>
        <v>45922.666666666599</v>
      </c>
      <c r="B1824" s="2" t="s">
        <v>57</v>
      </c>
      <c r="C1824" s="1">
        <v>4270</v>
      </c>
      <c r="D1824" s="1">
        <v>4280</v>
      </c>
      <c r="E1824" s="1">
        <v>4170</v>
      </c>
      <c r="F1824" s="1">
        <v>4210</v>
      </c>
      <c r="G1824" s="1">
        <v>63520200</v>
      </c>
      <c r="H1824" s="4">
        <f t="shared" si="60"/>
        <v>-1.405152224824356E-2</v>
      </c>
      <c r="I1824" s="4">
        <f t="shared" si="61"/>
        <v>-0.25814977973568282</v>
      </c>
    </row>
    <row r="1825" spans="1:9" x14ac:dyDescent="0.2">
      <c r="A1825" s="2">
        <f ca="1">IFERROR(__xludf.DUMMYFUNCTION("""COMPUTED_VALUE"""),45923.6666666666)</f>
        <v>45923.666666666599</v>
      </c>
      <c r="B1825" s="2" t="s">
        <v>57</v>
      </c>
      <c r="C1825" s="1">
        <v>4210</v>
      </c>
      <c r="D1825" s="1">
        <v>4240</v>
      </c>
      <c r="E1825" s="1">
        <v>4170</v>
      </c>
      <c r="F1825" s="1">
        <v>4200</v>
      </c>
      <c r="G1825" s="1">
        <v>39154400</v>
      </c>
      <c r="H1825" s="4">
        <f t="shared" si="60"/>
        <v>-2.3752969121140144E-3</v>
      </c>
      <c r="I1825" s="4">
        <f t="shared" si="61"/>
        <v>-0.25991189427312777</v>
      </c>
    </row>
    <row r="1826" spans="1:9" x14ac:dyDescent="0.2">
      <c r="A1826" s="2">
        <f ca="1">IFERROR(__xludf.DUMMYFUNCTION("""COMPUTED_VALUE"""),45924.6666666666)</f>
        <v>45924.666666666599</v>
      </c>
      <c r="B1826" s="2" t="s">
        <v>57</v>
      </c>
      <c r="C1826" s="1">
        <v>4220</v>
      </c>
      <c r="D1826" s="1">
        <v>4230</v>
      </c>
      <c r="E1826" s="1">
        <v>4170</v>
      </c>
      <c r="F1826" s="1">
        <v>4190</v>
      </c>
      <c r="G1826" s="1">
        <v>28653700</v>
      </c>
      <c r="H1826" s="4">
        <f t="shared" si="60"/>
        <v>-2.3809523809523812E-3</v>
      </c>
      <c r="I1826" s="4">
        <f t="shared" si="61"/>
        <v>-0.26167400881057268</v>
      </c>
    </row>
    <row r="1827" spans="1:9" x14ac:dyDescent="0.2">
      <c r="A1827" s="2">
        <f ca="1">IFERROR(__xludf.DUMMYFUNCTION("""COMPUTED_VALUE"""),45925.6666666666)</f>
        <v>45925.666666666599</v>
      </c>
      <c r="B1827" s="2" t="s">
        <v>57</v>
      </c>
      <c r="C1827" s="1">
        <v>4180</v>
      </c>
      <c r="D1827" s="1">
        <v>4190</v>
      </c>
      <c r="E1827" s="1">
        <v>4140</v>
      </c>
      <c r="F1827" s="1">
        <v>4190</v>
      </c>
      <c r="G1827" s="1">
        <v>35633900</v>
      </c>
      <c r="H1827" s="4">
        <f t="shared" si="60"/>
        <v>0</v>
      </c>
      <c r="I1827" s="4">
        <f t="shared" si="61"/>
        <v>-0.26167400881057268</v>
      </c>
    </row>
    <row r="1828" spans="1:9" x14ac:dyDescent="0.2">
      <c r="A1828" s="2">
        <f ca="1">IFERROR(__xludf.DUMMYFUNCTION("""COMPUTED_VALUE"""),45926.6666666666)</f>
        <v>45926.666666666599</v>
      </c>
      <c r="B1828" s="2" t="s">
        <v>57</v>
      </c>
      <c r="C1828" s="1">
        <v>4150</v>
      </c>
      <c r="D1828" s="1">
        <v>4180</v>
      </c>
      <c r="E1828" s="1">
        <v>4110</v>
      </c>
      <c r="F1828" s="1">
        <v>4180</v>
      </c>
      <c r="G1828" s="1">
        <v>39380500</v>
      </c>
      <c r="H1828" s="4">
        <f t="shared" si="60"/>
        <v>-2.3866348448687352E-3</v>
      </c>
      <c r="I1828" s="4">
        <f t="shared" si="61"/>
        <v>-0.26343612334801764</v>
      </c>
    </row>
    <row r="1829" spans="1:9" x14ac:dyDescent="0.2">
      <c r="A1829" s="2">
        <f ca="1">IFERROR(__xludf.DUMMYFUNCTION("""COMPUTED_VALUE"""),45929.6666666666)</f>
        <v>45929.666666666599</v>
      </c>
      <c r="B1829" s="2" t="s">
        <v>57</v>
      </c>
      <c r="C1829" s="1">
        <v>4160</v>
      </c>
      <c r="D1829" s="1">
        <v>4170</v>
      </c>
      <c r="E1829" s="1">
        <v>4110</v>
      </c>
      <c r="F1829" s="1">
        <v>4170</v>
      </c>
      <c r="G1829" s="1">
        <v>41037000</v>
      </c>
      <c r="H1829" s="4">
        <f t="shared" si="60"/>
        <v>-2.3923444976076554E-3</v>
      </c>
      <c r="I1829" s="4">
        <f t="shared" si="61"/>
        <v>-0.26519823788546254</v>
      </c>
    </row>
    <row r="1830" spans="1:9" x14ac:dyDescent="0.2">
      <c r="A1830" s="2">
        <f ca="1">IFERROR(__xludf.DUMMYFUNCTION("""COMPUTED_VALUE"""),45930.6666666666)</f>
        <v>45930.666666666599</v>
      </c>
      <c r="B1830" s="2" t="s">
        <v>57</v>
      </c>
      <c r="C1830" s="1">
        <v>4170</v>
      </c>
      <c r="D1830" s="1">
        <v>4170</v>
      </c>
      <c r="E1830" s="1">
        <v>4100</v>
      </c>
      <c r="F1830" s="1">
        <v>4100</v>
      </c>
      <c r="G1830" s="1">
        <v>60162600</v>
      </c>
      <c r="H1830" s="4">
        <f t="shared" si="60"/>
        <v>-1.6786570743405275E-2</v>
      </c>
      <c r="I1830" s="4">
        <f t="shared" si="61"/>
        <v>-0.27753303964757708</v>
      </c>
    </row>
    <row r="1831" spans="1:9" x14ac:dyDescent="0.2">
      <c r="A1831" s="2">
        <f ca="1">IFERROR(__xludf.DUMMYFUNCTION("""COMPUTED_VALUE"""),45931.6666666666)</f>
        <v>45931.666666666599</v>
      </c>
      <c r="B1831" s="2" t="s">
        <v>57</v>
      </c>
      <c r="C1831" s="1">
        <v>4050</v>
      </c>
      <c r="D1831" s="1">
        <v>4120</v>
      </c>
      <c r="E1831" s="1">
        <v>4050</v>
      </c>
      <c r="F1831" s="1">
        <v>4050</v>
      </c>
      <c r="G1831" s="1">
        <v>37812400</v>
      </c>
      <c r="H1831" s="4">
        <f t="shared" si="60"/>
        <v>-1.2195121951219513E-2</v>
      </c>
      <c r="I1831" s="4">
        <f t="shared" si="61"/>
        <v>-0.28634361233480177</v>
      </c>
    </row>
    <row r="1832" spans="1:9" x14ac:dyDescent="0.2">
      <c r="A1832" s="2">
        <f ca="1">IFERROR(__xludf.DUMMYFUNCTION("""COMPUTED_VALUE"""),45932.6666666666)</f>
        <v>45932.666666666599</v>
      </c>
      <c r="B1832" s="2" t="s">
        <v>57</v>
      </c>
      <c r="C1832" s="1">
        <v>4050</v>
      </c>
      <c r="D1832" s="1">
        <v>4100</v>
      </c>
      <c r="E1832" s="1">
        <v>4040</v>
      </c>
      <c r="F1832" s="1">
        <v>4040</v>
      </c>
      <c r="G1832" s="1">
        <v>34730200</v>
      </c>
      <c r="H1832" s="4">
        <f t="shared" si="60"/>
        <v>-2.4691358024691358E-3</v>
      </c>
      <c r="I1832" s="4">
        <f t="shared" si="61"/>
        <v>-0.28810572687224667</v>
      </c>
    </row>
    <row r="1833" spans="1:9" x14ac:dyDescent="0.2">
      <c r="A1833" s="2">
        <f ca="1">IFERROR(__xludf.DUMMYFUNCTION("""COMPUTED_VALUE"""),45933.6666666666)</f>
        <v>45933.666666666599</v>
      </c>
      <c r="B1833" s="2" t="s">
        <v>57</v>
      </c>
      <c r="C1833" s="1">
        <v>4060</v>
      </c>
      <c r="D1833" s="1">
        <v>4080</v>
      </c>
      <c r="E1833" s="1">
        <v>4010</v>
      </c>
      <c r="F1833" s="1">
        <v>4040</v>
      </c>
      <c r="G1833" s="1">
        <v>26763100</v>
      </c>
      <c r="H1833" s="4">
        <f t="shared" si="60"/>
        <v>0</v>
      </c>
      <c r="I1833" s="4">
        <f t="shared" si="61"/>
        <v>-0.28810572687224667</v>
      </c>
    </row>
    <row r="1834" spans="1:9" x14ac:dyDescent="0.2">
      <c r="A1834" s="2">
        <f ca="1">IFERROR(__xludf.DUMMYFUNCTION("""COMPUTED_VALUE"""),45936.6666666666)</f>
        <v>45936.666666666599</v>
      </c>
      <c r="B1834" s="2" t="s">
        <v>57</v>
      </c>
      <c r="C1834" s="1">
        <v>4040</v>
      </c>
      <c r="D1834" s="1">
        <v>4090</v>
      </c>
      <c r="E1834" s="1">
        <v>4000</v>
      </c>
      <c r="F1834" s="1">
        <v>4000</v>
      </c>
      <c r="G1834" s="1">
        <v>35060200</v>
      </c>
      <c r="H1834" s="4">
        <f t="shared" si="60"/>
        <v>-9.9009900990099011E-3</v>
      </c>
      <c r="I1834" s="4">
        <f t="shared" si="61"/>
        <v>-0.29515418502202645</v>
      </c>
    </row>
    <row r="1835" spans="1:9" x14ac:dyDescent="0.2">
      <c r="A1835" s="2">
        <f ca="1">IFERROR(__xludf.DUMMYFUNCTION("""COMPUTED_VALUE"""),45937.6666666666)</f>
        <v>45937.666666666599</v>
      </c>
      <c r="B1835" s="2" t="s">
        <v>57</v>
      </c>
      <c r="C1835" s="1">
        <v>4030</v>
      </c>
      <c r="D1835" s="1">
        <v>4040</v>
      </c>
      <c r="E1835" s="1">
        <v>3970</v>
      </c>
      <c r="F1835" s="1">
        <v>3990</v>
      </c>
      <c r="G1835" s="1">
        <v>41251900</v>
      </c>
      <c r="H1835" s="4">
        <f t="shared" si="60"/>
        <v>-2.5000000000000001E-3</v>
      </c>
      <c r="I1835" s="4">
        <f t="shared" si="61"/>
        <v>-0.29691629955947135</v>
      </c>
    </row>
    <row r="1836" spans="1:9" x14ac:dyDescent="0.2">
      <c r="A1836" s="2">
        <f ca="1">IFERROR(__xludf.DUMMYFUNCTION("""COMPUTED_VALUE"""),45938.6666666666)</f>
        <v>45938.666666666599</v>
      </c>
      <c r="B1836" s="2" t="s">
        <v>57</v>
      </c>
      <c r="C1836" s="1">
        <v>4000</v>
      </c>
      <c r="D1836" s="1">
        <v>4010</v>
      </c>
      <c r="E1836" s="1">
        <v>3930</v>
      </c>
      <c r="F1836" s="1">
        <v>3940</v>
      </c>
      <c r="G1836" s="1">
        <v>28812600</v>
      </c>
      <c r="H1836" s="4">
        <f t="shared" si="60"/>
        <v>-1.2531328320802004E-2</v>
      </c>
      <c r="I1836" s="4">
        <f t="shared" si="61"/>
        <v>-0.30572687224669604</v>
      </c>
    </row>
    <row r="1837" spans="1:9" x14ac:dyDescent="0.2">
      <c r="A1837" s="2">
        <f ca="1">IFERROR(__xludf.DUMMYFUNCTION("""COMPUTED_VALUE"""),45939.6666666666)</f>
        <v>45939.666666666599</v>
      </c>
      <c r="B1837" s="2" t="s">
        <v>57</v>
      </c>
      <c r="C1837" s="1">
        <v>3910</v>
      </c>
      <c r="D1837" s="1">
        <v>4150</v>
      </c>
      <c r="E1837" s="1">
        <v>3860</v>
      </c>
      <c r="F1837" s="1">
        <v>4100</v>
      </c>
      <c r="G1837" s="1">
        <v>106114200</v>
      </c>
      <c r="H1837" s="4">
        <f t="shared" si="60"/>
        <v>4.060913705583756E-2</v>
      </c>
      <c r="I1837" s="4">
        <f t="shared" si="61"/>
        <v>-0.27753303964757708</v>
      </c>
    </row>
    <row r="1838" spans="1:9" x14ac:dyDescent="0.2">
      <c r="A1838" s="2">
        <f ca="1">IFERROR(__xludf.DUMMYFUNCTION("""COMPUTED_VALUE"""),45940.6666666666)</f>
        <v>45940.666666666599</v>
      </c>
      <c r="B1838" s="2" t="s">
        <v>57</v>
      </c>
      <c r="C1838" s="1">
        <v>4090</v>
      </c>
      <c r="D1838" s="1">
        <v>4090</v>
      </c>
      <c r="E1838" s="1">
        <v>3950</v>
      </c>
      <c r="F1838" s="1">
        <v>3970</v>
      </c>
      <c r="G1838" s="1">
        <v>48778300</v>
      </c>
      <c r="H1838" s="4">
        <f t="shared" si="60"/>
        <v>-3.1707317073170732E-2</v>
      </c>
      <c r="I1838" s="4">
        <f t="shared" si="61"/>
        <v>-0.30044052863436121</v>
      </c>
    </row>
    <row r="1839" spans="1:9" x14ac:dyDescent="0.2">
      <c r="A1839" s="2">
        <f ca="1">IFERROR(__xludf.DUMMYFUNCTION("""COMPUTED_VALUE"""),45943.6666666666)</f>
        <v>45943.666666666599</v>
      </c>
      <c r="B1839" s="2" t="s">
        <v>57</v>
      </c>
      <c r="C1839" s="1">
        <v>3920</v>
      </c>
      <c r="D1839" s="1">
        <v>3940</v>
      </c>
      <c r="E1839" s="1">
        <v>3870</v>
      </c>
      <c r="F1839" s="1">
        <v>3900</v>
      </c>
      <c r="G1839" s="1">
        <v>38351600</v>
      </c>
      <c r="H1839" s="4">
        <f t="shared" si="60"/>
        <v>-1.7632241813602016E-2</v>
      </c>
      <c r="I1839" s="4">
        <f t="shared" si="61"/>
        <v>-0.31277533039647576</v>
      </c>
    </row>
    <row r="1840" spans="1:9" x14ac:dyDescent="0.2">
      <c r="A1840" s="2">
        <f ca="1">IFERROR(__xludf.DUMMYFUNCTION("""COMPUTED_VALUE"""),45944.6666666666)</f>
        <v>45944.666666666599</v>
      </c>
      <c r="B1840" s="2" t="s">
        <v>57</v>
      </c>
      <c r="C1840" s="1">
        <v>3910</v>
      </c>
      <c r="D1840" s="1">
        <v>3940</v>
      </c>
      <c r="E1840" s="1">
        <v>3800</v>
      </c>
      <c r="F1840" s="1">
        <v>3800</v>
      </c>
      <c r="G1840" s="1">
        <v>69452000</v>
      </c>
      <c r="H1840" s="4">
        <f t="shared" si="60"/>
        <v>-2.564102564102564E-2</v>
      </c>
      <c r="I1840" s="4">
        <f t="shared" si="61"/>
        <v>-0.33039647577092512</v>
      </c>
    </row>
    <row r="1841" spans="1:9" x14ac:dyDescent="0.2">
      <c r="A1841" s="2">
        <f ca="1">IFERROR(__xludf.DUMMYFUNCTION("""COMPUTED_VALUE"""),45945.6666666666)</f>
        <v>45945.666666666599</v>
      </c>
      <c r="B1841" s="2" t="s">
        <v>57</v>
      </c>
      <c r="C1841" s="1">
        <v>3810</v>
      </c>
      <c r="D1841" s="1">
        <v>3840</v>
      </c>
      <c r="E1841" s="1">
        <v>3720</v>
      </c>
      <c r="F1841" s="1">
        <v>3770</v>
      </c>
      <c r="G1841" s="1">
        <v>84578200</v>
      </c>
      <c r="H1841" s="4">
        <f t="shared" si="60"/>
        <v>-7.8947368421052634E-3</v>
      </c>
      <c r="I1841" s="4">
        <f t="shared" si="61"/>
        <v>-0.33568281938325989</v>
      </c>
    </row>
    <row r="1842" spans="1:9" x14ac:dyDescent="0.2">
      <c r="A1842" s="2">
        <f ca="1">IFERROR(__xludf.DUMMYFUNCTION("""COMPUTED_VALUE"""),45946.6666666666)</f>
        <v>45946.666666666599</v>
      </c>
      <c r="B1842" s="2" t="s">
        <v>57</v>
      </c>
      <c r="C1842" s="1">
        <v>3790</v>
      </c>
      <c r="D1842" s="1">
        <v>3890</v>
      </c>
      <c r="E1842" s="1">
        <v>3760</v>
      </c>
      <c r="F1842" s="1">
        <v>3850</v>
      </c>
      <c r="G1842" s="1">
        <v>55980800</v>
      </c>
      <c r="H1842" s="4">
        <f t="shared" si="60"/>
        <v>2.1220159151193633E-2</v>
      </c>
      <c r="I1842" s="4">
        <f t="shared" si="61"/>
        <v>-0.32158590308370044</v>
      </c>
    </row>
    <row r="1843" spans="1:9" x14ac:dyDescent="0.2">
      <c r="A1843" s="2">
        <f ca="1">IFERROR(__xludf.DUMMYFUNCTION("""COMPUTED_VALUE"""),45947.6666666666)</f>
        <v>45947.666666666599</v>
      </c>
      <c r="B1843" s="2" t="s">
        <v>57</v>
      </c>
      <c r="C1843" s="1">
        <v>3870</v>
      </c>
      <c r="D1843" s="1">
        <v>3900</v>
      </c>
      <c r="E1843" s="1">
        <v>3800</v>
      </c>
      <c r="F1843" s="1">
        <v>3800</v>
      </c>
      <c r="G1843" s="1">
        <v>60733400</v>
      </c>
      <c r="H1843" s="4">
        <f t="shared" si="60"/>
        <v>-1.2987012987012988E-2</v>
      </c>
      <c r="I1843" s="4">
        <f t="shared" si="61"/>
        <v>-0.33039647577092512</v>
      </c>
    </row>
    <row r="1844" spans="1:9" x14ac:dyDescent="0.2">
      <c r="A1844" s="2">
        <f ca="1">IFERROR(__xludf.DUMMYFUNCTION("""COMPUTED_VALUE"""),45950.6666666666)</f>
        <v>45950.666666666599</v>
      </c>
      <c r="B1844" s="2" t="s">
        <v>57</v>
      </c>
      <c r="C1844" s="1">
        <v>3870</v>
      </c>
      <c r="D1844" s="1">
        <v>4110</v>
      </c>
      <c r="E1844" s="1">
        <v>3860</v>
      </c>
      <c r="F1844" s="1">
        <v>4040</v>
      </c>
      <c r="G1844" s="1">
        <v>146203400</v>
      </c>
      <c r="H1844" s="4">
        <f t="shared" si="60"/>
        <v>6.3157894736842107E-2</v>
      </c>
      <c r="I1844" s="4">
        <f t="shared" si="61"/>
        <v>-0.28810572687224667</v>
      </c>
    </row>
    <row r="1845" spans="1:9" x14ac:dyDescent="0.2">
      <c r="A1845" s="2">
        <f ca="1">IFERROR(__xludf.DUMMYFUNCTION("""COMPUTED_VALUE"""),45951.6666666666)</f>
        <v>45951.666666666599</v>
      </c>
      <c r="B1845" s="2" t="s">
        <v>57</v>
      </c>
      <c r="C1845" s="1">
        <v>4110</v>
      </c>
      <c r="D1845" s="1">
        <v>4130</v>
      </c>
      <c r="E1845" s="1">
        <v>4030</v>
      </c>
      <c r="F1845" s="1">
        <v>4050</v>
      </c>
      <c r="G1845" s="1">
        <v>88064800</v>
      </c>
      <c r="H1845" s="4">
        <f t="shared" si="60"/>
        <v>2.4752475247524753E-3</v>
      </c>
      <c r="I1845" s="4">
        <f t="shared" si="61"/>
        <v>-0.28634361233480177</v>
      </c>
    </row>
    <row r="1846" spans="1:9" x14ac:dyDescent="0.2">
      <c r="A1846" s="2">
        <f ca="1">IFERROR(__xludf.DUMMYFUNCTION("""COMPUTED_VALUE"""),45952.6666666666)</f>
        <v>45952.666666666599</v>
      </c>
      <c r="B1846" s="2" t="s">
        <v>57</v>
      </c>
      <c r="C1846" s="1">
        <v>4070</v>
      </c>
      <c r="D1846" s="1">
        <v>4150</v>
      </c>
      <c r="E1846" s="1">
        <v>4000</v>
      </c>
      <c r="F1846" s="1">
        <v>4030</v>
      </c>
      <c r="G1846" s="1">
        <v>81226400</v>
      </c>
      <c r="H1846" s="4">
        <f t="shared" si="60"/>
        <v>-4.9382716049382715E-3</v>
      </c>
      <c r="I1846" s="4">
        <f t="shared" si="61"/>
        <v>-0.28986784140969163</v>
      </c>
    </row>
    <row r="1847" spans="1:9" x14ac:dyDescent="0.2">
      <c r="A1847" s="2">
        <f ca="1">IFERROR(__xludf.DUMMYFUNCTION("""COMPUTED_VALUE"""),45953.6666666666)</f>
        <v>45953.666666666599</v>
      </c>
      <c r="B1847" s="2" t="s">
        <v>57</v>
      </c>
      <c r="C1847" s="1">
        <v>4030</v>
      </c>
      <c r="D1847" s="1">
        <v>4250</v>
      </c>
      <c r="E1847" s="1">
        <v>4020</v>
      </c>
      <c r="F1847" s="1">
        <v>4240</v>
      </c>
      <c r="G1847" s="1">
        <v>130641200</v>
      </c>
      <c r="H1847" s="4">
        <f t="shared" si="60"/>
        <v>5.2109181141439205E-2</v>
      </c>
      <c r="I1847" s="4">
        <f t="shared" si="61"/>
        <v>-0.252863436123348</v>
      </c>
    </row>
    <row r="1848" spans="1:9" x14ac:dyDescent="0.2">
      <c r="A1848" s="2">
        <f ca="1">IFERROR(__xludf.DUMMYFUNCTION("""COMPUTED_VALUE"""),45954.6666666666)</f>
        <v>45954.666666666599</v>
      </c>
      <c r="B1848" s="2" t="s">
        <v>57</v>
      </c>
      <c r="C1848" s="1">
        <v>4220</v>
      </c>
      <c r="D1848" s="1">
        <v>4440</v>
      </c>
      <c r="E1848" s="1">
        <v>4210</v>
      </c>
      <c r="F1848" s="1">
        <v>4370</v>
      </c>
      <c r="G1848" s="1">
        <v>177603900</v>
      </c>
      <c r="H1848" s="4">
        <f t="shared" si="60"/>
        <v>3.0660377358490566E-2</v>
      </c>
      <c r="I1848" s="4">
        <f t="shared" si="61"/>
        <v>-0.22995594713656387</v>
      </c>
    </row>
    <row r="1849" spans="1:9" x14ac:dyDescent="0.2">
      <c r="A1849" s="2">
        <f ca="1">IFERROR(__xludf.DUMMYFUNCTION("""COMPUTED_VALUE"""),45957.6666666666)</f>
        <v>45957.666666666599</v>
      </c>
      <c r="B1849" s="2" t="s">
        <v>57</v>
      </c>
      <c r="C1849" s="1">
        <v>4440</v>
      </c>
      <c r="D1849" s="1">
        <v>4450</v>
      </c>
      <c r="E1849" s="1">
        <v>4270</v>
      </c>
      <c r="F1849" s="1">
        <v>4370</v>
      </c>
      <c r="G1849" s="1">
        <v>102355700</v>
      </c>
      <c r="H1849" s="4">
        <f t="shared" si="60"/>
        <v>0</v>
      </c>
      <c r="I1849" s="4">
        <f t="shared" si="61"/>
        <v>-0.22995594713656387</v>
      </c>
    </row>
    <row r="1850" spans="1:9" x14ac:dyDescent="0.2">
      <c r="A1850" s="2">
        <f ca="1">IFERROR(__xludf.DUMMYFUNCTION("""COMPUTED_VALUE"""),45958.6666666666)</f>
        <v>45958.666666666599</v>
      </c>
      <c r="B1850" s="2" t="s">
        <v>57</v>
      </c>
      <c r="C1850" s="1">
        <v>4390</v>
      </c>
      <c r="D1850" s="1">
        <v>4440</v>
      </c>
      <c r="E1850" s="1">
        <v>4340</v>
      </c>
      <c r="F1850" s="1">
        <v>4370</v>
      </c>
      <c r="G1850" s="1">
        <v>58463900</v>
      </c>
      <c r="H1850" s="4">
        <f t="shared" si="60"/>
        <v>0</v>
      </c>
      <c r="I1850" s="4">
        <f t="shared" si="61"/>
        <v>-0.22995594713656387</v>
      </c>
    </row>
    <row r="1851" spans="1:9" x14ac:dyDescent="0.2">
      <c r="A1851" s="2">
        <f ca="1">IFERROR(__xludf.DUMMYFUNCTION("""COMPUTED_VALUE"""),45959.6666666666)</f>
        <v>45959.666666666599</v>
      </c>
      <c r="B1851" s="2" t="s">
        <v>57</v>
      </c>
      <c r="C1851" s="1">
        <v>4380</v>
      </c>
      <c r="D1851" s="1">
        <v>4440</v>
      </c>
      <c r="E1851" s="1">
        <v>4320</v>
      </c>
      <c r="F1851" s="1">
        <v>4440</v>
      </c>
      <c r="G1851" s="1">
        <v>71743700</v>
      </c>
      <c r="H1851" s="4">
        <f t="shared" si="60"/>
        <v>1.6018306636155607E-2</v>
      </c>
      <c r="I1851" s="4">
        <f t="shared" si="61"/>
        <v>-0.21762114537444935</v>
      </c>
    </row>
    <row r="1852" spans="1:9" x14ac:dyDescent="0.2">
      <c r="A1852" s="2">
        <f ca="1">IFERROR(__xludf.DUMMYFUNCTION("""COMPUTED_VALUE"""),45960.6666666666)</f>
        <v>45960.666666666599</v>
      </c>
      <c r="B1852" s="2" t="s">
        <v>57</v>
      </c>
      <c r="C1852" s="1">
        <v>4420</v>
      </c>
      <c r="D1852" s="1">
        <v>4530</v>
      </c>
      <c r="E1852" s="1">
        <v>4370</v>
      </c>
      <c r="F1852" s="1">
        <v>4410</v>
      </c>
      <c r="G1852" s="1">
        <v>91042600</v>
      </c>
      <c r="H1852" s="4">
        <f t="shared" si="60"/>
        <v>-6.7567567567567571E-3</v>
      </c>
      <c r="I1852" s="4">
        <f t="shared" si="61"/>
        <v>-0.22290748898678414</v>
      </c>
    </row>
    <row r="1853" spans="1:9" x14ac:dyDescent="0.2">
      <c r="A1853" s="2">
        <f ca="1">IFERROR(__xludf.DUMMYFUNCTION("""COMPUTED_VALUE"""),45961.6666666666)</f>
        <v>45961.666666666599</v>
      </c>
      <c r="B1853" s="2" t="s">
        <v>57</v>
      </c>
      <c r="C1853" s="1">
        <v>4400</v>
      </c>
      <c r="D1853" s="1">
        <v>4450</v>
      </c>
      <c r="E1853" s="1">
        <v>4350</v>
      </c>
      <c r="F1853" s="1">
        <v>4380</v>
      </c>
      <c r="G1853" s="1">
        <v>69141700</v>
      </c>
      <c r="H1853" s="4">
        <f t="shared" si="60"/>
        <v>-6.8027210884353739E-3</v>
      </c>
      <c r="I1853" s="4">
        <f t="shared" si="61"/>
        <v>-0.22819383259911893</v>
      </c>
    </row>
    <row r="1854" spans="1:9" x14ac:dyDescent="0.2">
      <c r="A1854" s="2">
        <f ca="1">IFERROR(__xludf.DUMMYFUNCTION("""COMPUTED_VALUE"""),45964.6666666666)</f>
        <v>45964.666666666599</v>
      </c>
      <c r="B1854" s="2" t="s">
        <v>57</v>
      </c>
      <c r="C1854" s="1">
        <v>4390</v>
      </c>
      <c r="D1854" s="1">
        <v>4460</v>
      </c>
      <c r="E1854" s="1">
        <v>4380</v>
      </c>
      <c r="F1854" s="1">
        <v>4430</v>
      </c>
      <c r="G1854" s="1">
        <v>40455000</v>
      </c>
      <c r="H1854" s="4">
        <f t="shared" si="60"/>
        <v>1.1415525114155251E-2</v>
      </c>
      <c r="I1854" s="4">
        <f t="shared" si="61"/>
        <v>-0.21938325991189428</v>
      </c>
    </row>
    <row r="1855" spans="1:9" x14ac:dyDescent="0.2">
      <c r="A1855" s="2">
        <f ca="1">IFERROR(__xludf.DUMMYFUNCTION("""COMPUTED_VALUE"""),45965.6666666666)</f>
        <v>45965.666666666599</v>
      </c>
      <c r="B1855" s="2" t="s">
        <v>57</v>
      </c>
      <c r="C1855" s="1">
        <v>4430</v>
      </c>
      <c r="D1855" s="1">
        <v>4510</v>
      </c>
      <c r="E1855" s="1">
        <v>4430</v>
      </c>
      <c r="F1855" s="1">
        <v>4450</v>
      </c>
      <c r="G1855" s="1">
        <v>73342900</v>
      </c>
      <c r="H1855" s="4">
        <f t="shared" si="60"/>
        <v>4.5146726862302479E-3</v>
      </c>
      <c r="I1855" s="4">
        <f t="shared" si="61"/>
        <v>-0.21585903083700442</v>
      </c>
    </row>
    <row r="1856" spans="1:9" x14ac:dyDescent="0.2">
      <c r="A1856" s="2">
        <f ca="1">IFERROR(__xludf.DUMMYFUNCTION("""COMPUTED_VALUE"""),45966.6666666666)</f>
        <v>45966.666666666599</v>
      </c>
      <c r="B1856" s="2" t="s">
        <v>57</v>
      </c>
      <c r="C1856" s="1">
        <v>4400</v>
      </c>
      <c r="D1856" s="1">
        <v>4480</v>
      </c>
      <c r="E1856" s="1">
        <v>4380</v>
      </c>
      <c r="F1856" s="1">
        <v>4460</v>
      </c>
      <c r="G1856" s="1">
        <v>43447700</v>
      </c>
      <c r="H1856" s="4">
        <f t="shared" si="60"/>
        <v>2.2471910112359553E-3</v>
      </c>
      <c r="I1856" s="4">
        <f t="shared" si="61"/>
        <v>-0.21409691629955946</v>
      </c>
    </row>
    <row r="1857" spans="1:9" x14ac:dyDescent="0.2">
      <c r="A1857" s="2">
        <f ca="1">IFERROR(__xludf.DUMMYFUNCTION("""COMPUTED_VALUE"""),45967.6666666666)</f>
        <v>45967.666666666599</v>
      </c>
      <c r="B1857" s="2" t="s">
        <v>57</v>
      </c>
      <c r="C1857" s="1">
        <v>4450</v>
      </c>
      <c r="D1857" s="1">
        <v>4480</v>
      </c>
      <c r="E1857" s="1">
        <v>4430</v>
      </c>
      <c r="F1857" s="1">
        <v>4440</v>
      </c>
      <c r="G1857" s="1">
        <v>31809500</v>
      </c>
      <c r="H1857" s="4">
        <f t="shared" si="60"/>
        <v>-4.4843049327354259E-3</v>
      </c>
      <c r="I1857" s="4">
        <f t="shared" si="61"/>
        <v>-0.21762114537444935</v>
      </c>
    </row>
    <row r="1858" spans="1:9" x14ac:dyDescent="0.2">
      <c r="A1858" s="2">
        <f ca="1">IFERROR(__xludf.DUMMYFUNCTION("""COMPUTED_VALUE"""),45968.6666666666)</f>
        <v>45968.666666666599</v>
      </c>
      <c r="B1858" s="2" t="s">
        <v>57</v>
      </c>
      <c r="C1858" s="1">
        <v>4440</v>
      </c>
      <c r="D1858" s="1">
        <v>4500</v>
      </c>
      <c r="E1858" s="1">
        <v>4440</v>
      </c>
      <c r="F1858" s="1">
        <v>4500</v>
      </c>
      <c r="G1858" s="1">
        <v>36148800</v>
      </c>
      <c r="H1858" s="4">
        <f t="shared" si="60"/>
        <v>1.3513513513513514E-2</v>
      </c>
      <c r="I1858" s="4">
        <f t="shared" si="61"/>
        <v>-0.20704845814977973</v>
      </c>
    </row>
    <row r="1859" spans="1:9" x14ac:dyDescent="0.2">
      <c r="A1859" s="2">
        <f ca="1">IFERROR(__xludf.DUMMYFUNCTION("""COMPUTED_VALUE"""),45971.6666666666)</f>
        <v>45971.666666666599</v>
      </c>
      <c r="B1859" s="2" t="s">
        <v>57</v>
      </c>
      <c r="C1859" s="1">
        <v>4520</v>
      </c>
      <c r="D1859" s="1">
        <v>4520</v>
      </c>
      <c r="E1859" s="1">
        <v>4410</v>
      </c>
      <c r="F1859" s="1">
        <v>4420</v>
      </c>
      <c r="G1859" s="1">
        <v>45518800</v>
      </c>
      <c r="H1859" s="4">
        <f t="shared" si="60"/>
        <v>-1.7777777777777778E-2</v>
      </c>
      <c r="I1859" s="4">
        <f t="shared" si="61"/>
        <v>-0.22114537444933921</v>
      </c>
    </row>
    <row r="1860" spans="1:9" x14ac:dyDescent="0.2">
      <c r="A1860" s="2">
        <f ca="1">IFERROR(__xludf.DUMMYFUNCTION("""COMPUTED_VALUE"""),45972.6666666666)</f>
        <v>45972.666666666599</v>
      </c>
      <c r="B1860" s="2" t="s">
        <v>57</v>
      </c>
      <c r="C1860" s="1">
        <v>4450</v>
      </c>
      <c r="D1860" s="1">
        <v>4450</v>
      </c>
      <c r="E1860" s="1">
        <v>4370</v>
      </c>
      <c r="F1860" s="1">
        <v>4420</v>
      </c>
      <c r="G1860" s="1">
        <v>48792200</v>
      </c>
      <c r="H1860" s="4">
        <f t="shared" si="60"/>
        <v>0</v>
      </c>
      <c r="I1860" s="4">
        <f t="shared" si="61"/>
        <v>-0.22114537444933921</v>
      </c>
    </row>
    <row r="1861" spans="1:9" x14ac:dyDescent="0.2">
      <c r="A1861" s="2">
        <f ca="1">IFERROR(__xludf.DUMMYFUNCTION("""COMPUTED_VALUE"""),45973.6666666666)</f>
        <v>45973.666666666599</v>
      </c>
      <c r="B1861" s="2" t="s">
        <v>57</v>
      </c>
      <c r="C1861" s="1">
        <v>4410</v>
      </c>
      <c r="D1861" s="1">
        <v>4480</v>
      </c>
      <c r="E1861" s="1">
        <v>4400</v>
      </c>
      <c r="F1861" s="1">
        <v>4460</v>
      </c>
      <c r="G1861" s="1">
        <v>35386800</v>
      </c>
      <c r="H1861" s="4">
        <f t="shared" si="60"/>
        <v>9.0497737556561094E-3</v>
      </c>
      <c r="I1861" s="4">
        <f t="shared" si="61"/>
        <v>-0.21409691629955946</v>
      </c>
    </row>
    <row r="1862" spans="1:9" x14ac:dyDescent="0.2">
      <c r="A1862" s="2">
        <f ca="1">IFERROR(__xludf.DUMMYFUNCTION("""COMPUTED_VALUE"""),45974.6666666666)</f>
        <v>45974.666666666599</v>
      </c>
      <c r="B1862" s="2" t="s">
        <v>57</v>
      </c>
      <c r="C1862" s="1">
        <v>4470</v>
      </c>
      <c r="D1862" s="1">
        <v>4480</v>
      </c>
      <c r="E1862" s="1">
        <v>4420</v>
      </c>
      <c r="F1862" s="1">
        <v>4420</v>
      </c>
      <c r="G1862" s="1">
        <v>20207300</v>
      </c>
      <c r="H1862" s="4">
        <f t="shared" si="60"/>
        <v>-8.9686098654708519E-3</v>
      </c>
      <c r="I1862" s="4">
        <f t="shared" si="61"/>
        <v>-0.22114537444933921</v>
      </c>
    </row>
    <row r="1863" spans="1:9" x14ac:dyDescent="0.2">
      <c r="A1863" s="2">
        <f ca="1">IFERROR(__xludf.DUMMYFUNCTION("""COMPUTED_VALUE"""),45975.6666666666)</f>
        <v>45975.666666666599</v>
      </c>
      <c r="B1863" s="2" t="s">
        <v>57</v>
      </c>
      <c r="C1863" s="1">
        <v>4410</v>
      </c>
      <c r="D1863" s="1">
        <v>4450</v>
      </c>
      <c r="E1863" s="1">
        <v>4370</v>
      </c>
      <c r="F1863" s="1">
        <v>4390</v>
      </c>
      <c r="G1863" s="1">
        <v>34602500</v>
      </c>
      <c r="H1863" s="4">
        <f t="shared" si="60"/>
        <v>-6.7873303167420816E-3</v>
      </c>
      <c r="I1863" s="4">
        <f t="shared" si="61"/>
        <v>-0.226431718061674</v>
      </c>
    </row>
    <row r="1864" spans="1:9" x14ac:dyDescent="0.2">
      <c r="A1864" s="2">
        <f ca="1">IFERROR(__xludf.DUMMYFUNCTION("""COMPUTED_VALUE"""),45978.6666666666)</f>
        <v>45978.666666666599</v>
      </c>
      <c r="B1864" s="2" t="s">
        <v>57</v>
      </c>
      <c r="C1864" s="1">
        <v>4390</v>
      </c>
      <c r="D1864" s="1">
        <v>4440</v>
      </c>
      <c r="E1864" s="1">
        <v>4380</v>
      </c>
      <c r="F1864" s="1">
        <v>4390</v>
      </c>
      <c r="G1864" s="1">
        <v>28453300</v>
      </c>
      <c r="H1864" s="4">
        <f t="shared" si="60"/>
        <v>0</v>
      </c>
      <c r="I1864" s="4">
        <f t="shared" si="61"/>
        <v>-0.226431718061674</v>
      </c>
    </row>
    <row r="1865" spans="1:9" x14ac:dyDescent="0.2">
      <c r="A1865" s="2">
        <f ca="1">IFERROR(__xludf.DUMMYFUNCTION("""COMPUTED_VALUE"""),45979.6666666666)</f>
        <v>45979.666666666599</v>
      </c>
      <c r="B1865" s="2" t="s">
        <v>57</v>
      </c>
      <c r="C1865" s="1">
        <v>4400</v>
      </c>
      <c r="D1865" s="1">
        <v>4470</v>
      </c>
      <c r="E1865" s="1">
        <v>4400</v>
      </c>
      <c r="F1865" s="1">
        <v>4460</v>
      </c>
      <c r="G1865" s="1">
        <v>36957300</v>
      </c>
      <c r="H1865" s="4">
        <f t="shared" si="60"/>
        <v>1.5945330296127564E-2</v>
      </c>
      <c r="I1865" s="4">
        <f t="shared" si="61"/>
        <v>-0.21409691629955946</v>
      </c>
    </row>
    <row r="1866" spans="1:9" x14ac:dyDescent="0.2">
      <c r="A1866" s="2">
        <f ca="1">IFERROR(__xludf.DUMMYFUNCTION("""COMPUTED_VALUE"""),45980.6666666666)</f>
        <v>45980.666666666599</v>
      </c>
      <c r="B1866" s="2" t="s">
        <v>57</v>
      </c>
      <c r="C1866" s="1">
        <v>4470</v>
      </c>
      <c r="D1866" s="1">
        <v>4470</v>
      </c>
      <c r="E1866" s="1">
        <v>4410</v>
      </c>
      <c r="F1866" s="1">
        <v>4460</v>
      </c>
      <c r="G1866" s="1">
        <v>34300600</v>
      </c>
      <c r="H1866" s="4">
        <f t="shared" si="60"/>
        <v>0</v>
      </c>
      <c r="I1866" s="4">
        <f t="shared" si="61"/>
        <v>-0.21409691629955946</v>
      </c>
    </row>
    <row r="1867" spans="1:9" x14ac:dyDescent="0.2">
      <c r="A1867" s="2">
        <f ca="1">IFERROR(__xludf.DUMMYFUNCTION("""COMPUTED_VALUE"""),45981.6666666666)</f>
        <v>45981.666666666599</v>
      </c>
      <c r="B1867" s="2" t="s">
        <v>57</v>
      </c>
      <c r="C1867" s="1">
        <v>4470</v>
      </c>
      <c r="D1867" s="1">
        <v>4560</v>
      </c>
      <c r="E1867" s="1">
        <v>4450</v>
      </c>
      <c r="F1867" s="1">
        <v>4460</v>
      </c>
      <c r="G1867" s="1">
        <v>54706000</v>
      </c>
      <c r="H1867" s="4">
        <f t="shared" si="60"/>
        <v>0</v>
      </c>
      <c r="I1867" s="4">
        <f t="shared" si="61"/>
        <v>-0.21409691629955946</v>
      </c>
    </row>
    <row r="1868" spans="1:9" x14ac:dyDescent="0.2">
      <c r="A1868" s="2">
        <f ca="1">IFERROR(__xludf.DUMMYFUNCTION("""COMPUTED_VALUE"""),45982.6666666666)</f>
        <v>45982.666666666599</v>
      </c>
      <c r="B1868" s="2" t="s">
        <v>57</v>
      </c>
      <c r="C1868" s="1">
        <v>4450</v>
      </c>
      <c r="D1868" s="1">
        <v>4450</v>
      </c>
      <c r="E1868" s="1">
        <v>4370</v>
      </c>
      <c r="F1868" s="1">
        <v>4390</v>
      </c>
      <c r="G1868" s="1">
        <v>45565700</v>
      </c>
      <c r="H1868" s="4">
        <f t="shared" si="60"/>
        <v>-1.5695067264573991E-2</v>
      </c>
      <c r="I1868" s="4">
        <f t="shared" si="61"/>
        <v>-0.226431718061674</v>
      </c>
    </row>
    <row r="1869" spans="1:9" x14ac:dyDescent="0.2">
      <c r="A1869" s="2">
        <f ca="1">IFERROR(__xludf.DUMMYFUNCTION("""COMPUTED_VALUE"""),45985.6666666666)</f>
        <v>45985.666666666599</v>
      </c>
      <c r="B1869" s="2" t="s">
        <v>57</v>
      </c>
      <c r="C1869" s="1">
        <v>4400</v>
      </c>
      <c r="D1869" s="1">
        <v>4440</v>
      </c>
      <c r="E1869" s="1">
        <v>4350</v>
      </c>
      <c r="F1869" s="1">
        <v>4390</v>
      </c>
      <c r="G1869" s="1">
        <v>76652700</v>
      </c>
      <c r="H1869" s="4">
        <f t="shared" si="60"/>
        <v>0</v>
      </c>
      <c r="I1869" s="4">
        <f t="shared" si="61"/>
        <v>-0.226431718061674</v>
      </c>
    </row>
    <row r="1870" spans="1:9" x14ac:dyDescent="0.2">
      <c r="A1870" s="2">
        <f ca="1">IFERROR(__xludf.DUMMYFUNCTION("""COMPUTED_VALUE"""),45986.6666666666)</f>
        <v>45986.666666666599</v>
      </c>
      <c r="B1870" s="2" t="s">
        <v>57</v>
      </c>
      <c r="C1870" s="1">
        <v>4420</v>
      </c>
      <c r="D1870" s="1">
        <v>4450</v>
      </c>
      <c r="E1870" s="1">
        <v>4370</v>
      </c>
      <c r="F1870" s="1">
        <v>4420</v>
      </c>
      <c r="G1870" s="1">
        <v>36142900</v>
      </c>
      <c r="H1870" s="4">
        <f t="shared" si="60"/>
        <v>6.8337129840546698E-3</v>
      </c>
      <c r="I1870" s="4">
        <f t="shared" si="61"/>
        <v>-0.22114537444933921</v>
      </c>
    </row>
    <row r="1871" spans="1:9" x14ac:dyDescent="0.2">
      <c r="A1871" s="2">
        <f ca="1">IFERROR(__xludf.DUMMYFUNCTION("""COMPUTED_VALUE"""),45987.6666666666)</f>
        <v>45987.666666666599</v>
      </c>
      <c r="B1871" s="2" t="s">
        <v>57</v>
      </c>
      <c r="C1871" s="1">
        <v>4420</v>
      </c>
      <c r="D1871" s="1">
        <v>4420</v>
      </c>
      <c r="E1871" s="1">
        <v>4370</v>
      </c>
      <c r="F1871" s="1">
        <v>4410</v>
      </c>
      <c r="G1871" s="1">
        <v>31686100</v>
      </c>
      <c r="H1871" s="4">
        <f t="shared" ref="H1871:H1893" si="62">(F1871-F1870)/F1870</f>
        <v>-2.2624434389140274E-3</v>
      </c>
      <c r="I1871" s="4">
        <f t="shared" ref="I1871:I1893" si="63">(F1871-$F$2)/$F$2</f>
        <v>-0.22290748898678414</v>
      </c>
    </row>
    <row r="1872" spans="1:9" x14ac:dyDescent="0.2">
      <c r="A1872" s="2">
        <f ca="1">IFERROR(__xludf.DUMMYFUNCTION("""COMPUTED_VALUE"""),45988.6666666666)</f>
        <v>45988.666666666599</v>
      </c>
      <c r="B1872" s="2" t="s">
        <v>57</v>
      </c>
      <c r="C1872" s="1">
        <v>4420</v>
      </c>
      <c r="D1872" s="1">
        <v>4420</v>
      </c>
      <c r="E1872" s="1">
        <v>4300</v>
      </c>
      <c r="F1872" s="1">
        <v>4350</v>
      </c>
      <c r="G1872" s="1">
        <v>33618200</v>
      </c>
      <c r="H1872" s="4">
        <f t="shared" si="62"/>
        <v>-1.3605442176870748E-2</v>
      </c>
      <c r="I1872" s="4">
        <f t="shared" si="63"/>
        <v>-0.23348017621145375</v>
      </c>
    </row>
    <row r="1873" spans="1:9" x14ac:dyDescent="0.2">
      <c r="A1873" s="2">
        <f ca="1">IFERROR(__xludf.DUMMYFUNCTION("""COMPUTED_VALUE"""),45989.6666666666)</f>
        <v>45989.666666666599</v>
      </c>
      <c r="B1873" s="2" t="s">
        <v>57</v>
      </c>
      <c r="C1873" s="1">
        <v>4330</v>
      </c>
      <c r="D1873" s="1">
        <v>4350</v>
      </c>
      <c r="E1873" s="1">
        <v>4260</v>
      </c>
      <c r="F1873" s="1">
        <v>4260</v>
      </c>
      <c r="G1873" s="1">
        <v>40758200</v>
      </c>
      <c r="H1873" s="4">
        <f t="shared" si="62"/>
        <v>-2.0689655172413793E-2</v>
      </c>
      <c r="I1873" s="4">
        <f t="shared" si="63"/>
        <v>-0.24933920704845816</v>
      </c>
    </row>
    <row r="1874" spans="1:9" x14ac:dyDescent="0.2">
      <c r="A1874" s="2">
        <f ca="1">IFERROR(__xludf.DUMMYFUNCTION("""COMPUTED_VALUE"""),45992.6666666666)</f>
        <v>45992.666666666599</v>
      </c>
      <c r="B1874" s="2" t="s">
        <v>57</v>
      </c>
      <c r="C1874" s="1">
        <v>4240</v>
      </c>
      <c r="D1874" s="1">
        <v>4350</v>
      </c>
      <c r="E1874" s="1">
        <v>4240</v>
      </c>
      <c r="F1874" s="1">
        <v>4310</v>
      </c>
      <c r="G1874" s="1">
        <v>19335100</v>
      </c>
      <c r="H1874" s="4">
        <f t="shared" si="62"/>
        <v>1.1737089201877934E-2</v>
      </c>
      <c r="I1874" s="4">
        <f t="shared" si="63"/>
        <v>-0.24052863436123348</v>
      </c>
    </row>
    <row r="1875" spans="1:9" x14ac:dyDescent="0.2">
      <c r="A1875" s="2">
        <f ca="1">IFERROR(__xludf.DUMMYFUNCTION("""COMPUTED_VALUE"""),45993.6666666666)</f>
        <v>45993.666666666599</v>
      </c>
      <c r="B1875" s="2" t="s">
        <v>57</v>
      </c>
      <c r="C1875" s="1">
        <v>4340</v>
      </c>
      <c r="D1875" s="1">
        <v>4360</v>
      </c>
      <c r="E1875" s="1">
        <v>4250</v>
      </c>
      <c r="F1875" s="1">
        <v>4270</v>
      </c>
      <c r="G1875" s="1">
        <v>39091800</v>
      </c>
      <c r="H1875" s="4">
        <f t="shared" si="62"/>
        <v>-9.2807424593967514E-3</v>
      </c>
      <c r="I1875" s="4">
        <f t="shared" si="63"/>
        <v>-0.2475770925110132</v>
      </c>
    </row>
    <row r="1876" spans="1:9" x14ac:dyDescent="0.2">
      <c r="A1876" s="2">
        <f ca="1">IFERROR(__xludf.DUMMYFUNCTION("""COMPUTED_VALUE"""),45994.6666666666)</f>
        <v>45994.666666666599</v>
      </c>
      <c r="B1876" s="2" t="s">
        <v>57</v>
      </c>
      <c r="C1876" s="1">
        <v>4270</v>
      </c>
      <c r="D1876" s="1">
        <v>4290</v>
      </c>
      <c r="E1876" s="1">
        <v>4240</v>
      </c>
      <c r="F1876" s="1">
        <v>4260</v>
      </c>
      <c r="G1876" s="1">
        <v>28263900</v>
      </c>
      <c r="H1876" s="4">
        <f t="shared" si="62"/>
        <v>-2.34192037470726E-3</v>
      </c>
      <c r="I1876" s="4">
        <f t="shared" si="63"/>
        <v>-0.24933920704845816</v>
      </c>
    </row>
    <row r="1877" spans="1:9" x14ac:dyDescent="0.2">
      <c r="A1877" s="2">
        <f ca="1">IFERROR(__xludf.DUMMYFUNCTION("""COMPUTED_VALUE"""),45995.6666666666)</f>
        <v>45995.666666666599</v>
      </c>
      <c r="B1877" s="2" t="s">
        <v>57</v>
      </c>
      <c r="C1877" s="1">
        <v>4260</v>
      </c>
      <c r="D1877" s="1">
        <v>4320</v>
      </c>
      <c r="E1877" s="1">
        <v>4240</v>
      </c>
      <c r="F1877" s="1">
        <v>4310</v>
      </c>
      <c r="G1877" s="1">
        <v>23544900</v>
      </c>
      <c r="H1877" s="4">
        <f t="shared" si="62"/>
        <v>1.1737089201877934E-2</v>
      </c>
      <c r="I1877" s="4">
        <f t="shared" si="63"/>
        <v>-0.24052863436123348</v>
      </c>
    </row>
    <row r="1878" spans="1:9" x14ac:dyDescent="0.2">
      <c r="A1878" s="2">
        <f ca="1">IFERROR(__xludf.DUMMYFUNCTION("""COMPUTED_VALUE"""),45996.6666666666)</f>
        <v>45996.666666666599</v>
      </c>
      <c r="B1878" s="2" t="s">
        <v>57</v>
      </c>
      <c r="C1878" s="1">
        <v>4330</v>
      </c>
      <c r="D1878" s="1">
        <v>4360</v>
      </c>
      <c r="E1878" s="1">
        <v>4290</v>
      </c>
      <c r="F1878" s="1">
        <v>4290</v>
      </c>
      <c r="G1878" s="1">
        <v>28877500</v>
      </c>
      <c r="H1878" s="4">
        <f t="shared" si="62"/>
        <v>-4.6403712296983757E-3</v>
      </c>
      <c r="I1878" s="4">
        <f t="shared" si="63"/>
        <v>-0.24405286343612334</v>
      </c>
    </row>
    <row r="1879" spans="1:9" x14ac:dyDescent="0.2">
      <c r="A1879" s="2">
        <f ca="1">IFERROR(__xludf.DUMMYFUNCTION("""COMPUTED_VALUE"""),45999.6666666666)</f>
        <v>45999.666666666599</v>
      </c>
      <c r="B1879" s="2" t="s">
        <v>57</v>
      </c>
      <c r="C1879" s="1">
        <v>4360</v>
      </c>
      <c r="D1879" s="1">
        <v>4360</v>
      </c>
      <c r="E1879" s="1">
        <v>4290</v>
      </c>
      <c r="F1879" s="1">
        <v>4310</v>
      </c>
      <c r="G1879" s="1">
        <v>28219300</v>
      </c>
      <c r="H1879" s="4">
        <f t="shared" si="62"/>
        <v>4.662004662004662E-3</v>
      </c>
      <c r="I1879" s="4">
        <f t="shared" si="63"/>
        <v>-0.24052863436123348</v>
      </c>
    </row>
    <row r="1880" spans="1:9" x14ac:dyDescent="0.2">
      <c r="A1880" s="2">
        <f ca="1">IFERROR(__xludf.DUMMYFUNCTION("""COMPUTED_VALUE"""),46000.6666666666)</f>
        <v>46000.666666666599</v>
      </c>
      <c r="B1880" s="2" t="s">
        <v>57</v>
      </c>
      <c r="C1880" s="1">
        <v>4310</v>
      </c>
      <c r="D1880" s="1">
        <v>4330</v>
      </c>
      <c r="E1880" s="1">
        <v>4260</v>
      </c>
      <c r="F1880" s="1">
        <v>4320</v>
      </c>
      <c r="G1880" s="1">
        <v>34461400</v>
      </c>
      <c r="H1880" s="4">
        <f t="shared" si="62"/>
        <v>2.3201856148491878E-3</v>
      </c>
      <c r="I1880" s="4">
        <f t="shared" si="63"/>
        <v>-0.23876651982378855</v>
      </c>
    </row>
    <row r="1881" spans="1:9" x14ac:dyDescent="0.2">
      <c r="A1881" s="2">
        <f ca="1">IFERROR(__xludf.DUMMYFUNCTION("""COMPUTED_VALUE"""),46001.6666666666)</f>
        <v>46001.666666666599</v>
      </c>
      <c r="B1881" s="2" t="s">
        <v>57</v>
      </c>
      <c r="C1881" s="1">
        <v>4350</v>
      </c>
      <c r="D1881" s="1">
        <v>4350</v>
      </c>
      <c r="E1881" s="1">
        <v>4270</v>
      </c>
      <c r="F1881" s="1">
        <v>4310</v>
      </c>
      <c r="G1881" s="1">
        <v>19908000</v>
      </c>
      <c r="H1881" s="4">
        <f t="shared" si="62"/>
        <v>-2.3148148148148147E-3</v>
      </c>
      <c r="I1881" s="4">
        <f t="shared" si="63"/>
        <v>-0.24052863436123348</v>
      </c>
    </row>
    <row r="1882" spans="1:9" x14ac:dyDescent="0.2">
      <c r="A1882" s="2">
        <f ca="1">IFERROR(__xludf.DUMMYFUNCTION("""COMPUTED_VALUE"""),46002.6666666666)</f>
        <v>46002.666666666599</v>
      </c>
      <c r="B1882" s="2" t="s">
        <v>57</v>
      </c>
      <c r="C1882" s="1">
        <v>4350</v>
      </c>
      <c r="D1882" s="1">
        <v>4390</v>
      </c>
      <c r="E1882" s="1">
        <v>4190</v>
      </c>
      <c r="F1882" s="1">
        <v>4230</v>
      </c>
      <c r="G1882" s="1">
        <v>43389300</v>
      </c>
      <c r="H1882" s="4">
        <f t="shared" si="62"/>
        <v>-1.8561484918793503E-2</v>
      </c>
      <c r="I1882" s="4">
        <f t="shared" si="63"/>
        <v>-0.25462555066079295</v>
      </c>
    </row>
    <row r="1883" spans="1:9" x14ac:dyDescent="0.2">
      <c r="A1883" s="2">
        <f ca="1">IFERROR(__xludf.DUMMYFUNCTION("""COMPUTED_VALUE"""),46003.6666666666)</f>
        <v>46003.666666666599</v>
      </c>
      <c r="B1883" s="2" t="s">
        <v>57</v>
      </c>
      <c r="C1883" s="1">
        <v>4290</v>
      </c>
      <c r="D1883" s="1">
        <v>4290</v>
      </c>
      <c r="E1883" s="1">
        <v>4170</v>
      </c>
      <c r="F1883" s="1">
        <v>4240</v>
      </c>
      <c r="G1883" s="1">
        <v>23240100</v>
      </c>
      <c r="H1883" s="4">
        <f t="shared" si="62"/>
        <v>2.3640661938534278E-3</v>
      </c>
      <c r="I1883" s="4">
        <f t="shared" si="63"/>
        <v>-0.252863436123348</v>
      </c>
    </row>
    <row r="1884" spans="1:9" x14ac:dyDescent="0.2">
      <c r="A1884" s="2">
        <f ca="1">IFERROR(__xludf.DUMMYFUNCTION("""COMPUTED_VALUE"""),46006.6666666666)</f>
        <v>46006.666666666599</v>
      </c>
      <c r="B1884" s="2" t="s">
        <v>57</v>
      </c>
      <c r="C1884" s="1">
        <v>4270</v>
      </c>
      <c r="D1884" s="1">
        <v>4450</v>
      </c>
      <c r="E1884" s="1">
        <v>4230</v>
      </c>
      <c r="F1884" s="1">
        <v>4440</v>
      </c>
      <c r="G1884" s="1">
        <v>57531500</v>
      </c>
      <c r="H1884" s="4">
        <f t="shared" si="62"/>
        <v>4.716981132075472E-2</v>
      </c>
      <c r="I1884" s="4">
        <f t="shared" si="63"/>
        <v>-0.21762114537444935</v>
      </c>
    </row>
    <row r="1885" spans="1:9" x14ac:dyDescent="0.2">
      <c r="A1885" s="2">
        <f ca="1">IFERROR(__xludf.DUMMYFUNCTION("""COMPUTED_VALUE"""),46007.6666666666)</f>
        <v>46007.666666666599</v>
      </c>
      <c r="B1885" s="2" t="s">
        <v>57</v>
      </c>
      <c r="C1885" s="1">
        <v>4440</v>
      </c>
      <c r="D1885" s="1">
        <v>4460</v>
      </c>
      <c r="E1885" s="1">
        <v>4330</v>
      </c>
      <c r="F1885" s="1">
        <v>4400</v>
      </c>
      <c r="G1885" s="1">
        <v>36287500</v>
      </c>
      <c r="H1885" s="4">
        <f t="shared" si="62"/>
        <v>-9.0090090090090089E-3</v>
      </c>
      <c r="I1885" s="4">
        <f t="shared" si="63"/>
        <v>-0.22466960352422907</v>
      </c>
    </row>
    <row r="1886" spans="1:9" x14ac:dyDescent="0.2">
      <c r="A1886" s="2">
        <f ca="1">IFERROR(__xludf.DUMMYFUNCTION("""COMPUTED_VALUE"""),46008.6666666666)</f>
        <v>46008.666666666599</v>
      </c>
      <c r="B1886" s="2" t="s">
        <v>57</v>
      </c>
      <c r="C1886" s="1">
        <v>4400</v>
      </c>
      <c r="D1886" s="1">
        <v>4420</v>
      </c>
      <c r="E1886" s="1">
        <v>4340</v>
      </c>
      <c r="F1886" s="1">
        <v>4370</v>
      </c>
      <c r="G1886" s="1">
        <v>27653900</v>
      </c>
      <c r="H1886" s="4">
        <f t="shared" si="62"/>
        <v>-6.8181818181818179E-3</v>
      </c>
      <c r="I1886" s="4">
        <f t="shared" si="63"/>
        <v>-0.22995594713656387</v>
      </c>
    </row>
    <row r="1887" spans="1:9" x14ac:dyDescent="0.2">
      <c r="A1887" s="2">
        <f ca="1">IFERROR(__xludf.DUMMYFUNCTION("""COMPUTED_VALUE"""),46009.6666666666)</f>
        <v>46009.666666666599</v>
      </c>
      <c r="B1887" s="2" t="s">
        <v>57</v>
      </c>
      <c r="C1887" s="1">
        <v>4360</v>
      </c>
      <c r="D1887" s="1">
        <v>4440</v>
      </c>
      <c r="E1887" s="1">
        <v>4360</v>
      </c>
      <c r="F1887" s="1">
        <v>4380</v>
      </c>
      <c r="G1887" s="1">
        <v>45694900</v>
      </c>
      <c r="H1887" s="4">
        <f t="shared" si="62"/>
        <v>2.2883295194508009E-3</v>
      </c>
      <c r="I1887" s="4">
        <f t="shared" si="63"/>
        <v>-0.22819383259911893</v>
      </c>
    </row>
    <row r="1888" spans="1:9" x14ac:dyDescent="0.2">
      <c r="A1888" s="2">
        <f ca="1">IFERROR(__xludf.DUMMYFUNCTION("""COMPUTED_VALUE"""),46010.6666666666)</f>
        <v>46010.666666666599</v>
      </c>
      <c r="B1888" s="2" t="s">
        <v>57</v>
      </c>
      <c r="C1888" s="1">
        <v>4380</v>
      </c>
      <c r="D1888" s="1">
        <v>4410</v>
      </c>
      <c r="E1888" s="1">
        <v>4320</v>
      </c>
      <c r="F1888" s="1">
        <v>4340</v>
      </c>
      <c r="G1888" s="1">
        <v>47290300</v>
      </c>
      <c r="H1888" s="4">
        <f t="shared" si="62"/>
        <v>-9.1324200913242004E-3</v>
      </c>
      <c r="I1888" s="4">
        <f t="shared" si="63"/>
        <v>-0.23524229074889869</v>
      </c>
    </row>
    <row r="1889" spans="1:9" x14ac:dyDescent="0.2">
      <c r="A1889" s="2">
        <f ca="1">IFERROR(__xludf.DUMMYFUNCTION("""COMPUTED_VALUE"""),46013.6666666666)</f>
        <v>46013.666666666599</v>
      </c>
      <c r="B1889" s="2" t="s">
        <v>57</v>
      </c>
      <c r="C1889" s="1">
        <v>4330</v>
      </c>
      <c r="D1889" s="1">
        <v>4360</v>
      </c>
      <c r="E1889" s="1">
        <v>4290</v>
      </c>
      <c r="F1889" s="1">
        <v>4330</v>
      </c>
      <c r="G1889" s="1">
        <v>28113800</v>
      </c>
      <c r="H1889" s="4">
        <f t="shared" si="62"/>
        <v>-2.304147465437788E-3</v>
      </c>
      <c r="I1889" s="4">
        <f t="shared" si="63"/>
        <v>-0.23700440528634362</v>
      </c>
    </row>
    <row r="1890" spans="1:9" x14ac:dyDescent="0.2">
      <c r="A1890" s="2">
        <f ca="1">IFERROR(__xludf.DUMMYFUNCTION("""COMPUTED_VALUE"""),46014.6666666666)</f>
        <v>46014.666666666599</v>
      </c>
      <c r="B1890" s="2" t="s">
        <v>57</v>
      </c>
      <c r="C1890" s="1">
        <v>4290</v>
      </c>
      <c r="D1890" s="1">
        <v>4320</v>
      </c>
      <c r="E1890" s="1">
        <v>4250</v>
      </c>
      <c r="F1890" s="1">
        <v>4290</v>
      </c>
      <c r="G1890" s="1">
        <v>26801700</v>
      </c>
      <c r="H1890" s="4">
        <f t="shared" si="62"/>
        <v>-9.2378752886836026E-3</v>
      </c>
      <c r="I1890" s="4">
        <f t="shared" si="63"/>
        <v>-0.24405286343612334</v>
      </c>
    </row>
    <row r="1891" spans="1:9" x14ac:dyDescent="0.2">
      <c r="A1891" s="2">
        <f ca="1">IFERROR(__xludf.DUMMYFUNCTION("""COMPUTED_VALUE"""),46015.6666666666)</f>
        <v>46015.666666666599</v>
      </c>
      <c r="B1891" s="2" t="s">
        <v>57</v>
      </c>
      <c r="C1891" s="1">
        <v>4260</v>
      </c>
      <c r="D1891" s="1">
        <v>4330</v>
      </c>
      <c r="E1891" s="1">
        <v>4260</v>
      </c>
      <c r="F1891" s="1">
        <v>4270</v>
      </c>
      <c r="G1891" s="1">
        <v>18160600</v>
      </c>
      <c r="H1891" s="4">
        <f t="shared" si="62"/>
        <v>-4.662004662004662E-3</v>
      </c>
      <c r="I1891" s="4">
        <f t="shared" si="63"/>
        <v>-0.2475770925110132</v>
      </c>
    </row>
    <row r="1892" spans="1:9" x14ac:dyDescent="0.2">
      <c r="A1892" s="2">
        <f ca="1">IFERROR(__xludf.DUMMYFUNCTION("""COMPUTED_VALUE"""),46020.6666666666)</f>
        <v>46020.666666666599</v>
      </c>
      <c r="B1892" s="2" t="s">
        <v>57</v>
      </c>
      <c r="C1892" s="1">
        <v>4270</v>
      </c>
      <c r="D1892" s="1">
        <v>4320</v>
      </c>
      <c r="E1892" s="1">
        <v>4260</v>
      </c>
      <c r="F1892" s="1">
        <v>4260</v>
      </c>
      <c r="G1892" s="1">
        <v>24490400</v>
      </c>
      <c r="H1892" s="4">
        <f t="shared" si="62"/>
        <v>-2.34192037470726E-3</v>
      </c>
      <c r="I1892" s="4">
        <f t="shared" si="63"/>
        <v>-0.24933920704845816</v>
      </c>
    </row>
    <row r="1893" spans="1:9" x14ac:dyDescent="0.2">
      <c r="A1893" s="2">
        <f ca="1">IFERROR(__xludf.DUMMYFUNCTION("""COMPUTED_VALUE"""),46021.6666666666)</f>
        <v>46021.666666666599</v>
      </c>
      <c r="B1893" s="2" t="s">
        <v>57</v>
      </c>
      <c r="C1893" s="1">
        <v>4260</v>
      </c>
      <c r="D1893" s="1">
        <v>4380</v>
      </c>
      <c r="E1893" s="1">
        <v>4250</v>
      </c>
      <c r="F1893" s="1">
        <v>4370</v>
      </c>
      <c r="G1893" s="1">
        <v>44229200</v>
      </c>
      <c r="H1893" s="4">
        <f t="shared" si="62"/>
        <v>2.5821596244131457E-2</v>
      </c>
      <c r="I1893" s="4">
        <f t="shared" si="63"/>
        <v>-0.22995594713656387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DC43B-B5E5-44EE-84FE-F4F0707DC9F1}">
  <dimension ref="A1:F5"/>
  <sheetViews>
    <sheetView tabSelected="1" workbookViewId="0">
      <selection sqref="A1:E5"/>
    </sheetView>
  </sheetViews>
  <sheetFormatPr defaultRowHeight="12.75" x14ac:dyDescent="0.2"/>
  <cols>
    <col min="1" max="1" width="14.5703125" bestFit="1" customWidth="1"/>
    <col min="2" max="2" width="14.42578125" bestFit="1" customWidth="1"/>
    <col min="3" max="3" width="19.7109375" bestFit="1" customWidth="1"/>
    <col min="4" max="4" width="14.42578125" bestFit="1" customWidth="1"/>
    <col min="5" max="5" width="19.7109375" bestFit="1" customWidth="1"/>
    <col min="6" max="6" width="35" bestFit="1" customWidth="1"/>
  </cols>
  <sheetData>
    <row r="1" spans="1:6" ht="13.5" thickBot="1" x14ac:dyDescent="0.25">
      <c r="A1" s="27" t="s">
        <v>1</v>
      </c>
      <c r="B1" s="27" t="s">
        <v>60</v>
      </c>
      <c r="C1" s="27" t="s">
        <v>61</v>
      </c>
      <c r="D1" s="27" t="s">
        <v>62</v>
      </c>
      <c r="E1" s="27" t="s">
        <v>63</v>
      </c>
      <c r="F1" s="25" t="s">
        <v>64</v>
      </c>
    </row>
    <row r="2" spans="1:6" ht="13.5" thickBot="1" x14ac:dyDescent="0.25">
      <c r="A2" s="27" t="s">
        <v>54</v>
      </c>
      <c r="B2" s="28">
        <v>0.218</v>
      </c>
      <c r="C2" s="28">
        <v>1.3899999999999999E-2</v>
      </c>
      <c r="D2" s="28">
        <v>0.20430000000000001</v>
      </c>
      <c r="E2" s="28">
        <v>1.8499999999999999E-2</v>
      </c>
      <c r="F2" s="26" t="s">
        <v>65</v>
      </c>
    </row>
    <row r="3" spans="1:6" ht="13.5" thickBot="1" x14ac:dyDescent="0.25">
      <c r="A3" s="27" t="s">
        <v>55</v>
      </c>
      <c r="B3" s="28">
        <v>0.189</v>
      </c>
      <c r="C3" s="28">
        <v>1.83E-2</v>
      </c>
      <c r="D3" s="28">
        <v>0.17119999999999999</v>
      </c>
      <c r="E3" s="28">
        <v>2.3400000000000001E-2</v>
      </c>
      <c r="F3" s="26" t="s">
        <v>66</v>
      </c>
    </row>
    <row r="4" spans="1:6" ht="13.5" thickBot="1" x14ac:dyDescent="0.25">
      <c r="A4" s="27" t="s">
        <v>56</v>
      </c>
      <c r="B4" s="28">
        <v>0.1779</v>
      </c>
      <c r="C4" s="28">
        <v>1.9199999999999998E-2</v>
      </c>
      <c r="D4" s="28">
        <v>0.1719</v>
      </c>
      <c r="E4" s="28">
        <v>2.3599999999999999E-2</v>
      </c>
      <c r="F4" s="26" t="s">
        <v>67</v>
      </c>
    </row>
    <row r="5" spans="1:6" ht="13.5" thickBot="1" x14ac:dyDescent="0.25">
      <c r="A5" s="27" t="s">
        <v>57</v>
      </c>
      <c r="B5" s="28">
        <v>0.14199999999999999</v>
      </c>
      <c r="C5" s="28">
        <v>1.9E-2</v>
      </c>
      <c r="D5" s="28">
        <v>0.11360000000000001</v>
      </c>
      <c r="E5" s="28">
        <v>2.4199999999999999E-2</v>
      </c>
      <c r="F5" s="26" t="s">
        <v>68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07C34-8002-45E0-B6E4-A05314397B30}">
  <dimension ref="A1:D5"/>
  <sheetViews>
    <sheetView workbookViewId="0">
      <selection activeCell="O8" sqref="O8"/>
    </sheetView>
  </sheetViews>
  <sheetFormatPr defaultRowHeight="12.75" x14ac:dyDescent="0.2"/>
  <cols>
    <col min="1" max="1" width="13.7109375" bestFit="1" customWidth="1"/>
    <col min="2" max="2" width="14.5703125" style="11" customWidth="1"/>
    <col min="4" max="4" width="13.85546875" bestFit="1" customWidth="1"/>
  </cols>
  <sheetData>
    <row r="1" spans="1:4" x14ac:dyDescent="0.2">
      <c r="A1" s="8" t="s">
        <v>58</v>
      </c>
      <c r="B1" s="9">
        <v>2024</v>
      </c>
      <c r="C1" s="9">
        <v>2025</v>
      </c>
      <c r="D1" s="5" t="s">
        <v>59</v>
      </c>
    </row>
    <row r="2" spans="1:4" x14ac:dyDescent="0.2">
      <c r="A2" s="8" t="s">
        <v>55</v>
      </c>
      <c r="B2" s="10">
        <f>_xlfn.STDEV.P(BBRI!$H$2:$H$238)</f>
        <v>1.8331384732312505E-2</v>
      </c>
      <c r="C2" s="10">
        <f>_xlfn.STDEV.P(BBRI!$H$238:$H$474)</f>
        <v>2.3397874947434661E-2</v>
      </c>
    </row>
    <row r="3" spans="1:4" x14ac:dyDescent="0.2">
      <c r="A3" s="8" t="s">
        <v>54</v>
      </c>
      <c r="B3" s="10">
        <f>_xlfn.STDEV.P(BBCA!$H$2:$H$238)</f>
        <v>1.3942418763238698E-2</v>
      </c>
      <c r="C3" s="10">
        <f>_xlfn.STDEV.P(BBCA!$H$238:$H$474)</f>
        <v>1.8476211207218003E-2</v>
      </c>
    </row>
    <row r="4" spans="1:4" x14ac:dyDescent="0.2">
      <c r="A4" s="8" t="s">
        <v>56</v>
      </c>
      <c r="B4" s="10">
        <f>_xlfn.STDEV.P(BMRI!$I$2:$I$238)</f>
        <v>1.9174730420163006E-2</v>
      </c>
      <c r="C4" s="10">
        <f>_xlfn.STDEV.P(BMRI!$I$238:$I$474)</f>
        <v>2.3559962424527403E-2</v>
      </c>
    </row>
    <row r="5" spans="1:4" x14ac:dyDescent="0.2">
      <c r="A5" s="8" t="s">
        <v>57</v>
      </c>
      <c r="B5" s="10">
        <f>_xlfn.STDEV.P(BBNI!$I$2:$I$238)</f>
        <v>1.9025426598610291E-2</v>
      </c>
      <c r="C5" s="10">
        <f>_xlfn.STDEV.P(BBNI!$I$238:$I$474)</f>
        <v>2.4222997139059066E-2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C830E8-D84B-4B18-B7DA-A73E952AE06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BBRI</vt:lpstr>
      <vt:lpstr>BBCA</vt:lpstr>
      <vt:lpstr>BMRI</vt:lpstr>
      <vt:lpstr>BBNI</vt:lpstr>
      <vt:lpstr>Kurs USD ke IDR</vt:lpstr>
      <vt:lpstr>IHSG</vt:lpstr>
      <vt:lpstr>FUNDAMENTAL</vt:lpstr>
      <vt:lpstr>Sheet1</vt:lpstr>
      <vt:lpstr>Sheet3</vt:lpstr>
      <vt:lpstr>Volatilitas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Fakultas Ekonomi</cp:lastModifiedBy>
  <dcterms:modified xsi:type="dcterms:W3CDTF">2026-06-17T08:59:45Z</dcterms:modified>
</cp:coreProperties>
</file>