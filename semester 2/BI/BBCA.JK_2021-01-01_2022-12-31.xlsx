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1E0B6966-4B4B-476B-BD53-A5D20C01FF8C}" xr6:coauthVersionLast="47" xr6:coauthVersionMax="47" xr10:uidLastSave="{00000000-0000-0000-0000-000000000000}"/>
  <bookViews>
    <workbookView xWindow="10245" yWindow="0" windowWidth="10245" windowHeight="10920" tabRatio="500" xr2:uid="{00000000-000D-0000-FFFF-FFFF00000000}"/>
  </bookViews>
  <sheets>
    <sheet name="Sheet1" sheetId="1" r:id="rId1"/>
  </sheets>
  <definedNames>
    <definedName name="agu_21">Sheet1!$H$143:$H$162</definedName>
    <definedName name="agu_22">Sheet1!$H$386:$H$407</definedName>
    <definedName name="apr_21">Sheet1!$H$63:$H$83</definedName>
    <definedName name="apr_22">Sheet1!$H$310:$H$328</definedName>
    <definedName name="des_21">Sheet1!$H$227:$H$248</definedName>
    <definedName name="des_22">Sheet1!$H$473:$H$494</definedName>
    <definedName name="feb_21">Sheet1!$H$22:$H$40</definedName>
    <definedName name="feb_22">Sheet1!$H$270:$H$287</definedName>
    <definedName name="jan_21">Sheet1!$H$2:$H$21</definedName>
    <definedName name="jan_22">Sheet1!$H$249:$H$269</definedName>
    <definedName name="jul_21">Sheet1!$H$122:$H$142</definedName>
    <definedName name="jul_22">Sheet1!$H$365:$H$385</definedName>
    <definedName name="jun_21">Sheet1!$H$101:$H$121</definedName>
    <definedName name="jun_22">Sheet1!$H$344:$H$364</definedName>
    <definedName name="mar_21">Sheet1!$H$41:$H$62</definedName>
    <definedName name="mar_22">Sheet1!$H$288:$H$309</definedName>
    <definedName name="mei_21">Sheet1!$H$84:$H$100</definedName>
    <definedName name="mei_22">Sheet1!$H$329:$H$343</definedName>
    <definedName name="nov_21">Sheet1!$H$205:$H$226</definedName>
    <definedName name="nov_22">Sheet1!$H$451:$H$472</definedName>
    <definedName name="okt_21">Sheet1!$H$185:$H$204</definedName>
    <definedName name="okt_22">Sheet1!$H$430:$H$450</definedName>
    <definedName name="sep_21">Sheet1!$H$163:$H$184</definedName>
    <definedName name="sep_22">Sheet1!$H$408:$H$429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29" i="1" l="1"/>
  <c r="K28" i="1"/>
  <c r="K27" i="1"/>
  <c r="K26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3" i="1"/>
  <c r="N3" i="1" s="1"/>
  <c r="N22" i="1" l="1"/>
  <c r="N20" i="1"/>
  <c r="N18" i="1"/>
  <c r="N16" i="1"/>
  <c r="M13" i="1"/>
  <c r="N12" i="1"/>
  <c r="M9" i="1"/>
  <c r="N8" i="1"/>
  <c r="M7" i="1"/>
  <c r="L4" i="1"/>
  <c r="M5" i="1"/>
  <c r="N24" i="1"/>
  <c r="M21" i="1"/>
  <c r="M17" i="1"/>
  <c r="N13" i="1"/>
  <c r="L12" i="1"/>
  <c r="L8" i="1"/>
  <c r="N7" i="1"/>
  <c r="M23" i="1"/>
  <c r="N19" i="1"/>
  <c r="N15" i="1"/>
  <c r="N14" i="1"/>
  <c r="L13" i="1"/>
  <c r="M12" i="1"/>
  <c r="M11" i="1"/>
  <c r="N10" i="1"/>
  <c r="N9" i="1"/>
  <c r="M8" i="1"/>
  <c r="L7" i="1"/>
  <c r="N6" i="1"/>
  <c r="N5" i="1"/>
  <c r="M4" i="1"/>
  <c r="N17" i="1"/>
  <c r="N21" i="1"/>
  <c r="N23" i="1"/>
  <c r="L3" i="1"/>
  <c r="N11" i="1"/>
  <c r="L15" i="1"/>
  <c r="L19" i="1"/>
  <c r="M15" i="1"/>
  <c r="M19" i="1"/>
  <c r="M3" i="1"/>
  <c r="N4" i="1"/>
  <c r="L6" i="1"/>
  <c r="L10" i="1"/>
  <c r="L14" i="1"/>
  <c r="L16" i="1"/>
  <c r="L20" i="1"/>
  <c r="L22" i="1"/>
  <c r="M16" i="1"/>
  <c r="M20" i="1"/>
  <c r="M22" i="1"/>
  <c r="L5" i="1"/>
  <c r="M6" i="1"/>
  <c r="L9" i="1"/>
  <c r="L11" i="1"/>
  <c r="M10" i="1"/>
  <c r="M14" i="1"/>
  <c r="L17" i="1"/>
  <c r="L21" i="1"/>
  <c r="L23" i="1"/>
  <c r="L18" i="1"/>
  <c r="L24" i="1"/>
  <c r="M18" i="1"/>
  <c r="M24" i="1"/>
</calcChain>
</file>

<file path=xl/sharedStrings.xml><?xml version="1.0" encoding="utf-8"?>
<sst xmlns="http://schemas.openxmlformats.org/spreadsheetml/2006/main" count="73" uniqueCount="26">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</sst>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Sheet1!$J$3:$K$14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Sheet1!$L$3:$L$14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2C-4BEB-8531-FF86493E55C7}"/>
            </c:ext>
          </c:extLst>
        </c:ser>
        <c:ser>
          <c:idx val="1"/>
          <c:order val="1"/>
          <c:tx>
            <c:strRef>
              <c:f>Sheet1!$M$2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Sheet1!$J$3:$K$14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Sheet1!$M$3:$M$14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2C-4BEB-8531-FF86493E55C7}"/>
            </c:ext>
          </c:extLst>
        </c:ser>
        <c:ser>
          <c:idx val="2"/>
          <c:order val="2"/>
          <c:tx>
            <c:strRef>
              <c:f>Sheet1!$N$2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Sheet1!$J$3:$K$14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Sheet1!$N$3:$N$14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2C-4BEB-8531-FF86493E5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320735"/>
        <c:axId val="43347615"/>
      </c:barChart>
      <c:catAx>
        <c:axId val="4332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3347615"/>
        <c:crosses val="autoZero"/>
        <c:auto val="1"/>
        <c:lblAlgn val="ctr"/>
        <c:lblOffset val="100"/>
        <c:noMultiLvlLbl val="0"/>
      </c:catAx>
      <c:valAx>
        <c:axId val="4334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332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Sheet1!$J$15:$K$24</c:f>
              <c:multiLvlStrCache>
                <c:ptCount val="10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Oktober</c:v>
                  </c:pt>
                  <c:pt idx="8">
                    <c:v>November</c:v>
                  </c:pt>
                  <c:pt idx="9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Sheet1!$L$15:$L$24</c:f>
              <c:numCache>
                <c:formatCode>General</c:formatCode>
                <c:ptCount val="10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5F-4A59-9328-5C67E4A2752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Sheet1!$J$15:$K$24</c:f>
              <c:multiLvlStrCache>
                <c:ptCount val="10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Oktober</c:v>
                  </c:pt>
                  <c:pt idx="8">
                    <c:v>November</c:v>
                  </c:pt>
                  <c:pt idx="9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Sheet1!$M$15:$M$24</c:f>
              <c:numCache>
                <c:formatCode>General</c:formatCode>
                <c:ptCount val="10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85F-4A59-9328-5C67E4A2752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Sheet1!$J$15:$K$24</c:f>
              <c:multiLvlStrCache>
                <c:ptCount val="10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Oktober</c:v>
                  </c:pt>
                  <c:pt idx="8">
                    <c:v>November</c:v>
                  </c:pt>
                  <c:pt idx="9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Sheet1!$N$15:$N$24</c:f>
              <c:numCache>
                <c:formatCode>General</c:formatCode>
                <c:ptCount val="10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85F-4A59-9328-5C67E4A275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350495"/>
        <c:axId val="43349535"/>
      </c:barChart>
      <c:catAx>
        <c:axId val="43350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3349535"/>
        <c:crosses val="autoZero"/>
        <c:auto val="1"/>
        <c:lblAlgn val="ctr"/>
        <c:lblOffset val="100"/>
        <c:noMultiLvlLbl val="0"/>
      </c:catAx>
      <c:valAx>
        <c:axId val="4334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43350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BB-4D87-8496-A6AB8F162F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BB-4D87-8496-A6AB8F162F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BB-4D87-8496-A6AB8F162FF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Sheet1!$J$26:$J$28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Sheet1!$K$26:$K$28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8F1-B9D0-EDD963AA8B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746882</xdr:colOff>
      <xdr:row>0</xdr:row>
      <xdr:rowOff>0</xdr:rowOff>
    </xdr:from>
    <xdr:to>
      <xdr:col>27</xdr:col>
      <xdr:colOff>0</xdr:colOff>
      <xdr:row>20</xdr:row>
      <xdr:rowOff>136071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9FBA70-1D82-C932-3942-7198EF1CB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13606</xdr:colOff>
      <xdr:row>21</xdr:row>
      <xdr:rowOff>0</xdr:rowOff>
    </xdr:from>
    <xdr:to>
      <xdr:col>27</xdr:col>
      <xdr:colOff>13606</xdr:colOff>
      <xdr:row>43</xdr:row>
      <xdr:rowOff>149678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688BF6-EF7B-D933-DF33-A49E3EE43E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17860</xdr:colOff>
      <xdr:row>24</xdr:row>
      <xdr:rowOff>140493</xdr:rowOff>
    </xdr:from>
    <xdr:to>
      <xdr:col>17</xdr:col>
      <xdr:colOff>720328</xdr:colOff>
      <xdr:row>40</xdr:row>
      <xdr:rowOff>26193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0ED31-047E-D84B-DBE1-D8FA8C1BC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06"/>
  <sheetViews>
    <sheetView tabSelected="1" topLeftCell="H9" zoomScale="70" zoomScaleNormal="70" workbookViewId="0">
      <selection activeCell="K26" sqref="K26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8" t="s">
        <v>25</v>
      </c>
      <c r="K2" s="8" t="s">
        <v>12</v>
      </c>
      <c r="L2" s="8" t="s">
        <v>9</v>
      </c>
      <c r="M2" s="8" t="s">
        <v>10</v>
      </c>
      <c r="N2" s="8" t="s">
        <v>11</v>
      </c>
      <c r="P2" s="8" t="s">
        <v>12</v>
      </c>
      <c r="Q2" s="8">
        <v>2021</v>
      </c>
      <c r="R2" s="8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9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9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9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9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9" t="s">
        <v>17</v>
      </c>
      <c r="Q7" s="7" t="s">
        <v>9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9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9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9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9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9" t="s">
        <v>22</v>
      </c>
      <c r="Q12" s="7" t="s">
        <v>10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23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9" t="s">
        <v>23</v>
      </c>
      <c r="Q13" s="10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9" t="s">
        <v>24</v>
      </c>
      <c r="Q14" s="7" t="s">
        <v>10</v>
      </c>
      <c r="R14" s="7" t="s">
        <v>10</v>
      </c>
    </row>
    <row r="15" spans="1:1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12">
        <v>2022</v>
      </c>
      <c r="K15" s="6" t="s">
        <v>13</v>
      </c>
      <c r="L15" s="6">
        <f>COUNTIF(jan_22,"Naik")</f>
        <v>10</v>
      </c>
      <c r="M15" s="6">
        <f>COUNTIF(jan_22,"Turun")</f>
        <v>8</v>
      </c>
      <c r="N15" s="6">
        <f>COUNTIF(jan_22,"Stabil")</f>
        <v>3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3"/>
      <c r="K16" s="6" t="s">
        <v>14</v>
      </c>
      <c r="L16" s="6">
        <f>COUNTIF(feb_22,"Naik")</f>
        <v>10</v>
      </c>
      <c r="M16" s="6">
        <f>COUNTIF(feb_22,"Turun")</f>
        <v>7</v>
      </c>
      <c r="N16" s="6">
        <f>COUNTIF(feb_22,"Stabil")</f>
        <v>1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6" t="s">
        <v>15</v>
      </c>
      <c r="L17" s="6">
        <f>COUNTIF(mar_22,"Naik")</f>
        <v>12</v>
      </c>
      <c r="M17" s="6">
        <f>COUNTIF(mar_22,"Turun")</f>
        <v>8</v>
      </c>
      <c r="N17" s="6">
        <f>COUNTIF(mar_22,"Stabil")</f>
        <v>2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6" t="s">
        <v>16</v>
      </c>
      <c r="L18" s="6">
        <f>COUNTIF(apr_22,"Naik")</f>
        <v>7</v>
      </c>
      <c r="M18" s="6">
        <f>COUNTIF(apr_22,"Turun")</f>
        <v>8</v>
      </c>
      <c r="N18" s="6">
        <f>COUNTIF(apr_22,"Stabil")</f>
        <v>4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11" t="s">
        <v>17</v>
      </c>
      <c r="L19" s="11">
        <f>COUNTIF(mei_22,"Naik")</f>
        <v>7</v>
      </c>
      <c r="M19" s="11">
        <f>COUNTIF(mei_22,"Turun")</f>
        <v>7</v>
      </c>
      <c r="N19" s="11">
        <f>COUNTIF(mei_22,"Stabil")</f>
        <v>1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6" t="s">
        <v>18</v>
      </c>
      <c r="L20" s="6">
        <f>COUNTIF(jun_22,"Naik")</f>
        <v>7</v>
      </c>
      <c r="M20" s="6">
        <f>COUNTIF(jun_22,"Turun")</f>
        <v>13</v>
      </c>
      <c r="N20" s="6">
        <f>COUNTIF(jun_22,"Stabil")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6" t="s">
        <v>19</v>
      </c>
      <c r="L21" s="6">
        <f>COUNTIF(jul_22,"Naik")</f>
        <v>10</v>
      </c>
      <c r="M21" s="6">
        <f>COUNTIF(jul_22,"Turun")</f>
        <v>7</v>
      </c>
      <c r="N21" s="6">
        <f>COUNTIF(jul_22,"Stabil")</f>
        <v>4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11" t="s">
        <v>22</v>
      </c>
      <c r="L22" s="11">
        <f>COUNTIF(okt_22,"Naik")</f>
        <v>10</v>
      </c>
      <c r="M22" s="11">
        <f>COUNTIF(okt_22,"Turun")</f>
        <v>10</v>
      </c>
      <c r="N22" s="11">
        <f>COUNTIF(okt_22,"Stabil")</f>
        <v>1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6" t="s">
        <v>23</v>
      </c>
      <c r="L23" s="6">
        <f>COUNTIF(nov_22,"Naik")</f>
        <v>11</v>
      </c>
      <c r="M23" s="6">
        <f>COUNTIF(nov_22,"Turun")</f>
        <v>10</v>
      </c>
      <c r="N23" s="6">
        <f>COUNTIF(nov_22,"Stabil")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4"/>
      <c r="K24" s="6" t="s">
        <v>24</v>
      </c>
      <c r="L24" s="6">
        <f>COUNTIF(des_22,"Naik")</f>
        <v>9</v>
      </c>
      <c r="M24" s="6">
        <f>COUNTIF(des_22,"Turun")</f>
        <v>12</v>
      </c>
      <c r="N24" s="6">
        <f>COUNTIF(des_22,"Stabil")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  <c r="J26" s="1" t="s">
        <v>9</v>
      </c>
      <c r="K26" s="1">
        <f>COUNTIF(H$2:H$1206,"Naik")</f>
        <v>530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10</v>
      </c>
      <c r="K27" s="1">
        <f>COUNTIF(H$2:H$1206,"Turun")</f>
        <v>554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11</v>
      </c>
      <c r="K28" s="1">
        <f>COUNTIF(H$2:H$1206,"Stabil")</f>
        <v>120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K29" s="1">
        <f>SUM(K26:K28)</f>
        <v>1204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 t="shared" ref="H516:H579" si="8"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si="8"/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 t="shared" si="8"/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 t="shared" si="8"/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 t="shared" si="8"/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ref="H580:H643" si="9">IF(F580&gt;F579,"Naik",IF(F580&lt;F579,"Turun","Stabil"))</f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si="9"/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 t="shared" si="9"/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 t="shared" si="9"/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 t="shared" si="9"/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ref="H644:H707" si="10">IF(F644&gt;F643,"Naik",IF(F644&lt;F643,"Turun","Stabil"))</f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si="10"/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 t="shared" si="10"/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 t="shared" si="10"/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 t="shared" si="10"/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ref="H708:H771" si="11">IF(F708&gt;F707,"Naik",IF(F708&lt;F707,"Turun","Stabil"))</f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si="11"/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 t="shared" si="11"/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 t="shared" si="11"/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ref="H772:H835" si="12">IF(F772&gt;F771,"Naik",IF(F772&lt;F771,"Turun","Stabil"))</f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si="12"/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ref="H836:H899" si="13">IF(F836&gt;F835,"Naik",IF(F836&lt;F835,"Turun","Stabil"))</f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si="13"/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ref="H900:H963" si="14">IF(F900&gt;F899,"Naik",IF(F900&lt;F899,"Turun","Stabil"))</f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si="14"/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ref="H964:H1027" si="15">IF(F964&gt;F963,"Naik",IF(F964&lt;F963,"Turun","Stabil"))</f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si="15"/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ref="H1028:H1091" si="16">IF(F1028&gt;F1027,"Naik",IF(F1028&lt;F1027,"Turun","Stabil"))</f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si="16"/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ref="H1092:H1155" si="17">IF(F1092&gt;F1091,"Naik",IF(F1092&lt;F1091,"Turun","Stabil"))</f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si="17"/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ref="H1156:H1206" si="18">IF(F1156&gt;F1155,"Naik",IF(F1156&lt;F1155,"Turun","Stabil"))</f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si="18"/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mergeCells count="2">
    <mergeCell ref="J3:J14"/>
    <mergeCell ref="J15:J24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24</vt:i4>
      </vt:variant>
    </vt:vector>
  </HeadingPairs>
  <TitlesOfParts>
    <vt:vector size="25" baseType="lpstr">
      <vt:lpstr>Sheet1</vt:lpstr>
      <vt:lpstr>agu_21</vt:lpstr>
      <vt:lpstr>agu_22</vt:lpstr>
      <vt:lpstr>apr_21</vt:lpstr>
      <vt:lpstr>apr_22</vt:lpstr>
      <vt:lpstr>des_21</vt:lpstr>
      <vt:lpstr>des_22</vt:lpstr>
      <vt:lpstr>feb_21</vt:lpstr>
      <vt:lpstr>feb_22</vt:lpstr>
      <vt:lpstr>jan_21</vt:lpstr>
      <vt:lpstr>jan_22</vt:lpstr>
      <vt:lpstr>jul_21</vt:lpstr>
      <vt:lpstr>jul_22</vt:lpstr>
      <vt:lpstr>jun_21</vt:lpstr>
      <vt:lpstr>jun_22</vt:lpstr>
      <vt:lpstr>mar_21</vt:lpstr>
      <vt:lpstr>mar_22</vt:lpstr>
      <vt:lpstr>mei_21</vt:lpstr>
      <vt:lpstr>mei_22</vt:lpstr>
      <vt:lpstr>nov_21</vt:lpstr>
      <vt:lpstr>nov_22</vt:lpstr>
      <vt:lpstr>okt_21</vt:lpstr>
      <vt:lpstr>okt_22</vt:lpstr>
      <vt:lpstr>sep_21</vt:lpstr>
      <vt:lpstr>sep_22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2026-03-11T01:23:16Z</dcterms:modified>
  <dc:language>en-US</dc:language>
</cp:coreProperties>
</file>