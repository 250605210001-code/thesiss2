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\Documents\GitHub\thesiss2\semester 2\BI\"/>
    </mc:Choice>
  </mc:AlternateContent>
  <xr:revisionPtr revIDLastSave="0" documentId="13_ncr:1_{29374BE5-068B-438E-8555-4053C39D04F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agu_21">Sheet1!$H$143:$H$162</definedName>
    <definedName name="agu_22">Sheet1!$H$386:$H$407</definedName>
    <definedName name="apr_21">Sheet1!$H$63:$H$83</definedName>
    <definedName name="apr_22">Sheet1!$H$310:$H$328</definedName>
    <definedName name="des_21">Sheet1!$H$227:$H$248</definedName>
    <definedName name="des_22">Sheet1!$H$473:$H$494</definedName>
    <definedName name="feb_21">Sheet1!$H$22:$H$40</definedName>
    <definedName name="feb_22">Sheet1!$H$270:$H$287</definedName>
    <definedName name="jan_21">Sheet1!$H$2:$H$21</definedName>
    <definedName name="jan_22">Sheet1!$H$249:$H$269</definedName>
    <definedName name="jul_21">Sheet1!$H$122:$H$142</definedName>
    <definedName name="jul_22">Sheet1!$H$365:$H$385</definedName>
    <definedName name="jun_21">Sheet1!$H$101:$H$121</definedName>
    <definedName name="jun_22">Sheet1!$H$344:$H$364</definedName>
    <definedName name="mar_21">Sheet1!$H$41:$H$62</definedName>
    <definedName name="mar_22">Sheet1!$H$288:$H$309</definedName>
    <definedName name="mei_21">Sheet1!$H$84:$H$100</definedName>
    <definedName name="mei_22">Sheet1!$H$329:$H$343</definedName>
    <definedName name="nov_21">Sheet1!$H$205:$H$226</definedName>
    <definedName name="nov_22">Sheet1!$H$451:$H$472</definedName>
    <definedName name="okt_21">Sheet1!$H$185:$H$204</definedName>
    <definedName name="okt_22">Sheet1!$H$430:$H$450</definedName>
    <definedName name="sep_21">Sheet1!$H$163:$H$184</definedName>
    <definedName name="sep_22">Sheet1!$H$408:$H$429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29" i="1" l="1"/>
  <c r="K28" i="1"/>
  <c r="K27" i="1"/>
  <c r="K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3" i="1"/>
  <c r="N3" i="1" s="1"/>
  <c r="N22" i="1" l="1"/>
  <c r="N20" i="1"/>
  <c r="N18" i="1"/>
  <c r="N16" i="1"/>
  <c r="M13" i="1"/>
  <c r="N12" i="1"/>
  <c r="M9" i="1"/>
  <c r="N8" i="1"/>
  <c r="M7" i="1"/>
  <c r="L4" i="1"/>
  <c r="M5" i="1"/>
  <c r="N24" i="1"/>
  <c r="M21" i="1"/>
  <c r="M17" i="1"/>
  <c r="N13" i="1"/>
  <c r="L12" i="1"/>
  <c r="L8" i="1"/>
  <c r="N7" i="1"/>
  <c r="M23" i="1"/>
  <c r="N19" i="1"/>
  <c r="N15" i="1"/>
  <c r="N14" i="1"/>
  <c r="L13" i="1"/>
  <c r="M12" i="1"/>
  <c r="M11" i="1"/>
  <c r="N10" i="1"/>
  <c r="N9" i="1"/>
  <c r="M8" i="1"/>
  <c r="L7" i="1"/>
  <c r="N6" i="1"/>
  <c r="N5" i="1"/>
  <c r="M4" i="1"/>
  <c r="N17" i="1"/>
  <c r="N21" i="1"/>
  <c r="N23" i="1"/>
  <c r="L3" i="1"/>
  <c r="N11" i="1"/>
  <c r="L15" i="1"/>
  <c r="L19" i="1"/>
  <c r="M15" i="1"/>
  <c r="M19" i="1"/>
  <c r="M3" i="1"/>
  <c r="N4" i="1"/>
  <c r="L6" i="1"/>
  <c r="L10" i="1"/>
  <c r="L14" i="1"/>
  <c r="L16" i="1"/>
  <c r="L20" i="1"/>
  <c r="L22" i="1"/>
  <c r="M16" i="1"/>
  <c r="M20" i="1"/>
  <c r="M22" i="1"/>
  <c r="L5" i="1"/>
  <c r="M6" i="1"/>
  <c r="L9" i="1"/>
  <c r="L11" i="1"/>
  <c r="M10" i="1"/>
  <c r="M14" i="1"/>
  <c r="L17" i="1"/>
  <c r="L21" i="1"/>
  <c r="L23" i="1"/>
  <c r="L18" i="1"/>
  <c r="L24" i="1"/>
  <c r="M18" i="1"/>
  <c r="M24" i="1"/>
</calcChain>
</file>

<file path=xl/sharedStrings.xml><?xml version="1.0" encoding="utf-8"?>
<sst xmlns="http://schemas.openxmlformats.org/spreadsheetml/2006/main" count="73" uniqueCount="26">
  <si>
    <t>Close</t>
  </si>
  <si>
    <t>High</t>
  </si>
  <si>
    <t>Low</t>
  </si>
  <si>
    <t>Open</t>
  </si>
  <si>
    <t>Volume</t>
  </si>
  <si>
    <t>Date</t>
  </si>
  <si>
    <t>Keterangan</t>
  </si>
  <si>
    <t>-</t>
  </si>
  <si>
    <t>No</t>
  </si>
  <si>
    <t>Naik</t>
  </si>
  <si>
    <t>Turun</t>
  </si>
  <si>
    <t>Stabil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</si>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</sst>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Naik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Sheet1!$J$3:$K$14</c:f>
              <c:multiLvlStrCache>
                <c:ptCount val="12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Agustus</c:v>
                  </c:pt>
                  <c:pt idx="8">
                    <c:v>September</c:v>
                  </c:pt>
                  <c:pt idx="9">
                    <c:v>Oktober</c:v>
                  </c:pt>
                  <c:pt idx="10">
                    <c:v>November</c:v>
                  </c:pt>
                  <c:pt idx="11">
                    <c:v>Desember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Sheet1!$L$3:$L$14</c:f>
              <c:numCache>
                <c:formatCode>General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C-4BEB-8531-FF86493E55C7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Turun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Sheet1!$J$3:$K$14</c:f>
              <c:multiLvlStrCache>
                <c:ptCount val="12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Agustus</c:v>
                  </c:pt>
                  <c:pt idx="8">
                    <c:v>September</c:v>
                  </c:pt>
                  <c:pt idx="9">
                    <c:v>Oktober</c:v>
                  </c:pt>
                  <c:pt idx="10">
                    <c:v>November</c:v>
                  </c:pt>
                  <c:pt idx="11">
                    <c:v>Desember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Sheet1!$M$3:$M$14</c:f>
              <c:numCache>
                <c:formatCode>General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14</c:v>
                </c:pt>
                <c:pt idx="3">
                  <c:v>12</c:v>
                </c:pt>
                <c:pt idx="4">
                  <c:v>7</c:v>
                </c:pt>
                <c:pt idx="5">
                  <c:v>15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C-4BEB-8531-FF86493E55C7}"/>
            </c:ext>
          </c:extLst>
        </c:ser>
        <c:ser>
          <c:idx val="2"/>
          <c:order val="2"/>
          <c:tx>
            <c:strRef>
              <c:f>Sheet1!$N$2</c:f>
              <c:strCache>
                <c:ptCount val="1"/>
                <c:pt idx="0">
                  <c:v>Stabil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Sheet1!$J$3:$K$14</c:f>
              <c:multiLvlStrCache>
                <c:ptCount val="12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Agustus</c:v>
                  </c:pt>
                  <c:pt idx="8">
                    <c:v>September</c:v>
                  </c:pt>
                  <c:pt idx="9">
                    <c:v>Oktober</c:v>
                  </c:pt>
                  <c:pt idx="10">
                    <c:v>November</c:v>
                  </c:pt>
                  <c:pt idx="11">
                    <c:v>Desember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Sheet1!$N$3:$N$14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C-4BEB-8531-FF86493E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20735"/>
        <c:axId val="43347615"/>
      </c:barChart>
      <c:catAx>
        <c:axId val="433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347615"/>
        <c:crosses val="autoZero"/>
        <c:auto val="1"/>
        <c:lblAlgn val="ctr"/>
        <c:lblOffset val="100"/>
        <c:noMultiLvlLbl val="0"/>
      </c:catAx>
      <c:valAx>
        <c:axId val="433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32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Sheet1!$J$15:$K$24</c:f>
              <c:multiLvlStrCache>
                <c:ptCount val="10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Oktober</c:v>
                  </c:pt>
                  <c:pt idx="8">
                    <c:v>November</c:v>
                  </c:pt>
                  <c:pt idx="9">
                    <c:v>Desember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Sheet1!$L$15:$L$24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F-4A59-9328-5C67E4A275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Sheet1!$J$15:$K$24</c:f>
              <c:multiLvlStrCache>
                <c:ptCount val="10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Oktober</c:v>
                  </c:pt>
                  <c:pt idx="8">
                    <c:v>November</c:v>
                  </c:pt>
                  <c:pt idx="9">
                    <c:v>Desember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Sheet1!$M$15:$M$24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13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F-4A59-9328-5C67E4A2752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Sheet1!$J$15:$K$24</c:f>
              <c:multiLvlStrCache>
                <c:ptCount val="10"/>
                <c:lvl>
                  <c:pt idx="0">
                    <c:v>Januari</c:v>
                  </c:pt>
                  <c:pt idx="1">
                    <c:v>Februari</c:v>
                  </c:pt>
                  <c:pt idx="2">
                    <c:v>Maret</c:v>
                  </c:pt>
                  <c:pt idx="3">
                    <c:v>April</c:v>
                  </c:pt>
                  <c:pt idx="4">
                    <c:v>Mei</c:v>
                  </c:pt>
                  <c:pt idx="5">
                    <c:v>Juni</c:v>
                  </c:pt>
                  <c:pt idx="6">
                    <c:v>Juli</c:v>
                  </c:pt>
                  <c:pt idx="7">
                    <c:v>Oktober</c:v>
                  </c:pt>
                  <c:pt idx="8">
                    <c:v>November</c:v>
                  </c:pt>
                  <c:pt idx="9">
                    <c:v>Desember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Sheet1!$N$15:$N$24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F-4A59-9328-5C67E4A27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50495"/>
        <c:axId val="43349535"/>
      </c:barChart>
      <c:catAx>
        <c:axId val="4335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349535"/>
        <c:crosses val="autoZero"/>
        <c:auto val="1"/>
        <c:lblAlgn val="ctr"/>
        <c:lblOffset val="100"/>
        <c:noMultiLvlLbl val="0"/>
      </c:catAx>
      <c:valAx>
        <c:axId val="433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335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Sheet1!$J$26:$J$28</c:f>
              <c:strCache>
                <c:ptCount val="3"/>
                <c:pt idx="0">
                  <c:v>Naik</c:v>
                </c:pt>
                <c:pt idx="1">
                  <c:v>Turun</c:v>
                </c:pt>
                <c:pt idx="2">
                  <c:v>Stabil</c:v>
                </c:pt>
              </c:strCache>
            </c:strRef>
          </c:cat>
          <c:val>
            <c:numRef>
              <c:f>Sheet1!$K$26:$K$28</c:f>
              <c:numCache>
                <c:formatCode>General</c:formatCode>
                <c:ptCount val="3"/>
                <c:pt idx="0">
                  <c:v>530</c:v>
                </c:pt>
                <c:pt idx="1">
                  <c:v>554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1-48F1-B9D0-EDD963AA8B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746882</xdr:colOff>
      <xdr:row>0</xdr:row>
      <xdr:rowOff>0</xdr:rowOff>
    </xdr:from>
    <xdr:to>
      <xdr:col>27</xdr:col>
      <xdr:colOff>0</xdr:colOff>
      <xdr:row>20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FBA70-1D82-C932-3942-7198EF1CB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13606</xdr:colOff>
      <xdr:row>21</xdr:row>
      <xdr:rowOff>0</xdr:rowOff>
    </xdr:from>
    <xdr:to>
      <xdr:col>27</xdr:col>
      <xdr:colOff>13606</xdr:colOff>
      <xdr:row>43</xdr:row>
      <xdr:rowOff>149678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88BF6-EF7B-D933-DF33-A49E3EE43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17860</xdr:colOff>
      <xdr:row>24</xdr:row>
      <xdr:rowOff>140493</xdr:rowOff>
    </xdr:from>
    <xdr:to>
      <xdr:col>17</xdr:col>
      <xdr:colOff>720328</xdr:colOff>
      <xdr:row>40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0ED31-047E-D84B-DBE1-D8FA8C1BC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6"/>
  <sheetViews>
    <sheetView tabSelected="1" topLeftCell="A16" zoomScale="80" zoomScaleNormal="80" workbookViewId="0">
      <selection activeCell="J26" sqref="J26:K28"/>
    </sheetView>
  </sheetViews>
  <sheetFormatPr defaultColWidth="11.5703125" defaultRowHeight="14.25" x14ac:dyDescent="0.2"/>
  <cols>
    <col min="1" max="1" width="11.5703125" style="1"/>
    <col min="2" max="2" width="22.28515625" style="1" customWidth="1"/>
    <col min="3" max="6" width="10.7109375" style="2" customWidth="1"/>
    <col min="7" max="7" width="13.28515625" style="1" customWidth="1"/>
    <col min="8" max="8" width="11.5703125" style="2"/>
    <col min="9" max="16384" width="11.5703125" style="1"/>
  </cols>
  <sheetData>
    <row r="1" spans="1:18" ht="15" x14ac:dyDescent="0.25">
      <c r="A1" s="5" t="s">
        <v>8</v>
      </c>
      <c r="B1" s="5" t="s">
        <v>5</v>
      </c>
      <c r="C1" s="5" t="s">
        <v>3</v>
      </c>
      <c r="D1" s="5" t="s">
        <v>1</v>
      </c>
      <c r="E1" s="5" t="s">
        <v>2</v>
      </c>
      <c r="F1" s="5" t="s">
        <v>0</v>
      </c>
      <c r="G1" s="5" t="s">
        <v>4</v>
      </c>
      <c r="H1" s="5" t="s">
        <v>6</v>
      </c>
    </row>
    <row r="2" spans="1:18" ht="15" x14ac:dyDescent="0.25">
      <c r="A2" s="1">
        <v>1</v>
      </c>
      <c r="B2" s="3">
        <v>44200</v>
      </c>
      <c r="C2" s="4">
        <v>5997.50548646672</v>
      </c>
      <c r="D2" s="4">
        <v>6046.0147220190202</v>
      </c>
      <c r="E2" s="4">
        <v>5926.9465983906402</v>
      </c>
      <c r="F2" s="4">
        <v>6028.375</v>
      </c>
      <c r="G2" s="1">
        <v>47937000</v>
      </c>
      <c r="H2" s="2" t="s">
        <v>7</v>
      </c>
      <c r="J2" s="8" t="s">
        <v>25</v>
      </c>
      <c r="K2" s="8" t="s">
        <v>12</v>
      </c>
      <c r="L2" s="8" t="s">
        <v>9</v>
      </c>
      <c r="M2" s="8" t="s">
        <v>10</v>
      </c>
      <c r="N2" s="8" t="s">
        <v>11</v>
      </c>
      <c r="P2" s="8" t="s">
        <v>12</v>
      </c>
      <c r="Q2" s="8">
        <v>2021</v>
      </c>
      <c r="R2" s="8">
        <v>2022</v>
      </c>
    </row>
    <row r="3" spans="1:18" x14ac:dyDescent="0.2">
      <c r="A3" s="1">
        <v>2</v>
      </c>
      <c r="B3" s="3">
        <v>44201</v>
      </c>
      <c r="C3" s="4">
        <v>6050.4249258969503</v>
      </c>
      <c r="D3" s="4">
        <v>6253.28173828125</v>
      </c>
      <c r="E3" s="4">
        <v>6041.6050644889401</v>
      </c>
      <c r="F3" s="4">
        <v>6253.28173828125</v>
      </c>
      <c r="G3" s="1">
        <v>104831000</v>
      </c>
      <c r="H3" s="2" t="str">
        <f>IF(F3&gt;F2,"Naik",IF(F3&lt;F2,"Turun","Stabil"))</f>
        <v>Naik</v>
      </c>
      <c r="J3" s="12">
        <v>2021</v>
      </c>
      <c r="K3" s="6" t="s">
        <v>13</v>
      </c>
      <c r="L3" s="6">
        <f>COUNTIF(jan_21,"Naik")</f>
        <v>7</v>
      </c>
      <c r="M3" s="6">
        <f>COUNTIF(jan_21,"Turun")</f>
        <v>11</v>
      </c>
      <c r="N3" s="6">
        <f>COUNTIF(jan_21,"Stabil")</f>
        <v>1</v>
      </c>
      <c r="P3" s="9" t="s">
        <v>13</v>
      </c>
      <c r="Q3" s="7" t="s">
        <v>10</v>
      </c>
      <c r="R3" s="7" t="s">
        <v>9</v>
      </c>
    </row>
    <row r="4" spans="1:18" x14ac:dyDescent="0.2">
      <c r="A4" s="1">
        <v>3</v>
      </c>
      <c r="B4" s="3">
        <v>44202</v>
      </c>
      <c r="C4" s="4">
        <v>6218.00160088755</v>
      </c>
      <c r="D4" s="4">
        <v>6240.05125195453</v>
      </c>
      <c r="E4" s="4">
        <v>6068.06397363211</v>
      </c>
      <c r="F4" s="4">
        <v>6125.39306640625</v>
      </c>
      <c r="G4" s="1">
        <v>89753500</v>
      </c>
      <c r="H4" s="2" t="str">
        <f t="shared" ref="H4:H67" si="0">IF(F4&gt;F3,"Naik",IF(F4&lt;F3,"Turun","Stabil"))</f>
        <v>Turun</v>
      </c>
      <c r="J4" s="13"/>
      <c r="K4" s="6" t="s">
        <v>14</v>
      </c>
      <c r="L4" s="6">
        <f>COUNTIF(feb_21,"Naik")</f>
        <v>10</v>
      </c>
      <c r="M4" s="6">
        <f>COUNTIF(feb_21,"Turun")</f>
        <v>9</v>
      </c>
      <c r="N4" s="6">
        <f>COUNTIF(feb_21,"Stabil")</f>
        <v>0</v>
      </c>
      <c r="P4" s="9" t="s">
        <v>14</v>
      </c>
      <c r="Q4" s="7" t="s">
        <v>9</v>
      </c>
      <c r="R4" s="7" t="s">
        <v>9</v>
      </c>
    </row>
    <row r="5" spans="1:18" x14ac:dyDescent="0.2">
      <c r="A5" s="1">
        <v>4</v>
      </c>
      <c r="B5" s="3">
        <v>44203</v>
      </c>
      <c r="C5" s="4">
        <v>6173.9022259736203</v>
      </c>
      <c r="D5" s="4">
        <v>6218.0015275877204</v>
      </c>
      <c r="E5" s="4">
        <v>6094.5234830682402</v>
      </c>
      <c r="F5" s="4">
        <v>6143.03271484375</v>
      </c>
      <c r="G5" s="1">
        <v>71360000</v>
      </c>
      <c r="H5" s="2" t="str">
        <f t="shared" si="0"/>
        <v>Naik</v>
      </c>
      <c r="J5" s="13"/>
      <c r="K5" s="6" t="s">
        <v>15</v>
      </c>
      <c r="L5" s="6">
        <f>COUNTIF(mar_21,"Naik")</f>
        <v>8</v>
      </c>
      <c r="M5" s="6">
        <f>COUNTIF(mar_21,"Turun")</f>
        <v>14</v>
      </c>
      <c r="N5" s="6">
        <f>COUNTIF(mar_21,"Stabil")</f>
        <v>0</v>
      </c>
      <c r="P5" s="9" t="s">
        <v>15</v>
      </c>
      <c r="Q5" s="7" t="s">
        <v>10</v>
      </c>
      <c r="R5" s="7" t="s">
        <v>9</v>
      </c>
    </row>
    <row r="6" spans="1:18" x14ac:dyDescent="0.2">
      <c r="A6" s="1">
        <v>5</v>
      </c>
      <c r="B6" s="3">
        <v>44204</v>
      </c>
      <c r="C6" s="4">
        <v>6204.77216173537</v>
      </c>
      <c r="D6" s="4">
        <v>6244.46153590426</v>
      </c>
      <c r="E6" s="4">
        <v>6151.85299617686</v>
      </c>
      <c r="F6" s="4">
        <v>6218.001953125</v>
      </c>
      <c r="G6" s="1">
        <v>75033500</v>
      </c>
      <c r="H6" s="2" t="str">
        <f t="shared" si="0"/>
        <v>Naik</v>
      </c>
      <c r="J6" s="13"/>
      <c r="K6" s="6" t="s">
        <v>16</v>
      </c>
      <c r="L6" s="6">
        <f>COUNTIF(apr_21,"Naik")</f>
        <v>9</v>
      </c>
      <c r="M6" s="6">
        <f>COUNTIF(apr_21,"Turun")</f>
        <v>12</v>
      </c>
      <c r="N6" s="6">
        <f>COUNTIF(apr_21,"Stabil")</f>
        <v>0</v>
      </c>
      <c r="P6" s="9" t="s">
        <v>16</v>
      </c>
      <c r="Q6" s="7" t="s">
        <v>10</v>
      </c>
      <c r="R6" s="7" t="s">
        <v>10</v>
      </c>
    </row>
    <row r="7" spans="1:18" x14ac:dyDescent="0.2">
      <c r="A7" s="1">
        <v>6</v>
      </c>
      <c r="B7" s="3">
        <v>44207</v>
      </c>
      <c r="C7" s="4">
        <v>6306.1997459209097</v>
      </c>
      <c r="D7" s="4">
        <v>6491.4168013955104</v>
      </c>
      <c r="E7" s="4">
        <v>6301.7898160286604</v>
      </c>
      <c r="F7" s="4">
        <v>6478.18701171875</v>
      </c>
      <c r="G7" s="1">
        <v>169034500</v>
      </c>
      <c r="H7" s="2" t="str">
        <f t="shared" si="0"/>
        <v>Naik</v>
      </c>
      <c r="J7" s="13"/>
      <c r="K7" s="6" t="s">
        <v>17</v>
      </c>
      <c r="L7" s="6">
        <f>COUNTIF(mei_21,"Naik")</f>
        <v>9</v>
      </c>
      <c r="M7" s="6">
        <f>COUNTIF(mei_21,"Turun")</f>
        <v>7</v>
      </c>
      <c r="N7" s="6">
        <f>COUNTIF(mei_21,"Stabil")</f>
        <v>1</v>
      </c>
      <c r="P7" s="9" t="s">
        <v>17</v>
      </c>
      <c r="Q7" s="7" t="s">
        <v>9</v>
      </c>
      <c r="R7" s="10"/>
    </row>
    <row r="8" spans="1:18" x14ac:dyDescent="0.2">
      <c r="A8" s="1">
        <v>7</v>
      </c>
      <c r="B8" s="3">
        <v>44208</v>
      </c>
      <c r="C8" s="4">
        <v>6478.1869353395596</v>
      </c>
      <c r="D8" s="4">
        <v>6509.0564442213699</v>
      </c>
      <c r="E8" s="4">
        <v>6315.01953125</v>
      </c>
      <c r="F8" s="4">
        <v>6315.01953125</v>
      </c>
      <c r="G8" s="1">
        <v>95235000</v>
      </c>
      <c r="H8" s="2" t="str">
        <f t="shared" si="0"/>
        <v>Turun</v>
      </c>
      <c r="J8" s="13"/>
      <c r="K8" s="6" t="s">
        <v>18</v>
      </c>
      <c r="L8" s="6">
        <f>COUNTIF(jun_21,"Naik")</f>
        <v>6</v>
      </c>
      <c r="M8" s="6">
        <f>COUNTIF(jun_21,"Turun")</f>
        <v>15</v>
      </c>
      <c r="N8" s="6">
        <f>COUNTIF(jun_21,"Stabil")</f>
        <v>0</v>
      </c>
      <c r="P8" s="9" t="s">
        <v>18</v>
      </c>
      <c r="Q8" s="7" t="s">
        <v>10</v>
      </c>
      <c r="R8" s="7" t="s">
        <v>10</v>
      </c>
    </row>
    <row r="9" spans="1:18" x14ac:dyDescent="0.2">
      <c r="A9" s="1">
        <v>8</v>
      </c>
      <c r="B9" s="3">
        <v>44209</v>
      </c>
      <c r="C9" s="4">
        <v>6389.9894765789604</v>
      </c>
      <c r="D9" s="4">
        <v>6416.4490603329104</v>
      </c>
      <c r="E9" s="4">
        <v>6235.6419046809197</v>
      </c>
      <c r="F9" s="4">
        <v>6279.7412109375</v>
      </c>
      <c r="G9" s="1">
        <v>76581500</v>
      </c>
      <c r="H9" s="2" t="str">
        <f t="shared" si="0"/>
        <v>Turun</v>
      </c>
      <c r="J9" s="13"/>
      <c r="K9" s="6" t="s">
        <v>19</v>
      </c>
      <c r="L9" s="6">
        <f>COUNTIF(jul_21,"Naik")</f>
        <v>9</v>
      </c>
      <c r="M9" s="6">
        <f>COUNTIF(jul_21,"Turun")</f>
        <v>10</v>
      </c>
      <c r="N9" s="6">
        <f>COUNTIF(jul_21,"Stabil")</f>
        <v>2</v>
      </c>
      <c r="P9" s="9" t="s">
        <v>19</v>
      </c>
      <c r="Q9" s="7" t="s">
        <v>10</v>
      </c>
      <c r="R9" s="7" t="s">
        <v>9</v>
      </c>
    </row>
    <row r="10" spans="1:18" x14ac:dyDescent="0.2">
      <c r="A10" s="1">
        <v>9</v>
      </c>
      <c r="B10" s="3">
        <v>44210</v>
      </c>
      <c r="C10" s="4">
        <v>6218.0015733506898</v>
      </c>
      <c r="D10" s="4">
        <v>6253.2810149016204</v>
      </c>
      <c r="E10" s="4">
        <v>6169.4923412181697</v>
      </c>
      <c r="F10" s="4">
        <v>6191.5419921875</v>
      </c>
      <c r="G10" s="1">
        <v>89319500</v>
      </c>
      <c r="H10" s="2" t="str">
        <f t="shared" si="0"/>
        <v>Turun</v>
      </c>
      <c r="J10" s="13"/>
      <c r="K10" s="6" t="s">
        <v>20</v>
      </c>
      <c r="L10" s="6">
        <f>COUNTIF(agu_21,"Naik")</f>
        <v>9</v>
      </c>
      <c r="M10" s="6">
        <f>COUNTIF(agu_21,"Turun")</f>
        <v>7</v>
      </c>
      <c r="N10" s="6">
        <f>COUNTIF(agu_21,"Stabil")</f>
        <v>4</v>
      </c>
      <c r="P10" s="9" t="s">
        <v>20</v>
      </c>
      <c r="Q10" s="7" t="s">
        <v>9</v>
      </c>
      <c r="R10" s="7" t="s">
        <v>9</v>
      </c>
    </row>
    <row r="11" spans="1:18" x14ac:dyDescent="0.2">
      <c r="A11" s="1">
        <v>10</v>
      </c>
      <c r="B11" s="3">
        <v>44211</v>
      </c>
      <c r="C11" s="4">
        <v>6257.69043776117</v>
      </c>
      <c r="D11" s="4">
        <v>6262.1003675974998</v>
      </c>
      <c r="E11" s="4">
        <v>6032.7840161080203</v>
      </c>
      <c r="F11" s="4">
        <v>6134.21240234375</v>
      </c>
      <c r="G11" s="1">
        <v>89853500</v>
      </c>
      <c r="H11" s="2" t="str">
        <f t="shared" si="0"/>
        <v>Turun</v>
      </c>
      <c r="J11" s="13"/>
      <c r="K11" s="6" t="s">
        <v>21</v>
      </c>
      <c r="L11" s="6">
        <f>COUNTIF(sep_21,"Naik")</f>
        <v>12</v>
      </c>
      <c r="M11" s="6">
        <f>COUNTIF(sep_21,"Turun")</f>
        <v>10</v>
      </c>
      <c r="N11" s="6">
        <f>COUNTIF(sep_21,"Stabil")</f>
        <v>0</v>
      </c>
      <c r="P11" s="9" t="s">
        <v>21</v>
      </c>
      <c r="Q11" s="7" t="s">
        <v>9</v>
      </c>
      <c r="R11" s="7" t="s">
        <v>9</v>
      </c>
    </row>
    <row r="12" spans="1:18" x14ac:dyDescent="0.2">
      <c r="A12" s="1">
        <v>11</v>
      </c>
      <c r="B12" s="3">
        <v>44214</v>
      </c>
      <c r="C12" s="4">
        <v>6134.2135002907698</v>
      </c>
      <c r="D12" s="4">
        <v>6284.1511415631603</v>
      </c>
      <c r="E12" s="4">
        <v>6037.1950265262903</v>
      </c>
      <c r="F12" s="4">
        <v>6279.7412109375</v>
      </c>
      <c r="G12" s="1">
        <v>86343000</v>
      </c>
      <c r="H12" s="2" t="str">
        <f t="shared" si="0"/>
        <v>Naik</v>
      </c>
      <c r="J12" s="13"/>
      <c r="K12" s="6" t="s">
        <v>22</v>
      </c>
      <c r="L12" s="6">
        <f>COUNTIF(okt_21,"Naik")</f>
        <v>8</v>
      </c>
      <c r="M12" s="6">
        <f>COUNTIF(okt_21,"Turun")</f>
        <v>10</v>
      </c>
      <c r="N12" s="6">
        <f>COUNTIF(okt_21,"Stabil")</f>
        <v>2</v>
      </c>
      <c r="P12" s="9" t="s">
        <v>22</v>
      </c>
      <c r="Q12" s="7" t="s">
        <v>10</v>
      </c>
      <c r="R12" s="10"/>
    </row>
    <row r="13" spans="1:18" x14ac:dyDescent="0.2">
      <c r="A13" s="1">
        <v>12</v>
      </c>
      <c r="B13" s="3">
        <v>44215</v>
      </c>
      <c r="C13" s="4">
        <v>6279.7400788407303</v>
      </c>
      <c r="D13" s="4">
        <v>6279.7400788407303</v>
      </c>
      <c r="E13" s="4">
        <v>6178.3116927358597</v>
      </c>
      <c r="F13" s="4">
        <v>6257.6904296875</v>
      </c>
      <c r="G13" s="1">
        <v>73777000</v>
      </c>
      <c r="H13" s="2" t="str">
        <f t="shared" si="0"/>
        <v>Turun</v>
      </c>
      <c r="J13" s="13"/>
      <c r="K13" s="11" t="s">
        <v>23</v>
      </c>
      <c r="L13" s="11">
        <f>COUNTIF(nov_21,"Naik")</f>
        <v>10</v>
      </c>
      <c r="M13" s="11">
        <f>COUNTIF(nov_21,"Turun")</f>
        <v>10</v>
      </c>
      <c r="N13" s="11">
        <f>COUNTIF(nov_21,"Stabil")</f>
        <v>2</v>
      </c>
      <c r="P13" s="9" t="s">
        <v>23</v>
      </c>
      <c r="Q13" s="10"/>
      <c r="R13" s="7" t="s">
        <v>9</v>
      </c>
    </row>
    <row r="14" spans="1:18" x14ac:dyDescent="0.2">
      <c r="A14" s="1">
        <v>13</v>
      </c>
      <c r="B14" s="3">
        <v>44216</v>
      </c>
      <c r="C14" s="4">
        <v>6319.4294473165501</v>
      </c>
      <c r="D14" s="4">
        <v>6434.0876229133601</v>
      </c>
      <c r="E14" s="4">
        <v>6235.6407805342697</v>
      </c>
      <c r="F14" s="4">
        <v>6257.6904296875</v>
      </c>
      <c r="G14" s="1">
        <v>107216000</v>
      </c>
      <c r="H14" s="2" t="str">
        <f t="shared" si="0"/>
        <v>Stabil</v>
      </c>
      <c r="J14" s="14"/>
      <c r="K14" s="6" t="s">
        <v>24</v>
      </c>
      <c r="L14" s="6">
        <f>COUNTIF(des_21,"Naik")</f>
        <v>6</v>
      </c>
      <c r="M14" s="6">
        <f>COUNTIF(des_21,"Turun")</f>
        <v>9</v>
      </c>
      <c r="N14" s="6">
        <f>COUNTIF(des_21,"Stabil")</f>
        <v>7</v>
      </c>
      <c r="P14" s="9" t="s">
        <v>24</v>
      </c>
      <c r="Q14" s="7" t="s">
        <v>10</v>
      </c>
      <c r="R14" s="7" t="s">
        <v>10</v>
      </c>
    </row>
    <row r="15" spans="1:18" x14ac:dyDescent="0.2">
      <c r="A15" s="1">
        <v>14</v>
      </c>
      <c r="B15" s="3">
        <v>44217</v>
      </c>
      <c r="C15" s="4">
        <v>6420.8589112190803</v>
      </c>
      <c r="D15" s="4">
        <v>6438.4986335026497</v>
      </c>
      <c r="E15" s="4">
        <v>6226.8219660998202</v>
      </c>
      <c r="F15" s="4">
        <v>6240.0517578125</v>
      </c>
      <c r="G15" s="1">
        <v>66428000</v>
      </c>
      <c r="H15" s="2" t="str">
        <f>IF(F15&gt;F14,"Naik",IF(F15&lt;F14,"Turun","Stabil"))</f>
        <v>Turun</v>
      </c>
      <c r="J15" s="12">
        <v>2022</v>
      </c>
      <c r="K15" s="6" t="s">
        <v>13</v>
      </c>
      <c r="L15" s="6">
        <f>COUNTIF(jan_22,"Naik")</f>
        <v>10</v>
      </c>
      <c r="M15" s="6">
        <f>COUNTIF(jan_22,"Turun")</f>
        <v>8</v>
      </c>
      <c r="N15" s="6">
        <f>COUNTIF(jan_22,"Stabil")</f>
        <v>3</v>
      </c>
    </row>
    <row r="16" spans="1:18" x14ac:dyDescent="0.2">
      <c r="A16" s="1">
        <v>15</v>
      </c>
      <c r="B16" s="3">
        <v>44218</v>
      </c>
      <c r="C16" s="4">
        <v>6240.0519833322296</v>
      </c>
      <c r="D16" s="4">
        <v>6315.0208057468199</v>
      </c>
      <c r="E16" s="4">
        <v>6240.0519833322296</v>
      </c>
      <c r="F16" s="4">
        <v>6244.4619140625</v>
      </c>
      <c r="G16" s="1">
        <v>80829000</v>
      </c>
      <c r="H16" s="2" t="str">
        <f t="shared" si="0"/>
        <v>Naik</v>
      </c>
      <c r="J16" s="13"/>
      <c r="K16" s="6" t="s">
        <v>14</v>
      </c>
      <c r="L16" s="6">
        <f>COUNTIF(feb_22,"Naik")</f>
        <v>10</v>
      </c>
      <c r="M16" s="6">
        <f>COUNTIF(feb_22,"Turun")</f>
        <v>7</v>
      </c>
      <c r="N16" s="6">
        <f>COUNTIF(feb_22,"Stabil")</f>
        <v>1</v>
      </c>
    </row>
    <row r="17" spans="1:14" x14ac:dyDescent="0.2">
      <c r="A17" s="1">
        <v>16</v>
      </c>
      <c r="B17" s="3">
        <v>44221</v>
      </c>
      <c r="C17" s="4">
        <v>6350.2996735074603</v>
      </c>
      <c r="D17" s="4">
        <v>6350.2996735074603</v>
      </c>
      <c r="E17" s="4">
        <v>6173.9024603544804</v>
      </c>
      <c r="F17" s="4">
        <v>6204.77197265625</v>
      </c>
      <c r="G17" s="1">
        <v>76836500</v>
      </c>
      <c r="H17" s="2" t="str">
        <f t="shared" si="0"/>
        <v>Turun</v>
      </c>
      <c r="J17" s="13"/>
      <c r="K17" s="6" t="s">
        <v>15</v>
      </c>
      <c r="L17" s="6">
        <f>COUNTIF(mar_22,"Naik")</f>
        <v>12</v>
      </c>
      <c r="M17" s="6">
        <f>COUNTIF(mar_22,"Turun")</f>
        <v>8</v>
      </c>
      <c r="N17" s="6">
        <f>COUNTIF(mar_22,"Stabil")</f>
        <v>2</v>
      </c>
    </row>
    <row r="18" spans="1:14" x14ac:dyDescent="0.2">
      <c r="A18" s="1">
        <v>17</v>
      </c>
      <c r="B18" s="3">
        <v>44222</v>
      </c>
      <c r="C18" s="4">
        <v>6134.2126414726899</v>
      </c>
      <c r="D18" s="4">
        <v>6173.9020115469202</v>
      </c>
      <c r="E18" s="4">
        <v>6015.14453125</v>
      </c>
      <c r="F18" s="4">
        <v>6015.14453125</v>
      </c>
      <c r="G18" s="1">
        <v>98658000</v>
      </c>
      <c r="H18" s="2" t="str">
        <f t="shared" si="0"/>
        <v>Turun</v>
      </c>
      <c r="J18" s="13"/>
      <c r="K18" s="6" t="s">
        <v>16</v>
      </c>
      <c r="L18" s="6">
        <f>COUNTIF(apr_22,"Naik")</f>
        <v>7</v>
      </c>
      <c r="M18" s="6">
        <f>COUNTIF(apr_22,"Turun")</f>
        <v>8</v>
      </c>
      <c r="N18" s="6">
        <f>COUNTIF(apr_22,"Stabil")</f>
        <v>4</v>
      </c>
    </row>
    <row r="19" spans="1:14" x14ac:dyDescent="0.2">
      <c r="A19" s="1">
        <v>18</v>
      </c>
      <c r="B19" s="3">
        <v>44223</v>
      </c>
      <c r="C19" s="4">
        <v>6015.1446391177296</v>
      </c>
      <c r="D19" s="4">
        <v>6112.1631010389801</v>
      </c>
      <c r="E19" s="4">
        <v>5913.7162471091397</v>
      </c>
      <c r="F19" s="4">
        <v>5988.68505859375</v>
      </c>
      <c r="G19" s="1">
        <v>97920000</v>
      </c>
      <c r="H19" s="2" t="str">
        <f t="shared" si="0"/>
        <v>Turun</v>
      </c>
      <c r="J19" s="13"/>
      <c r="K19" s="11" t="s">
        <v>17</v>
      </c>
      <c r="L19" s="11">
        <f>COUNTIF(mei_22,"Naik")</f>
        <v>7</v>
      </c>
      <c r="M19" s="11">
        <f>COUNTIF(mei_22,"Turun")</f>
        <v>7</v>
      </c>
      <c r="N19" s="11">
        <f>COUNTIF(mei_22,"Stabil")</f>
        <v>1</v>
      </c>
    </row>
    <row r="20" spans="1:14" x14ac:dyDescent="0.2">
      <c r="A20" s="1">
        <v>19</v>
      </c>
      <c r="B20" s="3">
        <v>44224</v>
      </c>
      <c r="C20" s="4">
        <v>5988.6856303781697</v>
      </c>
      <c r="D20" s="4">
        <v>6107.7537541043903</v>
      </c>
      <c r="E20" s="4">
        <v>5988.6856303781697</v>
      </c>
      <c r="F20" s="4">
        <v>6085.7041015625</v>
      </c>
      <c r="G20" s="1">
        <v>104627000</v>
      </c>
      <c r="H20" s="2" t="str">
        <f t="shared" si="0"/>
        <v>Naik</v>
      </c>
      <c r="J20" s="13"/>
      <c r="K20" s="6" t="s">
        <v>18</v>
      </c>
      <c r="L20" s="6">
        <f>COUNTIF(jun_22,"Naik")</f>
        <v>7</v>
      </c>
      <c r="M20" s="6">
        <f>COUNTIF(jun_22,"Turun")</f>
        <v>13</v>
      </c>
      <c r="N20" s="6">
        <f>COUNTIF(jun_22,"Stabil")</f>
        <v>1</v>
      </c>
    </row>
    <row r="21" spans="1:14" x14ac:dyDescent="0.2">
      <c r="A21" s="1">
        <v>20</v>
      </c>
      <c r="B21" s="3">
        <v>44225</v>
      </c>
      <c r="C21" s="4">
        <v>6085.7036306166801</v>
      </c>
      <c r="D21" s="4">
        <v>6173.9022339589501</v>
      </c>
      <c r="E21" s="4">
        <v>5962.2255859375</v>
      </c>
      <c r="F21" s="4">
        <v>5962.2255859375</v>
      </c>
      <c r="G21" s="1">
        <v>132762500</v>
      </c>
      <c r="H21" s="2" t="str">
        <f t="shared" si="0"/>
        <v>Turun</v>
      </c>
      <c r="J21" s="13"/>
      <c r="K21" s="6" t="s">
        <v>19</v>
      </c>
      <c r="L21" s="6">
        <f>COUNTIF(jul_22,"Naik")</f>
        <v>10</v>
      </c>
      <c r="M21" s="6">
        <f>COUNTIF(jul_22,"Turun")</f>
        <v>7</v>
      </c>
      <c r="N21" s="6">
        <f>COUNTIF(jul_22,"Stabil")</f>
        <v>4</v>
      </c>
    </row>
    <row r="22" spans="1:14" x14ac:dyDescent="0.2">
      <c r="A22" s="1">
        <v>21</v>
      </c>
      <c r="B22" s="3">
        <v>44228</v>
      </c>
      <c r="C22" s="4">
        <v>5962.2253711510302</v>
      </c>
      <c r="D22" s="4">
        <v>6103.3431314149602</v>
      </c>
      <c r="E22" s="4">
        <v>5816.6976808788504</v>
      </c>
      <c r="F22" s="4">
        <v>6015.14453125</v>
      </c>
      <c r="G22" s="1">
        <v>113129000</v>
      </c>
      <c r="H22" s="2" t="str">
        <f>IF(F22&gt;F21,"Naik",IF(F22&lt;F21,"Turun","Stabil"))</f>
        <v>Naik</v>
      </c>
      <c r="J22" s="13"/>
      <c r="K22" s="11" t="s">
        <v>22</v>
      </c>
      <c r="L22" s="11">
        <f>COUNTIF(okt_22,"Naik")</f>
        <v>10</v>
      </c>
      <c r="M22" s="11">
        <f>COUNTIF(okt_22,"Turun")</f>
        <v>10</v>
      </c>
      <c r="N22" s="11">
        <f>COUNTIF(okt_22,"Stabil")</f>
        <v>1</v>
      </c>
    </row>
    <row r="23" spans="1:14" x14ac:dyDescent="0.2">
      <c r="A23" s="1">
        <v>22</v>
      </c>
      <c r="B23" s="3">
        <v>44229</v>
      </c>
      <c r="C23" s="4">
        <v>6143.0335750804197</v>
      </c>
      <c r="D23" s="4">
        <v>6156.2633674172803</v>
      </c>
      <c r="E23" s="4">
        <v>5997.505859375</v>
      </c>
      <c r="F23" s="4">
        <v>5997.505859375</v>
      </c>
      <c r="G23" s="1">
        <v>86741000</v>
      </c>
      <c r="H23" s="2" t="str">
        <f t="shared" si="0"/>
        <v>Turun</v>
      </c>
      <c r="J23" s="13"/>
      <c r="K23" s="6" t="s">
        <v>23</v>
      </c>
      <c r="L23" s="6">
        <f>COUNTIF(nov_22,"Naik")</f>
        <v>11</v>
      </c>
      <c r="M23" s="6">
        <f>COUNTIF(nov_22,"Turun")</f>
        <v>10</v>
      </c>
      <c r="N23" s="6">
        <f>COUNTIF(nov_22,"Stabil")</f>
        <v>1</v>
      </c>
    </row>
    <row r="24" spans="1:14" x14ac:dyDescent="0.2">
      <c r="A24" s="1">
        <v>23</v>
      </c>
      <c r="B24" s="3">
        <v>44230</v>
      </c>
      <c r="C24" s="4">
        <v>6173.9022435897396</v>
      </c>
      <c r="D24" s="4">
        <v>6173.9022435897396</v>
      </c>
      <c r="E24" s="4">
        <v>6019.5546875</v>
      </c>
      <c r="F24" s="4">
        <v>6019.5546875</v>
      </c>
      <c r="G24" s="1">
        <v>67291000</v>
      </c>
      <c r="H24" s="2" t="str">
        <f t="shared" si="0"/>
        <v>Naik</v>
      </c>
      <c r="J24" s="14"/>
      <c r="K24" s="6" t="s">
        <v>24</v>
      </c>
      <c r="L24" s="6">
        <f>COUNTIF(des_22,"Naik")</f>
        <v>9</v>
      </c>
      <c r="M24" s="6">
        <f>COUNTIF(des_22,"Turun")</f>
        <v>12</v>
      </c>
      <c r="N24" s="6">
        <f>COUNTIF(des_22,"Stabil")</f>
        <v>1</v>
      </c>
    </row>
    <row r="25" spans="1:14" x14ac:dyDescent="0.2">
      <c r="A25" s="1">
        <v>24</v>
      </c>
      <c r="B25" s="3">
        <v>44231</v>
      </c>
      <c r="C25" s="4">
        <v>6103.3427584792098</v>
      </c>
      <c r="D25" s="4">
        <v>6173.9016342997802</v>
      </c>
      <c r="E25" s="4">
        <v>6028.3739529198601</v>
      </c>
      <c r="F25" s="4">
        <v>6046.013671875</v>
      </c>
      <c r="G25" s="1">
        <v>80950500</v>
      </c>
      <c r="H25" s="2" t="str">
        <f t="shared" si="0"/>
        <v>Naik</v>
      </c>
    </row>
    <row r="26" spans="1:14" x14ac:dyDescent="0.2">
      <c r="A26" s="1">
        <v>25</v>
      </c>
      <c r="B26" s="3">
        <v>44232</v>
      </c>
      <c r="C26" s="4">
        <v>6059.2442211225598</v>
      </c>
      <c r="D26" s="4">
        <v>6129.8031057935696</v>
      </c>
      <c r="E26" s="4">
        <v>6046.0144302467497</v>
      </c>
      <c r="F26" s="4">
        <v>6098.93359375</v>
      </c>
      <c r="G26" s="1">
        <v>51602000</v>
      </c>
      <c r="H26" s="2" t="str">
        <f t="shared" si="0"/>
        <v>Naik</v>
      </c>
      <c r="J26" s="1" t="s">
        <v>9</v>
      </c>
      <c r="K26" s="1">
        <f>COUNTIF(H$2:H$1206,"Naik")</f>
        <v>530</v>
      </c>
    </row>
    <row r="27" spans="1:14" x14ac:dyDescent="0.2">
      <c r="A27" s="1">
        <v>26</v>
      </c>
      <c r="B27" s="3">
        <v>44235</v>
      </c>
      <c r="C27" s="4">
        <v>6218.0014443810996</v>
      </c>
      <c r="D27" s="4">
        <v>6222.4113744835004</v>
      </c>
      <c r="E27" s="4">
        <v>6068.0638208995697</v>
      </c>
      <c r="F27" s="4">
        <v>6103.34326171875</v>
      </c>
      <c r="G27" s="1">
        <v>45604000</v>
      </c>
      <c r="H27" s="2" t="str">
        <f t="shared" si="0"/>
        <v>Naik</v>
      </c>
      <c r="J27" s="1" t="s">
        <v>10</v>
      </c>
      <c r="K27" s="1">
        <f>COUNTIF(H$2:H$1206,"Turun")</f>
        <v>554</v>
      </c>
    </row>
    <row r="28" spans="1:14" x14ac:dyDescent="0.2">
      <c r="A28" s="1">
        <v>27</v>
      </c>
      <c r="B28" s="3">
        <v>44236</v>
      </c>
      <c r="C28" s="4">
        <v>6173.9033958631799</v>
      </c>
      <c r="D28" s="4">
        <v>6200.3629818454501</v>
      </c>
      <c r="E28" s="4">
        <v>6134.2140168897704</v>
      </c>
      <c r="F28" s="4">
        <v>6156.263671875</v>
      </c>
      <c r="G28" s="1">
        <v>75574000</v>
      </c>
      <c r="H28" s="2" t="str">
        <f t="shared" si="0"/>
        <v>Naik</v>
      </c>
      <c r="J28" s="1" t="s">
        <v>11</v>
      </c>
      <c r="K28" s="1">
        <f>COUNTIF(H$2:H$1206,"Stabil")</f>
        <v>120</v>
      </c>
    </row>
    <row r="29" spans="1:14" x14ac:dyDescent="0.2">
      <c r="A29" s="1">
        <v>28</v>
      </c>
      <c r="B29" s="3">
        <v>44237</v>
      </c>
      <c r="C29" s="4">
        <v>6218.0014443810996</v>
      </c>
      <c r="D29" s="4">
        <v>6218.0014443810996</v>
      </c>
      <c r="E29" s="4">
        <v>6085.7035413091598</v>
      </c>
      <c r="F29" s="4">
        <v>6103.34326171875</v>
      </c>
      <c r="G29" s="1">
        <v>44984500</v>
      </c>
      <c r="H29" s="2" t="str">
        <f t="shared" si="0"/>
        <v>Turun</v>
      </c>
      <c r="K29" s="1">
        <f>SUM(K26:K28)</f>
        <v>1204</v>
      </c>
    </row>
    <row r="30" spans="1:14" x14ac:dyDescent="0.2">
      <c r="A30" s="1">
        <v>29</v>
      </c>
      <c r="B30" s="3">
        <v>44238</v>
      </c>
      <c r="C30" s="4">
        <v>6160.6729949241499</v>
      </c>
      <c r="D30" s="4">
        <v>6160.6729949241499</v>
      </c>
      <c r="E30" s="4">
        <v>6032.7850086300896</v>
      </c>
      <c r="F30" s="4">
        <v>6068.064453125</v>
      </c>
      <c r="G30" s="1">
        <v>36926000</v>
      </c>
      <c r="H30" s="2" t="str">
        <f t="shared" si="0"/>
        <v>Turun</v>
      </c>
    </row>
    <row r="31" spans="1:14" x14ac:dyDescent="0.2">
      <c r="A31" s="1">
        <v>30</v>
      </c>
      <c r="B31" s="3">
        <v>44242</v>
      </c>
      <c r="C31" s="4">
        <v>6023.9654440487102</v>
      </c>
      <c r="D31" s="4">
        <v>6076.8846133961397</v>
      </c>
      <c r="E31" s="4">
        <v>5926.9469669117598</v>
      </c>
      <c r="F31" s="4">
        <v>5997.505859375</v>
      </c>
      <c r="G31" s="1">
        <v>83922000</v>
      </c>
      <c r="H31" s="2" t="str">
        <f t="shared" si="0"/>
        <v>Turun</v>
      </c>
    </row>
    <row r="32" spans="1:14" x14ac:dyDescent="0.2">
      <c r="A32" s="1">
        <v>31</v>
      </c>
      <c r="B32" s="3">
        <v>44243</v>
      </c>
      <c r="C32" s="4">
        <v>6068.0642336095098</v>
      </c>
      <c r="D32" s="4">
        <v>6125.3933288398302</v>
      </c>
      <c r="E32" s="4">
        <v>6023.96492958619</v>
      </c>
      <c r="F32" s="4">
        <v>6120.9833984375</v>
      </c>
      <c r="G32" s="1">
        <v>47221000</v>
      </c>
      <c r="H32" s="2" t="str">
        <f t="shared" si="0"/>
        <v>Naik</v>
      </c>
    </row>
    <row r="33" spans="1:8" x14ac:dyDescent="0.2">
      <c r="A33" s="1">
        <v>32</v>
      </c>
      <c r="B33" s="3">
        <v>44244</v>
      </c>
      <c r="C33" s="4">
        <v>6076.8842405457399</v>
      </c>
      <c r="D33" s="4">
        <v>6138.6232676630398</v>
      </c>
      <c r="E33" s="4">
        <v>6041.6047964787103</v>
      </c>
      <c r="F33" s="4">
        <v>6085.7041015625</v>
      </c>
      <c r="G33" s="1">
        <v>66011500</v>
      </c>
      <c r="H33" s="2" t="str">
        <f t="shared" si="0"/>
        <v>Turun</v>
      </c>
    </row>
    <row r="34" spans="1:8" x14ac:dyDescent="0.2">
      <c r="A34" s="1">
        <v>33</v>
      </c>
      <c r="B34" s="3">
        <v>44245</v>
      </c>
      <c r="C34" s="4">
        <v>6041.6046690852399</v>
      </c>
      <c r="D34" s="4">
        <v>6085.7039732391404</v>
      </c>
      <c r="E34" s="4">
        <v>5940.17626953125</v>
      </c>
      <c r="F34" s="4">
        <v>5940.17626953125</v>
      </c>
      <c r="G34" s="1">
        <v>91204000</v>
      </c>
      <c r="H34" s="2" t="str">
        <f t="shared" si="0"/>
        <v>Turun</v>
      </c>
    </row>
    <row r="35" spans="1:8" x14ac:dyDescent="0.2">
      <c r="A35" s="1">
        <v>34</v>
      </c>
      <c r="B35" s="3">
        <v>44246</v>
      </c>
      <c r="C35" s="4">
        <v>5979.8653159340702</v>
      </c>
      <c r="D35" s="4">
        <v>6041.6043383699598</v>
      </c>
      <c r="E35" s="4">
        <v>5962.2255952381001</v>
      </c>
      <c r="F35" s="4">
        <v>6019.5546875</v>
      </c>
      <c r="G35" s="1">
        <v>70487500</v>
      </c>
      <c r="H35" s="2" t="str">
        <f t="shared" si="0"/>
        <v>Naik</v>
      </c>
    </row>
    <row r="36" spans="1:8" x14ac:dyDescent="0.2">
      <c r="A36" s="1">
        <v>35</v>
      </c>
      <c r="B36" s="3">
        <v>44249</v>
      </c>
      <c r="C36" s="4">
        <v>6085.7035205149996</v>
      </c>
      <c r="D36" s="4">
        <v>6120.98296121364</v>
      </c>
      <c r="E36" s="4">
        <v>5988.68505859375</v>
      </c>
      <c r="F36" s="4">
        <v>5988.68505859375</v>
      </c>
      <c r="G36" s="1">
        <v>68913000</v>
      </c>
      <c r="H36" s="2" t="str">
        <f t="shared" si="0"/>
        <v>Turun</v>
      </c>
    </row>
    <row r="37" spans="1:8" x14ac:dyDescent="0.2">
      <c r="A37" s="1">
        <v>36</v>
      </c>
      <c r="B37" s="3">
        <v>44250</v>
      </c>
      <c r="C37" s="4">
        <v>6015.1447573260102</v>
      </c>
      <c r="D37" s="4">
        <v>6037.19440819597</v>
      </c>
      <c r="E37" s="4">
        <v>5975.4553857600704</v>
      </c>
      <c r="F37" s="4">
        <v>6019.5546875</v>
      </c>
      <c r="G37" s="1">
        <v>58360000</v>
      </c>
      <c r="H37" s="2" t="str">
        <f t="shared" si="0"/>
        <v>Naik</v>
      </c>
    </row>
    <row r="38" spans="1:8" x14ac:dyDescent="0.2">
      <c r="A38" s="1">
        <v>37</v>
      </c>
      <c r="B38" s="3">
        <v>44251</v>
      </c>
      <c r="C38" s="4">
        <v>6019.55406308086</v>
      </c>
      <c r="D38" s="4">
        <v>6028.3739225139398</v>
      </c>
      <c r="E38" s="4">
        <v>5931.35546875</v>
      </c>
      <c r="F38" s="4">
        <v>5931.35546875</v>
      </c>
      <c r="G38" s="1">
        <v>71869000</v>
      </c>
      <c r="H38" s="2" t="str">
        <f t="shared" si="0"/>
        <v>Turun</v>
      </c>
    </row>
    <row r="39" spans="1:8" x14ac:dyDescent="0.2">
      <c r="A39" s="1">
        <v>38</v>
      </c>
      <c r="B39" s="3">
        <v>44252</v>
      </c>
      <c r="C39" s="4">
        <v>5944.5858195260098</v>
      </c>
      <c r="D39" s="4">
        <v>5971.0454003250798</v>
      </c>
      <c r="E39" s="4">
        <v>5891.6666579278499</v>
      </c>
      <c r="F39" s="4">
        <v>5913.71630859375</v>
      </c>
      <c r="G39" s="1">
        <v>78688000</v>
      </c>
      <c r="H39" s="2" t="str">
        <f t="shared" si="0"/>
        <v>Turun</v>
      </c>
    </row>
    <row r="40" spans="1:8" x14ac:dyDescent="0.2">
      <c r="A40" s="1">
        <v>39</v>
      </c>
      <c r="B40" s="3">
        <v>44253</v>
      </c>
      <c r="C40" s="4">
        <v>5913.7165345420799</v>
      </c>
      <c r="D40" s="4">
        <v>6006.3250708771902</v>
      </c>
      <c r="E40" s="4">
        <v>5860.7973709220196</v>
      </c>
      <c r="F40" s="4">
        <v>5918.12646484375</v>
      </c>
      <c r="G40" s="1">
        <v>173631500</v>
      </c>
      <c r="H40" s="2" t="str">
        <f t="shared" si="0"/>
        <v>Naik</v>
      </c>
    </row>
    <row r="41" spans="1:8" x14ac:dyDescent="0.2">
      <c r="A41" s="1">
        <v>40</v>
      </c>
      <c r="B41" s="3">
        <v>44256</v>
      </c>
      <c r="C41" s="4">
        <v>6023.9643204677504</v>
      </c>
      <c r="D41" s="4">
        <v>6213.59130859375</v>
      </c>
      <c r="E41" s="4">
        <v>5997.5047407292404</v>
      </c>
      <c r="F41" s="4">
        <v>6213.59130859375</v>
      </c>
      <c r="G41" s="1">
        <v>205539000</v>
      </c>
      <c r="H41" s="2" t="str">
        <f>IF(F41&gt;F40,"Naik",IF(F41&lt;F40,"Turun","Stabil"))</f>
        <v>Naik</v>
      </c>
    </row>
    <row r="42" spans="1:8" x14ac:dyDescent="0.2">
      <c r="A42" s="1">
        <v>41</v>
      </c>
      <c r="B42" s="3">
        <v>44257</v>
      </c>
      <c r="C42" s="4">
        <v>6279.7413578046999</v>
      </c>
      <c r="D42" s="4">
        <v>6315.0208036350696</v>
      </c>
      <c r="E42" s="4">
        <v>6173.9030203136099</v>
      </c>
      <c r="F42" s="4">
        <v>6187.1328125</v>
      </c>
      <c r="G42" s="1">
        <v>81446500</v>
      </c>
      <c r="H42" s="2" t="str">
        <f t="shared" si="0"/>
        <v>Turun</v>
      </c>
    </row>
    <row r="43" spans="1:8" x14ac:dyDescent="0.2">
      <c r="A43" s="1">
        <v>42</v>
      </c>
      <c r="B43" s="3">
        <v>44258</v>
      </c>
      <c r="C43" s="4">
        <v>6231.2319297572603</v>
      </c>
      <c r="D43" s="4">
        <v>6248.8716521344904</v>
      </c>
      <c r="E43" s="4">
        <v>6173.90283203125</v>
      </c>
      <c r="F43" s="4">
        <v>6173.90283203125</v>
      </c>
      <c r="G43" s="1">
        <v>84470000</v>
      </c>
      <c r="H43" s="2" t="str">
        <f t="shared" si="0"/>
        <v>Turun</v>
      </c>
    </row>
    <row r="44" spans="1:8" x14ac:dyDescent="0.2">
      <c r="A44" s="1">
        <v>43</v>
      </c>
      <c r="B44" s="3">
        <v>44259</v>
      </c>
      <c r="C44" s="4">
        <v>6090.1127057756703</v>
      </c>
      <c r="D44" s="4">
        <v>6173.9013671875</v>
      </c>
      <c r="E44" s="4">
        <v>5926.9453125</v>
      </c>
      <c r="F44" s="4">
        <v>5926.9453125</v>
      </c>
      <c r="G44" s="1">
        <v>120802500</v>
      </c>
      <c r="H44" s="2" t="str">
        <f t="shared" si="0"/>
        <v>Turun</v>
      </c>
    </row>
    <row r="45" spans="1:8" x14ac:dyDescent="0.2">
      <c r="A45" s="1">
        <v>44</v>
      </c>
      <c r="B45" s="3">
        <v>44260</v>
      </c>
      <c r="C45" s="4">
        <v>5926.9469669117598</v>
      </c>
      <c r="D45" s="4">
        <v>6107.7541288488101</v>
      </c>
      <c r="E45" s="4">
        <v>5926.9469669117598</v>
      </c>
      <c r="F45" s="4">
        <v>5997.505859375</v>
      </c>
      <c r="G45" s="1">
        <v>111871500</v>
      </c>
      <c r="H45" s="2" t="str">
        <f t="shared" si="0"/>
        <v>Naik</v>
      </c>
    </row>
    <row r="46" spans="1:8" x14ac:dyDescent="0.2">
      <c r="A46" s="1">
        <v>45</v>
      </c>
      <c r="B46" s="3">
        <v>44263</v>
      </c>
      <c r="C46" s="4">
        <v>6129.8020717075897</v>
      </c>
      <c r="D46" s="4">
        <v>6129.8020717075897</v>
      </c>
      <c r="E46" s="4">
        <v>5926.9453125</v>
      </c>
      <c r="F46" s="4">
        <v>5926.9453125</v>
      </c>
      <c r="G46" s="1">
        <v>90883000</v>
      </c>
      <c r="H46" s="2" t="str">
        <f t="shared" si="0"/>
        <v>Turun</v>
      </c>
    </row>
    <row r="47" spans="1:8" x14ac:dyDescent="0.2">
      <c r="A47" s="1">
        <v>46</v>
      </c>
      <c r="B47" s="3">
        <v>44264</v>
      </c>
      <c r="C47" s="4">
        <v>5909.3067441213998</v>
      </c>
      <c r="D47" s="4">
        <v>5922.53653533959</v>
      </c>
      <c r="E47" s="4">
        <v>5821.1081360001899</v>
      </c>
      <c r="F47" s="4">
        <v>5825.51806640625</v>
      </c>
      <c r="G47" s="1">
        <v>135582000</v>
      </c>
      <c r="H47" s="2" t="str">
        <f t="shared" si="0"/>
        <v>Turun</v>
      </c>
    </row>
    <row r="48" spans="1:8" x14ac:dyDescent="0.2">
      <c r="A48" s="1">
        <v>47</v>
      </c>
      <c r="B48" s="3">
        <v>44265</v>
      </c>
      <c r="C48" s="4">
        <v>5926.9460989932904</v>
      </c>
      <c r="D48" s="4">
        <v>5926.9460989932904</v>
      </c>
      <c r="E48" s="4">
        <v>5838.7474963297</v>
      </c>
      <c r="F48" s="4">
        <v>5913.71630859375</v>
      </c>
      <c r="G48" s="1">
        <v>50302000</v>
      </c>
      <c r="H48" s="2" t="str">
        <f t="shared" si="0"/>
        <v>Naik</v>
      </c>
    </row>
    <row r="49" spans="1:8" x14ac:dyDescent="0.2">
      <c r="A49" s="1">
        <v>48</v>
      </c>
      <c r="B49" s="3">
        <v>44267</v>
      </c>
      <c r="C49" s="4">
        <v>6063.6547057609296</v>
      </c>
      <c r="D49" s="4">
        <v>6068.0646364560198</v>
      </c>
      <c r="E49" s="4">
        <v>5922.5369235177604</v>
      </c>
      <c r="F49" s="4">
        <v>5966.63623046875</v>
      </c>
      <c r="G49" s="1">
        <v>74328000</v>
      </c>
      <c r="H49" s="2" t="str">
        <f t="shared" si="0"/>
        <v>Naik</v>
      </c>
    </row>
    <row r="50" spans="1:8" x14ac:dyDescent="0.2">
      <c r="A50" s="1">
        <v>49</v>
      </c>
      <c r="B50" s="3">
        <v>44270</v>
      </c>
      <c r="C50" s="4">
        <v>6010.7349189592296</v>
      </c>
      <c r="D50" s="4">
        <v>6015.1448492005802</v>
      </c>
      <c r="E50" s="4">
        <v>5878.43701171875</v>
      </c>
      <c r="F50" s="4">
        <v>5878.43701171875</v>
      </c>
      <c r="G50" s="1">
        <v>57416000</v>
      </c>
      <c r="H50" s="2" t="str">
        <f t="shared" si="0"/>
        <v>Turun</v>
      </c>
    </row>
    <row r="51" spans="1:8" x14ac:dyDescent="0.2">
      <c r="A51" s="1">
        <v>50</v>
      </c>
      <c r="B51" s="3">
        <v>44271</v>
      </c>
      <c r="C51" s="4">
        <v>5918.1260362617904</v>
      </c>
      <c r="D51" s="4">
        <v>5918.1260362617904</v>
      </c>
      <c r="E51" s="4">
        <v>5838.7472965801899</v>
      </c>
      <c r="F51" s="4">
        <v>5843.1572265625</v>
      </c>
      <c r="G51" s="1">
        <v>70755500</v>
      </c>
      <c r="H51" s="2" t="str">
        <f t="shared" si="0"/>
        <v>Turun</v>
      </c>
    </row>
    <row r="52" spans="1:8" x14ac:dyDescent="0.2">
      <c r="A52" s="1">
        <v>51</v>
      </c>
      <c r="B52" s="3">
        <v>44272</v>
      </c>
      <c r="C52" s="4">
        <v>5865.2076672714202</v>
      </c>
      <c r="D52" s="4">
        <v>5878.4374590020998</v>
      </c>
      <c r="E52" s="4">
        <v>5825.5182920793504</v>
      </c>
      <c r="F52" s="4">
        <v>5829.92822265625</v>
      </c>
      <c r="G52" s="1">
        <v>71474500</v>
      </c>
      <c r="H52" s="2" t="str">
        <f t="shared" si="0"/>
        <v>Turun</v>
      </c>
    </row>
    <row r="53" spans="1:8" x14ac:dyDescent="0.2">
      <c r="A53" s="1">
        <v>52</v>
      </c>
      <c r="B53" s="3">
        <v>44273</v>
      </c>
      <c r="C53" s="4">
        <v>5838.7474963297</v>
      </c>
      <c r="D53" s="4">
        <v>5926.9460989932904</v>
      </c>
      <c r="E53" s="4">
        <v>5829.9276360633403</v>
      </c>
      <c r="F53" s="4">
        <v>5913.71630859375</v>
      </c>
      <c r="G53" s="1">
        <v>70067500</v>
      </c>
      <c r="H53" s="2" t="str">
        <f t="shared" si="0"/>
        <v>Naik</v>
      </c>
    </row>
    <row r="54" spans="1:8" x14ac:dyDescent="0.2">
      <c r="A54" s="1">
        <v>53</v>
      </c>
      <c r="B54" s="3">
        <v>44274</v>
      </c>
      <c r="C54" s="4">
        <v>5971.0454462717298</v>
      </c>
      <c r="D54" s="4">
        <v>5971.0454462717298</v>
      </c>
      <c r="E54" s="4">
        <v>5843.1574714254402</v>
      </c>
      <c r="F54" s="4">
        <v>5962.2255859375</v>
      </c>
      <c r="G54" s="1">
        <v>125853000</v>
      </c>
      <c r="H54" s="2" t="str">
        <f t="shared" si="0"/>
        <v>Naik</v>
      </c>
    </row>
    <row r="55" spans="1:8" x14ac:dyDescent="0.2">
      <c r="A55" s="1">
        <v>54</v>
      </c>
      <c r="B55" s="3">
        <v>44277</v>
      </c>
      <c r="C55" s="4">
        <v>5856.3867895581598</v>
      </c>
      <c r="D55" s="4">
        <v>5891.6662280494702</v>
      </c>
      <c r="E55" s="4">
        <v>5829.9272106896697</v>
      </c>
      <c r="F55" s="4">
        <v>5838.7470703125</v>
      </c>
      <c r="G55" s="1">
        <v>67523500</v>
      </c>
      <c r="H55" s="2" t="str">
        <f t="shared" si="0"/>
        <v>Turun</v>
      </c>
    </row>
    <row r="56" spans="1:8" x14ac:dyDescent="0.2">
      <c r="A56" s="1">
        <v>55</v>
      </c>
      <c r="B56" s="3">
        <v>44278</v>
      </c>
      <c r="C56" s="4">
        <v>5926.9466155750197</v>
      </c>
      <c r="D56" s="4">
        <v>5926.9466155750197</v>
      </c>
      <c r="E56" s="4">
        <v>5781.4189084961699</v>
      </c>
      <c r="F56" s="4">
        <v>5790.23876953125</v>
      </c>
      <c r="G56" s="1">
        <v>127762500</v>
      </c>
      <c r="H56" s="2" t="str">
        <f t="shared" si="0"/>
        <v>Turun</v>
      </c>
    </row>
    <row r="57" spans="1:8" x14ac:dyDescent="0.2">
      <c r="A57" s="1">
        <v>56</v>
      </c>
      <c r="B57" s="3">
        <v>44279</v>
      </c>
      <c r="C57" s="4">
        <v>5746.1386950001197</v>
      </c>
      <c r="D57" s="4">
        <v>5777.0082044897599</v>
      </c>
      <c r="E57" s="4">
        <v>5662.3500263853903</v>
      </c>
      <c r="F57" s="4">
        <v>5679.98974609375</v>
      </c>
      <c r="G57" s="1">
        <v>152050000</v>
      </c>
      <c r="H57" s="2" t="str">
        <f t="shared" si="0"/>
        <v>Turun</v>
      </c>
    </row>
    <row r="58" spans="1:8" x14ac:dyDescent="0.2">
      <c r="A58" s="1">
        <v>57</v>
      </c>
      <c r="B58" s="3">
        <v>44280</v>
      </c>
      <c r="C58" s="4">
        <v>5644.7105572998398</v>
      </c>
      <c r="D58" s="4">
        <v>5679.9899982829702</v>
      </c>
      <c r="E58" s="4">
        <v>5582.9715355793796</v>
      </c>
      <c r="F58" s="4">
        <v>5618.2509765625</v>
      </c>
      <c r="G58" s="1">
        <v>119101500</v>
      </c>
      <c r="H58" s="2" t="str">
        <f t="shared" si="0"/>
        <v>Turun</v>
      </c>
    </row>
    <row r="59" spans="1:8" x14ac:dyDescent="0.2">
      <c r="A59" s="1">
        <v>58</v>
      </c>
      <c r="B59" s="3">
        <v>44281</v>
      </c>
      <c r="C59" s="4">
        <v>5618.25154286219</v>
      </c>
      <c r="D59" s="4">
        <v>5684.4005013731303</v>
      </c>
      <c r="E59" s="4">
        <v>5556.5125149186497</v>
      </c>
      <c r="F59" s="4">
        <v>5657.94091796875</v>
      </c>
      <c r="G59" s="1">
        <v>134467500</v>
      </c>
      <c r="H59" s="2" t="str">
        <f t="shared" si="0"/>
        <v>Naik</v>
      </c>
    </row>
    <row r="60" spans="1:8" x14ac:dyDescent="0.2">
      <c r="A60" s="1">
        <v>59</v>
      </c>
      <c r="B60" s="3">
        <v>44284</v>
      </c>
      <c r="C60" s="4">
        <v>5653.5304538558903</v>
      </c>
      <c r="D60" s="4">
        <v>5746.1389870313697</v>
      </c>
      <c r="E60" s="4">
        <v>5609.43115234375</v>
      </c>
      <c r="F60" s="4">
        <v>5609.43115234375</v>
      </c>
      <c r="G60" s="1">
        <v>113370500</v>
      </c>
      <c r="H60" s="2" t="str">
        <f t="shared" si="0"/>
        <v>Turun</v>
      </c>
    </row>
    <row r="61" spans="1:8" x14ac:dyDescent="0.2">
      <c r="A61" s="1">
        <v>60</v>
      </c>
      <c r="B61" s="3">
        <v>44285</v>
      </c>
      <c r="C61" s="4">
        <v>5618.2516164056397</v>
      </c>
      <c r="D61" s="4">
        <v>5693.2204370327199</v>
      </c>
      <c r="E61" s="4">
        <v>5618.2516164056397</v>
      </c>
      <c r="F61" s="4">
        <v>5640.30126953125</v>
      </c>
      <c r="G61" s="1">
        <v>83115500</v>
      </c>
      <c r="H61" s="2" t="str">
        <f t="shared" si="0"/>
        <v>Naik</v>
      </c>
    </row>
    <row r="62" spans="1:8" x14ac:dyDescent="0.2">
      <c r="A62" s="1">
        <v>61</v>
      </c>
      <c r="B62" s="3">
        <v>44286</v>
      </c>
      <c r="C62" s="4">
        <v>5635.8905181516502</v>
      </c>
      <c r="D62" s="4">
        <v>5640.3004481345497</v>
      </c>
      <c r="E62" s="4">
        <v>5419.8039489893399</v>
      </c>
      <c r="F62" s="4">
        <v>5481.54296875</v>
      </c>
      <c r="G62" s="1">
        <v>223390500</v>
      </c>
      <c r="H62" s="2" t="str">
        <f t="shared" si="0"/>
        <v>Turun</v>
      </c>
    </row>
    <row r="63" spans="1:8" x14ac:dyDescent="0.2">
      <c r="A63" s="1">
        <v>62</v>
      </c>
      <c r="B63" s="3">
        <v>44287</v>
      </c>
      <c r="C63" s="4">
        <v>5481.54390805409</v>
      </c>
      <c r="D63" s="4">
        <v>5530.0531461784603</v>
      </c>
      <c r="E63" s="4">
        <v>5428.6247391911402</v>
      </c>
      <c r="F63" s="4">
        <v>5490.36376953125</v>
      </c>
      <c r="G63" s="1">
        <v>112286000</v>
      </c>
      <c r="H63" s="2" t="str">
        <f>IF(F63&gt;F62,"Naik",IF(F63&lt;F62,"Turun","Stabil"))</f>
        <v>Naik</v>
      </c>
    </row>
    <row r="64" spans="1:8" x14ac:dyDescent="0.2">
      <c r="A64" s="1">
        <v>63</v>
      </c>
      <c r="B64" s="3">
        <v>44291</v>
      </c>
      <c r="C64" s="4">
        <v>5512.41269642313</v>
      </c>
      <c r="D64" s="4">
        <v>5547.6921376802402</v>
      </c>
      <c r="E64" s="4">
        <v>5428.6240234375</v>
      </c>
      <c r="F64" s="4">
        <v>5428.6240234375</v>
      </c>
      <c r="G64" s="1">
        <v>73311500</v>
      </c>
      <c r="H64" s="2" t="str">
        <f t="shared" si="0"/>
        <v>Turun</v>
      </c>
    </row>
    <row r="65" spans="1:8" x14ac:dyDescent="0.2">
      <c r="A65" s="1">
        <v>64</v>
      </c>
      <c r="B65" s="3">
        <v>44292</v>
      </c>
      <c r="C65" s="4">
        <v>5410.98378098388</v>
      </c>
      <c r="D65" s="4">
        <v>5441.8532891068498</v>
      </c>
      <c r="E65" s="4">
        <v>5362.4745539334999</v>
      </c>
      <c r="F65" s="4">
        <v>5437.443359375</v>
      </c>
      <c r="G65" s="1">
        <v>80215000</v>
      </c>
      <c r="H65" s="2" t="str">
        <f t="shared" si="0"/>
        <v>Naik</v>
      </c>
    </row>
    <row r="66" spans="1:8" x14ac:dyDescent="0.2">
      <c r="A66" s="1">
        <v>65</v>
      </c>
      <c r="B66" s="3">
        <v>44293</v>
      </c>
      <c r="C66" s="4">
        <v>5428.6234453124998</v>
      </c>
      <c r="D66" s="4">
        <v>5534.4617578124999</v>
      </c>
      <c r="E66" s="4">
        <v>5410.9837265625001</v>
      </c>
      <c r="F66" s="4">
        <v>5512.412109375</v>
      </c>
      <c r="G66" s="1">
        <v>107908000</v>
      </c>
      <c r="H66" s="2" t="str">
        <f t="shared" si="0"/>
        <v>Naik</v>
      </c>
    </row>
    <row r="67" spans="1:8" x14ac:dyDescent="0.2">
      <c r="A67" s="1">
        <v>66</v>
      </c>
      <c r="B67" s="3">
        <v>44294</v>
      </c>
      <c r="C67" s="4">
        <v>5544.96719323044</v>
      </c>
      <c r="D67" s="4">
        <v>5558.3824364398697</v>
      </c>
      <c r="E67" s="4">
        <v>5477.8909771832996</v>
      </c>
      <c r="F67" s="4">
        <v>5486.83447265625</v>
      </c>
      <c r="G67" s="1">
        <v>123697500</v>
      </c>
      <c r="H67" s="2" t="str">
        <f t="shared" si="0"/>
        <v>Turun</v>
      </c>
    </row>
    <row r="68" spans="1:8" x14ac:dyDescent="0.2">
      <c r="A68" s="1">
        <v>67</v>
      </c>
      <c r="B68" s="3">
        <v>44295</v>
      </c>
      <c r="C68" s="4">
        <v>5647.81748480028</v>
      </c>
      <c r="D68" s="4">
        <v>5652.2892326108904</v>
      </c>
      <c r="E68" s="4">
        <v>5495.7780592395402</v>
      </c>
      <c r="F68" s="4">
        <v>5544.96728515625</v>
      </c>
      <c r="G68" s="1">
        <v>116961000</v>
      </c>
      <c r="H68" s="2" t="str">
        <f t="shared" ref="H68:H131" si="1">IF(F68&gt;F67,"Naik",IF(F68&lt;F67,"Turun","Stabil"))</f>
        <v>Naik</v>
      </c>
    </row>
    <row r="69" spans="1:8" x14ac:dyDescent="0.2">
      <c r="A69" s="1">
        <v>68</v>
      </c>
      <c r="B69" s="3">
        <v>44298</v>
      </c>
      <c r="C69" s="4">
        <v>5629.9303754411803</v>
      </c>
      <c r="D69" s="4">
        <v>5629.9303754411803</v>
      </c>
      <c r="E69" s="4">
        <v>5419.7582327519603</v>
      </c>
      <c r="F69" s="4">
        <v>5424.22998046875</v>
      </c>
      <c r="G69" s="1">
        <v>110411500</v>
      </c>
      <c r="H69" s="2" t="str">
        <f t="shared" si="1"/>
        <v>Turun</v>
      </c>
    </row>
    <row r="70" spans="1:8" x14ac:dyDescent="0.2">
      <c r="A70" s="1">
        <v>69</v>
      </c>
      <c r="B70" s="3">
        <v>44299</v>
      </c>
      <c r="C70" s="4">
        <v>5410.8141520182298</v>
      </c>
      <c r="D70" s="4">
        <v>5419.7576464843796</v>
      </c>
      <c r="E70" s="4">
        <v>5348.2096907552104</v>
      </c>
      <c r="F70" s="4">
        <v>5366.0966796875</v>
      </c>
      <c r="G70" s="1">
        <v>119211500</v>
      </c>
      <c r="H70" s="2" t="str">
        <f t="shared" si="1"/>
        <v>Turun</v>
      </c>
    </row>
    <row r="71" spans="1:8" x14ac:dyDescent="0.2">
      <c r="A71" s="1">
        <v>70</v>
      </c>
      <c r="B71" s="3">
        <v>44300</v>
      </c>
      <c r="C71" s="4">
        <v>5460.0036371338501</v>
      </c>
      <c r="D71" s="4">
        <v>5638.87353515625</v>
      </c>
      <c r="E71" s="4">
        <v>5419.7579100788098</v>
      </c>
      <c r="F71" s="4">
        <v>5638.87353515625</v>
      </c>
      <c r="G71" s="1">
        <v>135519500</v>
      </c>
      <c r="H71" s="2" t="str">
        <f t="shared" si="1"/>
        <v>Naik</v>
      </c>
    </row>
    <row r="72" spans="1:8" x14ac:dyDescent="0.2">
      <c r="A72" s="1">
        <v>71</v>
      </c>
      <c r="B72" s="3">
        <v>44301</v>
      </c>
      <c r="C72" s="4">
        <v>5638.8738753203397</v>
      </c>
      <c r="D72" s="4">
        <v>5643.34562304066</v>
      </c>
      <c r="E72" s="4">
        <v>5527.0801823124002</v>
      </c>
      <c r="F72" s="4">
        <v>5616.51513671875</v>
      </c>
      <c r="G72" s="1">
        <v>102686500</v>
      </c>
      <c r="H72" s="2" t="str">
        <f t="shared" si="1"/>
        <v>Turun</v>
      </c>
    </row>
    <row r="73" spans="1:8" x14ac:dyDescent="0.2">
      <c r="A73" s="1">
        <v>72</v>
      </c>
      <c r="B73" s="3">
        <v>44302</v>
      </c>
      <c r="C73" s="4">
        <v>5697.0066647472604</v>
      </c>
      <c r="D73" s="4">
        <v>5697.0066647472604</v>
      </c>
      <c r="E73" s="4">
        <v>5558.3824837369302</v>
      </c>
      <c r="F73" s="4">
        <v>5612.04345703125</v>
      </c>
      <c r="G73" s="1">
        <v>79293500</v>
      </c>
      <c r="H73" s="2" t="str">
        <f t="shared" si="1"/>
        <v>Turun</v>
      </c>
    </row>
    <row r="74" spans="1:8" x14ac:dyDescent="0.2">
      <c r="A74" s="1">
        <v>73</v>
      </c>
      <c r="B74" s="3">
        <v>44305</v>
      </c>
      <c r="C74" s="4">
        <v>5612.0430365019402</v>
      </c>
      <c r="D74" s="4">
        <v>5616.5147839413903</v>
      </c>
      <c r="E74" s="4">
        <v>5571.7973095469497</v>
      </c>
      <c r="F74" s="4">
        <v>5607.5712890625</v>
      </c>
      <c r="G74" s="1">
        <v>47095000</v>
      </c>
      <c r="H74" s="2" t="str">
        <f t="shared" si="1"/>
        <v>Turun</v>
      </c>
    </row>
    <row r="75" spans="1:8" x14ac:dyDescent="0.2">
      <c r="A75" s="1">
        <v>74</v>
      </c>
      <c r="B75" s="3">
        <v>44306</v>
      </c>
      <c r="C75" s="4">
        <v>5544.9672965116297</v>
      </c>
      <c r="D75" s="4">
        <v>5589.6847747092997</v>
      </c>
      <c r="E75" s="4">
        <v>5531.5520530523299</v>
      </c>
      <c r="F75" s="4">
        <v>5576.26953125</v>
      </c>
      <c r="G75" s="1">
        <v>72721000</v>
      </c>
      <c r="H75" s="2" t="str">
        <f t="shared" si="1"/>
        <v>Turun</v>
      </c>
    </row>
    <row r="76" spans="1:8" x14ac:dyDescent="0.2">
      <c r="A76" s="1">
        <v>75</v>
      </c>
      <c r="B76" s="3">
        <v>44307</v>
      </c>
      <c r="C76" s="4">
        <v>5544.9672736719403</v>
      </c>
      <c r="D76" s="4">
        <v>5567.3260126786799</v>
      </c>
      <c r="E76" s="4">
        <v>5513.6650390625</v>
      </c>
      <c r="F76" s="4">
        <v>5513.6650390625</v>
      </c>
      <c r="G76" s="1">
        <v>68397000</v>
      </c>
      <c r="H76" s="2" t="str">
        <f t="shared" si="1"/>
        <v>Turun</v>
      </c>
    </row>
    <row r="77" spans="1:8" x14ac:dyDescent="0.2">
      <c r="A77" s="1">
        <v>76</v>
      </c>
      <c r="B77" s="3">
        <v>44308</v>
      </c>
      <c r="C77" s="4">
        <v>5544.9670812801696</v>
      </c>
      <c r="D77" s="4">
        <v>5612.0432959730697</v>
      </c>
      <c r="E77" s="4">
        <v>5527.08009069539</v>
      </c>
      <c r="F77" s="4">
        <v>5558.38232421875</v>
      </c>
      <c r="G77" s="1">
        <v>63758000</v>
      </c>
      <c r="H77" s="2" t="str">
        <f t="shared" si="1"/>
        <v>Naik</v>
      </c>
    </row>
    <row r="78" spans="1:8" x14ac:dyDescent="0.2">
      <c r="A78" s="1">
        <v>77</v>
      </c>
      <c r="B78" s="3">
        <v>44309</v>
      </c>
      <c r="C78" s="4">
        <v>5616.5146255134996</v>
      </c>
      <c r="D78" s="4">
        <v>5719.3648137195596</v>
      </c>
      <c r="E78" s="4">
        <v>5567.3254050671203</v>
      </c>
      <c r="F78" s="4">
        <v>5714.89306640625</v>
      </c>
      <c r="G78" s="1">
        <v>108498500</v>
      </c>
      <c r="H78" s="2" t="str">
        <f t="shared" si="1"/>
        <v>Naik</v>
      </c>
    </row>
    <row r="79" spans="1:8" x14ac:dyDescent="0.2">
      <c r="A79" s="1">
        <v>78</v>
      </c>
      <c r="B79" s="3">
        <v>44312</v>
      </c>
      <c r="C79" s="4">
        <v>5719.3647682353803</v>
      </c>
      <c r="D79" s="4">
        <v>5723.8365155131296</v>
      </c>
      <c r="E79" s="4">
        <v>5616.5145808472598</v>
      </c>
      <c r="F79" s="4">
        <v>5620.986328125</v>
      </c>
      <c r="G79" s="1">
        <v>108742000</v>
      </c>
      <c r="H79" s="2" t="str">
        <f t="shared" si="1"/>
        <v>Turun</v>
      </c>
    </row>
    <row r="80" spans="1:8" x14ac:dyDescent="0.2">
      <c r="A80" s="1">
        <v>79</v>
      </c>
      <c r="B80" s="3">
        <v>44313</v>
      </c>
      <c r="C80" s="4">
        <v>5697.0063609972703</v>
      </c>
      <c r="D80" s="4">
        <v>5755.1390789666302</v>
      </c>
      <c r="E80" s="4">
        <v>5683.5911183889502</v>
      </c>
      <c r="F80" s="4">
        <v>5728.30859375</v>
      </c>
      <c r="G80" s="1">
        <v>132650000</v>
      </c>
      <c r="H80" s="2" t="str">
        <f t="shared" si="1"/>
        <v>Naik</v>
      </c>
    </row>
    <row r="81" spans="1:8" x14ac:dyDescent="0.2">
      <c r="A81" s="1">
        <v>80</v>
      </c>
      <c r="B81" s="3">
        <v>44314</v>
      </c>
      <c r="C81" s="4">
        <v>5723.8365308544298</v>
      </c>
      <c r="D81" s="4">
        <v>5728.3082781441599</v>
      </c>
      <c r="E81" s="4">
        <v>5647.81682692902</v>
      </c>
      <c r="F81" s="4">
        <v>5652.28857421875</v>
      </c>
      <c r="G81" s="1">
        <v>87660000</v>
      </c>
      <c r="H81" s="2" t="str">
        <f t="shared" si="1"/>
        <v>Turun</v>
      </c>
    </row>
    <row r="82" spans="1:8" x14ac:dyDescent="0.2">
      <c r="A82" s="1">
        <v>81</v>
      </c>
      <c r="B82" s="3">
        <v>44315</v>
      </c>
      <c r="C82" s="4">
        <v>5777.4982403593003</v>
      </c>
      <c r="D82" s="4">
        <v>5777.4982403593003</v>
      </c>
      <c r="E82" s="4">
        <v>5688.0632830781997</v>
      </c>
      <c r="F82" s="4">
        <v>5732.78076171875</v>
      </c>
      <c r="G82" s="1">
        <v>57355000</v>
      </c>
      <c r="H82" s="2" t="str">
        <f t="shared" si="1"/>
        <v>Naik</v>
      </c>
    </row>
    <row r="83" spans="1:8" x14ac:dyDescent="0.2">
      <c r="A83" s="1">
        <v>82</v>
      </c>
      <c r="B83" s="3">
        <v>44316</v>
      </c>
      <c r="C83" s="4">
        <v>5768.5543215749403</v>
      </c>
      <c r="D83" s="4">
        <v>5768.5543215749403</v>
      </c>
      <c r="E83" s="4">
        <v>5705.9498560694801</v>
      </c>
      <c r="F83" s="4">
        <v>5728.30859375</v>
      </c>
      <c r="G83" s="1">
        <v>65829500</v>
      </c>
      <c r="H83" s="2" t="str">
        <f t="shared" si="1"/>
        <v>Turun</v>
      </c>
    </row>
    <row r="84" spans="1:8" x14ac:dyDescent="0.2">
      <c r="A84" s="1">
        <v>83</v>
      </c>
      <c r="B84" s="3">
        <v>44319</v>
      </c>
      <c r="C84" s="4">
        <v>5795.3845180457802</v>
      </c>
      <c r="D84" s="4">
        <v>5795.3845180457802</v>
      </c>
      <c r="E84" s="4">
        <v>5674.6473405864899</v>
      </c>
      <c r="F84" s="4">
        <v>5714.89306640625</v>
      </c>
      <c r="G84" s="1">
        <v>42065500</v>
      </c>
      <c r="H84" s="2" t="str">
        <f>IF(F84&gt;F83,"Naik",IF(F84&lt;F83,"Turun","Stabil"))</f>
        <v>Turun</v>
      </c>
    </row>
    <row r="85" spans="1:8" x14ac:dyDescent="0.2">
      <c r="A85" s="1">
        <v>84</v>
      </c>
      <c r="B85" s="3">
        <v>44320</v>
      </c>
      <c r="C85" s="4">
        <v>5679.1194381713904</v>
      </c>
      <c r="D85" s="4">
        <v>5750.6673995971696</v>
      </c>
      <c r="E85" s="4">
        <v>5670.1759429931599</v>
      </c>
      <c r="F85" s="4">
        <v>5723.8369140625</v>
      </c>
      <c r="G85" s="1">
        <v>50123500</v>
      </c>
      <c r="H85" s="2" t="str">
        <f t="shared" si="1"/>
        <v>Naik</v>
      </c>
    </row>
    <row r="86" spans="1:8" x14ac:dyDescent="0.2">
      <c r="A86" s="1">
        <v>85</v>
      </c>
      <c r="B86" s="3">
        <v>44321</v>
      </c>
      <c r="C86" s="4">
        <v>5741.7235651750998</v>
      </c>
      <c r="D86" s="4">
        <v>5750.6670598249002</v>
      </c>
      <c r="E86" s="4">
        <v>5723.8365758754899</v>
      </c>
      <c r="F86" s="4">
        <v>5746.1953125</v>
      </c>
      <c r="G86" s="1">
        <v>51685000</v>
      </c>
      <c r="H86" s="2" t="str">
        <f t="shared" si="1"/>
        <v>Naik</v>
      </c>
    </row>
    <row r="87" spans="1:8" x14ac:dyDescent="0.2">
      <c r="A87" s="1">
        <v>86</v>
      </c>
      <c r="B87" s="3">
        <v>44322</v>
      </c>
      <c r="C87" s="4">
        <v>5723.8365758754899</v>
      </c>
      <c r="D87" s="4">
        <v>5768.5540491245101</v>
      </c>
      <c r="E87" s="4">
        <v>5723.8365758754899</v>
      </c>
      <c r="F87" s="4">
        <v>5746.1953125</v>
      </c>
      <c r="G87" s="1">
        <v>38115500</v>
      </c>
      <c r="H87" s="2" t="str">
        <f t="shared" si="1"/>
        <v>Stabil</v>
      </c>
    </row>
    <row r="88" spans="1:8" x14ac:dyDescent="0.2">
      <c r="A88" s="1">
        <v>87</v>
      </c>
      <c r="B88" s="3">
        <v>44323</v>
      </c>
      <c r="C88" s="4">
        <v>5777.4978851318401</v>
      </c>
      <c r="D88" s="4">
        <v>5777.4978851318401</v>
      </c>
      <c r="E88" s="4">
        <v>5710.4216712951702</v>
      </c>
      <c r="F88" s="4">
        <v>5723.8369140625</v>
      </c>
      <c r="G88" s="1">
        <v>48864000</v>
      </c>
      <c r="H88" s="2" t="str">
        <f t="shared" si="1"/>
        <v>Turun</v>
      </c>
    </row>
    <row r="89" spans="1:8" x14ac:dyDescent="0.2">
      <c r="A89" s="1">
        <v>88</v>
      </c>
      <c r="B89" s="3">
        <v>44326</v>
      </c>
      <c r="C89" s="4">
        <v>5723.8371300623103</v>
      </c>
      <c r="D89" s="4">
        <v>5741.72412109375</v>
      </c>
      <c r="E89" s="4">
        <v>5719.3653823044397</v>
      </c>
      <c r="F89" s="4">
        <v>5741.72412109375</v>
      </c>
      <c r="G89" s="1">
        <v>68180500</v>
      </c>
      <c r="H89" s="2" t="str">
        <f t="shared" si="1"/>
        <v>Naik</v>
      </c>
    </row>
    <row r="90" spans="1:8" x14ac:dyDescent="0.2">
      <c r="A90" s="1">
        <v>89</v>
      </c>
      <c r="B90" s="3">
        <v>44327</v>
      </c>
      <c r="C90" s="4">
        <v>5723.8368055555602</v>
      </c>
      <c r="D90" s="4">
        <v>5795.384765625</v>
      </c>
      <c r="E90" s="4">
        <v>5638.8736029730899</v>
      </c>
      <c r="F90" s="4">
        <v>5795.384765625</v>
      </c>
      <c r="G90" s="1">
        <v>70680000</v>
      </c>
      <c r="H90" s="2" t="str">
        <f t="shared" si="1"/>
        <v>Naik</v>
      </c>
    </row>
    <row r="91" spans="1:8" x14ac:dyDescent="0.2">
      <c r="A91" s="1">
        <v>90</v>
      </c>
      <c r="B91" s="3">
        <v>44333</v>
      </c>
      <c r="C91" s="4">
        <v>5813.271484375</v>
      </c>
      <c r="D91" s="4">
        <v>5813.271484375</v>
      </c>
      <c r="E91" s="4">
        <v>5701.4778019831701</v>
      </c>
      <c r="F91" s="4">
        <v>5813.271484375</v>
      </c>
      <c r="G91" s="1">
        <v>129058500</v>
      </c>
      <c r="H91" s="2" t="str">
        <f t="shared" si="1"/>
        <v>Naik</v>
      </c>
    </row>
    <row r="92" spans="1:8" x14ac:dyDescent="0.2">
      <c r="A92" s="1">
        <v>91</v>
      </c>
      <c r="B92" s="3">
        <v>44334</v>
      </c>
      <c r="C92" s="4">
        <v>5723.8365610328601</v>
      </c>
      <c r="D92" s="4">
        <v>5773.0257814792403</v>
      </c>
      <c r="E92" s="4">
        <v>5692.5343298397202</v>
      </c>
      <c r="F92" s="4">
        <v>5714.89306640625</v>
      </c>
      <c r="G92" s="1">
        <v>73563000</v>
      </c>
      <c r="H92" s="2" t="str">
        <f t="shared" si="1"/>
        <v>Turun</v>
      </c>
    </row>
    <row r="93" spans="1:8" x14ac:dyDescent="0.2">
      <c r="A93" s="1">
        <v>92</v>
      </c>
      <c r="B93" s="3">
        <v>44335</v>
      </c>
      <c r="C93" s="4">
        <v>5705.9501837692096</v>
      </c>
      <c r="D93" s="4">
        <v>5723.8371749408998</v>
      </c>
      <c r="E93" s="4">
        <v>5665.7044536329104</v>
      </c>
      <c r="F93" s="4">
        <v>5674.64794921875</v>
      </c>
      <c r="G93" s="1">
        <v>64912500</v>
      </c>
      <c r="H93" s="2" t="str">
        <f t="shared" si="1"/>
        <v>Turun</v>
      </c>
    </row>
    <row r="94" spans="1:8" x14ac:dyDescent="0.2">
      <c r="A94" s="1">
        <v>93</v>
      </c>
      <c r="B94" s="3">
        <v>44336</v>
      </c>
      <c r="C94" s="4">
        <v>5714.8927128232799</v>
      </c>
      <c r="D94" s="4">
        <v>5755.1384361530199</v>
      </c>
      <c r="E94" s="4">
        <v>5679.1187365301703</v>
      </c>
      <c r="F94" s="4">
        <v>5705.94921875</v>
      </c>
      <c r="G94" s="1">
        <v>64950000</v>
      </c>
      <c r="H94" s="2" t="str">
        <f t="shared" si="1"/>
        <v>Naik</v>
      </c>
    </row>
    <row r="95" spans="1:8" x14ac:dyDescent="0.2">
      <c r="A95" s="1">
        <v>94</v>
      </c>
      <c r="B95" s="3">
        <v>44337</v>
      </c>
      <c r="C95" s="4">
        <v>5768.5539504716999</v>
      </c>
      <c r="D95" s="4">
        <v>5768.5539504716999</v>
      </c>
      <c r="E95" s="4">
        <v>5598.6275550314504</v>
      </c>
      <c r="F95" s="4">
        <v>5688.0625</v>
      </c>
      <c r="G95" s="1">
        <v>92620000</v>
      </c>
      <c r="H95" s="2" t="str">
        <f t="shared" si="1"/>
        <v>Turun</v>
      </c>
    </row>
    <row r="96" spans="1:8" x14ac:dyDescent="0.2">
      <c r="A96" s="1">
        <v>95</v>
      </c>
      <c r="B96" s="3">
        <v>44340</v>
      </c>
      <c r="C96" s="4">
        <v>5683.5912279211998</v>
      </c>
      <c r="D96" s="4">
        <v>5705.9499660326101</v>
      </c>
      <c r="E96" s="4">
        <v>5625.4585088315198</v>
      </c>
      <c r="F96" s="4">
        <v>5656.7607421875</v>
      </c>
      <c r="G96" s="1">
        <v>59210000</v>
      </c>
      <c r="H96" s="2" t="str">
        <f t="shared" si="1"/>
        <v>Turun</v>
      </c>
    </row>
    <row r="97" spans="1:8" x14ac:dyDescent="0.2">
      <c r="A97" s="1">
        <v>96</v>
      </c>
      <c r="B97" s="3">
        <v>44341</v>
      </c>
      <c r="C97" s="4">
        <v>5634.4030521611903</v>
      </c>
      <c r="D97" s="4">
        <v>5759.6120088758898</v>
      </c>
      <c r="E97" s="4">
        <v>5634.4030521611903</v>
      </c>
      <c r="F97" s="4">
        <v>5683.59228515625</v>
      </c>
      <c r="G97" s="1">
        <v>87470000</v>
      </c>
      <c r="H97" s="2" t="str">
        <f t="shared" si="1"/>
        <v>Naik</v>
      </c>
    </row>
    <row r="98" spans="1:8" x14ac:dyDescent="0.2">
      <c r="A98" s="1">
        <v>97</v>
      </c>
      <c r="B98" s="3">
        <v>44343</v>
      </c>
      <c r="C98" s="4">
        <v>5759.6107020035897</v>
      </c>
      <c r="D98" s="4">
        <v>5795.38468151914</v>
      </c>
      <c r="E98" s="4">
        <v>5607.5712890625</v>
      </c>
      <c r="F98" s="4">
        <v>5607.5712890625</v>
      </c>
      <c r="G98" s="1">
        <v>537971500</v>
      </c>
      <c r="H98" s="2" t="str">
        <f t="shared" si="1"/>
        <v>Turun</v>
      </c>
    </row>
    <row r="99" spans="1:8" x14ac:dyDescent="0.2">
      <c r="A99" s="1">
        <v>98</v>
      </c>
      <c r="B99" s="3">
        <v>44344</v>
      </c>
      <c r="C99" s="4">
        <v>5661.2322863268901</v>
      </c>
      <c r="D99" s="4">
        <v>5697.0062660193198</v>
      </c>
      <c r="E99" s="4">
        <v>5661.2322863268901</v>
      </c>
      <c r="F99" s="4">
        <v>5670.17578125</v>
      </c>
      <c r="G99" s="1">
        <v>102108500</v>
      </c>
      <c r="H99" s="2" t="str">
        <f t="shared" si="1"/>
        <v>Naik</v>
      </c>
    </row>
    <row r="100" spans="1:8" x14ac:dyDescent="0.2">
      <c r="A100" s="1">
        <v>99</v>
      </c>
      <c r="B100" s="3">
        <v>44347</v>
      </c>
      <c r="C100" s="4">
        <v>5688.0627849264702</v>
      </c>
      <c r="D100" s="4">
        <v>5714.8932697610298</v>
      </c>
      <c r="E100" s="4">
        <v>5656.7605526194902</v>
      </c>
      <c r="F100" s="4">
        <v>5701.47802734375</v>
      </c>
      <c r="G100" s="1">
        <v>101442000</v>
      </c>
      <c r="H100" s="2" t="str">
        <f t="shared" si="1"/>
        <v>Naik</v>
      </c>
    </row>
    <row r="101" spans="1:8" x14ac:dyDescent="0.2">
      <c r="A101" s="1">
        <v>100</v>
      </c>
      <c r="B101" s="3">
        <v>44349</v>
      </c>
      <c r="C101" s="4">
        <v>5813.2719601943199</v>
      </c>
      <c r="D101" s="4">
        <v>5826.68720317938</v>
      </c>
      <c r="E101" s="4">
        <v>5741.7239976073097</v>
      </c>
      <c r="F101" s="4">
        <v>5781.9697265625</v>
      </c>
      <c r="G101" s="1">
        <v>141732500</v>
      </c>
      <c r="H101" s="2" t="str">
        <f>IF(F101&gt;F100,"Naik",IF(F101&lt;F100,"Turun","Stabil"))</f>
        <v>Naik</v>
      </c>
    </row>
    <row r="102" spans="1:8" x14ac:dyDescent="0.2">
      <c r="A102" s="1">
        <v>101</v>
      </c>
      <c r="B102" s="3">
        <v>44350</v>
      </c>
      <c r="C102" s="4">
        <v>5808.7998479669704</v>
      </c>
      <c r="D102" s="4">
        <v>5902.70654296875</v>
      </c>
      <c r="E102" s="4">
        <v>5750.6671320135001</v>
      </c>
      <c r="F102" s="4">
        <v>5902.70654296875</v>
      </c>
      <c r="G102" s="1">
        <v>133810500</v>
      </c>
      <c r="H102" s="2" t="str">
        <f t="shared" si="1"/>
        <v>Naik</v>
      </c>
    </row>
    <row r="103" spans="1:8" x14ac:dyDescent="0.2">
      <c r="A103" s="1">
        <v>102</v>
      </c>
      <c r="B103" s="3">
        <v>44351</v>
      </c>
      <c r="C103" s="4">
        <v>5920.5933136635604</v>
      </c>
      <c r="D103" s="4">
        <v>5920.5933136635604</v>
      </c>
      <c r="E103" s="4">
        <v>5813.2713804853702</v>
      </c>
      <c r="F103" s="4">
        <v>5884.8193359375</v>
      </c>
      <c r="G103" s="1">
        <v>62108500</v>
      </c>
      <c r="H103" s="2" t="str">
        <f t="shared" si="1"/>
        <v>Turun</v>
      </c>
    </row>
    <row r="104" spans="1:8" x14ac:dyDescent="0.2">
      <c r="A104" s="1">
        <v>103</v>
      </c>
      <c r="B104" s="3">
        <v>44354</v>
      </c>
      <c r="C104" s="4">
        <v>5866.9330254594197</v>
      </c>
      <c r="D104" s="4">
        <v>5875.8765209250596</v>
      </c>
      <c r="E104" s="4">
        <v>5750.6675844061101</v>
      </c>
      <c r="F104" s="4">
        <v>5840.1025390625</v>
      </c>
      <c r="G104" s="1">
        <v>62576000</v>
      </c>
      <c r="H104" s="2" t="str">
        <f t="shared" si="1"/>
        <v>Turun</v>
      </c>
    </row>
    <row r="105" spans="1:8" x14ac:dyDescent="0.2">
      <c r="A105" s="1">
        <v>104</v>
      </c>
      <c r="B105" s="3">
        <v>44355</v>
      </c>
      <c r="C105" s="4">
        <v>5880.3491609611901</v>
      </c>
      <c r="D105" s="4">
        <v>5880.3491609611901</v>
      </c>
      <c r="E105" s="4">
        <v>5750.66845703125</v>
      </c>
      <c r="F105" s="4">
        <v>5750.66845703125</v>
      </c>
      <c r="G105" s="1">
        <v>64348000</v>
      </c>
      <c r="H105" s="2" t="str">
        <f t="shared" si="1"/>
        <v>Turun</v>
      </c>
    </row>
    <row r="106" spans="1:8" x14ac:dyDescent="0.2">
      <c r="A106" s="1">
        <v>105</v>
      </c>
      <c r="B106" s="3">
        <v>44356</v>
      </c>
      <c r="C106" s="4">
        <v>5688.0631161466299</v>
      </c>
      <c r="D106" s="4">
        <v>5844.5742867953204</v>
      </c>
      <c r="E106" s="4">
        <v>5688.0631161466299</v>
      </c>
      <c r="F106" s="4">
        <v>5840.1025390625</v>
      </c>
      <c r="G106" s="1">
        <v>77198000</v>
      </c>
      <c r="H106" s="2" t="str">
        <f t="shared" si="1"/>
        <v>Naik</v>
      </c>
    </row>
    <row r="107" spans="1:8" x14ac:dyDescent="0.2">
      <c r="A107" s="1">
        <v>106</v>
      </c>
      <c r="B107" s="3">
        <v>44357</v>
      </c>
      <c r="C107" s="4">
        <v>5862.46054842393</v>
      </c>
      <c r="D107" s="4">
        <v>5920.59326171875</v>
      </c>
      <c r="E107" s="4">
        <v>5804.3278351291101</v>
      </c>
      <c r="F107" s="4">
        <v>5920.59326171875</v>
      </c>
      <c r="G107" s="1">
        <v>73262500</v>
      </c>
      <c r="H107" s="2" t="str">
        <f t="shared" si="1"/>
        <v>Naik</v>
      </c>
    </row>
    <row r="108" spans="1:8" x14ac:dyDescent="0.2">
      <c r="A108" s="1">
        <v>107</v>
      </c>
      <c r="B108" s="3">
        <v>44358</v>
      </c>
      <c r="C108" s="4">
        <v>5875.8768542612497</v>
      </c>
      <c r="D108" s="4">
        <v>5884.8203502342503</v>
      </c>
      <c r="E108" s="4">
        <v>5777.4983985582503</v>
      </c>
      <c r="F108" s="4">
        <v>5786.44189453125</v>
      </c>
      <c r="G108" s="1">
        <v>72780500</v>
      </c>
      <c r="H108" s="2" t="str">
        <f t="shared" si="1"/>
        <v>Turun</v>
      </c>
    </row>
    <row r="109" spans="1:8" x14ac:dyDescent="0.2">
      <c r="A109" s="1">
        <v>108</v>
      </c>
      <c r="B109" s="3">
        <v>44361</v>
      </c>
      <c r="C109" s="4">
        <v>5831.1592147279598</v>
      </c>
      <c r="D109" s="4">
        <v>5831.1592147279598</v>
      </c>
      <c r="E109" s="4">
        <v>5723.8372659906399</v>
      </c>
      <c r="F109" s="4">
        <v>5732.78076171875</v>
      </c>
      <c r="G109" s="1">
        <v>61478500</v>
      </c>
      <c r="H109" s="2" t="str">
        <f t="shared" si="1"/>
        <v>Turun</v>
      </c>
    </row>
    <row r="110" spans="1:8" x14ac:dyDescent="0.2">
      <c r="A110" s="1">
        <v>109</v>
      </c>
      <c r="B110" s="3">
        <v>44362</v>
      </c>
      <c r="C110" s="4">
        <v>5764.0831545987503</v>
      </c>
      <c r="D110" s="4">
        <v>5786.44189453125</v>
      </c>
      <c r="E110" s="4">
        <v>5728.3091707067497</v>
      </c>
      <c r="F110" s="4">
        <v>5786.44189453125</v>
      </c>
      <c r="G110" s="1">
        <v>87799000</v>
      </c>
      <c r="H110" s="2" t="str">
        <f t="shared" si="1"/>
        <v>Naik</v>
      </c>
    </row>
    <row r="111" spans="1:8" x14ac:dyDescent="0.2">
      <c r="A111" s="1">
        <v>110</v>
      </c>
      <c r="B111" s="3">
        <v>44363</v>
      </c>
      <c r="C111" s="4">
        <v>5741.7236182826</v>
      </c>
      <c r="D111" s="4">
        <v>5755.1388603813903</v>
      </c>
      <c r="E111" s="4">
        <v>5688.0626498874299</v>
      </c>
      <c r="F111" s="4">
        <v>5710.42138671875</v>
      </c>
      <c r="G111" s="1">
        <v>48984000</v>
      </c>
      <c r="H111" s="2" t="str">
        <f t="shared" si="1"/>
        <v>Turun</v>
      </c>
    </row>
    <row r="112" spans="1:8" x14ac:dyDescent="0.2">
      <c r="A112" s="1">
        <v>111</v>
      </c>
      <c r="B112" s="3">
        <v>44364</v>
      </c>
      <c r="C112" s="4">
        <v>5714.89339269846</v>
      </c>
      <c r="D112" s="4">
        <v>5714.89339269846</v>
      </c>
      <c r="E112" s="4">
        <v>5612.0431986201602</v>
      </c>
      <c r="F112" s="4">
        <v>5661.232421875</v>
      </c>
      <c r="G112" s="1">
        <v>68448500</v>
      </c>
      <c r="H112" s="2" t="str">
        <f t="shared" si="1"/>
        <v>Turun</v>
      </c>
    </row>
    <row r="113" spans="1:8" x14ac:dyDescent="0.2">
      <c r="A113" s="1">
        <v>112</v>
      </c>
      <c r="B113" s="3">
        <v>44365</v>
      </c>
      <c r="C113" s="4">
        <v>5634.4020040760897</v>
      </c>
      <c r="D113" s="4">
        <v>5674.6477326766299</v>
      </c>
      <c r="E113" s="4">
        <v>5616.5150135869599</v>
      </c>
      <c r="F113" s="4">
        <v>5656.7607421875</v>
      </c>
      <c r="G113" s="1">
        <v>118043000</v>
      </c>
      <c r="H113" s="2" t="str">
        <f t="shared" si="1"/>
        <v>Turun</v>
      </c>
    </row>
    <row r="114" spans="1:8" x14ac:dyDescent="0.2">
      <c r="A114" s="1">
        <v>113</v>
      </c>
      <c r="B114" s="3">
        <v>44368</v>
      </c>
      <c r="C114" s="4">
        <v>5634.4025390625002</v>
      </c>
      <c r="D114" s="4">
        <v>5634.4025390625002</v>
      </c>
      <c r="E114" s="4">
        <v>5553.9110742187504</v>
      </c>
      <c r="F114" s="4">
        <v>5589.68505859375</v>
      </c>
      <c r="G114" s="1">
        <v>60823500</v>
      </c>
      <c r="H114" s="2" t="str">
        <f t="shared" si="1"/>
        <v>Turun</v>
      </c>
    </row>
    <row r="115" spans="1:8" x14ac:dyDescent="0.2">
      <c r="A115" s="1">
        <v>114</v>
      </c>
      <c r="B115" s="3">
        <v>44369</v>
      </c>
      <c r="C115" s="4">
        <v>5589.6843269420397</v>
      </c>
      <c r="D115" s="4">
        <v>5714.8932558655397</v>
      </c>
      <c r="E115" s="4">
        <v>5580.7408320189297</v>
      </c>
      <c r="F115" s="4">
        <v>5670.17578125</v>
      </c>
      <c r="G115" s="1">
        <v>65824000</v>
      </c>
      <c r="H115" s="2" t="str">
        <f t="shared" si="1"/>
        <v>Naik</v>
      </c>
    </row>
    <row r="116" spans="1:8" x14ac:dyDescent="0.2">
      <c r="A116" s="1">
        <v>115</v>
      </c>
      <c r="B116" s="3">
        <v>44370</v>
      </c>
      <c r="C116" s="4">
        <v>5629.93057393033</v>
      </c>
      <c r="D116" s="4">
        <v>5670.1763048003604</v>
      </c>
      <c r="E116" s="4">
        <v>5571.7978515625</v>
      </c>
      <c r="F116" s="4">
        <v>5571.7978515625</v>
      </c>
      <c r="G116" s="1">
        <v>52451000</v>
      </c>
      <c r="H116" s="2" t="str">
        <f t="shared" si="1"/>
        <v>Turun</v>
      </c>
    </row>
    <row r="117" spans="1:8" x14ac:dyDescent="0.2">
      <c r="A117" s="1">
        <v>116</v>
      </c>
      <c r="B117" s="3">
        <v>44371</v>
      </c>
      <c r="C117" s="4">
        <v>5643.3460946935402</v>
      </c>
      <c r="D117" s="4">
        <v>5643.3460946935402</v>
      </c>
      <c r="E117" s="4">
        <v>5544.9676366244003</v>
      </c>
      <c r="F117" s="4">
        <v>5553.9111328125</v>
      </c>
      <c r="G117" s="1">
        <v>56010000</v>
      </c>
      <c r="H117" s="2" t="str">
        <f t="shared" si="1"/>
        <v>Turun</v>
      </c>
    </row>
    <row r="118" spans="1:8" x14ac:dyDescent="0.2">
      <c r="A118" s="1">
        <v>117</v>
      </c>
      <c r="B118" s="3">
        <v>44372</v>
      </c>
      <c r="C118" s="4">
        <v>5571.7974177100205</v>
      </c>
      <c r="D118" s="4">
        <v>5598.6279028675299</v>
      </c>
      <c r="E118" s="4">
        <v>5536.0234375</v>
      </c>
      <c r="F118" s="4">
        <v>5536.0234375</v>
      </c>
      <c r="G118" s="1">
        <v>68939500</v>
      </c>
      <c r="H118" s="2" t="str">
        <f t="shared" si="1"/>
        <v>Turun</v>
      </c>
    </row>
    <row r="119" spans="1:8" x14ac:dyDescent="0.2">
      <c r="A119" s="1">
        <v>118</v>
      </c>
      <c r="B119" s="3">
        <v>44375</v>
      </c>
      <c r="C119" s="4">
        <v>5455.5318596459501</v>
      </c>
      <c r="D119" s="4">
        <v>5500.2493339053499</v>
      </c>
      <c r="E119" s="4">
        <v>5415.2861328125</v>
      </c>
      <c r="F119" s="4">
        <v>5415.2861328125</v>
      </c>
      <c r="G119" s="1">
        <v>84420500</v>
      </c>
      <c r="H119" s="2" t="str">
        <f t="shared" si="1"/>
        <v>Turun</v>
      </c>
    </row>
    <row r="120" spans="1:8" x14ac:dyDescent="0.2">
      <c r="A120" s="1">
        <v>119</v>
      </c>
      <c r="B120" s="3">
        <v>44376</v>
      </c>
      <c r="C120" s="4">
        <v>5410.8150096606196</v>
      </c>
      <c r="D120" s="4">
        <v>5446.5889931955599</v>
      </c>
      <c r="E120" s="4">
        <v>5401.8715137768804</v>
      </c>
      <c r="F120" s="4">
        <v>5406.34326171875</v>
      </c>
      <c r="G120" s="1">
        <v>53704000</v>
      </c>
      <c r="H120" s="2" t="str">
        <f t="shared" si="1"/>
        <v>Turun</v>
      </c>
    </row>
    <row r="121" spans="1:8" x14ac:dyDescent="0.2">
      <c r="A121" s="1">
        <v>120</v>
      </c>
      <c r="B121" s="3">
        <v>44377</v>
      </c>
      <c r="C121" s="4">
        <v>5366.0973158713696</v>
      </c>
      <c r="D121" s="4">
        <v>5428.7017845565397</v>
      </c>
      <c r="E121" s="4">
        <v>5366.0973158713696</v>
      </c>
      <c r="F121" s="4">
        <v>5388.4560546875</v>
      </c>
      <c r="G121" s="1">
        <v>65795000</v>
      </c>
      <c r="H121" s="2" t="str">
        <f t="shared" si="1"/>
        <v>Turun</v>
      </c>
    </row>
    <row r="122" spans="1:8" x14ac:dyDescent="0.2">
      <c r="A122" s="1">
        <v>121</v>
      </c>
      <c r="B122" s="3">
        <v>44378</v>
      </c>
      <c r="C122" s="4">
        <v>5419.75828903008</v>
      </c>
      <c r="D122" s="4">
        <v>5433.1735323197599</v>
      </c>
      <c r="E122" s="4">
        <v>5366.0973158713696</v>
      </c>
      <c r="F122" s="4">
        <v>5388.4560546875</v>
      </c>
      <c r="G122" s="1">
        <v>58153000</v>
      </c>
      <c r="H122" s="2" t="str">
        <f>IF(F122&gt;F121,"Naik",IF(F122&lt;F121,"Turun","Stabil"))</f>
        <v>Stabil</v>
      </c>
    </row>
    <row r="123" spans="1:8" x14ac:dyDescent="0.2">
      <c r="A123" s="1">
        <v>122</v>
      </c>
      <c r="B123" s="3">
        <v>44379</v>
      </c>
      <c r="C123" s="4">
        <v>5428.7012543224901</v>
      </c>
      <c r="D123" s="4">
        <v>5491.3057168929299</v>
      </c>
      <c r="E123" s="4">
        <v>5401.8707703637301</v>
      </c>
      <c r="F123" s="4">
        <v>5455.53173828125</v>
      </c>
      <c r="G123" s="1">
        <v>67392500</v>
      </c>
      <c r="H123" s="2" t="str">
        <f t="shared" si="1"/>
        <v>Naik</v>
      </c>
    </row>
    <row r="124" spans="1:8" x14ac:dyDescent="0.2">
      <c r="A124" s="1">
        <v>123</v>
      </c>
      <c r="B124" s="3">
        <v>44382</v>
      </c>
      <c r="C124" s="4">
        <v>5455.5320907068299</v>
      </c>
      <c r="D124" s="4">
        <v>5482.3625763988302</v>
      </c>
      <c r="E124" s="4">
        <v>5428.7016050148304</v>
      </c>
      <c r="F124" s="4">
        <v>5464.4755859375</v>
      </c>
      <c r="G124" s="1">
        <v>39710500</v>
      </c>
      <c r="H124" s="2" t="str">
        <f t="shared" si="1"/>
        <v>Naik</v>
      </c>
    </row>
    <row r="125" spans="1:8" x14ac:dyDescent="0.2">
      <c r="A125" s="1">
        <v>124</v>
      </c>
      <c r="B125" s="3">
        <v>44383</v>
      </c>
      <c r="C125" s="4">
        <v>5464.4753544978303</v>
      </c>
      <c r="D125" s="4">
        <v>5464.4753544978303</v>
      </c>
      <c r="E125" s="4">
        <v>5415.2861328125</v>
      </c>
      <c r="F125" s="4">
        <v>5415.2861328125</v>
      </c>
      <c r="G125" s="1">
        <v>34279500</v>
      </c>
      <c r="H125" s="2" t="str">
        <f t="shared" si="1"/>
        <v>Turun</v>
      </c>
    </row>
    <row r="126" spans="1:8" x14ac:dyDescent="0.2">
      <c r="A126" s="1">
        <v>125</v>
      </c>
      <c r="B126" s="3">
        <v>44384</v>
      </c>
      <c r="C126" s="4">
        <v>5527.0801779549702</v>
      </c>
      <c r="D126" s="4">
        <v>5527.0801779549702</v>
      </c>
      <c r="E126" s="4">
        <v>5392.9277464512097</v>
      </c>
      <c r="F126" s="4">
        <v>5424.22998046875</v>
      </c>
      <c r="G126" s="1">
        <v>35595000</v>
      </c>
      <c r="H126" s="2" t="str">
        <f t="shared" si="1"/>
        <v>Naik</v>
      </c>
    </row>
    <row r="127" spans="1:8" x14ac:dyDescent="0.2">
      <c r="A127" s="1">
        <v>126</v>
      </c>
      <c r="B127" s="3">
        <v>44385</v>
      </c>
      <c r="C127" s="4">
        <v>5366.0964775561097</v>
      </c>
      <c r="D127" s="4">
        <v>5401.8704540731496</v>
      </c>
      <c r="E127" s="4">
        <v>5348.2094892975902</v>
      </c>
      <c r="F127" s="4">
        <v>5379.51171875</v>
      </c>
      <c r="G127" s="1">
        <v>47297000</v>
      </c>
      <c r="H127" s="2" t="str">
        <f t="shared" si="1"/>
        <v>Turun</v>
      </c>
    </row>
    <row r="128" spans="1:8" x14ac:dyDescent="0.2">
      <c r="A128" s="1">
        <v>127</v>
      </c>
      <c r="B128" s="3">
        <v>44386</v>
      </c>
      <c r="C128" s="4">
        <v>5375.0403918903103</v>
      </c>
      <c r="D128" s="4">
        <v>5383.98388671875</v>
      </c>
      <c r="E128" s="4">
        <v>5357.1534022334399</v>
      </c>
      <c r="F128" s="4">
        <v>5383.98388671875</v>
      </c>
      <c r="G128" s="1">
        <v>40707500</v>
      </c>
      <c r="H128" s="2" t="str">
        <f t="shared" si="1"/>
        <v>Naik</v>
      </c>
    </row>
    <row r="129" spans="1:8" x14ac:dyDescent="0.2">
      <c r="A129" s="1">
        <v>128</v>
      </c>
      <c r="B129" s="3">
        <v>44389</v>
      </c>
      <c r="C129" s="4">
        <v>5428.70224419444</v>
      </c>
      <c r="D129" s="4">
        <v>5527.0807033149304</v>
      </c>
      <c r="E129" s="4">
        <v>5383.98476277603</v>
      </c>
      <c r="F129" s="4">
        <v>5518.13720703125</v>
      </c>
      <c r="G129" s="1">
        <v>65981500</v>
      </c>
      <c r="H129" s="2" t="str">
        <f t="shared" si="1"/>
        <v>Naik</v>
      </c>
    </row>
    <row r="130" spans="1:8" x14ac:dyDescent="0.2">
      <c r="A130" s="1">
        <v>129</v>
      </c>
      <c r="B130" s="3">
        <v>44390</v>
      </c>
      <c r="C130" s="4">
        <v>5518.1369602654604</v>
      </c>
      <c r="D130" s="4">
        <v>5522.60870820733</v>
      </c>
      <c r="E130" s="4">
        <v>5379.5127740675398</v>
      </c>
      <c r="F130" s="4">
        <v>5406.34326171875</v>
      </c>
      <c r="G130" s="1">
        <v>65946500</v>
      </c>
      <c r="H130" s="2" t="str">
        <f t="shared" si="1"/>
        <v>Turun</v>
      </c>
    </row>
    <row r="131" spans="1:8" x14ac:dyDescent="0.2">
      <c r="A131" s="1">
        <v>130</v>
      </c>
      <c r="B131" s="3">
        <v>44391</v>
      </c>
      <c r="C131" s="4">
        <v>5383.98429511425</v>
      </c>
      <c r="D131" s="4">
        <v>5392.92779062109</v>
      </c>
      <c r="E131" s="4">
        <v>5348.21031308692</v>
      </c>
      <c r="F131" s="4">
        <v>5357.15380859375</v>
      </c>
      <c r="G131" s="1">
        <v>59321000</v>
      </c>
      <c r="H131" s="2" t="str">
        <f t="shared" si="1"/>
        <v>Turun</v>
      </c>
    </row>
    <row r="132" spans="1:8" x14ac:dyDescent="0.2">
      <c r="A132" s="1">
        <v>131</v>
      </c>
      <c r="B132" s="3">
        <v>44392</v>
      </c>
      <c r="C132" s="4">
        <v>5366.0965926512699</v>
      </c>
      <c r="D132" s="4">
        <v>5468.94677734375</v>
      </c>
      <c r="E132" s="4">
        <v>5361.62484549072</v>
      </c>
      <c r="F132" s="4">
        <v>5468.94677734375</v>
      </c>
      <c r="G132" s="1">
        <v>49724000</v>
      </c>
      <c r="H132" s="2" t="str">
        <f t="shared" ref="H132:H195" si="2">IF(F132&gt;F131,"Naik",IF(F132&lt;F131,"Turun","Stabil"))</f>
        <v>Naik</v>
      </c>
    </row>
    <row r="133" spans="1:8" x14ac:dyDescent="0.2">
      <c r="A133" s="1">
        <v>132</v>
      </c>
      <c r="B133" s="3">
        <v>44393</v>
      </c>
      <c r="C133" s="4">
        <v>5518.1365573214998</v>
      </c>
      <c r="D133" s="4">
        <v>5518.1365573214998</v>
      </c>
      <c r="E133" s="4">
        <v>5415.2863621688302</v>
      </c>
      <c r="F133" s="4">
        <v>5464.4755859375</v>
      </c>
      <c r="G133" s="1">
        <v>47998500</v>
      </c>
      <c r="H133" s="2" t="str">
        <f t="shared" si="2"/>
        <v>Turun</v>
      </c>
    </row>
    <row r="134" spans="1:8" x14ac:dyDescent="0.2">
      <c r="A134" s="1">
        <v>133</v>
      </c>
      <c r="B134" s="3">
        <v>44396</v>
      </c>
      <c r="C134" s="4">
        <v>5464.4755469075299</v>
      </c>
      <c r="D134" s="4">
        <v>5464.4755469075299</v>
      </c>
      <c r="E134" s="4">
        <v>5370.56884765625</v>
      </c>
      <c r="F134" s="4">
        <v>5370.56884765625</v>
      </c>
      <c r="G134" s="1">
        <v>47119000</v>
      </c>
      <c r="H134" s="2" t="str">
        <f t="shared" si="2"/>
        <v>Turun</v>
      </c>
    </row>
    <row r="135" spans="1:8" x14ac:dyDescent="0.2">
      <c r="A135" s="1">
        <v>134</v>
      </c>
      <c r="B135" s="3">
        <v>44398</v>
      </c>
      <c r="C135" s="4">
        <v>5410.8149990900602</v>
      </c>
      <c r="D135" s="4">
        <v>5473.41947015391</v>
      </c>
      <c r="E135" s="4">
        <v>5375.041015625</v>
      </c>
      <c r="F135" s="4">
        <v>5375.041015625</v>
      </c>
      <c r="G135" s="1">
        <v>55009500</v>
      </c>
      <c r="H135" s="2" t="str">
        <f t="shared" si="2"/>
        <v>Naik</v>
      </c>
    </row>
    <row r="136" spans="1:8" x14ac:dyDescent="0.2">
      <c r="A136" s="1">
        <v>135</v>
      </c>
      <c r="B136" s="3">
        <v>44399</v>
      </c>
      <c r="C136" s="4">
        <v>5468.9472112833801</v>
      </c>
      <c r="D136" s="4">
        <v>5504.72119140625</v>
      </c>
      <c r="E136" s="4">
        <v>5410.8144935837199</v>
      </c>
      <c r="F136" s="4">
        <v>5504.72119140625</v>
      </c>
      <c r="G136" s="1">
        <v>60792000</v>
      </c>
      <c r="H136" s="2" t="str">
        <f t="shared" si="2"/>
        <v>Naik</v>
      </c>
    </row>
    <row r="137" spans="1:8" x14ac:dyDescent="0.2">
      <c r="A137" s="1">
        <v>136</v>
      </c>
      <c r="B137" s="3">
        <v>44400</v>
      </c>
      <c r="C137" s="4">
        <v>5527.0795959118695</v>
      </c>
      <c r="D137" s="4">
        <v>5536.0230904036398</v>
      </c>
      <c r="E137" s="4">
        <v>5388.4554312894797</v>
      </c>
      <c r="F137" s="4">
        <v>5397.39892578125</v>
      </c>
      <c r="G137" s="1">
        <v>79938000</v>
      </c>
      <c r="H137" s="2" t="str">
        <f t="shared" si="2"/>
        <v>Turun</v>
      </c>
    </row>
    <row r="138" spans="1:8" x14ac:dyDescent="0.2">
      <c r="A138" s="1">
        <v>137</v>
      </c>
      <c r="B138" s="3">
        <v>44403</v>
      </c>
      <c r="C138" s="4">
        <v>5401.8710807400103</v>
      </c>
      <c r="D138" s="4">
        <v>5419.7580710735901</v>
      </c>
      <c r="E138" s="4">
        <v>5370.56884765625</v>
      </c>
      <c r="F138" s="4">
        <v>5370.56884765625</v>
      </c>
      <c r="G138" s="1">
        <v>48171500</v>
      </c>
      <c r="H138" s="2" t="str">
        <f t="shared" si="2"/>
        <v>Turun</v>
      </c>
    </row>
    <row r="139" spans="1:8" x14ac:dyDescent="0.2">
      <c r="A139" s="1">
        <v>138</v>
      </c>
      <c r="B139" s="3">
        <v>44404</v>
      </c>
      <c r="C139" s="4">
        <v>5370.56884765625</v>
      </c>
      <c r="D139" s="4">
        <v>5419.7580710735901</v>
      </c>
      <c r="E139" s="4">
        <v>5366.0971000728596</v>
      </c>
      <c r="F139" s="4">
        <v>5370.56884765625</v>
      </c>
      <c r="G139" s="1">
        <v>53107500</v>
      </c>
      <c r="H139" s="2" t="str">
        <f t="shared" si="2"/>
        <v>Stabil</v>
      </c>
    </row>
    <row r="140" spans="1:8" x14ac:dyDescent="0.2">
      <c r="A140" s="1">
        <v>139</v>
      </c>
      <c r="B140" s="3">
        <v>44405</v>
      </c>
      <c r="C140" s="4">
        <v>5370.5686982323896</v>
      </c>
      <c r="D140" s="4">
        <v>5375.0404456913702</v>
      </c>
      <c r="E140" s="4">
        <v>5339.2664660195396</v>
      </c>
      <c r="F140" s="4">
        <v>5348.2099609375</v>
      </c>
      <c r="G140" s="1">
        <v>74133000</v>
      </c>
      <c r="H140" s="2" t="str">
        <f t="shared" si="2"/>
        <v>Turun</v>
      </c>
    </row>
    <row r="141" spans="1:8" x14ac:dyDescent="0.2">
      <c r="A141" s="1">
        <v>140</v>
      </c>
      <c r="B141" s="3">
        <v>44406</v>
      </c>
      <c r="C141" s="4">
        <v>5415.2863365324902</v>
      </c>
      <c r="D141" s="4">
        <v>5442.1168220974796</v>
      </c>
      <c r="E141" s="4">
        <v>5348.2101226200302</v>
      </c>
      <c r="F141" s="4">
        <v>5401.87109375</v>
      </c>
      <c r="G141" s="1">
        <v>84605000</v>
      </c>
      <c r="H141" s="2" t="str">
        <f t="shared" si="2"/>
        <v>Naik</v>
      </c>
    </row>
    <row r="142" spans="1:8" x14ac:dyDescent="0.2">
      <c r="A142" s="1">
        <v>141</v>
      </c>
      <c r="B142" s="3">
        <v>44407</v>
      </c>
      <c r="C142" s="4">
        <v>5401.8715615839601</v>
      </c>
      <c r="D142" s="4">
        <v>5455.5325373612905</v>
      </c>
      <c r="E142" s="4">
        <v>5330.3235938808602</v>
      </c>
      <c r="F142" s="4">
        <v>5339.26708984375</v>
      </c>
      <c r="G142" s="1">
        <v>105685000</v>
      </c>
      <c r="H142" s="2" t="str">
        <f t="shared" si="2"/>
        <v>Turun</v>
      </c>
    </row>
    <row r="143" spans="1:8" x14ac:dyDescent="0.2">
      <c r="A143" s="1">
        <v>142</v>
      </c>
      <c r="B143" s="3">
        <v>44410</v>
      </c>
      <c r="C143" s="4">
        <v>5419.7576994415904</v>
      </c>
      <c r="D143" s="4">
        <v>5424.2294467183601</v>
      </c>
      <c r="E143" s="4">
        <v>5281.1335338618101</v>
      </c>
      <c r="F143" s="4">
        <v>5330.32275390625</v>
      </c>
      <c r="G143" s="1">
        <v>119981500</v>
      </c>
      <c r="H143" s="2" t="str">
        <f>IF(F143&gt;F142,"Naik",IF(F143&lt;F142,"Turun","Stabil"))</f>
        <v>Turun</v>
      </c>
    </row>
    <row r="144" spans="1:8" x14ac:dyDescent="0.2">
      <c r="A144" s="1">
        <v>143</v>
      </c>
      <c r="B144" s="3">
        <v>44411</v>
      </c>
      <c r="C144" s="4">
        <v>5388.4563677596097</v>
      </c>
      <c r="D144" s="4">
        <v>5527.0805564737602</v>
      </c>
      <c r="E144" s="4">
        <v>5352.6823835753203</v>
      </c>
      <c r="F144" s="4">
        <v>5495.7783203125</v>
      </c>
      <c r="G144" s="1">
        <v>110071500</v>
      </c>
      <c r="H144" s="2" t="str">
        <f t="shared" si="2"/>
        <v>Naik</v>
      </c>
    </row>
    <row r="145" spans="1:8" x14ac:dyDescent="0.2">
      <c r="A145" s="1">
        <v>144</v>
      </c>
      <c r="B145" s="3">
        <v>44412</v>
      </c>
      <c r="C145" s="4">
        <v>5495.7781731100604</v>
      </c>
      <c r="D145" s="4">
        <v>5500.2499210133301</v>
      </c>
      <c r="E145" s="4">
        <v>5419.7584587545998</v>
      </c>
      <c r="F145" s="4">
        <v>5473.41943359375</v>
      </c>
      <c r="G145" s="1">
        <v>41112000</v>
      </c>
      <c r="H145" s="2" t="str">
        <f t="shared" si="2"/>
        <v>Turun</v>
      </c>
    </row>
    <row r="146" spans="1:8" x14ac:dyDescent="0.2">
      <c r="A146" s="1">
        <v>145</v>
      </c>
      <c r="B146" s="3">
        <v>44413</v>
      </c>
      <c r="C146" s="4">
        <v>5518.1364203558996</v>
      </c>
      <c r="D146" s="4">
        <v>5643.3453504774297</v>
      </c>
      <c r="E146" s="4">
        <v>5491.3059353298604</v>
      </c>
      <c r="F146" s="4">
        <v>5634.40185546875</v>
      </c>
      <c r="G146" s="1">
        <v>93768000</v>
      </c>
      <c r="H146" s="2" t="str">
        <f t="shared" si="2"/>
        <v>Naik</v>
      </c>
    </row>
    <row r="147" spans="1:8" x14ac:dyDescent="0.2">
      <c r="A147" s="1">
        <v>146</v>
      </c>
      <c r="B147" s="3">
        <v>44414</v>
      </c>
      <c r="C147" s="4">
        <v>5688.0632736404204</v>
      </c>
      <c r="D147" s="4">
        <v>5688.0632736404204</v>
      </c>
      <c r="E147" s="4">
        <v>5486.8346200918204</v>
      </c>
      <c r="F147" s="4">
        <v>5509.193359375</v>
      </c>
      <c r="G147" s="1">
        <v>67285000</v>
      </c>
      <c r="H147" s="2" t="str">
        <f t="shared" si="2"/>
        <v>Turun</v>
      </c>
    </row>
    <row r="148" spans="1:8" x14ac:dyDescent="0.2">
      <c r="A148" s="1">
        <v>147</v>
      </c>
      <c r="B148" s="3">
        <v>44417</v>
      </c>
      <c r="C148" s="4">
        <v>5486.8345636183203</v>
      </c>
      <c r="D148" s="4">
        <v>5544.96728515625</v>
      </c>
      <c r="E148" s="4">
        <v>5460.0040767546598</v>
      </c>
      <c r="F148" s="4">
        <v>5544.96728515625</v>
      </c>
      <c r="G148" s="1">
        <v>52858500</v>
      </c>
      <c r="H148" s="2" t="str">
        <f t="shared" si="2"/>
        <v>Naik</v>
      </c>
    </row>
    <row r="149" spans="1:8" x14ac:dyDescent="0.2">
      <c r="A149" s="1">
        <v>148</v>
      </c>
      <c r="B149" s="3">
        <v>44418</v>
      </c>
      <c r="C149" s="4">
        <v>5589.6843804253504</v>
      </c>
      <c r="D149" s="4">
        <v>5634.40185546875</v>
      </c>
      <c r="E149" s="4">
        <v>5468.9471978081601</v>
      </c>
      <c r="F149" s="4">
        <v>5634.40185546875</v>
      </c>
      <c r="G149" s="1">
        <v>60446000</v>
      </c>
      <c r="H149" s="2" t="str">
        <f t="shared" si="2"/>
        <v>Naik</v>
      </c>
    </row>
    <row r="150" spans="1:8" x14ac:dyDescent="0.2">
      <c r="A150" s="1">
        <v>149</v>
      </c>
      <c r="B150" s="3">
        <v>44420</v>
      </c>
      <c r="C150" s="4">
        <v>5473.4189453125</v>
      </c>
      <c r="D150" s="4">
        <v>5652.2888454861104</v>
      </c>
      <c r="E150" s="4">
        <v>5473.4189453125</v>
      </c>
      <c r="F150" s="4">
        <v>5634.40185546875</v>
      </c>
      <c r="G150" s="1">
        <v>118325500</v>
      </c>
      <c r="H150" s="2" t="str">
        <f t="shared" si="2"/>
        <v>Stabil</v>
      </c>
    </row>
    <row r="151" spans="1:8" x14ac:dyDescent="0.2">
      <c r="A151" s="1">
        <v>150</v>
      </c>
      <c r="B151" s="3">
        <v>44421</v>
      </c>
      <c r="C151" s="4">
        <v>5679.1197873500896</v>
      </c>
      <c r="D151" s="4">
        <v>5755.1395010390297</v>
      </c>
      <c r="E151" s="4">
        <v>5656.7610480298099</v>
      </c>
      <c r="F151" s="4">
        <v>5732.78076171875</v>
      </c>
      <c r="G151" s="1">
        <v>86929000</v>
      </c>
      <c r="H151" s="2" t="str">
        <f t="shared" si="2"/>
        <v>Naik</v>
      </c>
    </row>
    <row r="152" spans="1:8" x14ac:dyDescent="0.2">
      <c r="A152" s="1">
        <v>151</v>
      </c>
      <c r="B152" s="3">
        <v>44424</v>
      </c>
      <c r="C152" s="4">
        <v>5741.72412109375</v>
      </c>
      <c r="D152" s="4">
        <v>5741.72412109375</v>
      </c>
      <c r="E152" s="4">
        <v>5638.8739226629395</v>
      </c>
      <c r="F152" s="4">
        <v>5741.72412109375</v>
      </c>
      <c r="G152" s="1">
        <v>69282000</v>
      </c>
      <c r="H152" s="2" t="str">
        <f t="shared" si="2"/>
        <v>Naik</v>
      </c>
    </row>
    <row r="153" spans="1:8" x14ac:dyDescent="0.2">
      <c r="A153" s="1">
        <v>152</v>
      </c>
      <c r="B153" s="3">
        <v>44426</v>
      </c>
      <c r="C153" s="4">
        <v>5831.1585848721597</v>
      </c>
      <c r="D153" s="4">
        <v>6045.8024591619296</v>
      </c>
      <c r="E153" s="4">
        <v>5777.49761629972</v>
      </c>
      <c r="F153" s="4">
        <v>5902.70654296875</v>
      </c>
      <c r="G153" s="1">
        <v>186354500</v>
      </c>
      <c r="H153" s="2" t="str">
        <f t="shared" si="2"/>
        <v>Naik</v>
      </c>
    </row>
    <row r="154" spans="1:8" x14ac:dyDescent="0.2">
      <c r="A154" s="1">
        <v>153</v>
      </c>
      <c r="B154" s="3">
        <v>44427</v>
      </c>
      <c r="C154" s="4">
        <v>5902.70654296875</v>
      </c>
      <c r="D154" s="4">
        <v>5902.70654296875</v>
      </c>
      <c r="E154" s="4">
        <v>5840.10207963423</v>
      </c>
      <c r="F154" s="4">
        <v>5902.70654296875</v>
      </c>
      <c r="G154" s="1">
        <v>100926000</v>
      </c>
      <c r="H154" s="2" t="str">
        <f t="shared" si="2"/>
        <v>Stabil</v>
      </c>
    </row>
    <row r="155" spans="1:8" x14ac:dyDescent="0.2">
      <c r="A155" s="1">
        <v>154</v>
      </c>
      <c r="B155" s="3">
        <v>44428</v>
      </c>
      <c r="C155" s="4">
        <v>5902.70654296875</v>
      </c>
      <c r="D155" s="4">
        <v>5902.70654296875</v>
      </c>
      <c r="E155" s="4">
        <v>5822.2150901100904</v>
      </c>
      <c r="F155" s="4">
        <v>5902.70654296875</v>
      </c>
      <c r="G155" s="1">
        <v>120163500</v>
      </c>
      <c r="H155" s="2" t="str">
        <f t="shared" si="2"/>
        <v>Stabil</v>
      </c>
    </row>
    <row r="156" spans="1:8" x14ac:dyDescent="0.2">
      <c r="A156" s="1">
        <v>155</v>
      </c>
      <c r="B156" s="3">
        <v>44431</v>
      </c>
      <c r="C156" s="4">
        <v>5826.6869713373699</v>
      </c>
      <c r="D156" s="4">
        <v>5893.76318359375</v>
      </c>
      <c r="E156" s="4">
        <v>5826.6869713373699</v>
      </c>
      <c r="F156" s="4">
        <v>5893.76318359375</v>
      </c>
      <c r="G156" s="1">
        <v>68253000</v>
      </c>
      <c r="H156" s="2" t="str">
        <f t="shared" si="2"/>
        <v>Turun</v>
      </c>
    </row>
    <row r="157" spans="1:8" x14ac:dyDescent="0.2">
      <c r="A157" s="1">
        <v>156</v>
      </c>
      <c r="B157" s="3">
        <v>44432</v>
      </c>
      <c r="C157" s="4">
        <v>5875.8760586825301</v>
      </c>
      <c r="D157" s="4">
        <v>5902.70654296875</v>
      </c>
      <c r="E157" s="4">
        <v>5813.2715953480101</v>
      </c>
      <c r="F157" s="4">
        <v>5902.70654296875</v>
      </c>
      <c r="G157" s="1">
        <v>59561500</v>
      </c>
      <c r="H157" s="2" t="str">
        <f t="shared" si="2"/>
        <v>Naik</v>
      </c>
    </row>
    <row r="158" spans="1:8" x14ac:dyDescent="0.2">
      <c r="A158" s="1">
        <v>157</v>
      </c>
      <c r="B158" s="3">
        <v>44433</v>
      </c>
      <c r="C158" s="4">
        <v>5902.70654296875</v>
      </c>
      <c r="D158" s="4">
        <v>5907.1782903497897</v>
      </c>
      <c r="E158" s="4">
        <v>5889.2913008256401</v>
      </c>
      <c r="F158" s="4">
        <v>5902.70654296875</v>
      </c>
      <c r="G158" s="1">
        <v>80751500</v>
      </c>
      <c r="H158" s="2" t="str">
        <f t="shared" si="2"/>
        <v>Stabil</v>
      </c>
    </row>
    <row r="159" spans="1:8" x14ac:dyDescent="0.2">
      <c r="A159" s="1">
        <v>158</v>
      </c>
      <c r="B159" s="3">
        <v>44434</v>
      </c>
      <c r="C159" s="4">
        <v>5866.93310546875</v>
      </c>
      <c r="D159" s="4">
        <v>5884.8200966439599</v>
      </c>
      <c r="E159" s="4">
        <v>5786.4416451803099</v>
      </c>
      <c r="F159" s="4">
        <v>5866.93310546875</v>
      </c>
      <c r="G159" s="1">
        <v>74337000</v>
      </c>
      <c r="H159" s="2" t="str">
        <f t="shared" si="2"/>
        <v>Turun</v>
      </c>
    </row>
    <row r="160" spans="1:8" x14ac:dyDescent="0.2">
      <c r="A160" s="1">
        <v>159</v>
      </c>
      <c r="B160" s="3">
        <v>44435</v>
      </c>
      <c r="C160" s="4">
        <v>5804.3288285450299</v>
      </c>
      <c r="D160" s="4">
        <v>5840.1028120799701</v>
      </c>
      <c r="E160" s="4">
        <v>5804.3288285450299</v>
      </c>
      <c r="F160" s="4">
        <v>5822.2158203125</v>
      </c>
      <c r="G160" s="1">
        <v>71572500</v>
      </c>
      <c r="H160" s="2" t="str">
        <f t="shared" si="2"/>
        <v>Turun</v>
      </c>
    </row>
    <row r="161" spans="1:8" x14ac:dyDescent="0.2">
      <c r="A161" s="1">
        <v>160</v>
      </c>
      <c r="B161" s="3">
        <v>44438</v>
      </c>
      <c r="C161" s="4">
        <v>5840.1025509627298</v>
      </c>
      <c r="D161" s="4">
        <v>5884.8200283820397</v>
      </c>
      <c r="E161" s="4">
        <v>5831.15905547886</v>
      </c>
      <c r="F161" s="4">
        <v>5871.40478515625</v>
      </c>
      <c r="G161" s="1">
        <v>74564500</v>
      </c>
      <c r="H161" s="2" t="str">
        <f t="shared" si="2"/>
        <v>Naik</v>
      </c>
    </row>
    <row r="162" spans="1:8" x14ac:dyDescent="0.2">
      <c r="A162" s="1">
        <v>161</v>
      </c>
      <c r="B162" s="3">
        <v>44439</v>
      </c>
      <c r="C162" s="4">
        <v>5831.15925870706</v>
      </c>
      <c r="D162" s="4">
        <v>5875.87673768488</v>
      </c>
      <c r="E162" s="4">
        <v>5826.68751080928</v>
      </c>
      <c r="F162" s="4">
        <v>5857.98974609375</v>
      </c>
      <c r="G162" s="1">
        <v>115373500</v>
      </c>
      <c r="H162" s="2" t="str">
        <f t="shared" si="2"/>
        <v>Turun</v>
      </c>
    </row>
    <row r="163" spans="1:8" x14ac:dyDescent="0.2">
      <c r="A163" s="1">
        <v>162</v>
      </c>
      <c r="B163" s="3">
        <v>44440</v>
      </c>
      <c r="C163" s="4">
        <v>5857.9895419304603</v>
      </c>
      <c r="D163" s="4">
        <v>5902.7070193497702</v>
      </c>
      <c r="E163" s="4">
        <v>5844.5742987046597</v>
      </c>
      <c r="F163" s="4">
        <v>5871.40478515625</v>
      </c>
      <c r="G163" s="1">
        <v>67362500</v>
      </c>
      <c r="H163" s="2" t="str">
        <f>IF(F163&gt;F162,"Naik",IF(F163&lt;F162,"Turun","Stabil"))</f>
        <v>Naik</v>
      </c>
    </row>
    <row r="164" spans="1:8" x14ac:dyDescent="0.2">
      <c r="A164" s="1">
        <v>163</v>
      </c>
      <c r="B164" s="3">
        <v>44441</v>
      </c>
      <c r="C164" s="4">
        <v>5835.6311427125102</v>
      </c>
      <c r="D164" s="4">
        <v>5880.3486227332996</v>
      </c>
      <c r="E164" s="4">
        <v>5773.02667068341</v>
      </c>
      <c r="F164" s="4">
        <v>5849.04638671875</v>
      </c>
      <c r="G164" s="1">
        <v>53257000</v>
      </c>
      <c r="H164" s="2" t="str">
        <f t="shared" si="2"/>
        <v>Turun</v>
      </c>
    </row>
    <row r="165" spans="1:8" x14ac:dyDescent="0.2">
      <c r="A165" s="1">
        <v>164</v>
      </c>
      <c r="B165" s="3">
        <v>44442</v>
      </c>
      <c r="C165" s="4">
        <v>5866.9325639204499</v>
      </c>
      <c r="D165" s="4">
        <v>5902.70654296875</v>
      </c>
      <c r="E165" s="4">
        <v>5826.6868374911201</v>
      </c>
      <c r="F165" s="4">
        <v>5902.70654296875</v>
      </c>
      <c r="G165" s="1">
        <v>35764500</v>
      </c>
      <c r="H165" s="2" t="str">
        <f t="shared" si="2"/>
        <v>Naik</v>
      </c>
    </row>
    <row r="166" spans="1:8" x14ac:dyDescent="0.2">
      <c r="A166" s="1">
        <v>165</v>
      </c>
      <c r="B166" s="3">
        <v>44445</v>
      </c>
      <c r="C166" s="4">
        <v>5902.7073728612204</v>
      </c>
      <c r="D166" s="4">
        <v>5907.1791208709601</v>
      </c>
      <c r="E166" s="4">
        <v>5857.9898927637796</v>
      </c>
      <c r="F166" s="4">
        <v>5880.3486328125</v>
      </c>
      <c r="G166" s="1">
        <v>36780000</v>
      </c>
      <c r="H166" s="2" t="str">
        <f t="shared" si="2"/>
        <v>Turun</v>
      </c>
    </row>
    <row r="167" spans="1:8" x14ac:dyDescent="0.2">
      <c r="A167" s="1">
        <v>166</v>
      </c>
      <c r="B167" s="3">
        <v>44446</v>
      </c>
      <c r="C167" s="4">
        <v>5898.2356934337004</v>
      </c>
      <c r="D167" s="4">
        <v>5907.1791895571696</v>
      </c>
      <c r="E167" s="4">
        <v>5875.876953125</v>
      </c>
      <c r="F167" s="4">
        <v>5875.876953125</v>
      </c>
      <c r="G167" s="1">
        <v>53902000</v>
      </c>
      <c r="H167" s="2" t="str">
        <f t="shared" si="2"/>
        <v>Turun</v>
      </c>
    </row>
    <row r="168" spans="1:8" x14ac:dyDescent="0.2">
      <c r="A168" s="1">
        <v>167</v>
      </c>
      <c r="B168" s="3">
        <v>44447</v>
      </c>
      <c r="C168" s="4">
        <v>5857.9892858659296</v>
      </c>
      <c r="D168" s="4">
        <v>5898.2350137840904</v>
      </c>
      <c r="E168" s="4">
        <v>5741.7238496579002</v>
      </c>
      <c r="F168" s="4">
        <v>5759.61083984375</v>
      </c>
      <c r="G168" s="1">
        <v>77888000</v>
      </c>
      <c r="H168" s="2" t="str">
        <f t="shared" si="2"/>
        <v>Turun</v>
      </c>
    </row>
    <row r="169" spans="1:8" x14ac:dyDescent="0.2">
      <c r="A169" s="1">
        <v>168</v>
      </c>
      <c r="B169" s="3">
        <v>44448</v>
      </c>
      <c r="C169" s="4">
        <v>5732.7810151493504</v>
      </c>
      <c r="D169" s="4">
        <v>5875.876953125</v>
      </c>
      <c r="E169" s="4">
        <v>5732.7810151493504</v>
      </c>
      <c r="F169" s="4">
        <v>5875.876953125</v>
      </c>
      <c r="G169" s="1">
        <v>110074000</v>
      </c>
      <c r="H169" s="2" t="str">
        <f t="shared" si="2"/>
        <v>Naik</v>
      </c>
    </row>
    <row r="170" spans="1:8" x14ac:dyDescent="0.2">
      <c r="A170" s="1">
        <v>169</v>
      </c>
      <c r="B170" s="3">
        <v>44449</v>
      </c>
      <c r="C170" s="4">
        <v>5808.8004405015799</v>
      </c>
      <c r="D170" s="4">
        <v>5871.4049102221497</v>
      </c>
      <c r="E170" s="4">
        <v>5808.8004405015799</v>
      </c>
      <c r="F170" s="4">
        <v>5831.1591796875</v>
      </c>
      <c r="G170" s="1">
        <v>41483500</v>
      </c>
      <c r="H170" s="2" t="str">
        <f t="shared" si="2"/>
        <v>Turun</v>
      </c>
    </row>
    <row r="171" spans="1:8" x14ac:dyDescent="0.2">
      <c r="A171" s="1">
        <v>170</v>
      </c>
      <c r="B171" s="3">
        <v>44452</v>
      </c>
      <c r="C171" s="4">
        <v>5866.9331736269996</v>
      </c>
      <c r="D171" s="4">
        <v>5866.9331736269996</v>
      </c>
      <c r="E171" s="4">
        <v>5835.6309387067404</v>
      </c>
      <c r="F171" s="4">
        <v>5862.46142578125</v>
      </c>
      <c r="G171" s="1">
        <v>29929000</v>
      </c>
      <c r="H171" s="2" t="str">
        <f t="shared" si="2"/>
        <v>Naik</v>
      </c>
    </row>
    <row r="172" spans="1:8" x14ac:dyDescent="0.2">
      <c r="A172" s="1">
        <v>171</v>
      </c>
      <c r="B172" s="3">
        <v>44453</v>
      </c>
      <c r="C172" s="4">
        <v>5893.7633063168496</v>
      </c>
      <c r="D172" s="4">
        <v>5898.2350538937199</v>
      </c>
      <c r="E172" s="4">
        <v>5808.8001023562801</v>
      </c>
      <c r="F172" s="4">
        <v>5853.517578125</v>
      </c>
      <c r="G172" s="1">
        <v>51990500</v>
      </c>
      <c r="H172" s="2" t="str">
        <f t="shared" si="2"/>
        <v>Turun</v>
      </c>
    </row>
    <row r="173" spans="1:8" x14ac:dyDescent="0.2">
      <c r="A173" s="1">
        <v>172</v>
      </c>
      <c r="B173" s="3">
        <v>44454</v>
      </c>
      <c r="C173" s="4">
        <v>5853.5177702048504</v>
      </c>
      <c r="D173" s="4">
        <v>5857.9895179284504</v>
      </c>
      <c r="E173" s="4">
        <v>5799.8567975215301</v>
      </c>
      <c r="F173" s="4">
        <v>5808.80029296875</v>
      </c>
      <c r="G173" s="1">
        <v>44514000</v>
      </c>
      <c r="H173" s="2" t="str">
        <f t="shared" si="2"/>
        <v>Turun</v>
      </c>
    </row>
    <row r="174" spans="1:8" x14ac:dyDescent="0.2">
      <c r="A174" s="1">
        <v>173</v>
      </c>
      <c r="B174" s="3">
        <v>44455</v>
      </c>
      <c r="C174" s="4">
        <v>5884.8194411057702</v>
      </c>
      <c r="D174" s="4">
        <v>5884.8194411057702</v>
      </c>
      <c r="E174" s="4">
        <v>5795.3844951923102</v>
      </c>
      <c r="F174" s="4">
        <v>5813.271484375</v>
      </c>
      <c r="G174" s="1">
        <v>58672500</v>
      </c>
      <c r="H174" s="2" t="str">
        <f t="shared" si="2"/>
        <v>Naik</v>
      </c>
    </row>
    <row r="175" spans="1:8" x14ac:dyDescent="0.2">
      <c r="A175" s="1">
        <v>174</v>
      </c>
      <c r="B175" s="3">
        <v>44456</v>
      </c>
      <c r="C175" s="4">
        <v>5804.3286926643996</v>
      </c>
      <c r="D175" s="4">
        <v>5844.5744231990502</v>
      </c>
      <c r="E175" s="4">
        <v>5795.3851969900297</v>
      </c>
      <c r="F175" s="4">
        <v>5831.1591796875</v>
      </c>
      <c r="G175" s="1">
        <v>117540000</v>
      </c>
      <c r="H175" s="2" t="str">
        <f t="shared" si="2"/>
        <v>Naik</v>
      </c>
    </row>
    <row r="176" spans="1:8" x14ac:dyDescent="0.2">
      <c r="A176" s="1">
        <v>175</v>
      </c>
      <c r="B176" s="3">
        <v>44459</v>
      </c>
      <c r="C176" s="4">
        <v>5875.87674846953</v>
      </c>
      <c r="D176" s="4">
        <v>5893.76374009349</v>
      </c>
      <c r="E176" s="4">
        <v>5822.2157735976698</v>
      </c>
      <c r="F176" s="4">
        <v>5889.2919921875</v>
      </c>
      <c r="G176" s="1">
        <v>73157500</v>
      </c>
      <c r="H176" s="2" t="str">
        <f t="shared" si="2"/>
        <v>Naik</v>
      </c>
    </row>
    <row r="177" spans="1:8" x14ac:dyDescent="0.2">
      <c r="A177" s="1">
        <v>176</v>
      </c>
      <c r="B177" s="3">
        <v>44460</v>
      </c>
      <c r="C177" s="4">
        <v>5822.2156043853502</v>
      </c>
      <c r="D177" s="4">
        <v>5844.5743432654799</v>
      </c>
      <c r="E177" s="4">
        <v>5786.4416221771498</v>
      </c>
      <c r="F177" s="4">
        <v>5804.32861328125</v>
      </c>
      <c r="G177" s="1">
        <v>57115500</v>
      </c>
      <c r="H177" s="2" t="str">
        <f t="shared" si="2"/>
        <v>Turun</v>
      </c>
    </row>
    <row r="178" spans="1:8" x14ac:dyDescent="0.2">
      <c r="A178" s="1">
        <v>177</v>
      </c>
      <c r="B178" s="3">
        <v>44461</v>
      </c>
      <c r="C178" s="4">
        <v>5813.2721994779804</v>
      </c>
      <c r="D178" s="4">
        <v>5884.82016501001</v>
      </c>
      <c r="E178" s="4">
        <v>5813.2721994779804</v>
      </c>
      <c r="F178" s="4">
        <v>5862.46142578125</v>
      </c>
      <c r="G178" s="1">
        <v>68722000</v>
      </c>
      <c r="H178" s="2" t="str">
        <f t="shared" si="2"/>
        <v>Naik</v>
      </c>
    </row>
    <row r="179" spans="1:8" x14ac:dyDescent="0.2">
      <c r="A179" s="1">
        <v>178</v>
      </c>
      <c r="B179" s="3">
        <v>44462</v>
      </c>
      <c r="C179" s="4">
        <v>5862.4605998587103</v>
      </c>
      <c r="D179" s="4">
        <v>5893.7628303690199</v>
      </c>
      <c r="E179" s="4">
        <v>5853.5171054271896</v>
      </c>
      <c r="F179" s="4">
        <v>5884.8193359375</v>
      </c>
      <c r="G179" s="1">
        <v>60998500</v>
      </c>
      <c r="H179" s="2" t="str">
        <f t="shared" si="2"/>
        <v>Naik</v>
      </c>
    </row>
    <row r="180" spans="1:8" x14ac:dyDescent="0.2">
      <c r="A180" s="1">
        <v>179</v>
      </c>
      <c r="B180" s="3">
        <v>44463</v>
      </c>
      <c r="C180" s="4">
        <v>5813.2722777856898</v>
      </c>
      <c r="D180" s="4">
        <v>5889.2919921875</v>
      </c>
      <c r="E180" s="4">
        <v>5813.2722777856898</v>
      </c>
      <c r="F180" s="4">
        <v>5889.2919921875</v>
      </c>
      <c r="G180" s="1">
        <v>60539500</v>
      </c>
      <c r="H180" s="2" t="str">
        <f t="shared" si="2"/>
        <v>Naik</v>
      </c>
    </row>
    <row r="181" spans="1:8" x14ac:dyDescent="0.2">
      <c r="A181" s="1">
        <v>180</v>
      </c>
      <c r="B181" s="3">
        <v>44466</v>
      </c>
      <c r="C181" s="4">
        <v>5889.2910831532599</v>
      </c>
      <c r="D181" s="4">
        <v>5898.2345775847698</v>
      </c>
      <c r="E181" s="4">
        <v>5862.4605998587103</v>
      </c>
      <c r="F181" s="4">
        <v>5884.8193359375</v>
      </c>
      <c r="G181" s="1">
        <v>55052500</v>
      </c>
      <c r="H181" s="2" t="str">
        <f t="shared" si="2"/>
        <v>Turun</v>
      </c>
    </row>
    <row r="182" spans="1:8" x14ac:dyDescent="0.2">
      <c r="A182" s="1">
        <v>181</v>
      </c>
      <c r="B182" s="3">
        <v>44467</v>
      </c>
      <c r="C182" s="4">
        <v>5849.0461710362297</v>
      </c>
      <c r="D182" s="4">
        <v>5866.9331623849703</v>
      </c>
      <c r="E182" s="4">
        <v>5813.2721883387703</v>
      </c>
      <c r="F182" s="4">
        <v>5831.1591796875</v>
      </c>
      <c r="G182" s="1">
        <v>80186000</v>
      </c>
      <c r="H182" s="2" t="str">
        <f t="shared" si="2"/>
        <v>Turun</v>
      </c>
    </row>
    <row r="183" spans="1:8" x14ac:dyDescent="0.2">
      <c r="A183" s="1">
        <v>182</v>
      </c>
      <c r="B183" s="3">
        <v>44468</v>
      </c>
      <c r="C183" s="4">
        <v>5831.1583693483999</v>
      </c>
      <c r="D183" s="4">
        <v>5884.8193359375</v>
      </c>
      <c r="E183" s="4">
        <v>5826.68662213265</v>
      </c>
      <c r="F183" s="4">
        <v>5884.8193359375</v>
      </c>
      <c r="G183" s="1">
        <v>74079000</v>
      </c>
      <c r="H183" s="2" t="str">
        <f t="shared" si="2"/>
        <v>Naik</v>
      </c>
    </row>
    <row r="184" spans="1:8" x14ac:dyDescent="0.2">
      <c r="A184" s="1">
        <v>183</v>
      </c>
      <c r="B184" s="3">
        <v>44469</v>
      </c>
      <c r="C184" s="4">
        <v>5902.7069614955399</v>
      </c>
      <c r="D184" s="4">
        <v>6260.44677734375</v>
      </c>
      <c r="E184" s="4">
        <v>5898.2352137974303</v>
      </c>
      <c r="F184" s="4">
        <v>6260.44677734375</v>
      </c>
      <c r="G184" s="1">
        <v>156848000</v>
      </c>
      <c r="H184" s="2" t="str">
        <f t="shared" si="2"/>
        <v>Naik</v>
      </c>
    </row>
    <row r="185" spans="1:8" x14ac:dyDescent="0.2">
      <c r="A185" s="1">
        <v>184</v>
      </c>
      <c r="B185" s="3">
        <v>44470</v>
      </c>
      <c r="C185" s="4">
        <v>6171.0116667437096</v>
      </c>
      <c r="D185" s="4">
        <v>6171.0116667437096</v>
      </c>
      <c r="E185" s="4">
        <v>6001.0852585290304</v>
      </c>
      <c r="F185" s="4">
        <v>6045.802734375</v>
      </c>
      <c r="G185" s="1">
        <v>103954500</v>
      </c>
      <c r="H185" s="2" t="str">
        <f>IF(F185&gt;F184,"Naik",IF(F185&lt;F184,"Turun","Stabil"))</f>
        <v>Turun</v>
      </c>
    </row>
    <row r="186" spans="1:8" x14ac:dyDescent="0.2">
      <c r="A186" s="1">
        <v>185</v>
      </c>
      <c r="B186" s="3">
        <v>44473</v>
      </c>
      <c r="C186" s="4">
        <v>6027.91595108208</v>
      </c>
      <c r="D186" s="4">
        <v>6224.6728515625</v>
      </c>
      <c r="E186" s="4">
        <v>6027.91595108208</v>
      </c>
      <c r="F186" s="4">
        <v>6224.6728515625</v>
      </c>
      <c r="G186" s="1">
        <v>74719000</v>
      </c>
      <c r="H186" s="2" t="str">
        <f t="shared" si="2"/>
        <v>Naik</v>
      </c>
    </row>
    <row r="187" spans="1:8" x14ac:dyDescent="0.2">
      <c r="A187" s="1">
        <v>186</v>
      </c>
      <c r="B187" s="3">
        <v>44474</v>
      </c>
      <c r="C187" s="4">
        <v>6179.9550914833098</v>
      </c>
      <c r="D187" s="4">
        <v>6211.25732421875</v>
      </c>
      <c r="E187" s="4">
        <v>6135.2376161469601</v>
      </c>
      <c r="F187" s="4">
        <v>6211.25732421875</v>
      </c>
      <c r="G187" s="1">
        <v>54986500</v>
      </c>
      <c r="H187" s="2" t="str">
        <f t="shared" si="2"/>
        <v>Turun</v>
      </c>
    </row>
    <row r="188" spans="1:8" x14ac:dyDescent="0.2">
      <c r="A188" s="1">
        <v>187</v>
      </c>
      <c r="B188" s="3">
        <v>44475</v>
      </c>
      <c r="C188" s="4">
        <v>6242.5602544502999</v>
      </c>
      <c r="D188" s="4">
        <v>6421.43017578125</v>
      </c>
      <c r="E188" s="4">
        <v>6233.6167583837496</v>
      </c>
      <c r="F188" s="4">
        <v>6421.43017578125</v>
      </c>
      <c r="G188" s="1">
        <v>174312000</v>
      </c>
      <c r="H188" s="2" t="str">
        <f t="shared" si="2"/>
        <v>Naik</v>
      </c>
    </row>
    <row r="189" spans="1:8" x14ac:dyDescent="0.2">
      <c r="A189" s="1">
        <v>188</v>
      </c>
      <c r="B189" s="3">
        <v>44476</v>
      </c>
      <c r="C189" s="4">
        <v>6416.9582123996197</v>
      </c>
      <c r="D189" s="4">
        <v>6416.9582123996197</v>
      </c>
      <c r="E189" s="4">
        <v>6331.9950026187098</v>
      </c>
      <c r="F189" s="4">
        <v>6403.54296875</v>
      </c>
      <c r="G189" s="1">
        <v>107263500</v>
      </c>
      <c r="H189" s="2" t="str">
        <f t="shared" si="2"/>
        <v>Turun</v>
      </c>
    </row>
    <row r="190" spans="1:8" x14ac:dyDescent="0.2">
      <c r="A190" s="1">
        <v>189</v>
      </c>
      <c r="B190" s="3">
        <v>44477</v>
      </c>
      <c r="C190" s="4">
        <v>6439.3166473765395</v>
      </c>
      <c r="D190" s="4">
        <v>6528.7516008123303</v>
      </c>
      <c r="E190" s="4">
        <v>6416.9579090176003</v>
      </c>
      <c r="F190" s="4">
        <v>6519.80810546875</v>
      </c>
      <c r="G190" s="1">
        <v>94643500</v>
      </c>
      <c r="H190" s="2" t="str">
        <f t="shared" si="2"/>
        <v>Naik</v>
      </c>
    </row>
    <row r="191" spans="1:8" x14ac:dyDescent="0.2">
      <c r="A191" s="1">
        <v>190</v>
      </c>
      <c r="B191" s="3">
        <v>44480</v>
      </c>
      <c r="C191" s="4">
        <v>6475.0906163852496</v>
      </c>
      <c r="D191" s="4">
        <v>6519.8080930177503</v>
      </c>
      <c r="E191" s="4">
        <v>6466.1471210587497</v>
      </c>
      <c r="F191" s="4">
        <v>6488.505859375</v>
      </c>
      <c r="G191" s="1">
        <v>47201000</v>
      </c>
      <c r="H191" s="2" t="str">
        <f t="shared" si="2"/>
        <v>Turun</v>
      </c>
    </row>
    <row r="192" spans="1:8" x14ac:dyDescent="0.2">
      <c r="A192" s="1">
        <v>191</v>
      </c>
      <c r="B192" s="3">
        <v>44481</v>
      </c>
      <c r="C192" s="4">
        <v>6488.5054674825997</v>
      </c>
      <c r="D192" s="4">
        <v>6546.63818359375</v>
      </c>
      <c r="E192" s="4">
        <v>6479.5619726962695</v>
      </c>
      <c r="F192" s="4">
        <v>6546.63818359375</v>
      </c>
      <c r="G192" s="1">
        <v>91067000</v>
      </c>
      <c r="H192" s="2" t="str">
        <f t="shared" si="2"/>
        <v>Naik</v>
      </c>
    </row>
    <row r="193" spans="1:8" x14ac:dyDescent="0.2">
      <c r="A193" s="1">
        <v>192</v>
      </c>
      <c r="B193" s="3">
        <v>44482</v>
      </c>
      <c r="C193" s="4">
        <v>6618.1872534260801</v>
      </c>
      <c r="D193" s="4">
        <v>7378.3844379412403</v>
      </c>
      <c r="E193" s="4">
        <v>6618.1872534260801</v>
      </c>
      <c r="F193" s="4">
        <v>6729.98095703125</v>
      </c>
      <c r="G193" s="1">
        <v>210893300</v>
      </c>
      <c r="H193" s="2" t="str">
        <f t="shared" si="2"/>
        <v>Naik</v>
      </c>
    </row>
    <row r="194" spans="1:8" x14ac:dyDescent="0.2">
      <c r="A194" s="1">
        <v>193</v>
      </c>
      <c r="B194" s="3">
        <v>44483</v>
      </c>
      <c r="C194" s="4">
        <v>6797.0560735887102</v>
      </c>
      <c r="D194" s="4">
        <v>7065.3609185987898</v>
      </c>
      <c r="E194" s="4">
        <v>6797.0560735887102</v>
      </c>
      <c r="F194" s="4">
        <v>6931.20849609375</v>
      </c>
      <c r="G194" s="1">
        <v>138811900</v>
      </c>
      <c r="H194" s="2" t="str">
        <f t="shared" si="2"/>
        <v>Naik</v>
      </c>
    </row>
    <row r="195" spans="1:8" x14ac:dyDescent="0.2">
      <c r="A195" s="1">
        <v>194</v>
      </c>
      <c r="B195" s="3">
        <v>44484</v>
      </c>
      <c r="C195" s="4">
        <v>6975.9263556985297</v>
      </c>
      <c r="D195" s="4">
        <v>7043.0025706571696</v>
      </c>
      <c r="E195" s="4">
        <v>6662.9040192248804</v>
      </c>
      <c r="F195" s="4">
        <v>6841.77392578125</v>
      </c>
      <c r="G195" s="1">
        <v>142378200</v>
      </c>
      <c r="H195" s="2" t="str">
        <f t="shared" si="2"/>
        <v>Turun</v>
      </c>
    </row>
    <row r="196" spans="1:8" x14ac:dyDescent="0.2">
      <c r="A196" s="1">
        <v>195</v>
      </c>
      <c r="B196" s="3">
        <v>44487</v>
      </c>
      <c r="C196" s="4">
        <v>6841.7746606364199</v>
      </c>
      <c r="D196" s="4">
        <v>6864.1334013574497</v>
      </c>
      <c r="E196" s="4">
        <v>6685.2634755891804</v>
      </c>
      <c r="F196" s="4">
        <v>6729.98095703125</v>
      </c>
      <c r="G196" s="1">
        <v>116644300</v>
      </c>
      <c r="H196" s="2" t="str">
        <f t="shared" ref="H196:H259" si="3">IF(F196&gt;F195,"Naik",IF(F196&lt;F195,"Turun","Stabil"))</f>
        <v>Turun</v>
      </c>
    </row>
    <row r="197" spans="1:8" x14ac:dyDescent="0.2">
      <c r="A197" s="1">
        <v>196</v>
      </c>
      <c r="B197" s="3">
        <v>44488</v>
      </c>
      <c r="C197" s="4">
        <v>6685.2633300781199</v>
      </c>
      <c r="D197" s="4">
        <v>6729.9808105468801</v>
      </c>
      <c r="E197" s="4">
        <v>6573.4696289062504</v>
      </c>
      <c r="F197" s="4">
        <v>6707.6220703125</v>
      </c>
      <c r="G197" s="1">
        <v>134601200</v>
      </c>
      <c r="H197" s="2" t="str">
        <f t="shared" si="3"/>
        <v>Turun</v>
      </c>
    </row>
    <row r="198" spans="1:8" x14ac:dyDescent="0.2">
      <c r="A198" s="1">
        <v>197</v>
      </c>
      <c r="B198" s="3">
        <v>44490</v>
      </c>
      <c r="C198" s="4">
        <v>6707.6214764569304</v>
      </c>
      <c r="D198" s="4">
        <v>6752.3389529666401</v>
      </c>
      <c r="E198" s="4">
        <v>6573.4690469277903</v>
      </c>
      <c r="F198" s="4">
        <v>6618.1865234375</v>
      </c>
      <c r="G198" s="1">
        <v>106120100</v>
      </c>
      <c r="H198" s="2" t="str">
        <f t="shared" si="3"/>
        <v>Turun</v>
      </c>
    </row>
    <row r="199" spans="1:8" x14ac:dyDescent="0.2">
      <c r="A199" s="1">
        <v>198</v>
      </c>
      <c r="B199" s="3">
        <v>44491</v>
      </c>
      <c r="C199" s="4">
        <v>6662.9047348681497</v>
      </c>
      <c r="D199" s="4">
        <v>6752.3396977522798</v>
      </c>
      <c r="E199" s="4">
        <v>6640.5459941471099</v>
      </c>
      <c r="F199" s="4">
        <v>6729.98095703125</v>
      </c>
      <c r="G199" s="1">
        <v>96730700</v>
      </c>
      <c r="H199" s="2" t="str">
        <f t="shared" si="3"/>
        <v>Naik</v>
      </c>
    </row>
    <row r="200" spans="1:8" x14ac:dyDescent="0.2">
      <c r="A200" s="1">
        <v>199</v>
      </c>
      <c r="B200" s="3">
        <v>44494</v>
      </c>
      <c r="C200" s="4">
        <v>6618.1872534260801</v>
      </c>
      <c r="D200" s="4">
        <v>6729.98095703125</v>
      </c>
      <c r="E200" s="4">
        <v>6618.1872534260801</v>
      </c>
      <c r="F200" s="4">
        <v>6729.98095703125</v>
      </c>
      <c r="G200" s="1">
        <v>60329800</v>
      </c>
      <c r="H200" s="2" t="str">
        <f t="shared" si="3"/>
        <v>Stabil</v>
      </c>
    </row>
    <row r="201" spans="1:8" x14ac:dyDescent="0.2">
      <c r="A201" s="1">
        <v>200</v>
      </c>
      <c r="B201" s="3">
        <v>44495</v>
      </c>
      <c r="C201" s="4">
        <v>6797.0571791943503</v>
      </c>
      <c r="D201" s="4">
        <v>6797.0571791943503</v>
      </c>
      <c r="E201" s="4">
        <v>6707.6222163102202</v>
      </c>
      <c r="F201" s="4">
        <v>6729.98095703125</v>
      </c>
      <c r="G201" s="1">
        <v>70103000</v>
      </c>
      <c r="H201" s="2" t="str">
        <f t="shared" si="3"/>
        <v>Stabil</v>
      </c>
    </row>
    <row r="202" spans="1:8" x14ac:dyDescent="0.2">
      <c r="A202" s="1">
        <v>201</v>
      </c>
      <c r="B202" s="3">
        <v>44496</v>
      </c>
      <c r="C202" s="4">
        <v>6774.6979931312899</v>
      </c>
      <c r="D202" s="4">
        <v>6774.6979931312899</v>
      </c>
      <c r="E202" s="4">
        <v>6640.54555762374</v>
      </c>
      <c r="F202" s="4">
        <v>6662.904296875</v>
      </c>
      <c r="G202" s="1">
        <v>57067000</v>
      </c>
      <c r="H202" s="2" t="str">
        <f t="shared" si="3"/>
        <v>Turun</v>
      </c>
    </row>
    <row r="203" spans="1:8" x14ac:dyDescent="0.2">
      <c r="A203" s="1">
        <v>202</v>
      </c>
      <c r="B203" s="3">
        <v>44497</v>
      </c>
      <c r="C203" s="4">
        <v>6573.4684123410998</v>
      </c>
      <c r="D203" s="4">
        <v>6640.5446206303004</v>
      </c>
      <c r="E203" s="4">
        <v>6573.4684123410998</v>
      </c>
      <c r="F203" s="4">
        <v>6595.8271484375</v>
      </c>
      <c r="G203" s="1">
        <v>75271900</v>
      </c>
      <c r="H203" s="2" t="str">
        <f t="shared" si="3"/>
        <v>Turun</v>
      </c>
    </row>
    <row r="204" spans="1:8" x14ac:dyDescent="0.2">
      <c r="A204" s="1">
        <v>203</v>
      </c>
      <c r="B204" s="3">
        <v>44498</v>
      </c>
      <c r="C204" s="4">
        <v>6662.9039572010897</v>
      </c>
      <c r="D204" s="4">
        <v>6685.2626953125</v>
      </c>
      <c r="E204" s="4">
        <v>6595.8277428668498</v>
      </c>
      <c r="F204" s="4">
        <v>6685.2626953125</v>
      </c>
      <c r="G204" s="1">
        <v>60639200</v>
      </c>
      <c r="H204" s="2" t="str">
        <f t="shared" si="3"/>
        <v>Naik</v>
      </c>
    </row>
    <row r="205" spans="1:8" x14ac:dyDescent="0.2">
      <c r="A205" s="1">
        <v>204</v>
      </c>
      <c r="B205" s="3">
        <v>44501</v>
      </c>
      <c r="C205" s="4">
        <v>6752.3389529666401</v>
      </c>
      <c r="D205" s="4">
        <v>6752.3389529666401</v>
      </c>
      <c r="E205" s="4">
        <v>6618.1865234375</v>
      </c>
      <c r="F205" s="4">
        <v>6618.1865234375</v>
      </c>
      <c r="G205" s="1">
        <v>38593400</v>
      </c>
      <c r="H205" s="2" t="str">
        <f>IF(F205&gt;F204,"Naik",IF(F205&lt;F204,"Turun","Stabil"))</f>
        <v>Turun</v>
      </c>
    </row>
    <row r="206" spans="1:8" x14ac:dyDescent="0.2">
      <c r="A206" s="1">
        <v>205</v>
      </c>
      <c r="B206" s="3">
        <v>44502</v>
      </c>
      <c r="C206" s="4">
        <v>6595.8276785236503</v>
      </c>
      <c r="D206" s="4">
        <v>6640.5451543102499</v>
      </c>
      <c r="E206" s="4">
        <v>6484.0339890571504</v>
      </c>
      <c r="F206" s="4">
        <v>6528.75146484375</v>
      </c>
      <c r="G206" s="1">
        <v>90535400</v>
      </c>
      <c r="H206" s="2" t="str">
        <f t="shared" si="3"/>
        <v>Turun</v>
      </c>
    </row>
    <row r="207" spans="1:8" x14ac:dyDescent="0.2">
      <c r="A207" s="1">
        <v>206</v>
      </c>
      <c r="B207" s="3">
        <v>44503</v>
      </c>
      <c r="C207" s="4">
        <v>6528.7517604698096</v>
      </c>
      <c r="D207" s="4">
        <v>6618.1867160926904</v>
      </c>
      <c r="E207" s="4">
        <v>6484.0342826583801</v>
      </c>
      <c r="F207" s="4">
        <v>6573.46923828125</v>
      </c>
      <c r="G207" s="1">
        <v>61621500</v>
      </c>
      <c r="H207" s="2" t="str">
        <f t="shared" si="3"/>
        <v>Naik</v>
      </c>
    </row>
    <row r="208" spans="1:8" x14ac:dyDescent="0.2">
      <c r="A208" s="1">
        <v>207</v>
      </c>
      <c r="B208" s="3">
        <v>44504</v>
      </c>
      <c r="C208" s="4">
        <v>6640.5446206303004</v>
      </c>
      <c r="D208" s="4">
        <v>6685.2620928230899</v>
      </c>
      <c r="E208" s="4">
        <v>6595.8271484375</v>
      </c>
      <c r="F208" s="4">
        <v>6595.8271484375</v>
      </c>
      <c r="G208" s="1">
        <v>61081400</v>
      </c>
      <c r="H208" s="2" t="str">
        <f t="shared" si="3"/>
        <v>Naik</v>
      </c>
    </row>
    <row r="209" spans="1:8" x14ac:dyDescent="0.2">
      <c r="A209" s="1">
        <v>208</v>
      </c>
      <c r="B209" s="3">
        <v>44505</v>
      </c>
      <c r="C209" s="4">
        <v>6685.26303612626</v>
      </c>
      <c r="D209" s="4">
        <v>6685.26303612626</v>
      </c>
      <c r="E209" s="4">
        <v>6595.8280791212301</v>
      </c>
      <c r="F209" s="4">
        <v>6662.904296875</v>
      </c>
      <c r="G209" s="1">
        <v>43120400</v>
      </c>
      <c r="H209" s="2" t="str">
        <f t="shared" si="3"/>
        <v>Naik</v>
      </c>
    </row>
    <row r="210" spans="1:8" x14ac:dyDescent="0.2">
      <c r="A210" s="1">
        <v>209</v>
      </c>
      <c r="B210" s="3">
        <v>44508</v>
      </c>
      <c r="C210" s="4">
        <v>6707.6215385210398</v>
      </c>
      <c r="D210" s="4">
        <v>6797.0564923679904</v>
      </c>
      <c r="E210" s="4">
        <v>6662.90406159757</v>
      </c>
      <c r="F210" s="4">
        <v>6774.69775390625</v>
      </c>
      <c r="G210" s="1">
        <v>85441700</v>
      </c>
      <c r="H210" s="2" t="str">
        <f t="shared" si="3"/>
        <v>Naik</v>
      </c>
    </row>
    <row r="211" spans="1:8" x14ac:dyDescent="0.2">
      <c r="A211" s="1">
        <v>210</v>
      </c>
      <c r="B211" s="3">
        <v>44509</v>
      </c>
      <c r="C211" s="4">
        <v>6797.0561125814302</v>
      </c>
      <c r="D211" s="4">
        <v>6864.13232421875</v>
      </c>
      <c r="E211" s="4">
        <v>6774.6973753689899</v>
      </c>
      <c r="F211" s="4">
        <v>6864.13232421875</v>
      </c>
      <c r="G211" s="1">
        <v>101785800</v>
      </c>
      <c r="H211" s="2" t="str">
        <f t="shared" si="3"/>
        <v>Naik</v>
      </c>
    </row>
    <row r="212" spans="1:8" x14ac:dyDescent="0.2">
      <c r="A212" s="1">
        <v>211</v>
      </c>
      <c r="B212" s="3">
        <v>44510</v>
      </c>
      <c r="C212" s="4">
        <v>6864.1326641008</v>
      </c>
      <c r="D212" s="4">
        <v>6864.1326641008</v>
      </c>
      <c r="E212" s="4">
        <v>6774.6977108226101</v>
      </c>
      <c r="F212" s="4">
        <v>6841.77392578125</v>
      </c>
      <c r="G212" s="1">
        <v>47503900</v>
      </c>
      <c r="H212" s="2" t="str">
        <f t="shared" si="3"/>
        <v>Turun</v>
      </c>
    </row>
    <row r="213" spans="1:8" x14ac:dyDescent="0.2">
      <c r="A213" s="1">
        <v>212</v>
      </c>
      <c r="B213" s="3">
        <v>44511</v>
      </c>
      <c r="C213" s="4">
        <v>6886.4910614311902</v>
      </c>
      <c r="D213" s="4">
        <v>6931.2085358560698</v>
      </c>
      <c r="E213" s="4">
        <v>6797.0561125814302</v>
      </c>
      <c r="F213" s="4">
        <v>6864.13232421875</v>
      </c>
      <c r="G213" s="1">
        <v>55790000</v>
      </c>
      <c r="H213" s="2" t="str">
        <f t="shared" si="3"/>
        <v>Naik</v>
      </c>
    </row>
    <row r="214" spans="1:8" x14ac:dyDescent="0.2">
      <c r="A214" s="1">
        <v>213</v>
      </c>
      <c r="B214" s="3">
        <v>44512</v>
      </c>
      <c r="C214" s="4">
        <v>6931.2096235205599</v>
      </c>
      <c r="D214" s="4">
        <v>6931.2096235205599</v>
      </c>
      <c r="E214" s="4">
        <v>6729.98095703125</v>
      </c>
      <c r="F214" s="4">
        <v>6729.98095703125</v>
      </c>
      <c r="G214" s="1">
        <v>52590100</v>
      </c>
      <c r="H214" s="2" t="str">
        <f t="shared" si="3"/>
        <v>Turun</v>
      </c>
    </row>
    <row r="215" spans="1:8" x14ac:dyDescent="0.2">
      <c r="A215" s="1">
        <v>214</v>
      </c>
      <c r="B215" s="3">
        <v>44515</v>
      </c>
      <c r="C215" s="4">
        <v>6819.4157714843795</v>
      </c>
      <c r="D215" s="4">
        <v>6819.4157714843795</v>
      </c>
      <c r="E215" s="4">
        <v>6707.6220703125</v>
      </c>
      <c r="F215" s="4">
        <v>6707.6220703125</v>
      </c>
      <c r="G215" s="1">
        <v>67344200</v>
      </c>
      <c r="H215" s="2" t="str">
        <f t="shared" si="3"/>
        <v>Turun</v>
      </c>
    </row>
    <row r="216" spans="1:8" x14ac:dyDescent="0.2">
      <c r="A216" s="1">
        <v>215</v>
      </c>
      <c r="B216" s="3">
        <v>44516</v>
      </c>
      <c r="C216" s="4">
        <v>6618.1864809782601</v>
      </c>
      <c r="D216" s="4">
        <v>6685.2626953125</v>
      </c>
      <c r="E216" s="4">
        <v>6551.1102666440202</v>
      </c>
      <c r="F216" s="4">
        <v>6685.2626953125</v>
      </c>
      <c r="G216" s="1">
        <v>98616900</v>
      </c>
      <c r="H216" s="2" t="str">
        <f t="shared" si="3"/>
        <v>Turun</v>
      </c>
    </row>
    <row r="217" spans="1:8" x14ac:dyDescent="0.2">
      <c r="A217" s="1">
        <v>216</v>
      </c>
      <c r="B217" s="3">
        <v>44517</v>
      </c>
      <c r="C217" s="4">
        <v>6730.1298538056899</v>
      </c>
      <c r="D217" s="4">
        <v>6797.43115234375</v>
      </c>
      <c r="E217" s="4">
        <v>6662.8285552676398</v>
      </c>
      <c r="F217" s="4">
        <v>6797.43115234375</v>
      </c>
      <c r="G217" s="1">
        <v>61968100</v>
      </c>
      <c r="H217" s="2" t="str">
        <f t="shared" si="3"/>
        <v>Naik</v>
      </c>
    </row>
    <row r="218" spans="1:8" x14ac:dyDescent="0.2">
      <c r="A218" s="1">
        <v>217</v>
      </c>
      <c r="B218" s="3">
        <v>44518</v>
      </c>
      <c r="C218" s="4">
        <v>6662.8292764199796</v>
      </c>
      <c r="D218" s="4">
        <v>6730.1305822424001</v>
      </c>
      <c r="E218" s="4">
        <v>6640.3955078125</v>
      </c>
      <c r="F218" s="4">
        <v>6640.3955078125</v>
      </c>
      <c r="G218" s="1">
        <v>78839600</v>
      </c>
      <c r="H218" s="2" t="str">
        <f t="shared" si="3"/>
        <v>Turun</v>
      </c>
    </row>
    <row r="219" spans="1:8" x14ac:dyDescent="0.2">
      <c r="A219" s="1">
        <v>218</v>
      </c>
      <c r="B219" s="3">
        <v>44519</v>
      </c>
      <c r="C219" s="4">
        <v>6662.82958984375</v>
      </c>
      <c r="D219" s="4">
        <v>6685.2633595065199</v>
      </c>
      <c r="E219" s="4">
        <v>6617.9620505182002</v>
      </c>
      <c r="F219" s="4">
        <v>6662.82958984375</v>
      </c>
      <c r="G219" s="1">
        <v>68203700</v>
      </c>
      <c r="H219" s="2" t="str">
        <f t="shared" si="3"/>
        <v>Naik</v>
      </c>
    </row>
    <row r="220" spans="1:8" x14ac:dyDescent="0.2">
      <c r="A220" s="1">
        <v>219</v>
      </c>
      <c r="B220" s="3">
        <v>44522</v>
      </c>
      <c r="C220" s="4">
        <v>6662.8287553563996</v>
      </c>
      <c r="D220" s="4">
        <v>6752.5638227686004</v>
      </c>
      <c r="E220" s="4">
        <v>6640.3949885033398</v>
      </c>
      <c r="F220" s="4">
        <v>6707.6962890625</v>
      </c>
      <c r="G220" s="1">
        <v>66328300</v>
      </c>
      <c r="H220" s="2" t="str">
        <f t="shared" si="3"/>
        <v>Naik</v>
      </c>
    </row>
    <row r="221" spans="1:8" x14ac:dyDescent="0.2">
      <c r="A221" s="1">
        <v>220</v>
      </c>
      <c r="B221" s="3">
        <v>44523</v>
      </c>
      <c r="C221" s="4">
        <v>6640.3949885033398</v>
      </c>
      <c r="D221" s="4">
        <v>6730.1300559155497</v>
      </c>
      <c r="E221" s="4">
        <v>6640.3949885033398</v>
      </c>
      <c r="F221" s="4">
        <v>6707.6962890625</v>
      </c>
      <c r="G221" s="1">
        <v>43477500</v>
      </c>
      <c r="H221" s="2" t="str">
        <f t="shared" si="3"/>
        <v>Stabil</v>
      </c>
    </row>
    <row r="222" spans="1:8" x14ac:dyDescent="0.2">
      <c r="A222" s="1">
        <v>221</v>
      </c>
      <c r="B222" s="3">
        <v>44524</v>
      </c>
      <c r="C222" s="4">
        <v>6797.4313564747099</v>
      </c>
      <c r="D222" s="4">
        <v>6797.4313564747099</v>
      </c>
      <c r="E222" s="4">
        <v>6662.8287553563996</v>
      </c>
      <c r="F222" s="4">
        <v>6707.6962890625</v>
      </c>
      <c r="G222" s="1">
        <v>35181400</v>
      </c>
      <c r="H222" s="2" t="str">
        <f t="shared" si="3"/>
        <v>Stabil</v>
      </c>
    </row>
    <row r="223" spans="1:8" x14ac:dyDescent="0.2">
      <c r="A223" s="1">
        <v>222</v>
      </c>
      <c r="B223" s="3">
        <v>44525</v>
      </c>
      <c r="C223" s="4">
        <v>6685.2633595065199</v>
      </c>
      <c r="D223" s="4">
        <v>6752.5646684948397</v>
      </c>
      <c r="E223" s="4">
        <v>6662.82958984375</v>
      </c>
      <c r="F223" s="4">
        <v>6662.82958984375</v>
      </c>
      <c r="G223" s="1">
        <v>40216100</v>
      </c>
      <c r="H223" s="2" t="str">
        <f t="shared" si="3"/>
        <v>Turun</v>
      </c>
    </row>
    <row r="224" spans="1:8" x14ac:dyDescent="0.2">
      <c r="A224" s="1">
        <v>223</v>
      </c>
      <c r="B224" s="3">
        <v>44526</v>
      </c>
      <c r="C224" s="4">
        <v>6640.3949071091101</v>
      </c>
      <c r="D224" s="4">
        <v>6685.26244026525</v>
      </c>
      <c r="E224" s="4">
        <v>6505.7923076406796</v>
      </c>
      <c r="F224" s="4">
        <v>6528.22607421875</v>
      </c>
      <c r="G224" s="1">
        <v>113288400</v>
      </c>
      <c r="H224" s="2" t="str">
        <f t="shared" si="3"/>
        <v>Turun</v>
      </c>
    </row>
    <row r="225" spans="1:8" x14ac:dyDescent="0.2">
      <c r="A225" s="1">
        <v>224</v>
      </c>
      <c r="B225" s="3">
        <v>44529</v>
      </c>
      <c r="C225" s="4">
        <v>6528.2266647751303</v>
      </c>
      <c r="D225" s="4">
        <v>6662.8292764199796</v>
      </c>
      <c r="E225" s="4">
        <v>6438.4915903452302</v>
      </c>
      <c r="F225" s="4">
        <v>6640.3955078125</v>
      </c>
      <c r="G225" s="1">
        <v>87907900</v>
      </c>
      <c r="H225" s="2" t="str">
        <f t="shared" si="3"/>
        <v>Naik</v>
      </c>
    </row>
    <row r="226" spans="1:8" x14ac:dyDescent="0.2">
      <c r="A226" s="1">
        <v>225</v>
      </c>
      <c r="B226" s="3">
        <v>44530</v>
      </c>
      <c r="C226" s="4">
        <v>6573.0936073748899</v>
      </c>
      <c r="D226" s="4">
        <v>6662.8286736871796</v>
      </c>
      <c r="E226" s="4">
        <v>6528.22607421875</v>
      </c>
      <c r="F226" s="4">
        <v>6528.22607421875</v>
      </c>
      <c r="G226" s="1">
        <v>144923700</v>
      </c>
      <c r="H226" s="2" t="str">
        <f t="shared" si="3"/>
        <v>Turun</v>
      </c>
    </row>
    <row r="227" spans="1:8" x14ac:dyDescent="0.2">
      <c r="A227" s="1">
        <v>226</v>
      </c>
      <c r="B227" s="3">
        <v>44531</v>
      </c>
      <c r="C227" s="4">
        <v>6528.2259019825597</v>
      </c>
      <c r="D227" s="4">
        <v>6685.2622638859202</v>
      </c>
      <c r="E227" s="4">
        <v>6528.2259019825597</v>
      </c>
      <c r="F227" s="4">
        <v>6550.65966796875</v>
      </c>
      <c r="G227" s="1">
        <v>76538100</v>
      </c>
      <c r="H227" s="2" t="str">
        <f>IF(F227&gt;F226,"Naik",IF(F227&lt;F226,"Turun","Stabil"))</f>
        <v>Naik</v>
      </c>
    </row>
    <row r="228" spans="1:8" x14ac:dyDescent="0.2">
      <c r="A228" s="1">
        <v>227</v>
      </c>
      <c r="B228" s="3">
        <v>44532</v>
      </c>
      <c r="C228" s="4">
        <v>6617.96153157552</v>
      </c>
      <c r="D228" s="4">
        <v>6730.13037109375</v>
      </c>
      <c r="E228" s="4">
        <v>6550.6602278645796</v>
      </c>
      <c r="F228" s="4">
        <v>6730.13037109375</v>
      </c>
      <c r="G228" s="1">
        <v>66831000</v>
      </c>
      <c r="H228" s="2" t="str">
        <f t="shared" si="3"/>
        <v>Naik</v>
      </c>
    </row>
    <row r="229" spans="1:8" x14ac:dyDescent="0.2">
      <c r="A229" s="1">
        <v>228</v>
      </c>
      <c r="B229" s="3">
        <v>44533</v>
      </c>
      <c r="C229" s="4">
        <v>6752.56403105138</v>
      </c>
      <c r="D229" s="4">
        <v>6752.56403105138</v>
      </c>
      <c r="E229" s="4">
        <v>6595.5276582362303</v>
      </c>
      <c r="F229" s="4">
        <v>6617.96142578125</v>
      </c>
      <c r="G229" s="1">
        <v>63283700</v>
      </c>
      <c r="H229" s="2" t="str">
        <f t="shared" si="3"/>
        <v>Turun</v>
      </c>
    </row>
    <row r="230" spans="1:8" x14ac:dyDescent="0.2">
      <c r="A230" s="1">
        <v>229</v>
      </c>
      <c r="B230" s="3">
        <v>44536</v>
      </c>
      <c r="C230" s="4">
        <v>6685.2629045758904</v>
      </c>
      <c r="D230" s="4">
        <v>6707.6966727120498</v>
      </c>
      <c r="E230" s="4">
        <v>6595.52783203125</v>
      </c>
      <c r="F230" s="4">
        <v>6595.52783203125</v>
      </c>
      <c r="G230" s="1">
        <v>56944100</v>
      </c>
      <c r="H230" s="2" t="str">
        <f t="shared" si="3"/>
        <v>Turun</v>
      </c>
    </row>
    <row r="231" spans="1:8" x14ac:dyDescent="0.2">
      <c r="A231" s="1">
        <v>230</v>
      </c>
      <c r="B231" s="3">
        <v>44537</v>
      </c>
      <c r="C231" s="4">
        <v>6685.2629045758904</v>
      </c>
      <c r="D231" s="4">
        <v>6707.6966727120498</v>
      </c>
      <c r="E231" s="4">
        <v>6595.52783203125</v>
      </c>
      <c r="F231" s="4">
        <v>6595.52783203125</v>
      </c>
      <c r="G231" s="1">
        <v>51258200</v>
      </c>
      <c r="H231" s="2" t="str">
        <f t="shared" si="3"/>
        <v>Stabil</v>
      </c>
    </row>
    <row r="232" spans="1:8" x14ac:dyDescent="0.2">
      <c r="A232" s="1">
        <v>231</v>
      </c>
      <c r="B232" s="3">
        <v>44538</v>
      </c>
      <c r="C232" s="4">
        <v>6685.2633595065199</v>
      </c>
      <c r="D232" s="4">
        <v>6707.6971291692998</v>
      </c>
      <c r="E232" s="4">
        <v>6640.3958201809801</v>
      </c>
      <c r="F232" s="4">
        <v>6662.82958984375</v>
      </c>
      <c r="G232" s="1">
        <v>74775000</v>
      </c>
      <c r="H232" s="2" t="str">
        <f t="shared" si="3"/>
        <v>Naik</v>
      </c>
    </row>
    <row r="233" spans="1:8" x14ac:dyDescent="0.2">
      <c r="A233" s="1">
        <v>232</v>
      </c>
      <c r="B233" s="3">
        <v>44539</v>
      </c>
      <c r="C233" s="4">
        <v>6640.3953683035697</v>
      </c>
      <c r="D233" s="4">
        <v>6685.2629045758904</v>
      </c>
      <c r="E233" s="4">
        <v>6595.52783203125</v>
      </c>
      <c r="F233" s="4">
        <v>6595.52783203125</v>
      </c>
      <c r="G233" s="1">
        <v>54886400</v>
      </c>
      <c r="H233" s="2" t="str">
        <f t="shared" si="3"/>
        <v>Turun</v>
      </c>
    </row>
    <row r="234" spans="1:8" x14ac:dyDescent="0.2">
      <c r="A234" s="1">
        <v>233</v>
      </c>
      <c r="B234" s="3">
        <v>44540</v>
      </c>
      <c r="C234" s="4">
        <v>6573.0938906912097</v>
      </c>
      <c r="D234" s="4">
        <v>6617.96142578125</v>
      </c>
      <c r="E234" s="4">
        <v>6528.2263556011703</v>
      </c>
      <c r="F234" s="4">
        <v>6617.96142578125</v>
      </c>
      <c r="G234" s="1">
        <v>91092400</v>
      </c>
      <c r="H234" s="2" t="str">
        <f t="shared" si="3"/>
        <v>Naik</v>
      </c>
    </row>
    <row r="235" spans="1:8" x14ac:dyDescent="0.2">
      <c r="A235" s="1">
        <v>234</v>
      </c>
      <c r="B235" s="3">
        <v>44543</v>
      </c>
      <c r="C235" s="4">
        <v>6617.9609659273301</v>
      </c>
      <c r="D235" s="4">
        <v>6640.3947319135304</v>
      </c>
      <c r="E235" s="4">
        <v>6550.65966796875</v>
      </c>
      <c r="F235" s="4">
        <v>6550.65966796875</v>
      </c>
      <c r="G235" s="1">
        <v>59977100</v>
      </c>
      <c r="H235" s="2" t="str">
        <f t="shared" si="3"/>
        <v>Turun</v>
      </c>
    </row>
    <row r="236" spans="1:8" x14ac:dyDescent="0.2">
      <c r="A236" s="1">
        <v>235</v>
      </c>
      <c r="B236" s="3">
        <v>44544</v>
      </c>
      <c r="C236" s="4">
        <v>6550.65966796875</v>
      </c>
      <c r="D236" s="4">
        <v>6617.9609659273301</v>
      </c>
      <c r="E236" s="4">
        <v>6528.2259019825597</v>
      </c>
      <c r="F236" s="4">
        <v>6550.65966796875</v>
      </c>
      <c r="G236" s="1">
        <v>49763600</v>
      </c>
      <c r="H236" s="2" t="str">
        <f t="shared" si="3"/>
        <v>Stabil</v>
      </c>
    </row>
    <row r="237" spans="1:8" x14ac:dyDescent="0.2">
      <c r="A237" s="1">
        <v>236</v>
      </c>
      <c r="B237" s="3">
        <v>44545</v>
      </c>
      <c r="C237" s="4">
        <v>6550.65966796875</v>
      </c>
      <c r="D237" s="4">
        <v>6617.9609659273301</v>
      </c>
      <c r="E237" s="4">
        <v>6528.2259019825597</v>
      </c>
      <c r="F237" s="4">
        <v>6550.65966796875</v>
      </c>
      <c r="G237" s="1">
        <v>52477600</v>
      </c>
      <c r="H237" s="2" t="str">
        <f t="shared" si="3"/>
        <v>Stabil</v>
      </c>
    </row>
    <row r="238" spans="1:8" x14ac:dyDescent="0.2">
      <c r="A238" s="1">
        <v>237</v>
      </c>
      <c r="B238" s="3">
        <v>44546</v>
      </c>
      <c r="C238" s="4">
        <v>6617.9611405310397</v>
      </c>
      <c r="D238" s="4">
        <v>6640.3949071091101</v>
      </c>
      <c r="E238" s="4">
        <v>6528.22607421875</v>
      </c>
      <c r="F238" s="4">
        <v>6528.22607421875</v>
      </c>
      <c r="G238" s="1">
        <v>95171400</v>
      </c>
      <c r="H238" s="2" t="str">
        <f t="shared" si="3"/>
        <v>Turun</v>
      </c>
    </row>
    <row r="239" spans="1:8" x14ac:dyDescent="0.2">
      <c r="A239" s="1">
        <v>238</v>
      </c>
      <c r="B239" s="3">
        <v>44547</v>
      </c>
      <c r="C239" s="4">
        <v>6573.0939957682303</v>
      </c>
      <c r="D239" s="4">
        <v>6730.13037109375</v>
      </c>
      <c r="E239" s="4">
        <v>6550.6602278645796</v>
      </c>
      <c r="F239" s="4">
        <v>6730.13037109375</v>
      </c>
      <c r="G239" s="1">
        <v>107096800</v>
      </c>
      <c r="H239" s="2" t="str">
        <f t="shared" si="3"/>
        <v>Naik</v>
      </c>
    </row>
    <row r="240" spans="1:8" x14ac:dyDescent="0.2">
      <c r="A240" s="1">
        <v>239</v>
      </c>
      <c r="B240" s="3">
        <v>44550</v>
      </c>
      <c r="C240" s="4">
        <v>6595.5276582362303</v>
      </c>
      <c r="D240" s="4">
        <v>6640.3951933262697</v>
      </c>
      <c r="E240" s="4">
        <v>6573.0938906912097</v>
      </c>
      <c r="F240" s="4">
        <v>6617.96142578125</v>
      </c>
      <c r="G240" s="1">
        <v>74753000</v>
      </c>
      <c r="H240" s="2" t="str">
        <f t="shared" si="3"/>
        <v>Turun</v>
      </c>
    </row>
    <row r="241" spans="1:8" x14ac:dyDescent="0.2">
      <c r="A241" s="1">
        <v>240</v>
      </c>
      <c r="B241" s="3">
        <v>44551</v>
      </c>
      <c r="C241" s="4">
        <v>6573.0938906912097</v>
      </c>
      <c r="D241" s="4">
        <v>6640.3951933262697</v>
      </c>
      <c r="E241" s="4">
        <v>6573.0938906912097</v>
      </c>
      <c r="F241" s="4">
        <v>6617.96142578125</v>
      </c>
      <c r="G241" s="1">
        <v>52386100</v>
      </c>
      <c r="H241" s="2" t="str">
        <f t="shared" si="3"/>
        <v>Stabil</v>
      </c>
    </row>
    <row r="242" spans="1:8" x14ac:dyDescent="0.2">
      <c r="A242" s="1">
        <v>241</v>
      </c>
      <c r="B242" s="3">
        <v>44552</v>
      </c>
      <c r="C242" s="4">
        <v>6662.8288182593897</v>
      </c>
      <c r="D242" s="4">
        <v>6662.8288182593897</v>
      </c>
      <c r="E242" s="4">
        <v>6573.09375</v>
      </c>
      <c r="F242" s="4">
        <v>6573.09375</v>
      </c>
      <c r="G242" s="1">
        <v>33232000</v>
      </c>
      <c r="H242" s="2" t="str">
        <f t="shared" si="3"/>
        <v>Turun</v>
      </c>
    </row>
    <row r="243" spans="1:8" x14ac:dyDescent="0.2">
      <c r="A243" s="1">
        <v>242</v>
      </c>
      <c r="B243" s="3">
        <v>44553</v>
      </c>
      <c r="C243" s="4">
        <v>6573.0934339549403</v>
      </c>
      <c r="D243" s="4">
        <v>6595.5271999411398</v>
      </c>
      <c r="E243" s="4">
        <v>6550.65966796875</v>
      </c>
      <c r="F243" s="4">
        <v>6550.65966796875</v>
      </c>
      <c r="G243" s="1">
        <v>37136400</v>
      </c>
      <c r="H243" s="2" t="str">
        <f t="shared" si="3"/>
        <v>Turun</v>
      </c>
    </row>
    <row r="244" spans="1:8" x14ac:dyDescent="0.2">
      <c r="A244" s="1">
        <v>243</v>
      </c>
      <c r="B244" s="3">
        <v>44554</v>
      </c>
      <c r="C244" s="4">
        <v>6550.65966796875</v>
      </c>
      <c r="D244" s="4">
        <v>6595.5271999411398</v>
      </c>
      <c r="E244" s="4">
        <v>6550.65966796875</v>
      </c>
      <c r="F244" s="4">
        <v>6550.65966796875</v>
      </c>
      <c r="G244" s="1">
        <v>30802100</v>
      </c>
      <c r="H244" s="2" t="str">
        <f t="shared" si="3"/>
        <v>Stabil</v>
      </c>
    </row>
    <row r="245" spans="1:8" x14ac:dyDescent="0.2">
      <c r="A245" s="1">
        <v>244</v>
      </c>
      <c r="B245" s="3">
        <v>44557</v>
      </c>
      <c r="C245" s="4">
        <v>6550.6602957589303</v>
      </c>
      <c r="D245" s="4">
        <v>6595.52783203125</v>
      </c>
      <c r="E245" s="4">
        <v>6550.6602957589303</v>
      </c>
      <c r="F245" s="4">
        <v>6595.52783203125</v>
      </c>
      <c r="G245" s="1">
        <v>20722100</v>
      </c>
      <c r="H245" s="2" t="str">
        <f t="shared" si="3"/>
        <v>Naik</v>
      </c>
    </row>
    <row r="246" spans="1:8" x14ac:dyDescent="0.2">
      <c r="A246" s="1">
        <v>245</v>
      </c>
      <c r="B246" s="3">
        <v>44558</v>
      </c>
      <c r="C246" s="4">
        <v>6617.9616001674103</v>
      </c>
      <c r="D246" s="4">
        <v>6640.3953683035697</v>
      </c>
      <c r="E246" s="4">
        <v>6573.0940638950897</v>
      </c>
      <c r="F246" s="4">
        <v>6595.52783203125</v>
      </c>
      <c r="G246" s="1">
        <v>39343800</v>
      </c>
      <c r="H246" s="2" t="str">
        <f t="shared" si="3"/>
        <v>Stabil</v>
      </c>
    </row>
    <row r="247" spans="1:8" x14ac:dyDescent="0.2">
      <c r="A247" s="1">
        <v>246</v>
      </c>
      <c r="B247" s="3">
        <v>44559</v>
      </c>
      <c r="C247" s="4">
        <v>6595.5271999411398</v>
      </c>
      <c r="D247" s="4">
        <v>6617.9609659273301</v>
      </c>
      <c r="E247" s="4">
        <v>6550.65966796875</v>
      </c>
      <c r="F247" s="4">
        <v>6550.65966796875</v>
      </c>
      <c r="G247" s="1">
        <v>42079500</v>
      </c>
      <c r="H247" s="2" t="str">
        <f t="shared" si="3"/>
        <v>Turun</v>
      </c>
    </row>
    <row r="248" spans="1:8" x14ac:dyDescent="0.2">
      <c r="A248" s="1">
        <v>247</v>
      </c>
      <c r="B248" s="3">
        <v>44560</v>
      </c>
      <c r="C248" s="4">
        <v>6595.5271999411398</v>
      </c>
      <c r="D248" s="4">
        <v>6595.5271999411398</v>
      </c>
      <c r="E248" s="4">
        <v>6550.65966796875</v>
      </c>
      <c r="F248" s="4">
        <v>6550.65966796875</v>
      </c>
      <c r="G248" s="1">
        <v>49954700</v>
      </c>
      <c r="H248" s="2" t="str">
        <f t="shared" si="3"/>
        <v>Stabil</v>
      </c>
    </row>
    <row r="249" spans="1:8" x14ac:dyDescent="0.2">
      <c r="A249" s="1">
        <v>248</v>
      </c>
      <c r="B249" s="3">
        <v>44564</v>
      </c>
      <c r="C249" s="4">
        <v>6573.09375</v>
      </c>
      <c r="D249" s="4">
        <v>6640.3950511945404</v>
      </c>
      <c r="E249" s="4">
        <v>6550.6599829351499</v>
      </c>
      <c r="F249" s="4">
        <v>6573.09375</v>
      </c>
      <c r="G249" s="1">
        <v>54287400</v>
      </c>
      <c r="H249" s="2" t="str">
        <f>IF(F249&gt;F248,"Naik",IF(F249&lt;F248,"Turun","Stabil"))</f>
        <v>Naik</v>
      </c>
    </row>
    <row r="250" spans="1:8" x14ac:dyDescent="0.2">
      <c r="A250" s="1">
        <v>249</v>
      </c>
      <c r="B250" s="3">
        <v>44565</v>
      </c>
      <c r="C250" s="4">
        <v>6573.0942019900804</v>
      </c>
      <c r="D250" s="4">
        <v>6685.2630450274501</v>
      </c>
      <c r="E250" s="4">
        <v>6573.0942019900804</v>
      </c>
      <c r="F250" s="4">
        <v>6640.3955078125</v>
      </c>
      <c r="G250" s="1">
        <v>70624000</v>
      </c>
      <c r="H250" s="2" t="str">
        <f t="shared" si="3"/>
        <v>Naik</v>
      </c>
    </row>
    <row r="251" spans="1:8" x14ac:dyDescent="0.2">
      <c r="A251" s="1">
        <v>250</v>
      </c>
      <c r="B251" s="3">
        <v>44566</v>
      </c>
      <c r="C251" s="4">
        <v>6685.2626953125</v>
      </c>
      <c r="D251" s="4">
        <v>6752.5639976143002</v>
      </c>
      <c r="E251" s="4">
        <v>6617.9613930106998</v>
      </c>
      <c r="F251" s="4">
        <v>6685.2626953125</v>
      </c>
      <c r="G251" s="1">
        <v>76164900</v>
      </c>
      <c r="H251" s="2" t="str">
        <f t="shared" si="3"/>
        <v>Naik</v>
      </c>
    </row>
    <row r="252" spans="1:8" x14ac:dyDescent="0.2">
      <c r="A252" s="1">
        <v>251</v>
      </c>
      <c r="B252" s="3">
        <v>44567</v>
      </c>
      <c r="C252" s="4">
        <v>6730.1300559155497</v>
      </c>
      <c r="D252" s="4">
        <v>6752.5638227686004</v>
      </c>
      <c r="E252" s="4">
        <v>6662.8287553563996</v>
      </c>
      <c r="F252" s="4">
        <v>6707.6962890625</v>
      </c>
      <c r="G252" s="1">
        <v>63657100</v>
      </c>
      <c r="H252" s="2" t="str">
        <f t="shared" si="3"/>
        <v>Naik</v>
      </c>
    </row>
    <row r="253" spans="1:8" x14ac:dyDescent="0.2">
      <c r="A253" s="1">
        <v>252</v>
      </c>
      <c r="B253" s="3">
        <v>44568</v>
      </c>
      <c r="C253" s="4">
        <v>6774.9973575367703</v>
      </c>
      <c r="D253" s="4">
        <v>6909.5999540441198</v>
      </c>
      <c r="E253" s="4">
        <v>6730.1298253676496</v>
      </c>
      <c r="F253" s="4">
        <v>6864.732421875</v>
      </c>
      <c r="G253" s="1">
        <v>143433300</v>
      </c>
      <c r="H253" s="2" t="str">
        <f t="shared" si="3"/>
        <v>Naik</v>
      </c>
    </row>
    <row r="254" spans="1:8" x14ac:dyDescent="0.2">
      <c r="A254" s="1">
        <v>253</v>
      </c>
      <c r="B254" s="3">
        <v>44571</v>
      </c>
      <c r="C254" s="4">
        <v>6797.4309804816003</v>
      </c>
      <c r="D254" s="4">
        <v>6864.7322773180504</v>
      </c>
      <c r="E254" s="4">
        <v>6774.9972148694496</v>
      </c>
      <c r="F254" s="4">
        <v>6819.86474609375</v>
      </c>
      <c r="G254" s="1">
        <v>45351900</v>
      </c>
      <c r="H254" s="2" t="str">
        <f t="shared" si="3"/>
        <v>Turun</v>
      </c>
    </row>
    <row r="255" spans="1:8" x14ac:dyDescent="0.2">
      <c r="A255" s="1">
        <v>254</v>
      </c>
      <c r="B255" s="3">
        <v>44572</v>
      </c>
      <c r="C255" s="4">
        <v>6864.7325645545898</v>
      </c>
      <c r="D255" s="4">
        <v>6909.60009765625</v>
      </c>
      <c r="E255" s="4">
        <v>6842.2987980037497</v>
      </c>
      <c r="F255" s="4">
        <v>6909.60009765625</v>
      </c>
      <c r="G255" s="1">
        <v>110334600</v>
      </c>
      <c r="H255" s="2" t="str">
        <f t="shared" si="3"/>
        <v>Naik</v>
      </c>
    </row>
    <row r="256" spans="1:8" x14ac:dyDescent="0.2">
      <c r="A256" s="1">
        <v>255</v>
      </c>
      <c r="B256" s="3">
        <v>44573</v>
      </c>
      <c r="C256" s="4">
        <v>6909.60009765625</v>
      </c>
      <c r="D256" s="4">
        <v>6909.60009765625</v>
      </c>
      <c r="E256" s="4">
        <v>6864.7325645545898</v>
      </c>
      <c r="F256" s="4">
        <v>6909.60009765625</v>
      </c>
      <c r="G256" s="1">
        <v>62606000</v>
      </c>
      <c r="H256" s="2" t="str">
        <f t="shared" si="3"/>
        <v>Stabil</v>
      </c>
    </row>
    <row r="257" spans="1:8" x14ac:dyDescent="0.2">
      <c r="A257" s="1">
        <v>256</v>
      </c>
      <c r="B257" s="3">
        <v>44574</v>
      </c>
      <c r="C257" s="4">
        <v>6909.60009765625</v>
      </c>
      <c r="D257" s="4">
        <v>6954.4676307579102</v>
      </c>
      <c r="E257" s="4">
        <v>6864.7325645545898</v>
      </c>
      <c r="F257" s="4">
        <v>6909.60009765625</v>
      </c>
      <c r="G257" s="1">
        <v>50025200</v>
      </c>
      <c r="H257" s="2" t="str">
        <f t="shared" si="3"/>
        <v>Stabil</v>
      </c>
    </row>
    <row r="258" spans="1:8" x14ac:dyDescent="0.2">
      <c r="A258" s="1">
        <v>257</v>
      </c>
      <c r="B258" s="3">
        <v>44575</v>
      </c>
      <c r="C258" s="4">
        <v>6909.6009964669602</v>
      </c>
      <c r="D258" s="4">
        <v>7044.20361328125</v>
      </c>
      <c r="E258" s="4">
        <v>6864.7334575288596</v>
      </c>
      <c r="F258" s="4">
        <v>7044.20361328125</v>
      </c>
      <c r="G258" s="1">
        <v>65898700</v>
      </c>
      <c r="H258" s="2" t="str">
        <f t="shared" si="3"/>
        <v>Naik</v>
      </c>
    </row>
    <row r="259" spans="1:8" x14ac:dyDescent="0.2">
      <c r="A259" s="1">
        <v>258</v>
      </c>
      <c r="B259" s="3">
        <v>44578</v>
      </c>
      <c r="C259" s="4">
        <v>7089.0703755040304</v>
      </c>
      <c r="D259" s="4">
        <v>7089.0703755040304</v>
      </c>
      <c r="E259" s="4">
        <v>6909.6002394153202</v>
      </c>
      <c r="F259" s="4">
        <v>6954.4677734375</v>
      </c>
      <c r="G259" s="1">
        <v>63902600</v>
      </c>
      <c r="H259" s="2" t="str">
        <f t="shared" si="3"/>
        <v>Turun</v>
      </c>
    </row>
    <row r="260" spans="1:8" x14ac:dyDescent="0.2">
      <c r="A260" s="1">
        <v>259</v>
      </c>
      <c r="B260" s="3">
        <v>44579</v>
      </c>
      <c r="C260" s="4">
        <v>6976.9025616475001</v>
      </c>
      <c r="D260" s="4">
        <v>6976.9025616475001</v>
      </c>
      <c r="E260" s="4">
        <v>6774.9986289953204</v>
      </c>
      <c r="F260" s="4">
        <v>6887.16748046875</v>
      </c>
      <c r="G260" s="1">
        <v>71476300</v>
      </c>
      <c r="H260" s="2" t="str">
        <f t="shared" ref="H260:H323" si="4">IF(F260&gt;F259,"Naik",IF(F260&lt;F259,"Turun","Stabil"))</f>
        <v>Turun</v>
      </c>
    </row>
    <row r="261" spans="1:8" x14ac:dyDescent="0.2">
      <c r="A261" s="1">
        <v>260</v>
      </c>
      <c r="B261" s="3">
        <v>44580</v>
      </c>
      <c r="C261" s="4">
        <v>6864.7337101740604</v>
      </c>
      <c r="D261" s="4">
        <v>6932.03502105812</v>
      </c>
      <c r="E261" s="4">
        <v>6797.4323992899999</v>
      </c>
      <c r="F261" s="4">
        <v>6887.16748046875</v>
      </c>
      <c r="G261" s="1">
        <v>60389700</v>
      </c>
      <c r="H261" s="2" t="str">
        <f t="shared" si="4"/>
        <v>Stabil</v>
      </c>
    </row>
    <row r="262" spans="1:8" x14ac:dyDescent="0.2">
      <c r="A262" s="1">
        <v>261</v>
      </c>
      <c r="B262" s="3">
        <v>44581</v>
      </c>
      <c r="C262" s="4">
        <v>6932.0333491383599</v>
      </c>
      <c r="D262" s="4">
        <v>6976.90087890625</v>
      </c>
      <c r="E262" s="4">
        <v>6842.2982896025896</v>
      </c>
      <c r="F262" s="4">
        <v>6976.90087890625</v>
      </c>
      <c r="G262" s="1">
        <v>59925500</v>
      </c>
      <c r="H262" s="2" t="str">
        <f t="shared" si="4"/>
        <v>Naik</v>
      </c>
    </row>
    <row r="263" spans="1:8" x14ac:dyDescent="0.2">
      <c r="A263" s="1">
        <v>262</v>
      </c>
      <c r="B263" s="3">
        <v>44582</v>
      </c>
      <c r="C263" s="4">
        <v>6976.9011399371102</v>
      </c>
      <c r="D263" s="4">
        <v>7133.9375</v>
      </c>
      <c r="E263" s="4">
        <v>6909.5998427673003</v>
      </c>
      <c r="F263" s="4">
        <v>7133.9375</v>
      </c>
      <c r="G263" s="1">
        <v>63370500</v>
      </c>
      <c r="H263" s="2" t="str">
        <f t="shared" si="4"/>
        <v>Naik</v>
      </c>
    </row>
    <row r="264" spans="1:8" x14ac:dyDescent="0.2">
      <c r="A264" s="1">
        <v>263</v>
      </c>
      <c r="B264" s="3">
        <v>44585</v>
      </c>
      <c r="C264" s="4">
        <v>7021.7687268379404</v>
      </c>
      <c r="D264" s="4">
        <v>7044.20249273838</v>
      </c>
      <c r="E264" s="4">
        <v>6976.9011950370596</v>
      </c>
      <c r="F264" s="4">
        <v>6999.3349609375</v>
      </c>
      <c r="G264" s="1">
        <v>40278300</v>
      </c>
      <c r="H264" s="2" t="str">
        <f t="shared" si="4"/>
        <v>Turun</v>
      </c>
    </row>
    <row r="265" spans="1:8" x14ac:dyDescent="0.2">
      <c r="A265" s="1">
        <v>264</v>
      </c>
      <c r="B265" s="3">
        <v>44586</v>
      </c>
      <c r="C265" s="4">
        <v>6887.1658193704798</v>
      </c>
      <c r="D265" s="4">
        <v>6976.90087890625</v>
      </c>
      <c r="E265" s="4">
        <v>6842.2982896025896</v>
      </c>
      <c r="F265" s="4">
        <v>6976.90087890625</v>
      </c>
      <c r="G265" s="1">
        <v>106796900</v>
      </c>
      <c r="H265" s="2" t="str">
        <f t="shared" si="4"/>
        <v>Turun</v>
      </c>
    </row>
    <row r="266" spans="1:8" x14ac:dyDescent="0.2">
      <c r="A266" s="1">
        <v>265</v>
      </c>
      <c r="B266" s="3">
        <v>44587</v>
      </c>
      <c r="C266" s="4">
        <v>6909.60009765625</v>
      </c>
      <c r="D266" s="4">
        <v>6954.4676307579102</v>
      </c>
      <c r="E266" s="4">
        <v>6864.7325645545898</v>
      </c>
      <c r="F266" s="4">
        <v>6909.60009765625</v>
      </c>
      <c r="G266" s="1">
        <v>53350200</v>
      </c>
      <c r="H266" s="2" t="str">
        <f t="shared" si="4"/>
        <v>Turun</v>
      </c>
    </row>
    <row r="267" spans="1:8" x14ac:dyDescent="0.2">
      <c r="A267" s="1">
        <v>266</v>
      </c>
      <c r="B267" s="3">
        <v>44588</v>
      </c>
      <c r="C267" s="4">
        <v>6842.2985996344196</v>
      </c>
      <c r="D267" s="4">
        <v>6999.3349609375</v>
      </c>
      <c r="E267" s="4">
        <v>6842.2985996344196</v>
      </c>
      <c r="F267" s="4">
        <v>6999.3349609375</v>
      </c>
      <c r="G267" s="1">
        <v>71945100</v>
      </c>
      <c r="H267" s="2" t="str">
        <f t="shared" si="4"/>
        <v>Naik</v>
      </c>
    </row>
    <row r="268" spans="1:8" x14ac:dyDescent="0.2">
      <c r="A268" s="1">
        <v>267</v>
      </c>
      <c r="B268" s="3">
        <v>44589</v>
      </c>
      <c r="C268" s="4">
        <v>6999.3346437901901</v>
      </c>
      <c r="D268" s="4">
        <v>7021.7684086741401</v>
      </c>
      <c r="E268" s="4">
        <v>6909.5995842544198</v>
      </c>
      <c r="F268" s="4">
        <v>6976.90087890625</v>
      </c>
      <c r="G268" s="1">
        <v>70595000</v>
      </c>
      <c r="H268" s="2" t="str">
        <f t="shared" si="4"/>
        <v>Turun</v>
      </c>
    </row>
    <row r="269" spans="1:8" x14ac:dyDescent="0.2">
      <c r="A269" s="1">
        <v>268</v>
      </c>
      <c r="B269" s="3">
        <v>44592</v>
      </c>
      <c r="C269" s="4">
        <v>6976.9014280225401</v>
      </c>
      <c r="D269" s="4">
        <v>6976.9014280225401</v>
      </c>
      <c r="E269" s="4">
        <v>6842.298828125</v>
      </c>
      <c r="F269" s="4">
        <v>6842.298828125</v>
      </c>
      <c r="G269" s="1">
        <v>68122000</v>
      </c>
      <c r="H269" s="2" t="str">
        <f t="shared" si="4"/>
        <v>Turun</v>
      </c>
    </row>
    <row r="270" spans="1:8" x14ac:dyDescent="0.2">
      <c r="A270" s="1">
        <v>269</v>
      </c>
      <c r="B270" s="3">
        <v>44594</v>
      </c>
      <c r="C270" s="4">
        <v>6976.9011950370596</v>
      </c>
      <c r="D270" s="4">
        <v>6999.3349609375</v>
      </c>
      <c r="E270" s="4">
        <v>6887.1661314352996</v>
      </c>
      <c r="F270" s="4">
        <v>6999.3349609375</v>
      </c>
      <c r="G270" s="1">
        <v>65308100</v>
      </c>
      <c r="H270" s="2" t="str">
        <f>IF(F270&gt;F269,"Naik",IF(F270&lt;F269,"Turun","Stabil"))</f>
        <v>Naik</v>
      </c>
    </row>
    <row r="271" spans="1:8" x14ac:dyDescent="0.2">
      <c r="A271" s="1">
        <v>270</v>
      </c>
      <c r="B271" s="3">
        <v>44595</v>
      </c>
      <c r="C271" s="4">
        <v>6999.3354824029102</v>
      </c>
      <c r="D271" s="4">
        <v>7021.76924997472</v>
      </c>
      <c r="E271" s="4">
        <v>6909.6004121157002</v>
      </c>
      <c r="F271" s="4">
        <v>6932.0341796875</v>
      </c>
      <c r="G271" s="1">
        <v>35100600</v>
      </c>
      <c r="H271" s="2" t="str">
        <f t="shared" si="4"/>
        <v>Turun</v>
      </c>
    </row>
    <row r="272" spans="1:8" x14ac:dyDescent="0.2">
      <c r="A272" s="1">
        <v>271</v>
      </c>
      <c r="B272" s="3">
        <v>44596</v>
      </c>
      <c r="C272" s="4">
        <v>6954.4679472592998</v>
      </c>
      <c r="D272" s="4">
        <v>6999.3354824029102</v>
      </c>
      <c r="E272" s="4">
        <v>6909.6004121157002</v>
      </c>
      <c r="F272" s="4">
        <v>6932.0341796875</v>
      </c>
      <c r="G272" s="1">
        <v>39324700</v>
      </c>
      <c r="H272" s="2" t="str">
        <f t="shared" si="4"/>
        <v>Stabil</v>
      </c>
    </row>
    <row r="273" spans="1:8" x14ac:dyDescent="0.2">
      <c r="A273" s="1">
        <v>272</v>
      </c>
      <c r="B273" s="3">
        <v>44599</v>
      </c>
      <c r="C273" s="4">
        <v>6976.9011950370596</v>
      </c>
      <c r="D273" s="4">
        <v>6999.3349609375</v>
      </c>
      <c r="E273" s="4">
        <v>6909.59989733574</v>
      </c>
      <c r="F273" s="4">
        <v>6999.3349609375</v>
      </c>
      <c r="G273" s="1">
        <v>56813200</v>
      </c>
      <c r="H273" s="2" t="str">
        <f t="shared" si="4"/>
        <v>Naik</v>
      </c>
    </row>
    <row r="274" spans="1:8" x14ac:dyDescent="0.2">
      <c r="A274" s="1">
        <v>273</v>
      </c>
      <c r="B274" s="3">
        <v>44600</v>
      </c>
      <c r="C274" s="4">
        <v>6954.4679472592998</v>
      </c>
      <c r="D274" s="4">
        <v>7044.2030175465197</v>
      </c>
      <c r="E274" s="4">
        <v>6932.0341796875</v>
      </c>
      <c r="F274" s="4">
        <v>6932.0341796875</v>
      </c>
      <c r="G274" s="1">
        <v>61883100</v>
      </c>
      <c r="H274" s="2" t="str">
        <f t="shared" si="4"/>
        <v>Turun</v>
      </c>
    </row>
    <row r="275" spans="1:8" x14ac:dyDescent="0.2">
      <c r="A275" s="1">
        <v>274</v>
      </c>
      <c r="B275" s="3">
        <v>44601</v>
      </c>
      <c r="C275" s="4">
        <v>7044.2024371069201</v>
      </c>
      <c r="D275" s="4">
        <v>7133.9375</v>
      </c>
      <c r="E275" s="4">
        <v>6999.3349056603802</v>
      </c>
      <c r="F275" s="4">
        <v>7133.9375</v>
      </c>
      <c r="G275" s="1">
        <v>108922200</v>
      </c>
      <c r="H275" s="2" t="str">
        <f t="shared" si="4"/>
        <v>Naik</v>
      </c>
    </row>
    <row r="276" spans="1:8" x14ac:dyDescent="0.2">
      <c r="A276" s="1">
        <v>275</v>
      </c>
      <c r="B276" s="3">
        <v>44602</v>
      </c>
      <c r="C276" s="4">
        <v>7133.9379095262102</v>
      </c>
      <c r="D276" s="4">
        <v>7133.9379095262102</v>
      </c>
      <c r="E276" s="4">
        <v>6954.4677734375</v>
      </c>
      <c r="F276" s="4">
        <v>6954.4677734375</v>
      </c>
      <c r="G276" s="1">
        <v>93277000</v>
      </c>
      <c r="H276" s="2" t="str">
        <f t="shared" si="4"/>
        <v>Turun</v>
      </c>
    </row>
    <row r="277" spans="1:8" x14ac:dyDescent="0.2">
      <c r="A277" s="1">
        <v>276</v>
      </c>
      <c r="B277" s="3">
        <v>44603</v>
      </c>
      <c r="C277" s="4">
        <v>6887.1664415060905</v>
      </c>
      <c r="D277" s="4">
        <v>7021.76904296875</v>
      </c>
      <c r="E277" s="4">
        <v>6864.7326745956498</v>
      </c>
      <c r="F277" s="4">
        <v>7021.76904296875</v>
      </c>
      <c r="G277" s="1">
        <v>71968800</v>
      </c>
      <c r="H277" s="2" t="str">
        <f t="shared" si="4"/>
        <v>Naik</v>
      </c>
    </row>
    <row r="278" spans="1:8" x14ac:dyDescent="0.2">
      <c r="A278" s="1">
        <v>277</v>
      </c>
      <c r="B278" s="3">
        <v>44606</v>
      </c>
      <c r="C278" s="4">
        <v>6954.4676307579102</v>
      </c>
      <c r="D278" s="4">
        <v>6976.9013973087503</v>
      </c>
      <c r="E278" s="4">
        <v>6909.60009765625</v>
      </c>
      <c r="F278" s="4">
        <v>6909.60009765625</v>
      </c>
      <c r="G278" s="1">
        <v>57710700</v>
      </c>
      <c r="H278" s="2" t="str">
        <f t="shared" si="4"/>
        <v>Turun</v>
      </c>
    </row>
    <row r="279" spans="1:8" x14ac:dyDescent="0.2">
      <c r="A279" s="1">
        <v>278</v>
      </c>
      <c r="B279" s="3">
        <v>44607</v>
      </c>
      <c r="C279" s="4">
        <v>6954.4678819444398</v>
      </c>
      <c r="D279" s="4">
        <v>7066.63671875</v>
      </c>
      <c r="E279" s="4">
        <v>6932.0341145833299</v>
      </c>
      <c r="F279" s="4">
        <v>7066.63671875</v>
      </c>
      <c r="G279" s="1">
        <v>55617000</v>
      </c>
      <c r="H279" s="2" t="str">
        <f t="shared" si="4"/>
        <v>Naik</v>
      </c>
    </row>
    <row r="280" spans="1:8" x14ac:dyDescent="0.2">
      <c r="A280" s="1">
        <v>279</v>
      </c>
      <c r="B280" s="3">
        <v>44608</v>
      </c>
      <c r="C280" s="4">
        <v>7044.2027484570899</v>
      </c>
      <c r="D280" s="4">
        <v>7156.37158203125</v>
      </c>
      <c r="E280" s="4">
        <v>7021.7689817422597</v>
      </c>
      <c r="F280" s="4">
        <v>7156.37158203125</v>
      </c>
      <c r="G280" s="1">
        <v>77055100</v>
      </c>
      <c r="H280" s="2" t="str">
        <f t="shared" si="4"/>
        <v>Naik</v>
      </c>
    </row>
    <row r="281" spans="1:8" x14ac:dyDescent="0.2">
      <c r="A281" s="1">
        <v>280</v>
      </c>
      <c r="B281" s="3">
        <v>44609</v>
      </c>
      <c r="C281" s="4">
        <v>7044.2032640674397</v>
      </c>
      <c r="D281" s="4">
        <v>7111.5045691381501</v>
      </c>
      <c r="E281" s="4">
        <v>6999.3357273536403</v>
      </c>
      <c r="F281" s="4">
        <v>7089.07080078125</v>
      </c>
      <c r="G281" s="1">
        <v>48704600</v>
      </c>
      <c r="H281" s="2" t="str">
        <f t="shared" si="4"/>
        <v>Turun</v>
      </c>
    </row>
    <row r="282" spans="1:8" x14ac:dyDescent="0.2">
      <c r="A282" s="1">
        <v>281</v>
      </c>
      <c r="B282" s="3">
        <v>44610</v>
      </c>
      <c r="C282" s="4">
        <v>7133.9376725157699</v>
      </c>
      <c r="D282" s="4">
        <v>7133.9376725157699</v>
      </c>
      <c r="E282" s="4">
        <v>7044.2026074526802</v>
      </c>
      <c r="F282" s="4">
        <v>7111.50390625</v>
      </c>
      <c r="G282" s="1">
        <v>56813400</v>
      </c>
      <c r="H282" s="2" t="str">
        <f t="shared" si="4"/>
        <v>Naik</v>
      </c>
    </row>
    <row r="283" spans="1:8" x14ac:dyDescent="0.2">
      <c r="A283" s="1">
        <v>282</v>
      </c>
      <c r="B283" s="3">
        <v>44613</v>
      </c>
      <c r="C283" s="4">
        <v>7111.50373427673</v>
      </c>
      <c r="D283" s="4">
        <v>7156.37126572327</v>
      </c>
      <c r="E283" s="4">
        <v>7089.0699685534601</v>
      </c>
      <c r="F283" s="4">
        <v>7133.9375</v>
      </c>
      <c r="G283" s="1">
        <v>43821700</v>
      </c>
      <c r="H283" s="2" t="str">
        <f t="shared" si="4"/>
        <v>Naik</v>
      </c>
    </row>
    <row r="284" spans="1:8" x14ac:dyDescent="0.2">
      <c r="A284" s="1">
        <v>283</v>
      </c>
      <c r="B284" s="3">
        <v>44614</v>
      </c>
      <c r="C284" s="4">
        <v>7089.07080078125</v>
      </c>
      <c r="D284" s="4">
        <v>7133.9383374950603</v>
      </c>
      <c r="E284" s="4">
        <v>7044.2032640674397</v>
      </c>
      <c r="F284" s="4">
        <v>7089.07080078125</v>
      </c>
      <c r="G284" s="1">
        <v>80095500</v>
      </c>
      <c r="H284" s="2" t="str">
        <f t="shared" si="4"/>
        <v>Turun</v>
      </c>
    </row>
    <row r="285" spans="1:8" x14ac:dyDescent="0.2">
      <c r="A285" s="1">
        <v>284</v>
      </c>
      <c r="B285" s="3">
        <v>44615</v>
      </c>
      <c r="C285" s="4">
        <v>7089.0707310267899</v>
      </c>
      <c r="D285" s="4">
        <v>7268.5408761160697</v>
      </c>
      <c r="E285" s="4">
        <v>7066.6369628906295</v>
      </c>
      <c r="F285" s="4">
        <v>7223.67333984375</v>
      </c>
      <c r="G285" s="1">
        <v>99240300</v>
      </c>
      <c r="H285" s="2" t="str">
        <f t="shared" si="4"/>
        <v>Naik</v>
      </c>
    </row>
    <row r="286" spans="1:8" x14ac:dyDescent="0.2">
      <c r="A286" s="1">
        <v>285</v>
      </c>
      <c r="B286" s="3">
        <v>44616</v>
      </c>
      <c r="C286" s="4">
        <v>7290.9740066528302</v>
      </c>
      <c r="D286" s="4">
        <v>7313.4077728271504</v>
      </c>
      <c r="E286" s="4">
        <v>7111.5038772583002</v>
      </c>
      <c r="F286" s="4">
        <v>7178.80517578125</v>
      </c>
      <c r="G286" s="1">
        <v>124947700</v>
      </c>
      <c r="H286" s="2" t="str">
        <f t="shared" si="4"/>
        <v>Turun</v>
      </c>
    </row>
    <row r="287" spans="1:8" x14ac:dyDescent="0.2">
      <c r="A287" s="1">
        <v>286</v>
      </c>
      <c r="B287" s="3">
        <v>44617</v>
      </c>
      <c r="C287" s="4">
        <v>7133.9382672991096</v>
      </c>
      <c r="D287" s="4">
        <v>7335.8421805245498</v>
      </c>
      <c r="E287" s="4">
        <v>7111.5044991629502</v>
      </c>
      <c r="F287" s="4">
        <v>7223.67333984375</v>
      </c>
      <c r="G287" s="1">
        <v>135899900</v>
      </c>
      <c r="H287" s="2" t="str">
        <f t="shared" si="4"/>
        <v>Naik</v>
      </c>
    </row>
    <row r="288" spans="1:8" x14ac:dyDescent="0.2">
      <c r="A288" s="1">
        <v>287</v>
      </c>
      <c r="B288" s="3">
        <v>44621</v>
      </c>
      <c r="C288" s="4">
        <v>7178.8058035714303</v>
      </c>
      <c r="D288" s="4">
        <v>7335.8421805245498</v>
      </c>
      <c r="E288" s="4">
        <v>7178.8058035714303</v>
      </c>
      <c r="F288" s="4">
        <v>7223.67333984375</v>
      </c>
      <c r="G288" s="1">
        <v>136616800</v>
      </c>
      <c r="H288" s="2" t="str">
        <f>IF(F288&gt;F287,"Naik",IF(F288&lt;F287,"Turun","Stabil"))</f>
        <v>Stabil</v>
      </c>
    </row>
    <row r="289" spans="1:8" x14ac:dyDescent="0.2">
      <c r="A289" s="1">
        <v>288</v>
      </c>
      <c r="B289" s="3">
        <v>44622</v>
      </c>
      <c r="C289" s="4">
        <v>7380.7092491795702</v>
      </c>
      <c r="D289" s="4">
        <v>7380.7092491795702</v>
      </c>
      <c r="E289" s="4">
        <v>7156.37158203125</v>
      </c>
      <c r="F289" s="4">
        <v>7156.37158203125</v>
      </c>
      <c r="G289" s="1">
        <v>100301000</v>
      </c>
      <c r="H289" s="2" t="str">
        <f t="shared" si="4"/>
        <v>Turun</v>
      </c>
    </row>
    <row r="290" spans="1:8" x14ac:dyDescent="0.2">
      <c r="A290" s="1">
        <v>289</v>
      </c>
      <c r="B290" s="3">
        <v>44624</v>
      </c>
      <c r="C290" s="4">
        <v>7156.3721058519604</v>
      </c>
      <c r="D290" s="4">
        <v>7201.2396425657598</v>
      </c>
      <c r="E290" s="4">
        <v>7089.07080078125</v>
      </c>
      <c r="F290" s="4">
        <v>7089.07080078125</v>
      </c>
      <c r="G290" s="1">
        <v>132983400</v>
      </c>
      <c r="H290" s="2" t="str">
        <f t="shared" si="4"/>
        <v>Turun</v>
      </c>
    </row>
    <row r="291" spans="1:8" x14ac:dyDescent="0.2">
      <c r="A291" s="1">
        <v>290</v>
      </c>
      <c r="B291" s="3">
        <v>44627</v>
      </c>
      <c r="C291" s="4">
        <v>6999.3351638595796</v>
      </c>
      <c r="D291" s="4">
        <v>7044.2026969612398</v>
      </c>
      <c r="E291" s="4">
        <v>6909.60009765625</v>
      </c>
      <c r="F291" s="4">
        <v>6909.60009765625</v>
      </c>
      <c r="G291" s="1">
        <v>130990900</v>
      </c>
      <c r="H291" s="2" t="str">
        <f t="shared" si="4"/>
        <v>Turun</v>
      </c>
    </row>
    <row r="292" spans="1:8" x14ac:dyDescent="0.2">
      <c r="A292" s="1">
        <v>291</v>
      </c>
      <c r="B292" s="3">
        <v>44628</v>
      </c>
      <c r="C292" s="4">
        <v>6909.5999540441198</v>
      </c>
      <c r="D292" s="4">
        <v>7044.2025505514703</v>
      </c>
      <c r="E292" s="4">
        <v>6864.732421875</v>
      </c>
      <c r="F292" s="4">
        <v>6864.732421875</v>
      </c>
      <c r="G292" s="1">
        <v>119256500</v>
      </c>
      <c r="H292" s="2" t="str">
        <f t="shared" si="4"/>
        <v>Turun</v>
      </c>
    </row>
    <row r="293" spans="1:8" x14ac:dyDescent="0.2">
      <c r="A293" s="1">
        <v>292</v>
      </c>
      <c r="B293" s="3">
        <v>44629</v>
      </c>
      <c r="C293" s="4">
        <v>6909.6009964669602</v>
      </c>
      <c r="D293" s="4">
        <v>7133.9386911574502</v>
      </c>
      <c r="E293" s="4">
        <v>6864.7334575288596</v>
      </c>
      <c r="F293" s="4">
        <v>7044.20361328125</v>
      </c>
      <c r="G293" s="1">
        <v>132814500</v>
      </c>
      <c r="H293" s="2" t="str">
        <f t="shared" si="4"/>
        <v>Naik</v>
      </c>
    </row>
    <row r="294" spans="1:8" x14ac:dyDescent="0.2">
      <c r="A294" s="1">
        <v>293</v>
      </c>
      <c r="B294" s="3">
        <v>44630</v>
      </c>
      <c r="C294" s="4">
        <v>7111.50390625</v>
      </c>
      <c r="D294" s="4">
        <v>7156.3714387815498</v>
      </c>
      <c r="E294" s="4">
        <v>6999.3350749211404</v>
      </c>
      <c r="F294" s="4">
        <v>7111.50390625</v>
      </c>
      <c r="G294" s="1">
        <v>86484000</v>
      </c>
      <c r="H294" s="2" t="str">
        <f t="shared" si="4"/>
        <v>Naik</v>
      </c>
    </row>
    <row r="295" spans="1:8" x14ac:dyDescent="0.2">
      <c r="A295" s="1">
        <v>294</v>
      </c>
      <c r="B295" s="3">
        <v>44631</v>
      </c>
      <c r="C295" s="4">
        <v>6932.0336084905703</v>
      </c>
      <c r="D295" s="4">
        <v>7133.9375</v>
      </c>
      <c r="E295" s="4">
        <v>6932.0336084905703</v>
      </c>
      <c r="F295" s="4">
        <v>7133.9375</v>
      </c>
      <c r="G295" s="1">
        <v>61053900</v>
      </c>
      <c r="H295" s="2" t="str">
        <f t="shared" si="4"/>
        <v>Naik</v>
      </c>
    </row>
    <row r="296" spans="1:8" x14ac:dyDescent="0.2">
      <c r="A296" s="1">
        <v>295</v>
      </c>
      <c r="B296" s="3">
        <v>44634</v>
      </c>
      <c r="C296" s="4">
        <v>7223.67365276703</v>
      </c>
      <c r="D296" s="4">
        <v>7268.54119098297</v>
      </c>
      <c r="E296" s="4">
        <v>7133.9385763351402</v>
      </c>
      <c r="F296" s="4">
        <v>7246.107421875</v>
      </c>
      <c r="G296" s="1">
        <v>78432100</v>
      </c>
      <c r="H296" s="2" t="str">
        <f t="shared" si="4"/>
        <v>Naik</v>
      </c>
    </row>
    <row r="297" spans="1:8" x14ac:dyDescent="0.2">
      <c r="A297" s="1">
        <v>296</v>
      </c>
      <c r="B297" s="3">
        <v>44635</v>
      </c>
      <c r="C297" s="4">
        <v>7313.40771484375</v>
      </c>
      <c r="D297" s="4">
        <v>7358.2752468366598</v>
      </c>
      <c r="E297" s="4">
        <v>7246.1064168543899</v>
      </c>
      <c r="F297" s="4">
        <v>7313.40771484375</v>
      </c>
      <c r="G297" s="1">
        <v>111214500</v>
      </c>
      <c r="H297" s="2" t="str">
        <f t="shared" si="4"/>
        <v>Naik</v>
      </c>
    </row>
    <row r="298" spans="1:8" x14ac:dyDescent="0.2">
      <c r="A298" s="1">
        <v>297</v>
      </c>
      <c r="B298" s="3">
        <v>44636</v>
      </c>
      <c r="C298" s="4">
        <v>7425.5771826767304</v>
      </c>
      <c r="D298" s="4">
        <v>7425.5771826767304</v>
      </c>
      <c r="E298" s="4">
        <v>7246.1070392887796</v>
      </c>
      <c r="F298" s="4">
        <v>7358.27587890625</v>
      </c>
      <c r="G298" s="1">
        <v>149761300</v>
      </c>
      <c r="H298" s="2" t="str">
        <f t="shared" si="4"/>
        <v>Naik</v>
      </c>
    </row>
    <row r="299" spans="1:8" x14ac:dyDescent="0.2">
      <c r="A299" s="1">
        <v>298</v>
      </c>
      <c r="B299" s="3">
        <v>44637</v>
      </c>
      <c r="C299" s="4">
        <v>7448.01036987305</v>
      </c>
      <c r="D299" s="4">
        <v>7448.01036987305</v>
      </c>
      <c r="E299" s="4">
        <v>7178.80517578125</v>
      </c>
      <c r="F299" s="4">
        <v>7178.80517578125</v>
      </c>
      <c r="G299" s="1">
        <v>132439400</v>
      </c>
      <c r="H299" s="2" t="str">
        <f t="shared" si="4"/>
        <v>Turun</v>
      </c>
    </row>
    <row r="300" spans="1:8" x14ac:dyDescent="0.2">
      <c r="A300" s="1">
        <v>299</v>
      </c>
      <c r="B300" s="3">
        <v>44638</v>
      </c>
      <c r="C300" s="4">
        <v>7178.8058742088597</v>
      </c>
      <c r="D300" s="4">
        <v>7268.5409476364703</v>
      </c>
      <c r="E300" s="4">
        <v>7089.07080078125</v>
      </c>
      <c r="F300" s="4">
        <v>7089.07080078125</v>
      </c>
      <c r="G300" s="1">
        <v>143981700</v>
      </c>
      <c r="H300" s="2" t="str">
        <f t="shared" si="4"/>
        <v>Turun</v>
      </c>
    </row>
    <row r="301" spans="1:8" x14ac:dyDescent="0.2">
      <c r="A301" s="1">
        <v>300</v>
      </c>
      <c r="B301" s="3">
        <v>44641</v>
      </c>
      <c r="C301" s="4">
        <v>6999.3357273536403</v>
      </c>
      <c r="D301" s="4">
        <v>7133.9383374950603</v>
      </c>
      <c r="E301" s="4">
        <v>6999.3357273536403</v>
      </c>
      <c r="F301" s="4">
        <v>7089.07080078125</v>
      </c>
      <c r="G301" s="1">
        <v>85485500</v>
      </c>
      <c r="H301" s="2" t="str">
        <f t="shared" si="4"/>
        <v>Stabil</v>
      </c>
    </row>
    <row r="302" spans="1:8" x14ac:dyDescent="0.2">
      <c r="A302" s="1">
        <v>301</v>
      </c>
      <c r="B302" s="3">
        <v>44642</v>
      </c>
      <c r="C302" s="4">
        <v>7089.0701399842301</v>
      </c>
      <c r="D302" s="4">
        <v>7133.9376725157699</v>
      </c>
      <c r="E302" s="4">
        <v>7066.6363737184502</v>
      </c>
      <c r="F302" s="4">
        <v>7111.50390625</v>
      </c>
      <c r="G302" s="1">
        <v>60010900</v>
      </c>
      <c r="H302" s="2" t="str">
        <f t="shared" si="4"/>
        <v>Naik</v>
      </c>
    </row>
    <row r="303" spans="1:8" x14ac:dyDescent="0.2">
      <c r="A303" s="1">
        <v>302</v>
      </c>
      <c r="B303" s="3">
        <v>44643</v>
      </c>
      <c r="C303" s="4">
        <v>7111.5045691381501</v>
      </c>
      <c r="D303" s="4">
        <v>7133.9383374950603</v>
      </c>
      <c r="E303" s="4">
        <v>7021.7694957105396</v>
      </c>
      <c r="F303" s="4">
        <v>7089.07080078125</v>
      </c>
      <c r="G303" s="1">
        <v>82208000</v>
      </c>
      <c r="H303" s="2" t="str">
        <f t="shared" si="4"/>
        <v>Turun</v>
      </c>
    </row>
    <row r="304" spans="1:8" x14ac:dyDescent="0.2">
      <c r="A304" s="1">
        <v>303</v>
      </c>
      <c r="B304" s="3">
        <v>44644</v>
      </c>
      <c r="C304" s="4">
        <v>7044.2026074526802</v>
      </c>
      <c r="D304" s="4">
        <v>7133.9376725157699</v>
      </c>
      <c r="E304" s="4">
        <v>6999.3350749211404</v>
      </c>
      <c r="F304" s="4">
        <v>7111.50390625</v>
      </c>
      <c r="G304" s="1">
        <v>95245100</v>
      </c>
      <c r="H304" s="2" t="str">
        <f t="shared" si="4"/>
        <v>Naik</v>
      </c>
    </row>
    <row r="305" spans="1:8" x14ac:dyDescent="0.2">
      <c r="A305" s="1">
        <v>304</v>
      </c>
      <c r="B305" s="3">
        <v>44645</v>
      </c>
      <c r="C305" s="4">
        <v>7089.0699685534601</v>
      </c>
      <c r="D305" s="4">
        <v>7133.9375</v>
      </c>
      <c r="E305" s="4">
        <v>7089.0699685534601</v>
      </c>
      <c r="F305" s="4">
        <v>7133.9375</v>
      </c>
      <c r="G305" s="1">
        <v>85101200</v>
      </c>
      <c r="H305" s="2" t="str">
        <f t="shared" si="4"/>
        <v>Naik</v>
      </c>
    </row>
    <row r="306" spans="1:8" x14ac:dyDescent="0.2">
      <c r="A306" s="1">
        <v>305</v>
      </c>
      <c r="B306" s="3">
        <v>44648</v>
      </c>
      <c r="C306" s="4">
        <v>7129.3825915372799</v>
      </c>
      <c r="D306" s="4">
        <v>7197.71533203125</v>
      </c>
      <c r="E306" s="4">
        <v>7106.6050113726296</v>
      </c>
      <c r="F306" s="4">
        <v>7197.71533203125</v>
      </c>
      <c r="G306" s="1">
        <v>83911500</v>
      </c>
      <c r="H306" s="2" t="str">
        <f t="shared" si="4"/>
        <v>Naik</v>
      </c>
    </row>
    <row r="307" spans="1:8" x14ac:dyDescent="0.2">
      <c r="A307" s="1">
        <v>306</v>
      </c>
      <c r="B307" s="3">
        <v>44649</v>
      </c>
      <c r="C307" s="4">
        <v>7174.9382262017298</v>
      </c>
      <c r="D307" s="4">
        <v>7197.7158078722096</v>
      </c>
      <c r="E307" s="4">
        <v>7129.3830628607702</v>
      </c>
      <c r="F307" s="4">
        <v>7152.16064453125</v>
      </c>
      <c r="G307" s="1">
        <v>62180600</v>
      </c>
      <c r="H307" s="2" t="str">
        <f t="shared" si="4"/>
        <v>Turun</v>
      </c>
    </row>
    <row r="308" spans="1:8" x14ac:dyDescent="0.2">
      <c r="A308" s="1">
        <v>307</v>
      </c>
      <c r="B308" s="3">
        <v>44650</v>
      </c>
      <c r="C308" s="4">
        <v>7197.7155691964299</v>
      </c>
      <c r="D308" s="4">
        <v>7197.7155691964299</v>
      </c>
      <c r="E308" s="4">
        <v>7129.3828264508902</v>
      </c>
      <c r="F308" s="4">
        <v>7174.93798828125</v>
      </c>
      <c r="G308" s="1">
        <v>71430600</v>
      </c>
      <c r="H308" s="2" t="str">
        <f t="shared" si="4"/>
        <v>Naik</v>
      </c>
    </row>
    <row r="309" spans="1:8" x14ac:dyDescent="0.2">
      <c r="A309" s="1">
        <v>308</v>
      </c>
      <c r="B309" s="3">
        <v>44651</v>
      </c>
      <c r="C309" s="4">
        <v>7220.4926926185299</v>
      </c>
      <c r="D309" s="4">
        <v>7288.8254310344801</v>
      </c>
      <c r="E309" s="4">
        <v>7174.9375336745697</v>
      </c>
      <c r="F309" s="4">
        <v>7266.0478515625</v>
      </c>
      <c r="G309" s="1">
        <v>112691900</v>
      </c>
      <c r="H309" s="2" t="str">
        <f t="shared" si="4"/>
        <v>Naik</v>
      </c>
    </row>
    <row r="310" spans="1:8" x14ac:dyDescent="0.2">
      <c r="A310" s="1">
        <v>309</v>
      </c>
      <c r="B310" s="3">
        <v>44652</v>
      </c>
      <c r="C310" s="4">
        <v>7357.1581522944598</v>
      </c>
      <c r="D310" s="4">
        <v>7357.1581522944598</v>
      </c>
      <c r="E310" s="4">
        <v>7152.1599375246496</v>
      </c>
      <c r="F310" s="4">
        <v>7220.49267578125</v>
      </c>
      <c r="G310" s="1">
        <v>105575400</v>
      </c>
      <c r="H310" s="2" t="str">
        <f>IF(F310&gt;F309,"Naik",IF(F310&lt;F309,"Turun","Stabil"))</f>
        <v>Turun</v>
      </c>
    </row>
    <row r="311" spans="1:8" x14ac:dyDescent="0.2">
      <c r="A311" s="1">
        <v>310</v>
      </c>
      <c r="B311" s="3">
        <v>44655</v>
      </c>
      <c r="C311" s="4">
        <v>7220.4929121959103</v>
      </c>
      <c r="D311" s="4">
        <v>7220.4929121959103</v>
      </c>
      <c r="E311" s="4">
        <v>7129.3825915372799</v>
      </c>
      <c r="F311" s="4">
        <v>7197.71533203125</v>
      </c>
      <c r="G311" s="1">
        <v>57321200</v>
      </c>
      <c r="H311" s="2" t="str">
        <f t="shared" si="4"/>
        <v>Turun</v>
      </c>
    </row>
    <row r="312" spans="1:8" x14ac:dyDescent="0.2">
      <c r="A312" s="1">
        <v>311</v>
      </c>
      <c r="B312" s="3">
        <v>44656</v>
      </c>
      <c r="C312" s="4">
        <v>7197.71533203125</v>
      </c>
      <c r="D312" s="4">
        <v>7197.71533203125</v>
      </c>
      <c r="E312" s="4">
        <v>7152.1601717019403</v>
      </c>
      <c r="F312" s="4">
        <v>7197.71533203125</v>
      </c>
      <c r="G312" s="1">
        <v>48528300</v>
      </c>
      <c r="H312" s="2" t="str">
        <f t="shared" si="4"/>
        <v>Stabil</v>
      </c>
    </row>
    <row r="313" spans="1:8" x14ac:dyDescent="0.2">
      <c r="A313" s="1">
        <v>312</v>
      </c>
      <c r="B313" s="3">
        <v>44657</v>
      </c>
      <c r="C313" s="4">
        <v>7129.3820517263102</v>
      </c>
      <c r="D313" s="4">
        <v>7152.1596301663303</v>
      </c>
      <c r="E313" s="4">
        <v>7061.04931640625</v>
      </c>
      <c r="F313" s="4">
        <v>7061.04931640625</v>
      </c>
      <c r="G313" s="1">
        <v>119263000</v>
      </c>
      <c r="H313" s="2" t="str">
        <f t="shared" si="4"/>
        <v>Turun</v>
      </c>
    </row>
    <row r="314" spans="1:8" x14ac:dyDescent="0.2">
      <c r="A314" s="1">
        <v>313</v>
      </c>
      <c r="B314" s="3">
        <v>44658</v>
      </c>
      <c r="C314" s="4">
        <v>7038.2717379662299</v>
      </c>
      <c r="D314" s="4">
        <v>7129.3820517263102</v>
      </c>
      <c r="E314" s="4">
        <v>7015.4941595262098</v>
      </c>
      <c r="F314" s="4">
        <v>7061.04931640625</v>
      </c>
      <c r="G314" s="1">
        <v>68619400</v>
      </c>
      <c r="H314" s="2" t="str">
        <f t="shared" si="4"/>
        <v>Stabil</v>
      </c>
    </row>
    <row r="315" spans="1:8" x14ac:dyDescent="0.2">
      <c r="A315" s="1">
        <v>314</v>
      </c>
      <c r="B315" s="3">
        <v>44659</v>
      </c>
      <c r="C315" s="4">
        <v>7106.6054811902904</v>
      </c>
      <c r="D315" s="4">
        <v>7174.9382262017298</v>
      </c>
      <c r="E315" s="4">
        <v>7083.8278995198098</v>
      </c>
      <c r="F315" s="4">
        <v>7152.16064453125</v>
      </c>
      <c r="G315" s="1">
        <v>69791600</v>
      </c>
      <c r="H315" s="2" t="str">
        <f t="shared" si="4"/>
        <v>Naik</v>
      </c>
    </row>
    <row r="316" spans="1:8" x14ac:dyDescent="0.2">
      <c r="A316" s="1">
        <v>315</v>
      </c>
      <c r="B316" s="3">
        <v>44662</v>
      </c>
      <c r="C316" s="4">
        <v>7129.38228945439</v>
      </c>
      <c r="D316" s="4">
        <v>7174.9374478534601</v>
      </c>
      <c r="E316" s="4">
        <v>7038.27197265625</v>
      </c>
      <c r="F316" s="4">
        <v>7038.27197265625</v>
      </c>
      <c r="G316" s="1">
        <v>62776200</v>
      </c>
      <c r="H316" s="2" t="str">
        <f t="shared" si="4"/>
        <v>Turun</v>
      </c>
    </row>
    <row r="317" spans="1:8" x14ac:dyDescent="0.2">
      <c r="A317" s="1">
        <v>316</v>
      </c>
      <c r="B317" s="3">
        <v>44663</v>
      </c>
      <c r="C317" s="4">
        <v>7038.2722402719401</v>
      </c>
      <c r="D317" s="4">
        <v>7106.60498046875</v>
      </c>
      <c r="E317" s="4">
        <v>7015.4946602063301</v>
      </c>
      <c r="F317" s="4">
        <v>7106.60498046875</v>
      </c>
      <c r="G317" s="1">
        <v>73471300</v>
      </c>
      <c r="H317" s="2" t="str">
        <f t="shared" si="4"/>
        <v>Naik</v>
      </c>
    </row>
    <row r="318" spans="1:8" x14ac:dyDescent="0.2">
      <c r="A318" s="1">
        <v>317</v>
      </c>
      <c r="B318" s="3">
        <v>44664</v>
      </c>
      <c r="C318" s="4">
        <v>7106.60498046875</v>
      </c>
      <c r="D318" s="4">
        <v>7152.16014059996</v>
      </c>
      <c r="E318" s="4">
        <v>7061.04982033754</v>
      </c>
      <c r="F318" s="4">
        <v>7106.60498046875</v>
      </c>
      <c r="G318" s="1">
        <v>57622100</v>
      </c>
      <c r="H318" s="2" t="str">
        <f t="shared" si="4"/>
        <v>Stabil</v>
      </c>
    </row>
    <row r="319" spans="1:8" x14ac:dyDescent="0.2">
      <c r="A319" s="1">
        <v>318</v>
      </c>
      <c r="B319" s="3">
        <v>44665</v>
      </c>
      <c r="C319" s="4">
        <v>7106.6044541396104</v>
      </c>
      <c r="D319" s="4">
        <v>7106.6044541396104</v>
      </c>
      <c r="E319" s="4">
        <v>7015.494140625</v>
      </c>
      <c r="F319" s="4">
        <v>7015.494140625</v>
      </c>
      <c r="G319" s="1">
        <v>93342900</v>
      </c>
      <c r="H319" s="2" t="str">
        <f t="shared" si="4"/>
        <v>Turun</v>
      </c>
    </row>
    <row r="320" spans="1:8" x14ac:dyDescent="0.2">
      <c r="A320" s="1">
        <v>319</v>
      </c>
      <c r="B320" s="3">
        <v>44669</v>
      </c>
      <c r="C320" s="4">
        <v>7015.494140625</v>
      </c>
      <c r="D320" s="4">
        <v>7038.2717190036501</v>
      </c>
      <c r="E320" s="4">
        <v>6947.1614054890397</v>
      </c>
      <c r="F320" s="4">
        <v>7015.494140625</v>
      </c>
      <c r="G320" s="1">
        <v>68464700</v>
      </c>
      <c r="H320" s="2" t="str">
        <f t="shared" si="4"/>
        <v>Stabil</v>
      </c>
    </row>
    <row r="321" spans="1:8" x14ac:dyDescent="0.2">
      <c r="A321" s="1">
        <v>320</v>
      </c>
      <c r="B321" s="3">
        <v>44670</v>
      </c>
      <c r="C321" s="4">
        <v>7015.49435835041</v>
      </c>
      <c r="D321" s="4">
        <v>7015.49435835041</v>
      </c>
      <c r="E321" s="4">
        <v>6947.16162109375</v>
      </c>
      <c r="F321" s="4">
        <v>6947.16162109375</v>
      </c>
      <c r="G321" s="1">
        <v>98632000</v>
      </c>
      <c r="H321" s="2" t="str">
        <f t="shared" si="4"/>
        <v>Turun</v>
      </c>
    </row>
    <row r="322" spans="1:8" x14ac:dyDescent="0.2">
      <c r="A322" s="1">
        <v>321</v>
      </c>
      <c r="B322" s="3">
        <v>44671</v>
      </c>
      <c r="C322" s="4">
        <v>7038.2716997932002</v>
      </c>
      <c r="D322" s="4">
        <v>7038.2716997932002</v>
      </c>
      <c r="E322" s="4">
        <v>6947.1613865272702</v>
      </c>
      <c r="F322" s="4">
        <v>6969.93896484375</v>
      </c>
      <c r="G322" s="1">
        <v>124388800</v>
      </c>
      <c r="H322" s="2" t="str">
        <f t="shared" si="4"/>
        <v>Naik</v>
      </c>
    </row>
    <row r="323" spans="1:8" x14ac:dyDescent="0.2">
      <c r="A323" s="1">
        <v>322</v>
      </c>
      <c r="B323" s="3">
        <v>44672</v>
      </c>
      <c r="C323" s="4">
        <v>7106.6047786869103</v>
      </c>
      <c r="D323" s="4">
        <v>7220.49267578125</v>
      </c>
      <c r="E323" s="4">
        <v>7061.0496198491701</v>
      </c>
      <c r="F323" s="4">
        <v>7220.49267578125</v>
      </c>
      <c r="G323" s="1">
        <v>129323400</v>
      </c>
      <c r="H323" s="2" t="str">
        <f t="shared" si="4"/>
        <v>Naik</v>
      </c>
    </row>
    <row r="324" spans="1:8" x14ac:dyDescent="0.2">
      <c r="A324" s="1">
        <v>323</v>
      </c>
      <c r="B324" s="3">
        <v>44673</v>
      </c>
      <c r="C324" s="4">
        <v>7152.1604073660701</v>
      </c>
      <c r="D324" s="4">
        <v>7220.4931501116098</v>
      </c>
      <c r="E324" s="4">
        <v>7106.6052455357203</v>
      </c>
      <c r="F324" s="4">
        <v>7174.93798828125</v>
      </c>
      <c r="G324" s="1">
        <v>85956100</v>
      </c>
      <c r="H324" s="2" t="str">
        <f t="shared" ref="H324:H387" si="5">IF(F324&gt;F323,"Naik",IF(F324&lt;F323,"Turun","Stabil"))</f>
        <v>Turun</v>
      </c>
    </row>
    <row r="325" spans="1:8" x14ac:dyDescent="0.2">
      <c r="A325" s="1">
        <v>324</v>
      </c>
      <c r="B325" s="3">
        <v>44676</v>
      </c>
      <c r="C325" s="4">
        <v>7174.9373016357404</v>
      </c>
      <c r="D325" s="4">
        <v>7288.8251953125</v>
      </c>
      <c r="E325" s="4">
        <v>7129.3821441650398</v>
      </c>
      <c r="F325" s="4">
        <v>7288.8251953125</v>
      </c>
      <c r="G325" s="1">
        <v>91279600</v>
      </c>
      <c r="H325" s="2" t="str">
        <f t="shared" si="5"/>
        <v>Naik</v>
      </c>
    </row>
    <row r="326" spans="1:8" x14ac:dyDescent="0.2">
      <c r="A326" s="1">
        <v>325</v>
      </c>
      <c r="B326" s="3">
        <v>44677</v>
      </c>
      <c r="C326" s="4">
        <v>7220.4927418870202</v>
      </c>
      <c r="D326" s="4">
        <v>7402.71337890625</v>
      </c>
      <c r="E326" s="4">
        <v>7220.4927418870202</v>
      </c>
      <c r="F326" s="4">
        <v>7402.71337890625</v>
      </c>
      <c r="G326" s="1">
        <v>128360900</v>
      </c>
      <c r="H326" s="2" t="str">
        <f t="shared" si="5"/>
        <v>Naik</v>
      </c>
    </row>
    <row r="327" spans="1:8" x14ac:dyDescent="0.2">
      <c r="A327" s="1">
        <v>326</v>
      </c>
      <c r="B327" s="3">
        <v>44678</v>
      </c>
      <c r="C327" s="4">
        <v>7357.15848448218</v>
      </c>
      <c r="D327" s="4">
        <v>7471.04638671875</v>
      </c>
      <c r="E327" s="4">
        <v>7357.15848448218</v>
      </c>
      <c r="F327" s="4">
        <v>7471.04638671875</v>
      </c>
      <c r="G327" s="1">
        <v>89463100</v>
      </c>
      <c r="H327" s="2" t="str">
        <f t="shared" si="5"/>
        <v>Naik</v>
      </c>
    </row>
    <row r="328" spans="1:8" x14ac:dyDescent="0.2">
      <c r="A328" s="1">
        <v>327</v>
      </c>
      <c r="B328" s="3">
        <v>44679</v>
      </c>
      <c r="C328" s="4">
        <v>7516.6012770432699</v>
      </c>
      <c r="D328" s="4">
        <v>7516.6012770432699</v>
      </c>
      <c r="E328" s="4">
        <v>7357.15821965144</v>
      </c>
      <c r="F328" s="4">
        <v>7402.71337890625</v>
      </c>
      <c r="G328" s="1">
        <v>133730600</v>
      </c>
      <c r="H328" s="2" t="str">
        <f t="shared" si="5"/>
        <v>Turun</v>
      </c>
    </row>
    <row r="329" spans="1:8" x14ac:dyDescent="0.2">
      <c r="A329" s="1">
        <v>328</v>
      </c>
      <c r="B329" s="3">
        <v>44690</v>
      </c>
      <c r="C329" s="4">
        <v>7174.9376558002696</v>
      </c>
      <c r="D329" s="4">
        <v>7197.7152356599499</v>
      </c>
      <c r="E329" s="4">
        <v>6924.38427734375</v>
      </c>
      <c r="F329" s="4">
        <v>6924.38427734375</v>
      </c>
      <c r="G329" s="1">
        <v>456796600</v>
      </c>
      <c r="H329" s="2" t="str">
        <f>IF(F329&gt;F328,"Naik",IF(F329&lt;F328,"Turun","Stabil"))</f>
        <v>Turun</v>
      </c>
    </row>
    <row r="330" spans="1:8" x14ac:dyDescent="0.2">
      <c r="A330" s="1">
        <v>329</v>
      </c>
      <c r="B330" s="3">
        <v>44691</v>
      </c>
      <c r="C330" s="4">
        <v>6605.4983713143702</v>
      </c>
      <c r="D330" s="4">
        <v>6924.3844995847203</v>
      </c>
      <c r="E330" s="4">
        <v>6605.4983713143702</v>
      </c>
      <c r="F330" s="4">
        <v>6856.0517578125</v>
      </c>
      <c r="G330" s="1">
        <v>268445700</v>
      </c>
      <c r="H330" s="2" t="str">
        <f t="shared" si="5"/>
        <v>Turun</v>
      </c>
    </row>
    <row r="331" spans="1:8" x14ac:dyDescent="0.2">
      <c r="A331" s="1">
        <v>330</v>
      </c>
      <c r="B331" s="3">
        <v>44692</v>
      </c>
      <c r="C331" s="4">
        <v>6856.0510732613402</v>
      </c>
      <c r="D331" s="4">
        <v>7015.4941214767196</v>
      </c>
      <c r="E331" s="4">
        <v>6787.71833831189</v>
      </c>
      <c r="F331" s="4">
        <v>6969.93896484375</v>
      </c>
      <c r="G331" s="1">
        <v>156535200</v>
      </c>
      <c r="H331" s="2" t="str">
        <f t="shared" si="5"/>
        <v>Naik</v>
      </c>
    </row>
    <row r="332" spans="1:8" x14ac:dyDescent="0.2">
      <c r="A332" s="1">
        <v>331</v>
      </c>
      <c r="B332" s="3">
        <v>44693</v>
      </c>
      <c r="C332" s="4">
        <v>6856.0511772444197</v>
      </c>
      <c r="D332" s="4">
        <v>6878.8287559063601</v>
      </c>
      <c r="E332" s="4">
        <v>6628.275390625</v>
      </c>
      <c r="F332" s="4">
        <v>6628.275390625</v>
      </c>
      <c r="G332" s="1">
        <v>240529600</v>
      </c>
      <c r="H332" s="2" t="str">
        <f t="shared" si="5"/>
        <v>Turun</v>
      </c>
    </row>
    <row r="333" spans="1:8" x14ac:dyDescent="0.2">
      <c r="A333" s="1">
        <v>332</v>
      </c>
      <c r="B333" s="3">
        <v>44694</v>
      </c>
      <c r="C333" s="4">
        <v>6605.4983135132297</v>
      </c>
      <c r="D333" s="4">
        <v>6810.4965370360496</v>
      </c>
      <c r="E333" s="4">
        <v>6605.4983135132297</v>
      </c>
      <c r="F333" s="4">
        <v>6673.8310546875</v>
      </c>
      <c r="G333" s="1">
        <v>212968600</v>
      </c>
      <c r="H333" s="2" t="str">
        <f t="shared" si="5"/>
        <v>Naik</v>
      </c>
    </row>
    <row r="334" spans="1:8" x14ac:dyDescent="0.2">
      <c r="A334" s="1">
        <v>333</v>
      </c>
      <c r="B334" s="3">
        <v>44698</v>
      </c>
      <c r="C334" s="4">
        <v>6628.2756760056</v>
      </c>
      <c r="D334" s="4">
        <v>6810.4963131466402</v>
      </c>
      <c r="E334" s="4">
        <v>6628.2756760056</v>
      </c>
      <c r="F334" s="4">
        <v>6742.16357421875</v>
      </c>
      <c r="G334" s="1">
        <v>159657600</v>
      </c>
      <c r="H334" s="2" t="str">
        <f t="shared" si="5"/>
        <v>Naik</v>
      </c>
    </row>
    <row r="335" spans="1:8" x14ac:dyDescent="0.2">
      <c r="A335" s="1">
        <v>334</v>
      </c>
      <c r="B335" s="3">
        <v>44699</v>
      </c>
      <c r="C335" s="4">
        <v>6833.2732247834201</v>
      </c>
      <c r="D335" s="4">
        <v>6901.60595703125</v>
      </c>
      <c r="E335" s="4">
        <v>6719.3853377036903</v>
      </c>
      <c r="F335" s="4">
        <v>6901.60595703125</v>
      </c>
      <c r="G335" s="1">
        <v>153514300</v>
      </c>
      <c r="H335" s="2" t="str">
        <f t="shared" si="5"/>
        <v>Naik</v>
      </c>
    </row>
    <row r="336" spans="1:8" x14ac:dyDescent="0.2">
      <c r="A336" s="1">
        <v>335</v>
      </c>
      <c r="B336" s="3">
        <v>44700</v>
      </c>
      <c r="C336" s="4">
        <v>6742.1640756082197</v>
      </c>
      <c r="D336" s="4">
        <v>6810.4968196177597</v>
      </c>
      <c r="E336" s="4">
        <v>6719.38649427171</v>
      </c>
      <c r="F336" s="4">
        <v>6787.71923828125</v>
      </c>
      <c r="G336" s="1">
        <v>140908900</v>
      </c>
      <c r="H336" s="2" t="str">
        <f t="shared" si="5"/>
        <v>Turun</v>
      </c>
    </row>
    <row r="337" spans="1:8" x14ac:dyDescent="0.2">
      <c r="A337" s="1">
        <v>336</v>
      </c>
      <c r="B337" s="3">
        <v>44701</v>
      </c>
      <c r="C337" s="4">
        <v>6764.9411538613804</v>
      </c>
      <c r="D337" s="4">
        <v>6810.4963131466402</v>
      </c>
      <c r="E337" s="4">
        <v>6742.16357421875</v>
      </c>
      <c r="F337" s="4">
        <v>6742.16357421875</v>
      </c>
      <c r="G337" s="1">
        <v>86520200</v>
      </c>
      <c r="H337" s="2" t="str">
        <f t="shared" si="5"/>
        <v>Turun</v>
      </c>
    </row>
    <row r="338" spans="1:8" x14ac:dyDescent="0.2">
      <c r="A338" s="1">
        <v>337</v>
      </c>
      <c r="B338" s="3">
        <v>44704</v>
      </c>
      <c r="C338" s="4">
        <v>6787.7189717955498</v>
      </c>
      <c r="D338" s="4">
        <v>6810.4965522378197</v>
      </c>
      <c r="E338" s="4">
        <v>6696.6086500264801</v>
      </c>
      <c r="F338" s="4">
        <v>6719.38623046875</v>
      </c>
      <c r="G338" s="1">
        <v>71603500</v>
      </c>
      <c r="H338" s="2" t="str">
        <f t="shared" si="5"/>
        <v>Turun</v>
      </c>
    </row>
    <row r="339" spans="1:8" x14ac:dyDescent="0.2">
      <c r="A339" s="1">
        <v>338</v>
      </c>
      <c r="B339" s="3">
        <v>44705</v>
      </c>
      <c r="C339" s="4">
        <v>6673.83081885098</v>
      </c>
      <c r="D339" s="4">
        <v>6810.49629637011</v>
      </c>
      <c r="E339" s="4">
        <v>6673.83081885098</v>
      </c>
      <c r="F339" s="4">
        <v>6696.6083984375</v>
      </c>
      <c r="G339" s="1">
        <v>108710800</v>
      </c>
      <c r="H339" s="2" t="str">
        <f t="shared" si="5"/>
        <v>Turun</v>
      </c>
    </row>
    <row r="340" spans="1:8" x14ac:dyDescent="0.2">
      <c r="A340" s="1">
        <v>339</v>
      </c>
      <c r="B340" s="3">
        <v>44706</v>
      </c>
      <c r="C340" s="4">
        <v>6742.1638109110199</v>
      </c>
      <c r="D340" s="4">
        <v>6787.7189717955498</v>
      </c>
      <c r="E340" s="4">
        <v>6696.6086500264801</v>
      </c>
      <c r="F340" s="4">
        <v>6719.38623046875</v>
      </c>
      <c r="G340" s="1">
        <v>76747400</v>
      </c>
      <c r="H340" s="2" t="str">
        <f t="shared" si="5"/>
        <v>Naik</v>
      </c>
    </row>
    <row r="341" spans="1:8" x14ac:dyDescent="0.2">
      <c r="A341" s="1">
        <v>340</v>
      </c>
      <c r="B341" s="3">
        <v>44708</v>
      </c>
      <c r="C341" s="4">
        <v>6856.0508021993601</v>
      </c>
      <c r="D341" s="4">
        <v>6901.60595703125</v>
      </c>
      <c r="E341" s="4">
        <v>6810.4956473674702</v>
      </c>
      <c r="F341" s="4">
        <v>6901.60595703125</v>
      </c>
      <c r="G341" s="1">
        <v>84336900</v>
      </c>
      <c r="H341" s="2" t="str">
        <f t="shared" si="5"/>
        <v>Naik</v>
      </c>
    </row>
    <row r="342" spans="1:8" x14ac:dyDescent="0.2">
      <c r="A342" s="1">
        <v>341</v>
      </c>
      <c r="B342" s="3">
        <v>44711</v>
      </c>
      <c r="C342" s="4">
        <v>6901.60595703125</v>
      </c>
      <c r="D342" s="4">
        <v>6924.38353444719</v>
      </c>
      <c r="E342" s="4">
        <v>6810.4956473674702</v>
      </c>
      <c r="F342" s="4">
        <v>6901.60595703125</v>
      </c>
      <c r="G342" s="1">
        <v>105411400</v>
      </c>
      <c r="H342" s="2" t="str">
        <f t="shared" si="5"/>
        <v>Stabil</v>
      </c>
    </row>
    <row r="343" spans="1:8" x14ac:dyDescent="0.2">
      <c r="A343" s="1">
        <v>342</v>
      </c>
      <c r="B343" s="3">
        <v>44712</v>
      </c>
      <c r="C343" s="4">
        <v>6924.3838457661304</v>
      </c>
      <c r="D343" s="4">
        <v>7061.04931640625</v>
      </c>
      <c r="E343" s="4">
        <v>6856.0511104460702</v>
      </c>
      <c r="F343" s="4">
        <v>7061.04931640625</v>
      </c>
      <c r="G343" s="1">
        <v>286292700</v>
      </c>
      <c r="H343" s="2" t="str">
        <f t="shared" si="5"/>
        <v>Naik</v>
      </c>
    </row>
    <row r="344" spans="1:8" x14ac:dyDescent="0.2">
      <c r="A344" s="1">
        <v>343</v>
      </c>
      <c r="B344" s="3">
        <v>44714</v>
      </c>
      <c r="C344" s="4">
        <v>6947.1611118631399</v>
      </c>
      <c r="D344" s="4">
        <v>6992.7162666950298</v>
      </c>
      <c r="E344" s="4">
        <v>6856.0508021993601</v>
      </c>
      <c r="F344" s="4">
        <v>6901.60595703125</v>
      </c>
      <c r="G344" s="1">
        <v>149226300</v>
      </c>
      <c r="H344" s="2" t="str">
        <f>IF(F344&gt;F343,"Naik",IF(F344&lt;F343,"Turun","Stabil"))</f>
        <v>Turun</v>
      </c>
    </row>
    <row r="345" spans="1:8" x14ac:dyDescent="0.2">
      <c r="A345" s="1">
        <v>344</v>
      </c>
      <c r="B345" s="3">
        <v>44715</v>
      </c>
      <c r="C345" s="4">
        <v>6924.38427734375</v>
      </c>
      <c r="D345" s="4">
        <v>6992.7170169228002</v>
      </c>
      <c r="E345" s="4">
        <v>6901.6066974840696</v>
      </c>
      <c r="F345" s="4">
        <v>6924.38427734375</v>
      </c>
      <c r="G345" s="1">
        <v>80563100</v>
      </c>
      <c r="H345" s="2" t="str">
        <f t="shared" si="5"/>
        <v>Naik</v>
      </c>
    </row>
    <row r="346" spans="1:8" x14ac:dyDescent="0.2">
      <c r="A346" s="1">
        <v>345</v>
      </c>
      <c r="B346" s="3">
        <v>44718</v>
      </c>
      <c r="C346" s="4">
        <v>6878.8295636273097</v>
      </c>
      <c r="D346" s="4">
        <v>6901.6071449638202</v>
      </c>
      <c r="E346" s="4">
        <v>6764.9416569447403</v>
      </c>
      <c r="F346" s="4">
        <v>6787.71923828125</v>
      </c>
      <c r="G346" s="1">
        <v>81140300</v>
      </c>
      <c r="H346" s="2" t="str">
        <f t="shared" si="5"/>
        <v>Turun</v>
      </c>
    </row>
    <row r="347" spans="1:8" x14ac:dyDescent="0.2">
      <c r="A347" s="1">
        <v>346</v>
      </c>
      <c r="B347" s="3">
        <v>44719</v>
      </c>
      <c r="C347" s="4">
        <v>6651.0534891419502</v>
      </c>
      <c r="D347" s="4">
        <v>6810.4965522378197</v>
      </c>
      <c r="E347" s="4">
        <v>6651.0534891419502</v>
      </c>
      <c r="F347" s="4">
        <v>6719.38623046875</v>
      </c>
      <c r="G347" s="1">
        <v>129242500</v>
      </c>
      <c r="H347" s="2" t="str">
        <f t="shared" si="5"/>
        <v>Turun</v>
      </c>
    </row>
    <row r="348" spans="1:8" x14ac:dyDescent="0.2">
      <c r="A348" s="1">
        <v>347</v>
      </c>
      <c r="B348" s="3">
        <v>44720</v>
      </c>
      <c r="C348" s="4">
        <v>6833.2739579050203</v>
      </c>
      <c r="D348" s="4">
        <v>6924.38427734375</v>
      </c>
      <c r="E348" s="4">
        <v>6764.9412183259701</v>
      </c>
      <c r="F348" s="4">
        <v>6924.38427734375</v>
      </c>
      <c r="G348" s="1">
        <v>108910500</v>
      </c>
      <c r="H348" s="2" t="str">
        <f t="shared" si="5"/>
        <v>Naik</v>
      </c>
    </row>
    <row r="349" spans="1:8" x14ac:dyDescent="0.2">
      <c r="A349" s="1">
        <v>348</v>
      </c>
      <c r="B349" s="3">
        <v>44721</v>
      </c>
      <c r="C349" s="4">
        <v>6833.27392578125</v>
      </c>
      <c r="D349" s="4">
        <v>6901.6066650390603</v>
      </c>
      <c r="E349" s="4">
        <v>6833.27392578125</v>
      </c>
      <c r="F349" s="4">
        <v>6833.27392578125</v>
      </c>
      <c r="G349" s="1">
        <v>107828300</v>
      </c>
      <c r="H349" s="2" t="str">
        <f t="shared" si="5"/>
        <v>Turun</v>
      </c>
    </row>
    <row r="350" spans="1:8" x14ac:dyDescent="0.2">
      <c r="A350" s="1">
        <v>349</v>
      </c>
      <c r="B350" s="3">
        <v>44722</v>
      </c>
      <c r="C350" s="4">
        <v>6742.16355761055</v>
      </c>
      <c r="D350" s="4">
        <v>6787.71871678359</v>
      </c>
      <c r="E350" s="4">
        <v>6696.6083984375</v>
      </c>
      <c r="F350" s="4">
        <v>6696.6083984375</v>
      </c>
      <c r="G350" s="1">
        <v>111768600</v>
      </c>
      <c r="H350" s="2" t="str">
        <f t="shared" si="5"/>
        <v>Turun</v>
      </c>
    </row>
    <row r="351" spans="1:8" x14ac:dyDescent="0.2">
      <c r="A351" s="1">
        <v>350</v>
      </c>
      <c r="B351" s="3">
        <v>44725</v>
      </c>
      <c r="C351" s="4">
        <v>6651.05323926446</v>
      </c>
      <c r="D351" s="4">
        <v>6742.16355761055</v>
      </c>
      <c r="E351" s="4">
        <v>6628.27565967793</v>
      </c>
      <c r="F351" s="4">
        <v>6696.6083984375</v>
      </c>
      <c r="G351" s="1">
        <v>85539500</v>
      </c>
      <c r="H351" s="2" t="str">
        <f t="shared" si="5"/>
        <v>Stabil</v>
      </c>
    </row>
    <row r="352" spans="1:8" x14ac:dyDescent="0.2">
      <c r="A352" s="1">
        <v>351</v>
      </c>
      <c r="B352" s="3">
        <v>44726</v>
      </c>
      <c r="C352" s="4">
        <v>6651.0532556482303</v>
      </c>
      <c r="D352" s="4">
        <v>6742.16357421875</v>
      </c>
      <c r="E352" s="4">
        <v>6605.4980963629696</v>
      </c>
      <c r="F352" s="4">
        <v>6742.16357421875</v>
      </c>
      <c r="G352" s="1">
        <v>80865100</v>
      </c>
      <c r="H352" s="2" t="str">
        <f t="shared" si="5"/>
        <v>Naik</v>
      </c>
    </row>
    <row r="353" spans="1:8" x14ac:dyDescent="0.2">
      <c r="A353" s="1">
        <v>352</v>
      </c>
      <c r="B353" s="3">
        <v>44727</v>
      </c>
      <c r="C353" s="4">
        <v>6651.0534742960799</v>
      </c>
      <c r="D353" s="4">
        <v>6719.3862154703502</v>
      </c>
      <c r="E353" s="4">
        <v>6651.0534742960799</v>
      </c>
      <c r="F353" s="4">
        <v>6673.8310546875</v>
      </c>
      <c r="G353" s="1">
        <v>130367100</v>
      </c>
      <c r="H353" s="2" t="str">
        <f t="shared" si="5"/>
        <v>Turun</v>
      </c>
    </row>
    <row r="354" spans="1:8" x14ac:dyDescent="0.2">
      <c r="A354" s="1">
        <v>353</v>
      </c>
      <c r="B354" s="3">
        <v>44728</v>
      </c>
      <c r="C354" s="4">
        <v>6742.1629151196403</v>
      </c>
      <c r="D354" s="4">
        <v>6924.38353444719</v>
      </c>
      <c r="E354" s="4">
        <v>6719.3853377036903</v>
      </c>
      <c r="F354" s="4">
        <v>6901.60595703125</v>
      </c>
      <c r="G354" s="1">
        <v>132666300</v>
      </c>
      <c r="H354" s="2" t="str">
        <f t="shared" si="5"/>
        <v>Naik</v>
      </c>
    </row>
    <row r="355" spans="1:8" x14ac:dyDescent="0.2">
      <c r="A355" s="1">
        <v>354</v>
      </c>
      <c r="B355" s="3">
        <v>44729</v>
      </c>
      <c r="C355" s="4">
        <v>6764.9411865234397</v>
      </c>
      <c r="D355" s="4">
        <v>6878.8290852864602</v>
      </c>
      <c r="E355" s="4">
        <v>6764.9411865234397</v>
      </c>
      <c r="F355" s="4">
        <v>6833.27392578125</v>
      </c>
      <c r="G355" s="1">
        <v>117839400</v>
      </c>
      <c r="H355" s="2" t="str">
        <f t="shared" si="5"/>
        <v>Turun</v>
      </c>
    </row>
    <row r="356" spans="1:8" x14ac:dyDescent="0.2">
      <c r="A356" s="1">
        <v>355</v>
      </c>
      <c r="B356" s="3">
        <v>44732</v>
      </c>
      <c r="C356" s="4">
        <v>6924.3840420081997</v>
      </c>
      <c r="D356" s="4">
        <v>6969.9392001793003</v>
      </c>
      <c r="E356" s="4">
        <v>6833.2737256659802</v>
      </c>
      <c r="F356" s="4">
        <v>6947.16162109375</v>
      </c>
      <c r="G356" s="1">
        <v>88138700</v>
      </c>
      <c r="H356" s="2" t="str">
        <f t="shared" si="5"/>
        <v>Naik</v>
      </c>
    </row>
    <row r="357" spans="1:8" x14ac:dyDescent="0.2">
      <c r="A357" s="1">
        <v>356</v>
      </c>
      <c r="B357" s="3">
        <v>44733</v>
      </c>
      <c r="C357" s="4">
        <v>6924.3838082107804</v>
      </c>
      <c r="D357" s="4">
        <v>6969.93896484375</v>
      </c>
      <c r="E357" s="4">
        <v>6878.82865157782</v>
      </c>
      <c r="F357" s="4">
        <v>6969.93896484375</v>
      </c>
      <c r="G357" s="1">
        <v>44295700</v>
      </c>
      <c r="H357" s="2" t="str">
        <f t="shared" si="5"/>
        <v>Naik</v>
      </c>
    </row>
    <row r="358" spans="1:8" x14ac:dyDescent="0.2">
      <c r="A358" s="1">
        <v>357</v>
      </c>
      <c r="B358" s="3">
        <v>44734</v>
      </c>
      <c r="C358" s="4">
        <v>6947.1618245442696</v>
      </c>
      <c r="D358" s="4">
        <v>6969.9394042968697</v>
      </c>
      <c r="E358" s="4">
        <v>6833.27392578125</v>
      </c>
      <c r="F358" s="4">
        <v>6833.27392578125</v>
      </c>
      <c r="G358" s="1">
        <v>53041800</v>
      </c>
      <c r="H358" s="2" t="str">
        <f t="shared" si="5"/>
        <v>Turun</v>
      </c>
    </row>
    <row r="359" spans="1:8" x14ac:dyDescent="0.2">
      <c r="A359" s="1">
        <v>358</v>
      </c>
      <c r="B359" s="3">
        <v>44735</v>
      </c>
      <c r="C359" s="4">
        <v>6787.7190160402797</v>
      </c>
      <c r="D359" s="4">
        <v>6901.6069189939799</v>
      </c>
      <c r="E359" s="4">
        <v>6787.7190160402797</v>
      </c>
      <c r="F359" s="4">
        <v>6856.0517578125</v>
      </c>
      <c r="G359" s="1">
        <v>60443000</v>
      </c>
      <c r="H359" s="2" t="str">
        <f t="shared" si="5"/>
        <v>Naik</v>
      </c>
    </row>
    <row r="360" spans="1:8" x14ac:dyDescent="0.2">
      <c r="A360" s="1">
        <v>359</v>
      </c>
      <c r="B360" s="3">
        <v>44736</v>
      </c>
      <c r="C360" s="4">
        <v>6924.3839882943103</v>
      </c>
      <c r="D360" s="4">
        <v>6924.3839882943103</v>
      </c>
      <c r="E360" s="4">
        <v>6810.49609375</v>
      </c>
      <c r="F360" s="4">
        <v>6810.49609375</v>
      </c>
      <c r="G360" s="1">
        <v>57956600</v>
      </c>
      <c r="H360" s="2" t="str">
        <f t="shared" si="5"/>
        <v>Turun</v>
      </c>
    </row>
    <row r="361" spans="1:8" x14ac:dyDescent="0.2">
      <c r="A361" s="1">
        <v>360</v>
      </c>
      <c r="B361" s="3">
        <v>44739</v>
      </c>
      <c r="C361" s="4">
        <v>6810.49629637011</v>
      </c>
      <c r="D361" s="4">
        <v>6833.27387595663</v>
      </c>
      <c r="E361" s="4">
        <v>6696.6083984375</v>
      </c>
      <c r="F361" s="4">
        <v>6696.6083984375</v>
      </c>
      <c r="G361" s="1">
        <v>76354100</v>
      </c>
      <c r="H361" s="2" t="str">
        <f t="shared" si="5"/>
        <v>Turun</v>
      </c>
    </row>
    <row r="362" spans="1:8" x14ac:dyDescent="0.2">
      <c r="A362" s="1">
        <v>361</v>
      </c>
      <c r="B362" s="3">
        <v>44740</v>
      </c>
      <c r="C362" s="4">
        <v>6651.05322265625</v>
      </c>
      <c r="D362" s="4">
        <v>6742.1635407748299</v>
      </c>
      <c r="E362" s="4">
        <v>6651.05322265625</v>
      </c>
      <c r="F362" s="4">
        <v>6651.05322265625</v>
      </c>
      <c r="G362" s="1">
        <v>146078100</v>
      </c>
      <c r="H362" s="2" t="str">
        <f t="shared" si="5"/>
        <v>Turun</v>
      </c>
    </row>
    <row r="363" spans="1:8" x14ac:dyDescent="0.2">
      <c r="A363" s="1">
        <v>362</v>
      </c>
      <c r="B363" s="3">
        <v>44741</v>
      </c>
      <c r="C363" s="4">
        <v>6673.8305479488799</v>
      </c>
      <c r="D363" s="4">
        <v>6742.1632839347103</v>
      </c>
      <c r="E363" s="4">
        <v>6628.275390625</v>
      </c>
      <c r="F363" s="4">
        <v>6628.275390625</v>
      </c>
      <c r="G363" s="1">
        <v>98517800</v>
      </c>
      <c r="H363" s="2" t="str">
        <f t="shared" si="5"/>
        <v>Turun</v>
      </c>
    </row>
    <row r="364" spans="1:8" x14ac:dyDescent="0.2">
      <c r="A364" s="1">
        <v>363</v>
      </c>
      <c r="B364" s="3">
        <v>44742</v>
      </c>
      <c r="C364" s="4">
        <v>6651.0541891163803</v>
      </c>
      <c r="D364" s="4">
        <v>6742.1645204741399</v>
      </c>
      <c r="E364" s="4">
        <v>6605.4990234375</v>
      </c>
      <c r="F364" s="4">
        <v>6605.4990234375</v>
      </c>
      <c r="G364" s="1">
        <v>101343900</v>
      </c>
      <c r="H364" s="2" t="str">
        <f t="shared" si="5"/>
        <v>Turun</v>
      </c>
    </row>
    <row r="365" spans="1:8" x14ac:dyDescent="0.2">
      <c r="A365" s="1">
        <v>364</v>
      </c>
      <c r="B365" s="3">
        <v>44743</v>
      </c>
      <c r="C365" s="4">
        <v>6651.0541891163803</v>
      </c>
      <c r="D365" s="4">
        <v>6673.8317719558199</v>
      </c>
      <c r="E365" s="4">
        <v>6605.4990234375</v>
      </c>
      <c r="F365" s="4">
        <v>6605.4990234375</v>
      </c>
      <c r="G365" s="1">
        <v>68738800</v>
      </c>
      <c r="H365" s="2" t="str">
        <f>IF(F365&gt;F364,"Naik",IF(F365&lt;F364,"Turun","Stabil"))</f>
        <v>Stabil</v>
      </c>
    </row>
    <row r="366" spans="1:8" x14ac:dyDescent="0.2">
      <c r="A366" s="1">
        <v>365</v>
      </c>
      <c r="B366" s="3">
        <v>44746</v>
      </c>
      <c r="C366" s="4">
        <v>6605.4979776152504</v>
      </c>
      <c r="D366" s="4">
        <v>6628.2755568483999</v>
      </c>
      <c r="E366" s="4">
        <v>6377.7221852836901</v>
      </c>
      <c r="F366" s="4">
        <v>6423.27734375</v>
      </c>
      <c r="G366" s="1">
        <v>102238600</v>
      </c>
      <c r="H366" s="2" t="str">
        <f t="shared" si="5"/>
        <v>Turun</v>
      </c>
    </row>
    <row r="367" spans="1:8" x14ac:dyDescent="0.2">
      <c r="A367" s="1">
        <v>366</v>
      </c>
      <c r="B367" s="3">
        <v>44747</v>
      </c>
      <c r="C367" s="4">
        <v>6468.8335264008601</v>
      </c>
      <c r="D367" s="4">
        <v>6673.8317719558199</v>
      </c>
      <c r="E367" s="4">
        <v>6468.8335264008601</v>
      </c>
      <c r="F367" s="4">
        <v>6605.4990234375</v>
      </c>
      <c r="G367" s="1">
        <v>69172900</v>
      </c>
      <c r="H367" s="2" t="str">
        <f t="shared" si="5"/>
        <v>Naik</v>
      </c>
    </row>
    <row r="368" spans="1:8" x14ac:dyDescent="0.2">
      <c r="A368" s="1">
        <v>367</v>
      </c>
      <c r="B368" s="3">
        <v>44748</v>
      </c>
      <c r="C368" s="4">
        <v>6651.05322265625</v>
      </c>
      <c r="D368" s="4">
        <v>6673.8308021859002</v>
      </c>
      <c r="E368" s="4">
        <v>6537.1653250080299</v>
      </c>
      <c r="F368" s="4">
        <v>6651.05322265625</v>
      </c>
      <c r="G368" s="1">
        <v>66801100</v>
      </c>
      <c r="H368" s="2" t="str">
        <f t="shared" si="5"/>
        <v>Naik</v>
      </c>
    </row>
    <row r="369" spans="1:8" x14ac:dyDescent="0.2">
      <c r="A369" s="1">
        <v>368</v>
      </c>
      <c r="B369" s="3">
        <v>44749</v>
      </c>
      <c r="C369" s="4">
        <v>6582.72041600187</v>
      </c>
      <c r="D369" s="4">
        <v>6605.4979952960002</v>
      </c>
      <c r="E369" s="4">
        <v>6468.83251953125</v>
      </c>
      <c r="F369" s="4">
        <v>6468.83251953125</v>
      </c>
      <c r="G369" s="1">
        <v>86126800</v>
      </c>
      <c r="H369" s="2" t="str">
        <f t="shared" si="5"/>
        <v>Turun</v>
      </c>
    </row>
    <row r="370" spans="1:8" x14ac:dyDescent="0.2">
      <c r="A370" s="1">
        <v>369</v>
      </c>
      <c r="B370" s="3">
        <v>44750</v>
      </c>
      <c r="C370" s="4">
        <v>6491.6106025322297</v>
      </c>
      <c r="D370" s="4">
        <v>6537.1657646552703</v>
      </c>
      <c r="E370" s="4">
        <v>6446.0554404091999</v>
      </c>
      <c r="F370" s="4">
        <v>6514.38818359375</v>
      </c>
      <c r="G370" s="1">
        <v>64312400</v>
      </c>
      <c r="H370" s="2" t="str">
        <f t="shared" si="5"/>
        <v>Naik</v>
      </c>
    </row>
    <row r="371" spans="1:8" x14ac:dyDescent="0.2">
      <c r="A371" s="1">
        <v>370</v>
      </c>
      <c r="B371" s="3">
        <v>44753</v>
      </c>
      <c r="C371" s="4">
        <v>6559.9425986842098</v>
      </c>
      <c r="D371" s="4">
        <v>6559.9425986842098</v>
      </c>
      <c r="E371" s="4">
        <v>6491.60986328125</v>
      </c>
      <c r="F371" s="4">
        <v>6491.60986328125</v>
      </c>
      <c r="G371" s="1">
        <v>36830800</v>
      </c>
      <c r="H371" s="2" t="str">
        <f t="shared" si="5"/>
        <v>Turun</v>
      </c>
    </row>
    <row r="372" spans="1:8" x14ac:dyDescent="0.2">
      <c r="A372" s="1">
        <v>371</v>
      </c>
      <c r="B372" s="3">
        <v>44754</v>
      </c>
      <c r="C372" s="4">
        <v>6537.1650390625</v>
      </c>
      <c r="D372" s="4">
        <v>6605.49777466246</v>
      </c>
      <c r="E372" s="4">
        <v>6514.3874605291803</v>
      </c>
      <c r="F372" s="4">
        <v>6537.1650390625</v>
      </c>
      <c r="G372" s="1">
        <v>34269000</v>
      </c>
      <c r="H372" s="2" t="str">
        <f t="shared" si="5"/>
        <v>Naik</v>
      </c>
    </row>
    <row r="373" spans="1:8" x14ac:dyDescent="0.2">
      <c r="A373" s="1">
        <v>372</v>
      </c>
      <c r="B373" s="3">
        <v>44755</v>
      </c>
      <c r="C373" s="4">
        <v>6468.8324846540199</v>
      </c>
      <c r="D373" s="4">
        <v>6491.6100638253401</v>
      </c>
      <c r="E373" s="4">
        <v>6377.72216796875</v>
      </c>
      <c r="F373" s="4">
        <v>6377.72216796875</v>
      </c>
      <c r="G373" s="1">
        <v>71988200</v>
      </c>
      <c r="H373" s="2" t="str">
        <f t="shared" si="5"/>
        <v>Turun</v>
      </c>
    </row>
    <row r="374" spans="1:8" x14ac:dyDescent="0.2">
      <c r="A374" s="1">
        <v>373</v>
      </c>
      <c r="B374" s="3">
        <v>44756</v>
      </c>
      <c r="C374" s="4">
        <v>6400.5</v>
      </c>
      <c r="D374" s="4">
        <v>6468.8327402135201</v>
      </c>
      <c r="E374" s="4">
        <v>6377.7224199288303</v>
      </c>
      <c r="F374" s="4">
        <v>6400.5</v>
      </c>
      <c r="G374" s="1">
        <v>83316300</v>
      </c>
      <c r="H374" s="2" t="str">
        <f t="shared" si="5"/>
        <v>Naik</v>
      </c>
    </row>
    <row r="375" spans="1:8" x14ac:dyDescent="0.2">
      <c r="A375" s="1">
        <v>374</v>
      </c>
      <c r="B375" s="3">
        <v>44757</v>
      </c>
      <c r="C375" s="4">
        <v>6468.8324846540199</v>
      </c>
      <c r="D375" s="4">
        <v>6468.8324846540199</v>
      </c>
      <c r="E375" s="4">
        <v>6377.72216796875</v>
      </c>
      <c r="F375" s="4">
        <v>6377.72216796875</v>
      </c>
      <c r="G375" s="1">
        <v>57419900</v>
      </c>
      <c r="H375" s="2" t="str">
        <f t="shared" si="5"/>
        <v>Turun</v>
      </c>
    </row>
    <row r="376" spans="1:8" x14ac:dyDescent="0.2">
      <c r="A376" s="1">
        <v>375</v>
      </c>
      <c r="B376" s="3">
        <v>44760</v>
      </c>
      <c r="C376" s="4">
        <v>6400.5002782861702</v>
      </c>
      <c r="D376" s="4">
        <v>6514.38818359375</v>
      </c>
      <c r="E376" s="4">
        <v>6400.5002782861702</v>
      </c>
      <c r="F376" s="4">
        <v>6514.38818359375</v>
      </c>
      <c r="G376" s="1">
        <v>60077700</v>
      </c>
      <c r="H376" s="2" t="str">
        <f t="shared" si="5"/>
        <v>Naik</v>
      </c>
    </row>
    <row r="377" spans="1:8" x14ac:dyDescent="0.2">
      <c r="A377" s="1">
        <v>376</v>
      </c>
      <c r="B377" s="3">
        <v>44761</v>
      </c>
      <c r="C377" s="4">
        <v>6468.83230346254</v>
      </c>
      <c r="D377" s="4">
        <v>6537.1650390625</v>
      </c>
      <c r="E377" s="4">
        <v>6468.83230346254</v>
      </c>
      <c r="F377" s="4">
        <v>6537.1650390625</v>
      </c>
      <c r="G377" s="1">
        <v>59641000</v>
      </c>
      <c r="H377" s="2" t="str">
        <f t="shared" si="5"/>
        <v>Naik</v>
      </c>
    </row>
    <row r="378" spans="1:8" x14ac:dyDescent="0.2">
      <c r="A378" s="1">
        <v>377</v>
      </c>
      <c r="B378" s="3">
        <v>44762</v>
      </c>
      <c r="C378" s="4">
        <v>6559.9429370776998</v>
      </c>
      <c r="D378" s="4">
        <v>6742.16357421875</v>
      </c>
      <c r="E378" s="4">
        <v>6537.1653574350703</v>
      </c>
      <c r="F378" s="4">
        <v>6742.16357421875</v>
      </c>
      <c r="G378" s="1">
        <v>105792900</v>
      </c>
      <c r="H378" s="2" t="str">
        <f t="shared" si="5"/>
        <v>Naik</v>
      </c>
    </row>
    <row r="379" spans="1:8" x14ac:dyDescent="0.2">
      <c r="A379" s="1">
        <v>378</v>
      </c>
      <c r="B379" s="3">
        <v>44763</v>
      </c>
      <c r="C379" s="4">
        <v>6742.16357421875</v>
      </c>
      <c r="D379" s="4">
        <v>6742.16357421875</v>
      </c>
      <c r="E379" s="4">
        <v>6605.4980963629696</v>
      </c>
      <c r="F379" s="4">
        <v>6742.16357421875</v>
      </c>
      <c r="G379" s="1">
        <v>64337100</v>
      </c>
      <c r="H379" s="2" t="str">
        <f t="shared" si="5"/>
        <v>Stabil</v>
      </c>
    </row>
    <row r="380" spans="1:8" x14ac:dyDescent="0.2">
      <c r="A380" s="1">
        <v>379</v>
      </c>
      <c r="B380" s="3">
        <v>44764</v>
      </c>
      <c r="C380" s="4">
        <v>6742.1637958617803</v>
      </c>
      <c r="D380" s="4">
        <v>6742.1637958617803</v>
      </c>
      <c r="E380" s="4">
        <v>6651.0534742960799</v>
      </c>
      <c r="F380" s="4">
        <v>6673.8310546875</v>
      </c>
      <c r="G380" s="1">
        <v>38956500</v>
      </c>
      <c r="H380" s="2" t="str">
        <f t="shared" si="5"/>
        <v>Turun</v>
      </c>
    </row>
    <row r="381" spans="1:8" x14ac:dyDescent="0.2">
      <c r="A381" s="1">
        <v>380</v>
      </c>
      <c r="B381" s="3">
        <v>44767</v>
      </c>
      <c r="C381" s="4">
        <v>6696.6083817155404</v>
      </c>
      <c r="D381" s="4">
        <v>6719.3859612451797</v>
      </c>
      <c r="E381" s="4">
        <v>6651.05322265625</v>
      </c>
      <c r="F381" s="4">
        <v>6651.05322265625</v>
      </c>
      <c r="G381" s="1">
        <v>31247600</v>
      </c>
      <c r="H381" s="2" t="str">
        <f t="shared" si="5"/>
        <v>Turun</v>
      </c>
    </row>
    <row r="382" spans="1:8" x14ac:dyDescent="0.2">
      <c r="A382" s="1">
        <v>381</v>
      </c>
      <c r="B382" s="3">
        <v>44768</v>
      </c>
      <c r="C382" s="4">
        <v>6605.4980635969596</v>
      </c>
      <c r="D382" s="4">
        <v>6719.3859612451797</v>
      </c>
      <c r="E382" s="4">
        <v>6605.4980635969596</v>
      </c>
      <c r="F382" s="4">
        <v>6651.05322265625</v>
      </c>
      <c r="G382" s="1">
        <v>44379900</v>
      </c>
      <c r="H382" s="2" t="str">
        <f t="shared" si="5"/>
        <v>Stabil</v>
      </c>
    </row>
    <row r="383" spans="1:8" x14ac:dyDescent="0.2">
      <c r="A383" s="1">
        <v>382</v>
      </c>
      <c r="B383" s="3">
        <v>44769</v>
      </c>
      <c r="C383" s="4">
        <v>6673.8310546875</v>
      </c>
      <c r="D383" s="4">
        <v>6696.6086350789301</v>
      </c>
      <c r="E383" s="4">
        <v>6628.2758939046498</v>
      </c>
      <c r="F383" s="4">
        <v>6673.8310546875</v>
      </c>
      <c r="G383" s="1">
        <v>58465500</v>
      </c>
      <c r="H383" s="2" t="str">
        <f t="shared" si="5"/>
        <v>Naik</v>
      </c>
    </row>
    <row r="384" spans="1:8" x14ac:dyDescent="0.2">
      <c r="A384" s="1">
        <v>383</v>
      </c>
      <c r="B384" s="3">
        <v>44770</v>
      </c>
      <c r="C384" s="4">
        <v>6719.38597802402</v>
      </c>
      <c r="D384" s="4">
        <v>6787.71871678359</v>
      </c>
      <c r="E384" s="4">
        <v>6673.83081885098</v>
      </c>
      <c r="F384" s="4">
        <v>6696.6083984375</v>
      </c>
      <c r="G384" s="1">
        <v>86909700</v>
      </c>
      <c r="H384" s="2" t="str">
        <f t="shared" si="5"/>
        <v>Naik</v>
      </c>
    </row>
    <row r="385" spans="1:8" x14ac:dyDescent="0.2">
      <c r="A385" s="1">
        <v>384</v>
      </c>
      <c r="B385" s="3">
        <v>44771</v>
      </c>
      <c r="C385" s="4">
        <v>6742.16355761055</v>
      </c>
      <c r="D385" s="4">
        <v>6810.49629637011</v>
      </c>
      <c r="E385" s="4">
        <v>6696.6083984375</v>
      </c>
      <c r="F385" s="4">
        <v>6696.6083984375</v>
      </c>
      <c r="G385" s="1">
        <v>131553000</v>
      </c>
      <c r="H385" s="2" t="str">
        <f t="shared" si="5"/>
        <v>Stabil</v>
      </c>
    </row>
    <row r="386" spans="1:8" x14ac:dyDescent="0.2">
      <c r="A386" s="1">
        <v>385</v>
      </c>
      <c r="B386" s="3">
        <v>44774</v>
      </c>
      <c r="C386" s="4">
        <v>6696.6084472656303</v>
      </c>
      <c r="D386" s="4">
        <v>6833.27392578125</v>
      </c>
      <c r="E386" s="4">
        <v>6696.6084472656303</v>
      </c>
      <c r="F386" s="4">
        <v>6833.27392578125</v>
      </c>
      <c r="G386" s="1">
        <v>104841600</v>
      </c>
      <c r="H386" s="2" t="str">
        <f>IF(F386&gt;F385,"Naik",IF(F386&lt;F385,"Turun","Stabil"))</f>
        <v>Naik</v>
      </c>
    </row>
    <row r="387" spans="1:8" x14ac:dyDescent="0.2">
      <c r="A387" s="1">
        <v>386</v>
      </c>
      <c r="B387" s="3">
        <v>44775</v>
      </c>
      <c r="C387" s="4">
        <v>6924.38427734375</v>
      </c>
      <c r="D387" s="4">
        <v>6947.1618572034304</v>
      </c>
      <c r="E387" s="4">
        <v>6833.2739579050203</v>
      </c>
      <c r="F387" s="4">
        <v>6924.38427734375</v>
      </c>
      <c r="G387" s="1">
        <v>106466900</v>
      </c>
      <c r="H387" s="2" t="str">
        <f t="shared" si="5"/>
        <v>Naik</v>
      </c>
    </row>
    <row r="388" spans="1:8" x14ac:dyDescent="0.2">
      <c r="A388" s="1">
        <v>387</v>
      </c>
      <c r="B388" s="3">
        <v>44776</v>
      </c>
      <c r="C388" s="4">
        <v>6947.16162109375</v>
      </c>
      <c r="D388" s="4">
        <v>6947.16162109375</v>
      </c>
      <c r="E388" s="4">
        <v>6901.6064629226403</v>
      </c>
      <c r="F388" s="4">
        <v>6947.16162109375</v>
      </c>
      <c r="G388" s="1">
        <v>60170600</v>
      </c>
      <c r="H388" s="2" t="str">
        <f t="shared" ref="H388:H450" si="6">IF(F388&gt;F387,"Naik",IF(F388&lt;F387,"Turun","Stabil"))</f>
        <v>Naik</v>
      </c>
    </row>
    <row r="389" spans="1:8" x14ac:dyDescent="0.2">
      <c r="A389" s="1">
        <v>388</v>
      </c>
      <c r="B389" s="3">
        <v>44777</v>
      </c>
      <c r="C389" s="4">
        <v>6992.7170801407301</v>
      </c>
      <c r="D389" s="4">
        <v>7106.60498046875</v>
      </c>
      <c r="E389" s="4">
        <v>6969.9395000751201</v>
      </c>
      <c r="F389" s="4">
        <v>7106.60498046875</v>
      </c>
      <c r="G389" s="1">
        <v>164221000</v>
      </c>
      <c r="H389" s="2" t="str">
        <f t="shared" si="6"/>
        <v>Naik</v>
      </c>
    </row>
    <row r="390" spans="1:8" x14ac:dyDescent="0.2">
      <c r="A390" s="1">
        <v>389</v>
      </c>
      <c r="B390" s="3">
        <v>44778</v>
      </c>
      <c r="C390" s="4">
        <v>7129.3828264508902</v>
      </c>
      <c r="D390" s="4">
        <v>7174.93798828125</v>
      </c>
      <c r="E390" s="4">
        <v>7038.2725027901797</v>
      </c>
      <c r="F390" s="4">
        <v>7174.93798828125</v>
      </c>
      <c r="G390" s="1">
        <v>118734200</v>
      </c>
      <c r="H390" s="2" t="str">
        <f t="shared" si="6"/>
        <v>Naik</v>
      </c>
    </row>
    <row r="391" spans="1:8" x14ac:dyDescent="0.2">
      <c r="A391" s="1">
        <v>390</v>
      </c>
      <c r="B391" s="3">
        <v>44781</v>
      </c>
      <c r="C391" s="4">
        <v>7174.93798828125</v>
      </c>
      <c r="D391" s="4">
        <v>7220.4931501116098</v>
      </c>
      <c r="E391" s="4">
        <v>7061.0500837053596</v>
      </c>
      <c r="F391" s="4">
        <v>7174.93798828125</v>
      </c>
      <c r="G391" s="1">
        <v>84328900</v>
      </c>
      <c r="H391" s="2" t="str">
        <f t="shared" si="6"/>
        <v>Stabil</v>
      </c>
    </row>
    <row r="392" spans="1:8" x14ac:dyDescent="0.2">
      <c r="A392" s="1">
        <v>391</v>
      </c>
      <c r="B392" s="3">
        <v>44782</v>
      </c>
      <c r="C392" s="4">
        <v>7174.9377518665897</v>
      </c>
      <c r="D392" s="4">
        <v>7266.0480725252201</v>
      </c>
      <c r="E392" s="4">
        <v>7174.9377518665897</v>
      </c>
      <c r="F392" s="4">
        <v>7197.71533203125</v>
      </c>
      <c r="G392" s="1">
        <v>92875800</v>
      </c>
      <c r="H392" s="2" t="str">
        <f t="shared" si="6"/>
        <v>Naik</v>
      </c>
    </row>
    <row r="393" spans="1:8" x14ac:dyDescent="0.2">
      <c r="A393" s="1">
        <v>392</v>
      </c>
      <c r="B393" s="3">
        <v>44783</v>
      </c>
      <c r="C393" s="4">
        <v>7106.6050113726296</v>
      </c>
      <c r="D393" s="4">
        <v>7197.71533203125</v>
      </c>
      <c r="E393" s="4">
        <v>7038.2722708786596</v>
      </c>
      <c r="F393" s="4">
        <v>7197.71533203125</v>
      </c>
      <c r="G393" s="1">
        <v>104376300</v>
      </c>
      <c r="H393" s="2" t="str">
        <f t="shared" si="6"/>
        <v>Stabil</v>
      </c>
    </row>
    <row r="394" spans="1:8" x14ac:dyDescent="0.2">
      <c r="A394" s="1">
        <v>393</v>
      </c>
      <c r="B394" s="3">
        <v>44784</v>
      </c>
      <c r="C394" s="4">
        <v>7152.1597048201702</v>
      </c>
      <c r="D394" s="4">
        <v>7243.27001953125</v>
      </c>
      <c r="E394" s="4">
        <v>7129.38212614239</v>
      </c>
      <c r="F394" s="4">
        <v>7243.27001953125</v>
      </c>
      <c r="G394" s="1">
        <v>73204700</v>
      </c>
      <c r="H394" s="2" t="str">
        <f t="shared" si="6"/>
        <v>Naik</v>
      </c>
    </row>
    <row r="395" spans="1:8" x14ac:dyDescent="0.2">
      <c r="A395" s="1">
        <v>394</v>
      </c>
      <c r="B395" s="3">
        <v>44785</v>
      </c>
      <c r="C395" s="4">
        <v>7220.49267578125</v>
      </c>
      <c r="D395" s="4">
        <v>7266.0478346189902</v>
      </c>
      <c r="E395" s="4">
        <v>7152.1599375246496</v>
      </c>
      <c r="F395" s="4">
        <v>7220.49267578125</v>
      </c>
      <c r="G395" s="1">
        <v>59381200</v>
      </c>
      <c r="H395" s="2" t="str">
        <f t="shared" si="6"/>
        <v>Turun</v>
      </c>
    </row>
    <row r="396" spans="1:8" x14ac:dyDescent="0.2">
      <c r="A396" s="1">
        <v>395</v>
      </c>
      <c r="B396" s="3">
        <v>44788</v>
      </c>
      <c r="C396" s="4">
        <v>7243.27001953125</v>
      </c>
      <c r="D396" s="4">
        <v>7266.0475982090202</v>
      </c>
      <c r="E396" s="4">
        <v>7197.7148621757096</v>
      </c>
      <c r="F396" s="4">
        <v>7243.27001953125</v>
      </c>
      <c r="G396" s="1">
        <v>81411000</v>
      </c>
      <c r="H396" s="2" t="str">
        <f t="shared" si="6"/>
        <v>Naik</v>
      </c>
    </row>
    <row r="397" spans="1:8" x14ac:dyDescent="0.2">
      <c r="A397" s="1">
        <v>396</v>
      </c>
      <c r="B397" s="3">
        <v>44789</v>
      </c>
      <c r="C397" s="4">
        <v>7243.2702720905199</v>
      </c>
      <c r="D397" s="4">
        <v>7266.0478515625</v>
      </c>
      <c r="E397" s="4">
        <v>7152.1599542025897</v>
      </c>
      <c r="F397" s="4">
        <v>7266.0478515625</v>
      </c>
      <c r="G397" s="1">
        <v>83556700</v>
      </c>
      <c r="H397" s="2" t="str">
        <f t="shared" si="6"/>
        <v>Naik</v>
      </c>
    </row>
    <row r="398" spans="1:8" x14ac:dyDescent="0.2">
      <c r="A398" s="1">
        <v>397</v>
      </c>
      <c r="B398" s="3">
        <v>44791</v>
      </c>
      <c r="C398" s="4">
        <v>7197.7148803710897</v>
      </c>
      <c r="D398" s="4">
        <v>7311.6027740478503</v>
      </c>
      <c r="E398" s="4">
        <v>7174.9373016357404</v>
      </c>
      <c r="F398" s="4">
        <v>7288.8251953125</v>
      </c>
      <c r="G398" s="1">
        <v>86136900</v>
      </c>
      <c r="H398" s="2" t="str">
        <f t="shared" si="6"/>
        <v>Naik</v>
      </c>
    </row>
    <row r="399" spans="1:8" x14ac:dyDescent="0.2">
      <c r="A399" s="1">
        <v>398</v>
      </c>
      <c r="B399" s="3">
        <v>44792</v>
      </c>
      <c r="C399" s="4">
        <v>7334.3808130191901</v>
      </c>
      <c r="D399" s="4">
        <v>7334.3808130191901</v>
      </c>
      <c r="E399" s="4">
        <v>7197.71533203125</v>
      </c>
      <c r="F399" s="4">
        <v>7197.71533203125</v>
      </c>
      <c r="G399" s="1">
        <v>58194900</v>
      </c>
      <c r="H399" s="2" t="str">
        <f t="shared" si="6"/>
        <v>Turun</v>
      </c>
    </row>
    <row r="400" spans="1:8" x14ac:dyDescent="0.2">
      <c r="A400" s="1">
        <v>399</v>
      </c>
      <c r="B400" s="3">
        <v>44795</v>
      </c>
      <c r="C400" s="4">
        <v>7152.1597229003901</v>
      </c>
      <c r="D400" s="4">
        <v>7288.8251953125</v>
      </c>
      <c r="E400" s="4">
        <v>7129.3821441650398</v>
      </c>
      <c r="F400" s="4">
        <v>7288.8251953125</v>
      </c>
      <c r="G400" s="1">
        <v>97293300</v>
      </c>
      <c r="H400" s="2" t="str">
        <f t="shared" si="6"/>
        <v>Naik</v>
      </c>
    </row>
    <row r="401" spans="1:8" x14ac:dyDescent="0.2">
      <c r="A401" s="1">
        <v>400</v>
      </c>
      <c r="B401" s="3">
        <v>44796</v>
      </c>
      <c r="C401" s="4">
        <v>7288.8256526898704</v>
      </c>
      <c r="D401" s="4">
        <v>7288.8256526898704</v>
      </c>
      <c r="E401" s="4">
        <v>7197.71533203125</v>
      </c>
      <c r="F401" s="4">
        <v>7197.71533203125</v>
      </c>
      <c r="G401" s="1">
        <v>71671800</v>
      </c>
      <c r="H401" s="2" t="str">
        <f t="shared" si="6"/>
        <v>Turun</v>
      </c>
    </row>
    <row r="402" spans="1:8" x14ac:dyDescent="0.2">
      <c r="A402" s="1">
        <v>401</v>
      </c>
      <c r="B402" s="3">
        <v>44797</v>
      </c>
      <c r="C402" s="4">
        <v>7243.27001953125</v>
      </c>
      <c r="D402" s="4">
        <v>7311.6027555645596</v>
      </c>
      <c r="E402" s="4">
        <v>7197.7148621757096</v>
      </c>
      <c r="F402" s="4">
        <v>7243.27001953125</v>
      </c>
      <c r="G402" s="1">
        <v>108892400</v>
      </c>
      <c r="H402" s="2" t="str">
        <f t="shared" si="6"/>
        <v>Naik</v>
      </c>
    </row>
    <row r="403" spans="1:8" x14ac:dyDescent="0.2">
      <c r="A403" s="1">
        <v>402</v>
      </c>
      <c r="B403" s="3">
        <v>44798</v>
      </c>
      <c r="C403" s="4">
        <v>7288.8259481424202</v>
      </c>
      <c r="D403" s="4">
        <v>7379.9362724942002</v>
      </c>
      <c r="E403" s="4">
        <v>7197.7156237906402</v>
      </c>
      <c r="F403" s="4">
        <v>7357.15869140625</v>
      </c>
      <c r="G403" s="1">
        <v>99503500</v>
      </c>
      <c r="H403" s="2" t="str">
        <f t="shared" si="6"/>
        <v>Naik</v>
      </c>
    </row>
    <row r="404" spans="1:8" x14ac:dyDescent="0.2">
      <c r="A404" s="1">
        <v>403</v>
      </c>
      <c r="B404" s="3">
        <v>44799</v>
      </c>
      <c r="C404" s="4">
        <v>7311.6027740478503</v>
      </c>
      <c r="D404" s="4">
        <v>7402.7130889892596</v>
      </c>
      <c r="E404" s="4">
        <v>7288.8251953125</v>
      </c>
      <c r="F404" s="4">
        <v>7288.8251953125</v>
      </c>
      <c r="G404" s="1">
        <v>80472400</v>
      </c>
      <c r="H404" s="2" t="str">
        <f t="shared" si="6"/>
        <v>Turun</v>
      </c>
    </row>
    <row r="405" spans="1:8" x14ac:dyDescent="0.2">
      <c r="A405" s="1">
        <v>404</v>
      </c>
      <c r="B405" s="3">
        <v>44802</v>
      </c>
      <c r="C405" s="4">
        <v>7288.8252492331303</v>
      </c>
      <c r="D405" s="4">
        <v>7425.49072265625</v>
      </c>
      <c r="E405" s="4">
        <v>7243.2700914254201</v>
      </c>
      <c r="F405" s="4">
        <v>7425.49072265625</v>
      </c>
      <c r="G405" s="1">
        <v>57762100</v>
      </c>
      <c r="H405" s="2" t="str">
        <f t="shared" si="6"/>
        <v>Naik</v>
      </c>
    </row>
    <row r="406" spans="1:8" x14ac:dyDescent="0.2">
      <c r="A406" s="1">
        <v>405</v>
      </c>
      <c r="B406" s="3">
        <v>44803</v>
      </c>
      <c r="C406" s="4">
        <v>7379.93581565367</v>
      </c>
      <c r="D406" s="4">
        <v>7539.3788733992697</v>
      </c>
      <c r="E406" s="4">
        <v>7357.1582359757303</v>
      </c>
      <c r="F406" s="4">
        <v>7448.2685546875</v>
      </c>
      <c r="G406" s="1">
        <v>124467000</v>
      </c>
      <c r="H406" s="2" t="str">
        <f t="shared" si="6"/>
        <v>Naik</v>
      </c>
    </row>
    <row r="407" spans="1:8" x14ac:dyDescent="0.2">
      <c r="A407" s="1">
        <v>406</v>
      </c>
      <c r="B407" s="3">
        <v>44804</v>
      </c>
      <c r="C407" s="4">
        <v>7357.15848448218</v>
      </c>
      <c r="D407" s="4">
        <v>7493.8239671660604</v>
      </c>
      <c r="E407" s="4">
        <v>7334.3809040348697</v>
      </c>
      <c r="F407" s="4">
        <v>7471.04638671875</v>
      </c>
      <c r="G407" s="1">
        <v>137659900</v>
      </c>
      <c r="H407" s="2" t="str">
        <f t="shared" si="6"/>
        <v>Naik</v>
      </c>
    </row>
    <row r="408" spans="1:8" x14ac:dyDescent="0.2">
      <c r="A408" s="1">
        <v>407</v>
      </c>
      <c r="B408" s="3">
        <v>44805</v>
      </c>
      <c r="C408" s="4">
        <v>7425.49072265625</v>
      </c>
      <c r="D408" s="4">
        <v>7516.6010382716604</v>
      </c>
      <c r="E408" s="4">
        <v>7402.7131437524004</v>
      </c>
      <c r="F408" s="4">
        <v>7425.49072265625</v>
      </c>
      <c r="G408" s="1">
        <v>74960800</v>
      </c>
      <c r="H408" s="2" t="str">
        <f>IF(F408&gt;F407,"Naik",IF(F408&lt;F407,"Turun","Stabil"))</f>
        <v>Turun</v>
      </c>
    </row>
    <row r="409" spans="1:8" x14ac:dyDescent="0.2">
      <c r="A409" s="1">
        <v>408</v>
      </c>
      <c r="B409" s="3">
        <v>44806</v>
      </c>
      <c r="C409" s="4">
        <v>7425.4909912851399</v>
      </c>
      <c r="D409" s="4">
        <v>7493.82373046875</v>
      </c>
      <c r="E409" s="4">
        <v>7425.4909912851399</v>
      </c>
      <c r="F409" s="4">
        <v>7493.82373046875</v>
      </c>
      <c r="G409" s="1">
        <v>71430600</v>
      </c>
      <c r="H409" s="2" t="str">
        <f t="shared" si="6"/>
        <v>Naik</v>
      </c>
    </row>
    <row r="410" spans="1:8" x14ac:dyDescent="0.2">
      <c r="A410" s="1">
        <v>409</v>
      </c>
      <c r="B410" s="3">
        <v>44809</v>
      </c>
      <c r="C410" s="4">
        <v>7493.8242320265299</v>
      </c>
      <c r="D410" s="4">
        <v>7562.1569757836096</v>
      </c>
      <c r="E410" s="4">
        <v>7471.0466507741703</v>
      </c>
      <c r="F410" s="4">
        <v>7539.37939453125</v>
      </c>
      <c r="G410" s="1">
        <v>62906000</v>
      </c>
      <c r="H410" s="2" t="str">
        <f t="shared" si="6"/>
        <v>Naik</v>
      </c>
    </row>
    <row r="411" spans="1:8" x14ac:dyDescent="0.2">
      <c r="A411" s="1">
        <v>410</v>
      </c>
      <c r="B411" s="3">
        <v>44810</v>
      </c>
      <c r="C411" s="4">
        <v>7562.1569757836096</v>
      </c>
      <c r="D411" s="4">
        <v>7607.7121382883297</v>
      </c>
      <c r="E411" s="4">
        <v>7516.6018132788904</v>
      </c>
      <c r="F411" s="4">
        <v>7539.37939453125</v>
      </c>
      <c r="G411" s="1">
        <v>67079900</v>
      </c>
      <c r="H411" s="2" t="str">
        <f t="shared" si="6"/>
        <v>Stabil</v>
      </c>
    </row>
    <row r="412" spans="1:8" x14ac:dyDescent="0.2">
      <c r="A412" s="1">
        <v>411</v>
      </c>
      <c r="B412" s="3">
        <v>44811</v>
      </c>
      <c r="C412" s="4">
        <v>7516.6013584421598</v>
      </c>
      <c r="D412" s="4">
        <v>7630.4892578125</v>
      </c>
      <c r="E412" s="4">
        <v>7516.6013584421598</v>
      </c>
      <c r="F412" s="4">
        <v>7630.4892578125</v>
      </c>
      <c r="G412" s="1">
        <v>117931700</v>
      </c>
      <c r="H412" s="2" t="str">
        <f t="shared" si="6"/>
        <v>Naik</v>
      </c>
    </row>
    <row r="413" spans="1:8" x14ac:dyDescent="0.2">
      <c r="A413" s="1">
        <v>412</v>
      </c>
      <c r="B413" s="3">
        <v>44812</v>
      </c>
      <c r="C413" s="4">
        <v>7653.2670752245504</v>
      </c>
      <c r="D413" s="4">
        <v>7744.3773975486502</v>
      </c>
      <c r="E413" s="4">
        <v>7607.7119140625</v>
      </c>
      <c r="F413" s="4">
        <v>7607.7119140625</v>
      </c>
      <c r="G413" s="1">
        <v>132777400</v>
      </c>
      <c r="H413" s="2" t="str">
        <f t="shared" si="6"/>
        <v>Turun</v>
      </c>
    </row>
    <row r="414" spans="1:8" x14ac:dyDescent="0.2">
      <c r="A414" s="1">
        <v>413</v>
      </c>
      <c r="B414" s="3">
        <v>44813</v>
      </c>
      <c r="C414" s="4">
        <v>7744.3771571828402</v>
      </c>
      <c r="D414" s="4">
        <v>7744.3771571828402</v>
      </c>
      <c r="E414" s="4">
        <v>7539.3789383162302</v>
      </c>
      <c r="F414" s="4">
        <v>7630.4892578125</v>
      </c>
      <c r="G414" s="1">
        <v>91234600</v>
      </c>
      <c r="H414" s="2" t="str">
        <f t="shared" si="6"/>
        <v>Naik</v>
      </c>
    </row>
    <row r="415" spans="1:8" x14ac:dyDescent="0.2">
      <c r="A415" s="1">
        <v>414</v>
      </c>
      <c r="B415" s="3">
        <v>44816</v>
      </c>
      <c r="C415" s="4">
        <v>7584.9340980643701</v>
      </c>
      <c r="D415" s="4">
        <v>7676.0444175606299</v>
      </c>
      <c r="E415" s="4">
        <v>7584.9340980643701</v>
      </c>
      <c r="F415" s="4">
        <v>7630.4892578125</v>
      </c>
      <c r="G415" s="1">
        <v>52395300</v>
      </c>
      <c r="H415" s="2" t="str">
        <f t="shared" si="6"/>
        <v>Stabil</v>
      </c>
    </row>
    <row r="416" spans="1:8" x14ac:dyDescent="0.2">
      <c r="A416" s="1">
        <v>415</v>
      </c>
      <c r="B416" s="3">
        <v>44817</v>
      </c>
      <c r="C416" s="4">
        <v>7630.4893050655301</v>
      </c>
      <c r="D416" s="4">
        <v>7812.7099451864897</v>
      </c>
      <c r="E416" s="4">
        <v>7630.4893050655301</v>
      </c>
      <c r="F416" s="4">
        <v>7767.15478515625</v>
      </c>
      <c r="G416" s="1">
        <v>124485200</v>
      </c>
      <c r="H416" s="2" t="str">
        <f t="shared" si="6"/>
        <v>Naik</v>
      </c>
    </row>
    <row r="417" spans="1:8" x14ac:dyDescent="0.2">
      <c r="A417" s="1">
        <v>416</v>
      </c>
      <c r="B417" s="3">
        <v>44818</v>
      </c>
      <c r="C417" s="4">
        <v>7630.4885756548701</v>
      </c>
      <c r="D417" s="4">
        <v>7881.0419318704098</v>
      </c>
      <c r="E417" s="4">
        <v>7630.4885756548701</v>
      </c>
      <c r="F417" s="4">
        <v>7744.37646484375</v>
      </c>
      <c r="G417" s="1">
        <v>116642400</v>
      </c>
      <c r="H417" s="2" t="str">
        <f t="shared" si="6"/>
        <v>Turun</v>
      </c>
    </row>
    <row r="418" spans="1:8" x14ac:dyDescent="0.2">
      <c r="A418" s="1">
        <v>417</v>
      </c>
      <c r="B418" s="3">
        <v>44819</v>
      </c>
      <c r="C418" s="4">
        <v>7744.3770368303603</v>
      </c>
      <c r="D418" s="4">
        <v>8086.0407296316998</v>
      </c>
      <c r="E418" s="4">
        <v>7744.3770368303603</v>
      </c>
      <c r="F418" s="4">
        <v>7972.15283203125</v>
      </c>
      <c r="G418" s="1">
        <v>190404800</v>
      </c>
      <c r="H418" s="2" t="str">
        <f t="shared" si="6"/>
        <v>Naik</v>
      </c>
    </row>
    <row r="419" spans="1:8" x14ac:dyDescent="0.2">
      <c r="A419" s="1">
        <v>418</v>
      </c>
      <c r="B419" s="3">
        <v>44820</v>
      </c>
      <c r="C419" s="4">
        <v>7926.5975695728603</v>
      </c>
      <c r="D419" s="4">
        <v>7949.3751487957697</v>
      </c>
      <c r="E419" s="4">
        <v>7698.82177734375</v>
      </c>
      <c r="F419" s="4">
        <v>7698.82177734375</v>
      </c>
      <c r="G419" s="1">
        <v>363127600</v>
      </c>
      <c r="H419" s="2" t="str">
        <f t="shared" si="6"/>
        <v>Turun</v>
      </c>
    </row>
    <row r="420" spans="1:8" x14ac:dyDescent="0.2">
      <c r="A420" s="1">
        <v>419</v>
      </c>
      <c r="B420" s="3">
        <v>44823</v>
      </c>
      <c r="C420" s="4">
        <v>7721.5994245055099</v>
      </c>
      <c r="D420" s="4">
        <v>7972.1527981620302</v>
      </c>
      <c r="E420" s="4">
        <v>7698.8218450821896</v>
      </c>
      <c r="F420" s="4">
        <v>7881.04248046875</v>
      </c>
      <c r="G420" s="1">
        <v>102530600</v>
      </c>
      <c r="H420" s="2" t="str">
        <f t="shared" si="6"/>
        <v>Naik</v>
      </c>
    </row>
    <row r="421" spans="1:8" x14ac:dyDescent="0.2">
      <c r="A421" s="1">
        <v>420</v>
      </c>
      <c r="B421" s="3">
        <v>44824</v>
      </c>
      <c r="C421" s="4">
        <v>7789.931640625</v>
      </c>
      <c r="D421" s="4">
        <v>7881.0419522112597</v>
      </c>
      <c r="E421" s="4">
        <v>7789.931640625</v>
      </c>
      <c r="F421" s="4">
        <v>7789.931640625</v>
      </c>
      <c r="G421" s="1">
        <v>89238400</v>
      </c>
      <c r="H421" s="2" t="str">
        <f t="shared" si="6"/>
        <v>Turun</v>
      </c>
    </row>
    <row r="422" spans="1:8" x14ac:dyDescent="0.2">
      <c r="A422" s="1">
        <v>421</v>
      </c>
      <c r="B422" s="3">
        <v>44825</v>
      </c>
      <c r="C422" s="4">
        <v>7767.1547693123202</v>
      </c>
      <c r="D422" s="4">
        <v>7835.4875092182901</v>
      </c>
      <c r="E422" s="4">
        <v>7676.0444494376898</v>
      </c>
      <c r="F422" s="4">
        <v>7721.599609375</v>
      </c>
      <c r="G422" s="1">
        <v>90933700</v>
      </c>
      <c r="H422" s="2" t="str">
        <f t="shared" si="6"/>
        <v>Turun</v>
      </c>
    </row>
    <row r="423" spans="1:8" x14ac:dyDescent="0.2">
      <c r="A423" s="1">
        <v>422</v>
      </c>
      <c r="B423" s="3">
        <v>44826</v>
      </c>
      <c r="C423" s="4">
        <v>7630.4892895003704</v>
      </c>
      <c r="D423" s="4">
        <v>7767.1547693123202</v>
      </c>
      <c r="E423" s="4">
        <v>7630.4892895003704</v>
      </c>
      <c r="F423" s="4">
        <v>7721.599609375</v>
      </c>
      <c r="G423" s="1">
        <v>61908500</v>
      </c>
      <c r="H423" s="2" t="str">
        <f t="shared" si="6"/>
        <v>Stabil</v>
      </c>
    </row>
    <row r="424" spans="1:8" x14ac:dyDescent="0.2">
      <c r="A424" s="1">
        <v>423</v>
      </c>
      <c r="B424" s="3">
        <v>44827</v>
      </c>
      <c r="C424" s="4">
        <v>7630.4892578125</v>
      </c>
      <c r="D424" s="4">
        <v>7721.5995773087698</v>
      </c>
      <c r="E424" s="4">
        <v>7630.4892578125</v>
      </c>
      <c r="F424" s="4">
        <v>7630.4892578125</v>
      </c>
      <c r="G424" s="1">
        <v>60567600</v>
      </c>
      <c r="H424" s="2" t="str">
        <f t="shared" si="6"/>
        <v>Turun</v>
      </c>
    </row>
    <row r="425" spans="1:8" x14ac:dyDescent="0.2">
      <c r="A425" s="1">
        <v>424</v>
      </c>
      <c r="B425" s="3">
        <v>44830</v>
      </c>
      <c r="C425" s="4">
        <v>7471.0466895400596</v>
      </c>
      <c r="D425" s="4">
        <v>7744.3776659866498</v>
      </c>
      <c r="E425" s="4">
        <v>7471.0466895400596</v>
      </c>
      <c r="F425" s="4">
        <v>7676.044921875</v>
      </c>
      <c r="G425" s="1">
        <v>106228200</v>
      </c>
      <c r="H425" s="2" t="str">
        <f t="shared" si="6"/>
        <v>Naik</v>
      </c>
    </row>
    <row r="426" spans="1:8" x14ac:dyDescent="0.2">
      <c r="A426" s="1">
        <v>425</v>
      </c>
      <c r="B426" s="3">
        <v>44831</v>
      </c>
      <c r="C426" s="4">
        <v>7630.4889871987998</v>
      </c>
      <c r="D426" s="4">
        <v>7698.8217243975896</v>
      </c>
      <c r="E426" s="4">
        <v>7562.15625</v>
      </c>
      <c r="F426" s="4">
        <v>7562.15625</v>
      </c>
      <c r="G426" s="1">
        <v>89567100</v>
      </c>
      <c r="H426" s="2" t="str">
        <f t="shared" si="6"/>
        <v>Turun</v>
      </c>
    </row>
    <row r="427" spans="1:8" x14ac:dyDescent="0.2">
      <c r="A427" s="1">
        <v>426</v>
      </c>
      <c r="B427" s="3">
        <v>44832</v>
      </c>
      <c r="C427" s="4">
        <v>7516.6013425534902</v>
      </c>
      <c r="D427" s="4">
        <v>7676.0444013349297</v>
      </c>
      <c r="E427" s="4">
        <v>7516.6013425534902</v>
      </c>
      <c r="F427" s="4">
        <v>7584.93408203125</v>
      </c>
      <c r="G427" s="1">
        <v>89153400</v>
      </c>
      <c r="H427" s="2" t="str">
        <f t="shared" si="6"/>
        <v>Naik</v>
      </c>
    </row>
    <row r="428" spans="1:8" x14ac:dyDescent="0.2">
      <c r="A428" s="1">
        <v>427</v>
      </c>
      <c r="B428" s="3">
        <v>44833</v>
      </c>
      <c r="C428" s="4">
        <v>7584.9340980643701</v>
      </c>
      <c r="D428" s="4">
        <v>7698.8219974347003</v>
      </c>
      <c r="E428" s="4">
        <v>7584.9340980643701</v>
      </c>
      <c r="F428" s="4">
        <v>7630.4892578125</v>
      </c>
      <c r="G428" s="1">
        <v>62643700</v>
      </c>
      <c r="H428" s="2" t="str">
        <f t="shared" si="6"/>
        <v>Naik</v>
      </c>
    </row>
    <row r="429" spans="1:8" x14ac:dyDescent="0.2">
      <c r="A429" s="1">
        <v>428</v>
      </c>
      <c r="B429" s="3">
        <v>44834</v>
      </c>
      <c r="C429" s="4">
        <v>7630.4885953490502</v>
      </c>
      <c r="D429" s="4">
        <v>7812.7092185215597</v>
      </c>
      <c r="E429" s="4">
        <v>7539.3782837627896</v>
      </c>
      <c r="F429" s="4">
        <v>7789.931640625</v>
      </c>
      <c r="G429" s="1">
        <v>176524800</v>
      </c>
      <c r="H429" s="2" t="str">
        <f t="shared" si="6"/>
        <v>Naik</v>
      </c>
    </row>
    <row r="430" spans="1:8" x14ac:dyDescent="0.2">
      <c r="A430" s="1">
        <v>429</v>
      </c>
      <c r="B430" s="3">
        <v>44837</v>
      </c>
      <c r="C430" s="4">
        <v>7698.8213091682001</v>
      </c>
      <c r="D430" s="4">
        <v>7767.15404268153</v>
      </c>
      <c r="E430" s="4">
        <v>7698.8213091682001</v>
      </c>
      <c r="F430" s="4">
        <v>7744.37646484375</v>
      </c>
      <c r="G430" s="1">
        <v>115079600</v>
      </c>
      <c r="H430" s="2" t="str">
        <f>IF(F430&gt;F429,"Naik",IF(F430&lt;F429,"Turun","Stabil"))</f>
        <v>Turun</v>
      </c>
    </row>
    <row r="431" spans="1:8" x14ac:dyDescent="0.2">
      <c r="A431" s="1">
        <v>430</v>
      </c>
      <c r="B431" s="3">
        <v>44838</v>
      </c>
      <c r="C431" s="4">
        <v>7767.1540627284403</v>
      </c>
      <c r="D431" s="4">
        <v>7858.26437431469</v>
      </c>
      <c r="E431" s="4">
        <v>7767.1540627284403</v>
      </c>
      <c r="F431" s="4">
        <v>7789.931640625</v>
      </c>
      <c r="G431" s="1">
        <v>80524500</v>
      </c>
      <c r="H431" s="2" t="str">
        <f t="shared" si="6"/>
        <v>Naik</v>
      </c>
    </row>
    <row r="432" spans="1:8" x14ac:dyDescent="0.2">
      <c r="A432" s="1">
        <v>431</v>
      </c>
      <c r="B432" s="3">
        <v>44839</v>
      </c>
      <c r="C432" s="4">
        <v>7767.1545150124803</v>
      </c>
      <c r="D432" s="4">
        <v>7789.9320942353897</v>
      </c>
      <c r="E432" s="4">
        <v>7676.0441981208396</v>
      </c>
      <c r="F432" s="4">
        <v>7698.82177734375</v>
      </c>
      <c r="G432" s="1">
        <v>63788000</v>
      </c>
      <c r="H432" s="2" t="str">
        <f t="shared" si="6"/>
        <v>Turun</v>
      </c>
    </row>
    <row r="433" spans="1:8" x14ac:dyDescent="0.2">
      <c r="A433" s="1">
        <v>432</v>
      </c>
      <c r="B433" s="3">
        <v>44840</v>
      </c>
      <c r="C433" s="4">
        <v>7721.6000846160996</v>
      </c>
      <c r="D433" s="4">
        <v>7744.3776659866498</v>
      </c>
      <c r="E433" s="4">
        <v>7676.044921875</v>
      </c>
      <c r="F433" s="4">
        <v>7676.044921875</v>
      </c>
      <c r="G433" s="1">
        <v>43967400</v>
      </c>
      <c r="H433" s="2" t="str">
        <f t="shared" si="6"/>
        <v>Turun</v>
      </c>
    </row>
    <row r="434" spans="1:8" x14ac:dyDescent="0.2">
      <c r="A434" s="1">
        <v>433</v>
      </c>
      <c r="B434" s="3">
        <v>44841</v>
      </c>
      <c r="C434" s="4">
        <v>7584.93428895532</v>
      </c>
      <c r="D434" s="4">
        <v>7630.4894498499398</v>
      </c>
      <c r="E434" s="4">
        <v>7471.04638671875</v>
      </c>
      <c r="F434" s="4">
        <v>7471.04638671875</v>
      </c>
      <c r="G434" s="1">
        <v>112043400</v>
      </c>
      <c r="H434" s="2" t="str">
        <f t="shared" si="6"/>
        <v>Turun</v>
      </c>
    </row>
    <row r="435" spans="1:8" x14ac:dyDescent="0.2">
      <c r="A435" s="1">
        <v>434</v>
      </c>
      <c r="B435" s="3">
        <v>44844</v>
      </c>
      <c r="C435" s="4">
        <v>7425.4907756024104</v>
      </c>
      <c r="D435" s="4">
        <v>7630.4889871987998</v>
      </c>
      <c r="E435" s="4">
        <v>7402.7131965361496</v>
      </c>
      <c r="F435" s="4">
        <v>7562.15625</v>
      </c>
      <c r="G435" s="1">
        <v>80238200</v>
      </c>
      <c r="H435" s="2" t="str">
        <f t="shared" si="6"/>
        <v>Naik</v>
      </c>
    </row>
    <row r="436" spans="1:8" x14ac:dyDescent="0.2">
      <c r="A436" s="1">
        <v>435</v>
      </c>
      <c r="B436" s="3">
        <v>44845</v>
      </c>
      <c r="C436" s="4">
        <v>7471.0468868371199</v>
      </c>
      <c r="D436" s="4">
        <v>7562.1572147253801</v>
      </c>
      <c r="E436" s="4">
        <v>7425.4917228929899</v>
      </c>
      <c r="F436" s="4">
        <v>7516.60205078125</v>
      </c>
      <c r="G436" s="1">
        <v>64060000</v>
      </c>
      <c r="H436" s="2" t="str">
        <f t="shared" si="6"/>
        <v>Turun</v>
      </c>
    </row>
    <row r="437" spans="1:8" x14ac:dyDescent="0.2">
      <c r="A437" s="1">
        <v>436</v>
      </c>
      <c r="B437" s="3">
        <v>44846</v>
      </c>
      <c r="C437" s="4">
        <v>7471.0461829016504</v>
      </c>
      <c r="D437" s="4">
        <v>7584.93408203125</v>
      </c>
      <c r="E437" s="4">
        <v>7448.2686030757304</v>
      </c>
      <c r="F437" s="4">
        <v>7584.93408203125</v>
      </c>
      <c r="G437" s="1">
        <v>47569700</v>
      </c>
      <c r="H437" s="2" t="str">
        <f t="shared" si="6"/>
        <v>Naik</v>
      </c>
    </row>
    <row r="438" spans="1:8" x14ac:dyDescent="0.2">
      <c r="A438" s="1">
        <v>437</v>
      </c>
      <c r="B438" s="3">
        <v>44847</v>
      </c>
      <c r="C438" s="4">
        <v>7539.37939453125</v>
      </c>
      <c r="D438" s="4">
        <v>7630.4897195406902</v>
      </c>
      <c r="E438" s="4">
        <v>7539.37939453125</v>
      </c>
      <c r="F438" s="4">
        <v>7539.37939453125</v>
      </c>
      <c r="G438" s="1">
        <v>62282800</v>
      </c>
      <c r="H438" s="2" t="str">
        <f t="shared" si="6"/>
        <v>Turun</v>
      </c>
    </row>
    <row r="439" spans="1:8" x14ac:dyDescent="0.2">
      <c r="A439" s="1">
        <v>438</v>
      </c>
      <c r="B439" s="3">
        <v>44848</v>
      </c>
      <c r="C439" s="4">
        <v>7562.1572147253801</v>
      </c>
      <c r="D439" s="4">
        <v>7607.7123786695101</v>
      </c>
      <c r="E439" s="4">
        <v>7516.60205078125</v>
      </c>
      <c r="F439" s="4">
        <v>7516.60205078125</v>
      </c>
      <c r="G439" s="1">
        <v>70642900</v>
      </c>
      <c r="H439" s="2" t="str">
        <f t="shared" si="6"/>
        <v>Turun</v>
      </c>
    </row>
    <row r="440" spans="1:8" x14ac:dyDescent="0.2">
      <c r="A440" s="1">
        <v>439</v>
      </c>
      <c r="B440" s="3">
        <v>44851</v>
      </c>
      <c r="C440" s="4">
        <v>7516.60205078125</v>
      </c>
      <c r="D440" s="4">
        <v>7562.1572147253801</v>
      </c>
      <c r="E440" s="4">
        <v>7448.2693048650599</v>
      </c>
      <c r="F440" s="4">
        <v>7516.60205078125</v>
      </c>
      <c r="G440" s="1">
        <v>56387500</v>
      </c>
      <c r="H440" s="2" t="str">
        <f t="shared" si="6"/>
        <v>Stabil</v>
      </c>
    </row>
    <row r="441" spans="1:8" x14ac:dyDescent="0.2">
      <c r="A441" s="1">
        <v>440</v>
      </c>
      <c r="B441" s="3">
        <v>44852</v>
      </c>
      <c r="C441" s="4">
        <v>7539.3786709337401</v>
      </c>
      <c r="D441" s="4">
        <v>7721.5993034638605</v>
      </c>
      <c r="E441" s="4">
        <v>7516.6010918674701</v>
      </c>
      <c r="F441" s="4">
        <v>7562.15625</v>
      </c>
      <c r="G441" s="1">
        <v>85665300</v>
      </c>
      <c r="H441" s="2" t="str">
        <f t="shared" si="6"/>
        <v>Naik</v>
      </c>
    </row>
    <row r="442" spans="1:8" x14ac:dyDescent="0.2">
      <c r="A442" s="1">
        <v>441</v>
      </c>
      <c r="B442" s="3">
        <v>44853</v>
      </c>
      <c r="C442" s="4">
        <v>7516.6018132788904</v>
      </c>
      <c r="D442" s="4">
        <v>7607.7121382883297</v>
      </c>
      <c r="E442" s="4">
        <v>7493.8242320265299</v>
      </c>
      <c r="F442" s="4">
        <v>7539.37939453125</v>
      </c>
      <c r="G442" s="1">
        <v>66753500</v>
      </c>
      <c r="H442" s="2" t="str">
        <f t="shared" si="6"/>
        <v>Turun</v>
      </c>
    </row>
    <row r="443" spans="1:8" x14ac:dyDescent="0.2">
      <c r="A443" s="1">
        <v>442</v>
      </c>
      <c r="B443" s="3">
        <v>44854</v>
      </c>
      <c r="C443" s="4">
        <v>7516.6006864659903</v>
      </c>
      <c r="D443" s="4">
        <v>7744.37646484375</v>
      </c>
      <c r="E443" s="4">
        <v>7516.6006864659903</v>
      </c>
      <c r="F443" s="4">
        <v>7744.37646484375</v>
      </c>
      <c r="G443" s="1">
        <v>91812300</v>
      </c>
      <c r="H443" s="2" t="str">
        <f t="shared" si="6"/>
        <v>Naik</v>
      </c>
    </row>
    <row r="444" spans="1:8" x14ac:dyDescent="0.2">
      <c r="A444" s="1">
        <v>443</v>
      </c>
      <c r="B444" s="3">
        <v>44855</v>
      </c>
      <c r="C444" s="4">
        <v>7698.8218450821896</v>
      </c>
      <c r="D444" s="4">
        <v>7949.3752187387099</v>
      </c>
      <c r="E444" s="4">
        <v>7698.8218450821896</v>
      </c>
      <c r="F444" s="4">
        <v>7881.04248046875</v>
      </c>
      <c r="G444" s="1">
        <v>122777800</v>
      </c>
      <c r="H444" s="2" t="str">
        <f t="shared" si="6"/>
        <v>Naik</v>
      </c>
    </row>
    <row r="445" spans="1:8" x14ac:dyDescent="0.2">
      <c r="A445" s="1">
        <v>444</v>
      </c>
      <c r="B445" s="3">
        <v>44858</v>
      </c>
      <c r="C445" s="4">
        <v>7972.1524013562203</v>
      </c>
      <c r="D445" s="4">
        <v>8108.81787109375</v>
      </c>
      <c r="E445" s="4">
        <v>7949.3748230666297</v>
      </c>
      <c r="F445" s="4">
        <v>8108.81787109375</v>
      </c>
      <c r="G445" s="1">
        <v>89416500</v>
      </c>
      <c r="H445" s="2" t="str">
        <f t="shared" si="6"/>
        <v>Naik</v>
      </c>
    </row>
    <row r="446" spans="1:8" x14ac:dyDescent="0.2">
      <c r="A446" s="1">
        <v>445</v>
      </c>
      <c r="B446" s="3">
        <v>44859</v>
      </c>
      <c r="C446" s="4">
        <v>8040.4860489066996</v>
      </c>
      <c r="D446" s="4">
        <v>8086.0412106568801</v>
      </c>
      <c r="E446" s="4">
        <v>7926.59814453125</v>
      </c>
      <c r="F446" s="4">
        <v>7926.59814453125</v>
      </c>
      <c r="G446" s="1">
        <v>84696300</v>
      </c>
      <c r="H446" s="2" t="str">
        <f t="shared" si="6"/>
        <v>Turun</v>
      </c>
    </row>
    <row r="447" spans="1:8" x14ac:dyDescent="0.2">
      <c r="A447" s="1">
        <v>446</v>
      </c>
      <c r="B447" s="3">
        <v>44860</v>
      </c>
      <c r="C447" s="4">
        <v>7858.26437431469</v>
      </c>
      <c r="D447" s="4">
        <v>7881.0419522112597</v>
      </c>
      <c r="E447" s="4">
        <v>7789.931640625</v>
      </c>
      <c r="F447" s="4">
        <v>7789.931640625</v>
      </c>
      <c r="G447" s="1">
        <v>98962100</v>
      </c>
      <c r="H447" s="2" t="str">
        <f t="shared" si="6"/>
        <v>Turun</v>
      </c>
    </row>
    <row r="448" spans="1:8" x14ac:dyDescent="0.2">
      <c r="A448" s="1">
        <v>447</v>
      </c>
      <c r="B448" s="3">
        <v>44861</v>
      </c>
      <c r="C448" s="4">
        <v>7789.9326592807101</v>
      </c>
      <c r="D448" s="4">
        <v>7926.59814453125</v>
      </c>
      <c r="E448" s="4">
        <v>7789.9326592807101</v>
      </c>
      <c r="F448" s="4">
        <v>7926.59814453125</v>
      </c>
      <c r="G448" s="1">
        <v>77003400</v>
      </c>
      <c r="H448" s="2" t="str">
        <f t="shared" si="6"/>
        <v>Naik</v>
      </c>
    </row>
    <row r="449" spans="1:8" x14ac:dyDescent="0.2">
      <c r="A449" s="1">
        <v>448</v>
      </c>
      <c r="B449" s="3">
        <v>44862</v>
      </c>
      <c r="C449" s="4">
        <v>7881.0425139508898</v>
      </c>
      <c r="D449" s="4">
        <v>7972.15283203125</v>
      </c>
      <c r="E449" s="4">
        <v>7881.0425139508898</v>
      </c>
      <c r="F449" s="4">
        <v>7972.15283203125</v>
      </c>
      <c r="G449" s="1">
        <v>84980600</v>
      </c>
      <c r="H449" s="2" t="str">
        <f t="shared" si="6"/>
        <v>Naik</v>
      </c>
    </row>
    <row r="450" spans="1:8" x14ac:dyDescent="0.2">
      <c r="A450" s="1">
        <v>449</v>
      </c>
      <c r="B450" s="3">
        <v>44865</v>
      </c>
      <c r="C450" s="4">
        <v>8063.2636580033704</v>
      </c>
      <c r="D450" s="4">
        <v>8063.2636580033704</v>
      </c>
      <c r="E450" s="4">
        <v>7994.9309151389398</v>
      </c>
      <c r="F450" s="4">
        <v>8017.70849609375</v>
      </c>
      <c r="G450" s="1">
        <v>138922800</v>
      </c>
      <c r="H450" s="2" t="str">
        <f t="shared" si="6"/>
        <v>Naik</v>
      </c>
    </row>
    <row r="451" spans="1:8" x14ac:dyDescent="0.2">
      <c r="A451" s="1">
        <v>450</v>
      </c>
      <c r="B451" s="3">
        <v>44866</v>
      </c>
      <c r="C451" s="4">
        <v>8199.9291437322408</v>
      </c>
      <c r="D451" s="4">
        <v>8199.9291437322408</v>
      </c>
      <c r="E451" s="4">
        <v>7949.3757532293203</v>
      </c>
      <c r="F451" s="4">
        <v>8017.70849609375</v>
      </c>
      <c r="G451" s="1">
        <v>118118400</v>
      </c>
      <c r="H451" s="2" t="str">
        <f>IF(F451&gt;F450,"Naik",IF(F451&lt;F450,"Turun","Stabil"))</f>
        <v>Stabil</v>
      </c>
    </row>
    <row r="452" spans="1:8" x14ac:dyDescent="0.2">
      <c r="A452" s="1">
        <v>451</v>
      </c>
      <c r="B452" s="3">
        <v>44867</v>
      </c>
      <c r="C452" s="4">
        <v>8017.7079910714301</v>
      </c>
      <c r="D452" s="4">
        <v>8040.4855705915197</v>
      </c>
      <c r="E452" s="4">
        <v>7949.3752525111604</v>
      </c>
      <c r="F452" s="4">
        <v>7972.15283203125</v>
      </c>
      <c r="G452" s="1">
        <v>68323600</v>
      </c>
      <c r="H452" s="2" t="str">
        <f t="shared" ref="H452:H515" si="7">IF(F452&gt;F451,"Naik",IF(F452&lt;F451,"Turun","Stabil"))</f>
        <v>Turun</v>
      </c>
    </row>
    <row r="453" spans="1:8" x14ac:dyDescent="0.2">
      <c r="A453" s="1">
        <v>452</v>
      </c>
      <c r="B453" s="3">
        <v>44868</v>
      </c>
      <c r="C453" s="4">
        <v>7926.5981722745</v>
      </c>
      <c r="D453" s="4">
        <v>8040.4860770485602</v>
      </c>
      <c r="E453" s="4">
        <v>7926.5981722745</v>
      </c>
      <c r="F453" s="4">
        <v>8017.70849609375</v>
      </c>
      <c r="G453" s="1">
        <v>81856300</v>
      </c>
      <c r="H453" s="2" t="str">
        <f t="shared" si="7"/>
        <v>Naik</v>
      </c>
    </row>
    <row r="454" spans="1:8" x14ac:dyDescent="0.2">
      <c r="A454" s="1">
        <v>453</v>
      </c>
      <c r="B454" s="3">
        <v>44869</v>
      </c>
      <c r="C454" s="4">
        <v>7994.93017578125</v>
      </c>
      <c r="D454" s="4">
        <v>8017.7077546296296</v>
      </c>
      <c r="E454" s="4">
        <v>7903.8198603877299</v>
      </c>
      <c r="F454" s="4">
        <v>7994.93017578125</v>
      </c>
      <c r="G454" s="1">
        <v>84458300</v>
      </c>
      <c r="H454" s="2" t="str">
        <f t="shared" si="7"/>
        <v>Turun</v>
      </c>
    </row>
    <row r="455" spans="1:8" x14ac:dyDescent="0.2">
      <c r="A455" s="1">
        <v>454</v>
      </c>
      <c r="B455" s="3">
        <v>44872</v>
      </c>
      <c r="C455" s="4">
        <v>7949.3748041357703</v>
      </c>
      <c r="D455" s="4">
        <v>8063.2626953125</v>
      </c>
      <c r="E455" s="4">
        <v>7903.8196476650801</v>
      </c>
      <c r="F455" s="4">
        <v>8063.2626953125</v>
      </c>
      <c r="G455" s="1">
        <v>94794000</v>
      </c>
      <c r="H455" s="2" t="str">
        <f t="shared" si="7"/>
        <v>Naik</v>
      </c>
    </row>
    <row r="456" spans="1:8" x14ac:dyDescent="0.2">
      <c r="A456" s="1">
        <v>455</v>
      </c>
      <c r="B456" s="3">
        <v>44873</v>
      </c>
      <c r="C456" s="4">
        <v>8063.2631501116102</v>
      </c>
      <c r="D456" s="4">
        <v>8086.0407296316998</v>
      </c>
      <c r="E456" s="4">
        <v>7949.3752525111604</v>
      </c>
      <c r="F456" s="4">
        <v>7972.15283203125</v>
      </c>
      <c r="G456" s="1">
        <v>42525500</v>
      </c>
      <c r="H456" s="2" t="str">
        <f t="shared" si="7"/>
        <v>Turun</v>
      </c>
    </row>
    <row r="457" spans="1:8" x14ac:dyDescent="0.2">
      <c r="A457" s="1">
        <v>456</v>
      </c>
      <c r="B457" s="3">
        <v>44874</v>
      </c>
      <c r="C457" s="4">
        <v>7903.8213275748203</v>
      </c>
      <c r="D457" s="4">
        <v>8086.0419921875</v>
      </c>
      <c r="E457" s="4">
        <v>7903.8213275748203</v>
      </c>
      <c r="F457" s="4">
        <v>8086.0419921875</v>
      </c>
      <c r="G457" s="1">
        <v>96599500</v>
      </c>
      <c r="H457" s="2" t="str">
        <f t="shared" si="7"/>
        <v>Naik</v>
      </c>
    </row>
    <row r="458" spans="1:8" x14ac:dyDescent="0.2">
      <c r="A458" s="1">
        <v>457</v>
      </c>
      <c r="B458" s="3">
        <v>44875</v>
      </c>
      <c r="C458" s="4">
        <v>7949.3757532293203</v>
      </c>
      <c r="D458" s="4">
        <v>8017.70849609375</v>
      </c>
      <c r="E458" s="4">
        <v>7949.3757532293203</v>
      </c>
      <c r="F458" s="4">
        <v>8017.70849609375</v>
      </c>
      <c r="G458" s="1">
        <v>89463000</v>
      </c>
      <c r="H458" s="2" t="str">
        <f t="shared" si="7"/>
        <v>Turun</v>
      </c>
    </row>
    <row r="459" spans="1:8" x14ac:dyDescent="0.2">
      <c r="A459" s="1">
        <v>458</v>
      </c>
      <c r="B459" s="3">
        <v>44876</v>
      </c>
      <c r="C459" s="4">
        <v>8108.8178517831902</v>
      </c>
      <c r="D459" s="4">
        <v>8131.5954300185404</v>
      </c>
      <c r="E459" s="4">
        <v>8040.4851170771499</v>
      </c>
      <c r="F459" s="4">
        <v>8063.2626953125</v>
      </c>
      <c r="G459" s="1">
        <v>59597900</v>
      </c>
      <c r="H459" s="2" t="str">
        <f t="shared" si="7"/>
        <v>Naik</v>
      </c>
    </row>
    <row r="460" spans="1:8" x14ac:dyDescent="0.2">
      <c r="A460" s="1">
        <v>459</v>
      </c>
      <c r="B460" s="3">
        <v>44879</v>
      </c>
      <c r="C460" s="4">
        <v>8086.0407296316998</v>
      </c>
      <c r="D460" s="4">
        <v>8108.8183091517903</v>
      </c>
      <c r="E460" s="4">
        <v>7972.15283203125</v>
      </c>
      <c r="F460" s="4">
        <v>7972.15283203125</v>
      </c>
      <c r="G460" s="1">
        <v>49208200</v>
      </c>
      <c r="H460" s="2" t="str">
        <f t="shared" si="7"/>
        <v>Turun</v>
      </c>
    </row>
    <row r="461" spans="1:8" x14ac:dyDescent="0.2">
      <c r="A461" s="1">
        <v>460</v>
      </c>
      <c r="B461" s="3">
        <v>44880</v>
      </c>
      <c r="C461" s="4">
        <v>7994.9309151389398</v>
      </c>
      <c r="D461" s="4">
        <v>8063.2636580033704</v>
      </c>
      <c r="E461" s="4">
        <v>7972.1533341841296</v>
      </c>
      <c r="F461" s="4">
        <v>8017.70849609375</v>
      </c>
      <c r="G461" s="1">
        <v>59092900</v>
      </c>
      <c r="H461" s="2" t="str">
        <f t="shared" si="7"/>
        <v>Naik</v>
      </c>
    </row>
    <row r="462" spans="1:8" x14ac:dyDescent="0.2">
      <c r="A462" s="1">
        <v>461</v>
      </c>
      <c r="B462" s="3">
        <v>44881</v>
      </c>
      <c r="C462" s="4">
        <v>7858.2648840615902</v>
      </c>
      <c r="D462" s="4">
        <v>7903.8200428097698</v>
      </c>
      <c r="E462" s="4">
        <v>7789.9321459393204</v>
      </c>
      <c r="F462" s="4">
        <v>7835.4873046875</v>
      </c>
      <c r="G462" s="1">
        <v>143424800</v>
      </c>
      <c r="H462" s="2" t="str">
        <f t="shared" si="7"/>
        <v>Turun</v>
      </c>
    </row>
    <row r="463" spans="1:8" x14ac:dyDescent="0.2">
      <c r="A463" s="1">
        <v>462</v>
      </c>
      <c r="B463" s="3">
        <v>44882</v>
      </c>
      <c r="C463" s="4">
        <v>7858.2646848137501</v>
      </c>
      <c r="D463" s="4">
        <v>8040.4853151862499</v>
      </c>
      <c r="E463" s="4">
        <v>7835.4871060171899</v>
      </c>
      <c r="F463" s="4">
        <v>7949.375</v>
      </c>
      <c r="G463" s="1">
        <v>72679800</v>
      </c>
      <c r="H463" s="2" t="str">
        <f t="shared" si="7"/>
        <v>Naik</v>
      </c>
    </row>
    <row r="464" spans="1:8" x14ac:dyDescent="0.2">
      <c r="A464" s="1">
        <v>463</v>
      </c>
      <c r="B464" s="3">
        <v>44883</v>
      </c>
      <c r="C464" s="4">
        <v>7949.3750359640599</v>
      </c>
      <c r="D464" s="4">
        <v>8108.8180882613296</v>
      </c>
      <c r="E464" s="4">
        <v>7949.3750359640599</v>
      </c>
      <c r="F464" s="4">
        <v>8040.4853515625</v>
      </c>
      <c r="G464" s="1">
        <v>83556900</v>
      </c>
      <c r="H464" s="2" t="str">
        <f t="shared" si="7"/>
        <v>Naik</v>
      </c>
    </row>
    <row r="465" spans="1:8" x14ac:dyDescent="0.2">
      <c r="A465" s="1">
        <v>464</v>
      </c>
      <c r="B465" s="3">
        <v>44886</v>
      </c>
      <c r="C465" s="4">
        <v>8086.0404727793702</v>
      </c>
      <c r="D465" s="4">
        <v>8108.8180515759304</v>
      </c>
      <c r="E465" s="4">
        <v>7949.375</v>
      </c>
      <c r="F465" s="4">
        <v>7949.375</v>
      </c>
      <c r="G465" s="1">
        <v>35901000</v>
      </c>
      <c r="H465" s="2" t="str">
        <f t="shared" si="7"/>
        <v>Turun</v>
      </c>
    </row>
    <row r="466" spans="1:8" x14ac:dyDescent="0.2">
      <c r="A466" s="1">
        <v>465</v>
      </c>
      <c r="B466" s="3">
        <v>44887</v>
      </c>
      <c r="C466" s="4">
        <v>8108.81787109375</v>
      </c>
      <c r="D466" s="4">
        <v>8154.3730276729302</v>
      </c>
      <c r="E466" s="4">
        <v>8063.2627145145698</v>
      </c>
      <c r="F466" s="4">
        <v>8108.81787109375</v>
      </c>
      <c r="G466" s="1">
        <v>84684200</v>
      </c>
      <c r="H466" s="2" t="str">
        <f t="shared" si="7"/>
        <v>Naik</v>
      </c>
    </row>
    <row r="467" spans="1:8" x14ac:dyDescent="0.2">
      <c r="A467" s="1">
        <v>466</v>
      </c>
      <c r="B467" s="3">
        <v>44888</v>
      </c>
      <c r="C467" s="4">
        <v>8108.8195752640804</v>
      </c>
      <c r="D467" s="4">
        <v>8177.1523244938398</v>
      </c>
      <c r="E467" s="4">
        <v>8086.0419921875</v>
      </c>
      <c r="F467" s="4">
        <v>8086.0419921875</v>
      </c>
      <c r="G467" s="1">
        <v>84642100</v>
      </c>
      <c r="H467" s="2" t="str">
        <f t="shared" si="7"/>
        <v>Turun</v>
      </c>
    </row>
    <row r="468" spans="1:8" x14ac:dyDescent="0.2">
      <c r="A468" s="1">
        <v>467</v>
      </c>
      <c r="B468" s="3">
        <v>44889</v>
      </c>
      <c r="C468" s="4">
        <v>8177.1511311848999</v>
      </c>
      <c r="D468" s="4">
        <v>8199.9287109375</v>
      </c>
      <c r="E468" s="4">
        <v>8154.3735514322898</v>
      </c>
      <c r="F468" s="4">
        <v>8199.9287109375</v>
      </c>
      <c r="G468" s="1">
        <v>53520800</v>
      </c>
      <c r="H468" s="2" t="str">
        <f t="shared" si="7"/>
        <v>Naik</v>
      </c>
    </row>
    <row r="469" spans="1:8" x14ac:dyDescent="0.2">
      <c r="A469" s="1">
        <v>468</v>
      </c>
      <c r="B469" s="3">
        <v>44890</v>
      </c>
      <c r="C469" s="4">
        <v>8199.9279683147597</v>
      </c>
      <c r="D469" s="4">
        <v>8199.9279683147597</v>
      </c>
      <c r="E469" s="4">
        <v>8108.81765755571</v>
      </c>
      <c r="F469" s="4">
        <v>8177.150390625</v>
      </c>
      <c r="G469" s="1">
        <v>75048300</v>
      </c>
      <c r="H469" s="2" t="str">
        <f t="shared" si="7"/>
        <v>Turun</v>
      </c>
    </row>
    <row r="470" spans="1:8" x14ac:dyDescent="0.2">
      <c r="A470" s="1">
        <v>469</v>
      </c>
      <c r="B470" s="3">
        <v>44893</v>
      </c>
      <c r="C470" s="4">
        <v>8245.4836337863599</v>
      </c>
      <c r="D470" s="4">
        <v>8291.0387919840705</v>
      </c>
      <c r="E470" s="4">
        <v>8177.1508964897903</v>
      </c>
      <c r="F470" s="4">
        <v>8222.7060546875</v>
      </c>
      <c r="G470" s="1">
        <v>96209700</v>
      </c>
      <c r="H470" s="2" t="str">
        <f t="shared" si="7"/>
        <v>Naik</v>
      </c>
    </row>
    <row r="471" spans="1:8" x14ac:dyDescent="0.2">
      <c r="A471" s="1">
        <v>470</v>
      </c>
      <c r="B471" s="3">
        <v>44894</v>
      </c>
      <c r="C471" s="4">
        <v>8177.150390625</v>
      </c>
      <c r="D471" s="4">
        <v>8268.2607013840498</v>
      </c>
      <c r="E471" s="4">
        <v>8131.5952352454697</v>
      </c>
      <c r="F471" s="4">
        <v>8177.150390625</v>
      </c>
      <c r="G471" s="1">
        <v>91562100</v>
      </c>
      <c r="H471" s="2" t="str">
        <f t="shared" si="7"/>
        <v>Turun</v>
      </c>
    </row>
    <row r="472" spans="1:8" x14ac:dyDescent="0.2">
      <c r="A472" s="1">
        <v>471</v>
      </c>
      <c r="B472" s="3">
        <v>44895</v>
      </c>
      <c r="C472" s="4">
        <v>8086.0409053679396</v>
      </c>
      <c r="D472" s="4">
        <v>8564.3700856854903</v>
      </c>
      <c r="E472" s="4">
        <v>8063.2633253528202</v>
      </c>
      <c r="F472" s="4">
        <v>8473.259765625</v>
      </c>
      <c r="G472" s="1">
        <v>644359600</v>
      </c>
      <c r="H472" s="2" t="str">
        <f t="shared" si="7"/>
        <v>Naik</v>
      </c>
    </row>
    <row r="473" spans="1:8" x14ac:dyDescent="0.2">
      <c r="A473" s="1">
        <v>472</v>
      </c>
      <c r="B473" s="3">
        <v>44896</v>
      </c>
      <c r="C473" s="4">
        <v>8450.4820882161494</v>
      </c>
      <c r="D473" s="4">
        <v>8518.8148274739597</v>
      </c>
      <c r="E473" s="4">
        <v>8199.9287109375</v>
      </c>
      <c r="F473" s="4">
        <v>8199.9287109375</v>
      </c>
      <c r="G473" s="1">
        <v>155775400</v>
      </c>
      <c r="H473" s="2" t="str">
        <f>IF(F473&gt;F472,"Naik",IF(F473&lt;F472,"Turun","Stabil"))</f>
        <v>Turun</v>
      </c>
    </row>
    <row r="474" spans="1:8" x14ac:dyDescent="0.2">
      <c r="A474" s="1">
        <v>473</v>
      </c>
      <c r="B474" s="3">
        <v>44897</v>
      </c>
      <c r="C474" s="4">
        <v>8140.4755859375</v>
      </c>
      <c r="D474" s="4">
        <v>8209.0750993021393</v>
      </c>
      <c r="E474" s="4">
        <v>8140.4755859375</v>
      </c>
      <c r="F474" s="4">
        <v>8140.4755859375</v>
      </c>
      <c r="G474" s="1">
        <v>130982100</v>
      </c>
      <c r="H474" s="2" t="str">
        <f t="shared" si="7"/>
        <v>Turun</v>
      </c>
    </row>
    <row r="475" spans="1:8" x14ac:dyDescent="0.2">
      <c r="A475" s="1">
        <v>474</v>
      </c>
      <c r="B475" s="3">
        <v>44900</v>
      </c>
      <c r="C475" s="4">
        <v>8049.0095708689496</v>
      </c>
      <c r="D475" s="4">
        <v>8140.4755887197298</v>
      </c>
      <c r="E475" s="4">
        <v>8026.14306640625</v>
      </c>
      <c r="F475" s="4">
        <v>8026.14306640625</v>
      </c>
      <c r="G475" s="1">
        <v>114656300</v>
      </c>
      <c r="H475" s="2" t="str">
        <f t="shared" si="7"/>
        <v>Turun</v>
      </c>
    </row>
    <row r="476" spans="1:8" x14ac:dyDescent="0.2">
      <c r="A476" s="1">
        <v>475</v>
      </c>
      <c r="B476" s="3">
        <v>44901</v>
      </c>
      <c r="C476" s="4">
        <v>7980.4102561576901</v>
      </c>
      <c r="D476" s="4">
        <v>8003.2767611896597</v>
      </c>
      <c r="E476" s="4">
        <v>7843.2112259658697</v>
      </c>
      <c r="F476" s="4">
        <v>7934.67724609375</v>
      </c>
      <c r="G476" s="1">
        <v>180553800</v>
      </c>
      <c r="H476" s="2" t="str">
        <f t="shared" si="7"/>
        <v>Turun</v>
      </c>
    </row>
    <row r="477" spans="1:8" x14ac:dyDescent="0.2">
      <c r="A477" s="1">
        <v>476</v>
      </c>
      <c r="B477" s="3">
        <v>44902</v>
      </c>
      <c r="C477" s="4">
        <v>7774.6114263590998</v>
      </c>
      <c r="D477" s="4">
        <v>7843.2109389446196</v>
      </c>
      <c r="E477" s="4">
        <v>7728.87841796875</v>
      </c>
      <c r="F477" s="4">
        <v>7728.87841796875</v>
      </c>
      <c r="G477" s="1">
        <v>229308700</v>
      </c>
      <c r="H477" s="2" t="str">
        <f t="shared" si="7"/>
        <v>Turun</v>
      </c>
    </row>
    <row r="478" spans="1:8" x14ac:dyDescent="0.2">
      <c r="A478" s="1">
        <v>477</v>
      </c>
      <c r="B478" s="3">
        <v>44903</v>
      </c>
      <c r="C478" s="4">
        <v>7660.27880859375</v>
      </c>
      <c r="D478" s="4">
        <v>7843.2108398437504</v>
      </c>
      <c r="E478" s="4">
        <v>7637.4123046875002</v>
      </c>
      <c r="F478" s="4">
        <v>7774.611328125</v>
      </c>
      <c r="G478" s="1">
        <v>172590100</v>
      </c>
      <c r="H478" s="2" t="str">
        <f t="shared" si="7"/>
        <v>Naik</v>
      </c>
    </row>
    <row r="479" spans="1:8" x14ac:dyDescent="0.2">
      <c r="A479" s="1">
        <v>478</v>
      </c>
      <c r="B479" s="3">
        <v>44904</v>
      </c>
      <c r="C479" s="4">
        <v>7774.6119089376798</v>
      </c>
      <c r="D479" s="4">
        <v>7866.0779313957701</v>
      </c>
      <c r="E479" s="4">
        <v>7728.8788977086397</v>
      </c>
      <c r="F479" s="4">
        <v>7843.21142578125</v>
      </c>
      <c r="G479" s="1">
        <v>90851300</v>
      </c>
      <c r="H479" s="2" t="str">
        <f t="shared" si="7"/>
        <v>Naik</v>
      </c>
    </row>
    <row r="480" spans="1:8" x14ac:dyDescent="0.2">
      <c r="A480" s="1">
        <v>479</v>
      </c>
      <c r="B480" s="3">
        <v>44907</v>
      </c>
      <c r="C480" s="4">
        <v>7797.4788846421498</v>
      </c>
      <c r="D480" s="4">
        <v>7957.54443359375</v>
      </c>
      <c r="E480" s="4">
        <v>7751.7458706559801</v>
      </c>
      <c r="F480" s="4">
        <v>7957.54443359375</v>
      </c>
      <c r="G480" s="1">
        <v>102851800</v>
      </c>
      <c r="H480" s="2" t="str">
        <f t="shared" si="7"/>
        <v>Naik</v>
      </c>
    </row>
    <row r="481" spans="1:8" x14ac:dyDescent="0.2">
      <c r="A481" s="1">
        <v>480</v>
      </c>
      <c r="B481" s="3">
        <v>44908</v>
      </c>
      <c r="C481" s="4">
        <v>7888.94491261449</v>
      </c>
      <c r="D481" s="4">
        <v>7957.54443359375</v>
      </c>
      <c r="E481" s="4">
        <v>7820.34539163524</v>
      </c>
      <c r="F481" s="4">
        <v>7957.54443359375</v>
      </c>
      <c r="G481" s="1">
        <v>104580200</v>
      </c>
      <c r="H481" s="2" t="str">
        <f t="shared" si="7"/>
        <v>Stabil</v>
      </c>
    </row>
    <row r="482" spans="1:8" x14ac:dyDescent="0.2">
      <c r="A482" s="1">
        <v>481</v>
      </c>
      <c r="B482" s="3">
        <v>44909</v>
      </c>
      <c r="C482" s="4">
        <v>7866.0783174818798</v>
      </c>
      <c r="D482" s="4">
        <v>7957.5443444293496</v>
      </c>
      <c r="E482" s="4">
        <v>7797.4787972712902</v>
      </c>
      <c r="F482" s="4">
        <v>7888.94482421875</v>
      </c>
      <c r="G482" s="1">
        <v>118164300</v>
      </c>
      <c r="H482" s="2" t="str">
        <f t="shared" si="7"/>
        <v>Turun</v>
      </c>
    </row>
    <row r="483" spans="1:8" x14ac:dyDescent="0.2">
      <c r="A483" s="1">
        <v>482</v>
      </c>
      <c r="B483" s="3">
        <v>44910</v>
      </c>
      <c r="C483" s="4">
        <v>7843.2108398437504</v>
      </c>
      <c r="D483" s="4">
        <v>7866.0773437500002</v>
      </c>
      <c r="E483" s="4">
        <v>7774.611328125</v>
      </c>
      <c r="F483" s="4">
        <v>7774.611328125</v>
      </c>
      <c r="G483" s="1">
        <v>113255700</v>
      </c>
      <c r="H483" s="2" t="str">
        <f t="shared" si="7"/>
        <v>Turun</v>
      </c>
    </row>
    <row r="484" spans="1:8" x14ac:dyDescent="0.2">
      <c r="A484" s="1">
        <v>483</v>
      </c>
      <c r="B484" s="3">
        <v>44911</v>
      </c>
      <c r="C484" s="4">
        <v>7706.0125817587204</v>
      </c>
      <c r="D484" s="4">
        <v>7911.8111373546499</v>
      </c>
      <c r="E484" s="4">
        <v>7683.1460755813996</v>
      </c>
      <c r="F484" s="4">
        <v>7866.078125</v>
      </c>
      <c r="G484" s="1">
        <v>181516700</v>
      </c>
      <c r="H484" s="2" t="str">
        <f t="shared" si="7"/>
        <v>Naik</v>
      </c>
    </row>
    <row r="485" spans="1:8" x14ac:dyDescent="0.2">
      <c r="A485" s="1">
        <v>484</v>
      </c>
      <c r="B485" s="3">
        <v>44914</v>
      </c>
      <c r="C485" s="4">
        <v>7911.81103515625</v>
      </c>
      <c r="D485" s="4">
        <v>7957.5440469201603</v>
      </c>
      <c r="E485" s="4">
        <v>7866.0780233923397</v>
      </c>
      <c r="F485" s="4">
        <v>7911.81103515625</v>
      </c>
      <c r="G485" s="1">
        <v>67482900</v>
      </c>
      <c r="H485" s="2" t="str">
        <f t="shared" si="7"/>
        <v>Naik</v>
      </c>
    </row>
    <row r="486" spans="1:8" x14ac:dyDescent="0.2">
      <c r="A486" s="1">
        <v>485</v>
      </c>
      <c r="B486" s="3">
        <v>44915</v>
      </c>
      <c r="C486" s="4">
        <v>7820.3449201667299</v>
      </c>
      <c r="D486" s="4">
        <v>7911.8109426248202</v>
      </c>
      <c r="E486" s="4">
        <v>7820.3449201667299</v>
      </c>
      <c r="F486" s="4">
        <v>7843.21142578125</v>
      </c>
      <c r="G486" s="1">
        <v>41243700</v>
      </c>
      <c r="H486" s="2" t="str">
        <f t="shared" si="7"/>
        <v>Turun</v>
      </c>
    </row>
    <row r="487" spans="1:8" x14ac:dyDescent="0.2">
      <c r="A487" s="1">
        <v>486</v>
      </c>
      <c r="B487" s="3">
        <v>44916</v>
      </c>
      <c r="C487" s="4">
        <v>7866.0777309978403</v>
      </c>
      <c r="D487" s="4">
        <v>7957.5437511257196</v>
      </c>
      <c r="E487" s="4">
        <v>7843.2112259658697</v>
      </c>
      <c r="F487" s="4">
        <v>7934.67724609375</v>
      </c>
      <c r="G487" s="1">
        <v>33617700</v>
      </c>
      <c r="H487" s="2" t="str">
        <f t="shared" si="7"/>
        <v>Naik</v>
      </c>
    </row>
    <row r="488" spans="1:8" x14ac:dyDescent="0.2">
      <c r="A488" s="1">
        <v>487</v>
      </c>
      <c r="B488" s="3">
        <v>44917</v>
      </c>
      <c r="C488" s="4">
        <v>7911.8109426248202</v>
      </c>
      <c r="D488" s="4">
        <v>7934.6774482393403</v>
      </c>
      <c r="E488" s="4">
        <v>7843.21142578125</v>
      </c>
      <c r="F488" s="4">
        <v>7843.21142578125</v>
      </c>
      <c r="G488" s="1">
        <v>59591500</v>
      </c>
      <c r="H488" s="2" t="str">
        <f t="shared" si="7"/>
        <v>Turun</v>
      </c>
    </row>
    <row r="489" spans="1:8" x14ac:dyDescent="0.2">
      <c r="A489" s="1">
        <v>488</v>
      </c>
      <c r="B489" s="3">
        <v>44918</v>
      </c>
      <c r="C489" s="4">
        <v>7797.4778320312498</v>
      </c>
      <c r="D489" s="4">
        <v>7843.2108398437504</v>
      </c>
      <c r="E489" s="4">
        <v>7774.611328125</v>
      </c>
      <c r="F489" s="4">
        <v>7774.611328125</v>
      </c>
      <c r="G489" s="1">
        <v>47393000</v>
      </c>
      <c r="H489" s="2" t="str">
        <f t="shared" si="7"/>
        <v>Turun</v>
      </c>
    </row>
    <row r="490" spans="1:8" x14ac:dyDescent="0.2">
      <c r="A490" s="1">
        <v>489</v>
      </c>
      <c r="B490" s="3">
        <v>44921</v>
      </c>
      <c r="C490" s="4">
        <v>7774.6119089376798</v>
      </c>
      <c r="D490" s="4">
        <v>7888.9444370103001</v>
      </c>
      <c r="E490" s="4">
        <v>7774.6119089376798</v>
      </c>
      <c r="F490" s="4">
        <v>7843.21142578125</v>
      </c>
      <c r="G490" s="1">
        <v>20495900</v>
      </c>
      <c r="H490" s="2" t="str">
        <f t="shared" si="7"/>
        <v>Naik</v>
      </c>
    </row>
    <row r="491" spans="1:8" x14ac:dyDescent="0.2">
      <c r="A491" s="1">
        <v>490</v>
      </c>
      <c r="B491" s="3">
        <v>44922</v>
      </c>
      <c r="C491" s="4">
        <v>7866.078125</v>
      </c>
      <c r="D491" s="4">
        <v>7911.8111373546499</v>
      </c>
      <c r="E491" s="4">
        <v>7843.2116188226801</v>
      </c>
      <c r="F491" s="4">
        <v>7866.078125</v>
      </c>
      <c r="G491" s="1">
        <v>27193800</v>
      </c>
      <c r="H491" s="2" t="str">
        <f t="shared" si="7"/>
        <v>Naik</v>
      </c>
    </row>
    <row r="492" spans="1:8" x14ac:dyDescent="0.2">
      <c r="A492" s="1">
        <v>491</v>
      </c>
      <c r="B492" s="3">
        <v>44923</v>
      </c>
      <c r="C492" s="4">
        <v>7911.81103515625</v>
      </c>
      <c r="D492" s="4">
        <v>7911.81103515625</v>
      </c>
      <c r="E492" s="4">
        <v>7820.3450116284303</v>
      </c>
      <c r="F492" s="4">
        <v>7911.81103515625</v>
      </c>
      <c r="G492" s="1">
        <v>40420200</v>
      </c>
      <c r="H492" s="2" t="str">
        <f t="shared" si="7"/>
        <v>Naik</v>
      </c>
    </row>
    <row r="493" spans="1:8" x14ac:dyDescent="0.2">
      <c r="A493" s="1">
        <v>492</v>
      </c>
      <c r="B493" s="3">
        <v>44924</v>
      </c>
      <c r="C493" s="4">
        <v>7797.4784145521999</v>
      </c>
      <c r="D493" s="4">
        <v>7866.0779313957701</v>
      </c>
      <c r="E493" s="4">
        <v>7774.6119089376798</v>
      </c>
      <c r="F493" s="4">
        <v>7843.21142578125</v>
      </c>
      <c r="G493" s="1">
        <v>47020900</v>
      </c>
      <c r="H493" s="2" t="str">
        <f t="shared" si="7"/>
        <v>Turun</v>
      </c>
    </row>
    <row r="494" spans="1:8" x14ac:dyDescent="0.2">
      <c r="A494" s="1">
        <v>493</v>
      </c>
      <c r="B494" s="3">
        <v>44925</v>
      </c>
      <c r="C494" s="4">
        <v>7843.2107419019603</v>
      </c>
      <c r="D494" s="4">
        <v>7911.8102527640704</v>
      </c>
      <c r="E494" s="4">
        <v>7820.34423828125</v>
      </c>
      <c r="F494" s="4">
        <v>7820.34423828125</v>
      </c>
      <c r="G494" s="1">
        <v>44681400</v>
      </c>
      <c r="H494" s="2" t="str">
        <f t="shared" si="7"/>
        <v>Turun</v>
      </c>
    </row>
    <row r="495" spans="1:8" x14ac:dyDescent="0.2">
      <c r="A495" s="1">
        <v>494</v>
      </c>
      <c r="B495" s="3">
        <v>44928</v>
      </c>
      <c r="C495" s="4">
        <v>7843.2107419019603</v>
      </c>
      <c r="D495" s="4">
        <v>7866.0772455226597</v>
      </c>
      <c r="E495" s="4">
        <v>7774.6112310398403</v>
      </c>
      <c r="F495" s="4">
        <v>7820.34423828125</v>
      </c>
      <c r="G495" s="1">
        <v>10653900</v>
      </c>
      <c r="H495" s="2" t="str">
        <f>IF(F495&gt;F494,"Naik",IF(F495&lt;F494,"Turun","Stabil"))</f>
        <v>Stabil</v>
      </c>
    </row>
    <row r="496" spans="1:8" x14ac:dyDescent="0.2">
      <c r="A496" s="1">
        <v>495</v>
      </c>
      <c r="B496" s="3">
        <v>44929</v>
      </c>
      <c r="C496" s="4">
        <v>7820.34423828125</v>
      </c>
      <c r="D496" s="4">
        <v>7866.0772455226597</v>
      </c>
      <c r="E496" s="4">
        <v>7797.4777346605397</v>
      </c>
      <c r="F496" s="4">
        <v>7820.34423828125</v>
      </c>
      <c r="G496" s="1">
        <v>27399100</v>
      </c>
      <c r="H496" s="2" t="str">
        <f t="shared" si="7"/>
        <v>Stabil</v>
      </c>
    </row>
    <row r="497" spans="1:8" x14ac:dyDescent="0.2">
      <c r="A497" s="1">
        <v>496</v>
      </c>
      <c r="B497" s="3">
        <v>44930</v>
      </c>
      <c r="C497" s="4">
        <v>7797.47862965475</v>
      </c>
      <c r="D497" s="4">
        <v>7843.2116421454002</v>
      </c>
      <c r="E497" s="4">
        <v>7637.4130859375</v>
      </c>
      <c r="F497" s="4">
        <v>7637.4130859375</v>
      </c>
      <c r="G497" s="1">
        <v>90918800</v>
      </c>
      <c r="H497" s="2" t="str">
        <f t="shared" si="7"/>
        <v>Turun</v>
      </c>
    </row>
    <row r="498" spans="1:8" x14ac:dyDescent="0.2">
      <c r="A498" s="1">
        <v>497</v>
      </c>
      <c r="B498" s="3">
        <v>44931</v>
      </c>
      <c r="C498" s="4">
        <v>7637.4132930871201</v>
      </c>
      <c r="D498" s="4">
        <v>7660.2797999526501</v>
      </c>
      <c r="E498" s="4">
        <v>7454.4812381628799</v>
      </c>
      <c r="F498" s="4">
        <v>7545.947265625</v>
      </c>
      <c r="G498" s="1">
        <v>128838500</v>
      </c>
      <c r="H498" s="2" t="str">
        <f t="shared" si="7"/>
        <v>Turun</v>
      </c>
    </row>
    <row r="499" spans="1:8" x14ac:dyDescent="0.2">
      <c r="A499" s="1">
        <v>498</v>
      </c>
      <c r="B499" s="3">
        <v>44932</v>
      </c>
      <c r="C499" s="4">
        <v>7408.7476468373497</v>
      </c>
      <c r="D499" s="4">
        <v>7614.5461925828304</v>
      </c>
      <c r="E499" s="4">
        <v>7408.7476468373497</v>
      </c>
      <c r="F499" s="4">
        <v>7591.6796875</v>
      </c>
      <c r="G499" s="1">
        <v>69286600</v>
      </c>
      <c r="H499" s="2" t="str">
        <f t="shared" si="7"/>
        <v>Naik</v>
      </c>
    </row>
    <row r="500" spans="1:8" x14ac:dyDescent="0.2">
      <c r="A500" s="1">
        <v>499</v>
      </c>
      <c r="B500" s="3">
        <v>44935</v>
      </c>
      <c r="C500" s="4">
        <v>7614.5458969928804</v>
      </c>
      <c r="D500" s="4">
        <v>7728.87841796875</v>
      </c>
      <c r="E500" s="4">
        <v>7614.5458969928804</v>
      </c>
      <c r="F500" s="4">
        <v>7728.87841796875</v>
      </c>
      <c r="G500" s="1">
        <v>86916900</v>
      </c>
      <c r="H500" s="2" t="str">
        <f t="shared" si="7"/>
        <v>Naik</v>
      </c>
    </row>
    <row r="501" spans="1:8" x14ac:dyDescent="0.2">
      <c r="A501" s="1">
        <v>500</v>
      </c>
      <c r="B501" s="3">
        <v>44936</v>
      </c>
      <c r="C501" s="4">
        <v>7683.1457138761498</v>
      </c>
      <c r="D501" s="4">
        <v>7706.01221897697</v>
      </c>
      <c r="E501" s="4">
        <v>7454.4806628679298</v>
      </c>
      <c r="F501" s="4">
        <v>7477.34716796875</v>
      </c>
      <c r="G501" s="1">
        <v>101759100</v>
      </c>
      <c r="H501" s="2" t="str">
        <f t="shared" si="7"/>
        <v>Turun</v>
      </c>
    </row>
    <row r="502" spans="1:8" x14ac:dyDescent="0.2">
      <c r="A502" s="1">
        <v>501</v>
      </c>
      <c r="B502" s="3">
        <v>44937</v>
      </c>
      <c r="C502" s="4">
        <v>7363.0147415865404</v>
      </c>
      <c r="D502" s="4">
        <v>7454.4807632211496</v>
      </c>
      <c r="E502" s="4">
        <v>7317.2817307692303</v>
      </c>
      <c r="F502" s="4">
        <v>7431.6142578125</v>
      </c>
      <c r="G502" s="1">
        <v>96069100</v>
      </c>
      <c r="H502" s="2" t="str">
        <f t="shared" si="7"/>
        <v>Turun</v>
      </c>
    </row>
    <row r="503" spans="1:8" x14ac:dyDescent="0.2">
      <c r="A503" s="1">
        <v>502</v>
      </c>
      <c r="B503" s="3">
        <v>44938</v>
      </c>
      <c r="C503" s="4">
        <v>7454.4806628679298</v>
      </c>
      <c r="D503" s="4">
        <v>7568.8131883720398</v>
      </c>
      <c r="E503" s="4">
        <v>7431.6141577671096</v>
      </c>
      <c r="F503" s="4">
        <v>7477.34716796875</v>
      </c>
      <c r="G503" s="1">
        <v>103804600</v>
      </c>
      <c r="H503" s="2" t="str">
        <f t="shared" si="7"/>
        <v>Naik</v>
      </c>
    </row>
    <row r="504" spans="1:8" x14ac:dyDescent="0.2">
      <c r="A504" s="1">
        <v>503</v>
      </c>
      <c r="B504" s="3">
        <v>44939</v>
      </c>
      <c r="C504" s="4">
        <v>7454.48066891498</v>
      </c>
      <c r="D504" s="4">
        <v>7477.3471740343603</v>
      </c>
      <c r="E504" s="4">
        <v>7340.1481433181298</v>
      </c>
      <c r="F504" s="4">
        <v>7363.0146484375</v>
      </c>
      <c r="G504" s="1">
        <v>119748200</v>
      </c>
      <c r="H504" s="2" t="str">
        <f t="shared" si="7"/>
        <v>Turun</v>
      </c>
    </row>
    <row r="505" spans="1:8" x14ac:dyDescent="0.2">
      <c r="A505" s="1">
        <v>504</v>
      </c>
      <c r="B505" s="3">
        <v>44942</v>
      </c>
      <c r="C505" s="4">
        <v>7363.0144507285304</v>
      </c>
      <c r="D505" s="4">
        <v>7500.2134777607398</v>
      </c>
      <c r="E505" s="4">
        <v>7363.0144507285304</v>
      </c>
      <c r="F505" s="4">
        <v>7454.48046875</v>
      </c>
      <c r="G505" s="1">
        <v>105710700</v>
      </c>
      <c r="H505" s="2" t="str">
        <f t="shared" si="7"/>
        <v>Naik</v>
      </c>
    </row>
    <row r="506" spans="1:8" x14ac:dyDescent="0.2">
      <c r="A506" s="1">
        <v>505</v>
      </c>
      <c r="B506" s="3">
        <v>44943</v>
      </c>
      <c r="C506" s="4">
        <v>7477.3468732404299</v>
      </c>
      <c r="D506" s="4">
        <v>7660.27890683652</v>
      </c>
      <c r="E506" s="4">
        <v>7454.4803690409199</v>
      </c>
      <c r="F506" s="4">
        <v>7614.5458984375</v>
      </c>
      <c r="G506" s="1">
        <v>88695900</v>
      </c>
      <c r="H506" s="2" t="str">
        <f t="shared" si="7"/>
        <v>Naik</v>
      </c>
    </row>
    <row r="507" spans="1:8" x14ac:dyDescent="0.2">
      <c r="A507" s="1">
        <v>506</v>
      </c>
      <c r="B507" s="3">
        <v>44944</v>
      </c>
      <c r="C507" s="4">
        <v>7500.2136671686803</v>
      </c>
      <c r="D507" s="4">
        <v>7614.5461925828304</v>
      </c>
      <c r="E507" s="4">
        <v>7477.34716208584</v>
      </c>
      <c r="F507" s="4">
        <v>7591.6796875</v>
      </c>
      <c r="G507" s="1">
        <v>96814600</v>
      </c>
      <c r="H507" s="2" t="str">
        <f t="shared" si="7"/>
        <v>Turun</v>
      </c>
    </row>
    <row r="508" spans="1:8" x14ac:dyDescent="0.2">
      <c r="A508" s="1">
        <v>507</v>
      </c>
      <c r="B508" s="3">
        <v>44945</v>
      </c>
      <c r="C508" s="4">
        <v>7637.41240263701</v>
      </c>
      <c r="D508" s="4">
        <v>7637.41240263701</v>
      </c>
      <c r="E508" s="4">
        <v>7545.9463858389599</v>
      </c>
      <c r="F508" s="4">
        <v>7614.5458984375</v>
      </c>
      <c r="G508" s="1">
        <v>66391800</v>
      </c>
      <c r="H508" s="2" t="str">
        <f t="shared" si="7"/>
        <v>Naik</v>
      </c>
    </row>
    <row r="509" spans="1:8" x14ac:dyDescent="0.2">
      <c r="A509" s="1">
        <v>508</v>
      </c>
      <c r="B509" s="3">
        <v>44946</v>
      </c>
      <c r="C509" s="4">
        <v>7568.8131824171696</v>
      </c>
      <c r="D509" s="4">
        <v>7614.5461925828304</v>
      </c>
      <c r="E509" s="4">
        <v>7545.9466773343402</v>
      </c>
      <c r="F509" s="4">
        <v>7591.6796875</v>
      </c>
      <c r="G509" s="1">
        <v>96859500</v>
      </c>
      <c r="H509" s="2" t="str">
        <f t="shared" si="7"/>
        <v>Turun</v>
      </c>
    </row>
    <row r="510" spans="1:8" x14ac:dyDescent="0.2">
      <c r="A510" s="1">
        <v>509</v>
      </c>
      <c r="B510" s="3">
        <v>44950</v>
      </c>
      <c r="C510" s="4">
        <v>7591.6795925152001</v>
      </c>
      <c r="D510" s="4">
        <v>7637.4126021086604</v>
      </c>
      <c r="E510" s="4">
        <v>7523.080078125</v>
      </c>
      <c r="F510" s="4">
        <v>7523.080078125</v>
      </c>
      <c r="G510" s="1">
        <v>42474500</v>
      </c>
      <c r="H510" s="2" t="str">
        <f t="shared" si="7"/>
        <v>Turun</v>
      </c>
    </row>
    <row r="511" spans="1:8" x14ac:dyDescent="0.2">
      <c r="A511" s="1">
        <v>510</v>
      </c>
      <c r="B511" s="3">
        <v>44951</v>
      </c>
      <c r="C511" s="4">
        <v>7591.6798899580799</v>
      </c>
      <c r="D511" s="4">
        <v>7591.6798899580799</v>
      </c>
      <c r="E511" s="4">
        <v>7500.2138671875</v>
      </c>
      <c r="F511" s="4">
        <v>7500.2138671875</v>
      </c>
      <c r="G511" s="1">
        <v>66124500</v>
      </c>
      <c r="H511" s="2" t="str">
        <f t="shared" si="7"/>
        <v>Turun</v>
      </c>
    </row>
    <row r="512" spans="1:8" x14ac:dyDescent="0.2">
      <c r="A512" s="1">
        <v>511</v>
      </c>
      <c r="B512" s="3">
        <v>44952</v>
      </c>
      <c r="C512" s="4">
        <v>7523.0805433605301</v>
      </c>
      <c r="D512" s="4">
        <v>7751.74560546875</v>
      </c>
      <c r="E512" s="4">
        <v>7523.0805433605301</v>
      </c>
      <c r="F512" s="4">
        <v>7751.74560546875</v>
      </c>
      <c r="G512" s="1">
        <v>77582300</v>
      </c>
      <c r="H512" s="2" t="str">
        <f t="shared" si="7"/>
        <v>Naik</v>
      </c>
    </row>
    <row r="513" spans="1:8" x14ac:dyDescent="0.2">
      <c r="A513" s="1">
        <v>512</v>
      </c>
      <c r="B513" s="3">
        <v>44953</v>
      </c>
      <c r="C513" s="4">
        <v>7957.54443359375</v>
      </c>
      <c r="D513" s="4">
        <v>8094.74347555226</v>
      </c>
      <c r="E513" s="4">
        <v>7820.34539163524</v>
      </c>
      <c r="F513" s="4">
        <v>7957.54443359375</v>
      </c>
      <c r="G513" s="1">
        <v>196804700</v>
      </c>
      <c r="H513" s="2" t="str">
        <f t="shared" si="7"/>
        <v>Naik</v>
      </c>
    </row>
    <row r="514" spans="1:8" x14ac:dyDescent="0.2">
      <c r="A514" s="1">
        <v>513</v>
      </c>
      <c r="B514" s="3">
        <v>44956</v>
      </c>
      <c r="C514" s="4">
        <v>7980.4109405868403</v>
      </c>
      <c r="D514" s="4">
        <v>8026.14395457301</v>
      </c>
      <c r="E514" s="4">
        <v>7843.2118986283203</v>
      </c>
      <c r="F514" s="4">
        <v>7957.54443359375</v>
      </c>
      <c r="G514" s="1">
        <v>68544300</v>
      </c>
      <c r="H514" s="2" t="str">
        <f t="shared" si="7"/>
        <v>Stabil</v>
      </c>
    </row>
    <row r="515" spans="1:8" x14ac:dyDescent="0.2">
      <c r="A515" s="1">
        <v>514</v>
      </c>
      <c r="B515" s="3">
        <v>44957</v>
      </c>
      <c r="C515" s="4">
        <v>7888.9446427336798</v>
      </c>
      <c r="D515" s="4">
        <v>7934.6776551553303</v>
      </c>
      <c r="E515" s="4">
        <v>7751.74560546875</v>
      </c>
      <c r="F515" s="4">
        <v>7751.74560546875</v>
      </c>
      <c r="G515" s="1">
        <v>200589000</v>
      </c>
      <c r="H515" s="2" t="str">
        <f t="shared" si="7"/>
        <v>Turun</v>
      </c>
    </row>
    <row r="516" spans="1:8" x14ac:dyDescent="0.2">
      <c r="A516" s="1">
        <v>515</v>
      </c>
      <c r="B516" s="3">
        <v>44958</v>
      </c>
      <c r="C516" s="4">
        <v>7843.2108398437504</v>
      </c>
      <c r="D516" s="4">
        <v>7843.2108398437504</v>
      </c>
      <c r="E516" s="4">
        <v>7728.8783203125004</v>
      </c>
      <c r="F516" s="4">
        <v>7774.611328125</v>
      </c>
      <c r="G516" s="1">
        <v>77396200</v>
      </c>
      <c r="H516" s="2" t="str">
        <f t="shared" ref="H516:H579" si="8">IF(F516&gt;F515,"Naik",IF(F516&lt;F515,"Turun","Stabil"))</f>
        <v>Naik</v>
      </c>
    </row>
    <row r="517" spans="1:8" x14ac:dyDescent="0.2">
      <c r="A517" s="1">
        <v>516</v>
      </c>
      <c r="B517" s="3">
        <v>44959</v>
      </c>
      <c r="C517" s="4">
        <v>7706.0119137735801</v>
      </c>
      <c r="D517" s="4">
        <v>7797.4779305542697</v>
      </c>
      <c r="E517" s="4">
        <v>7683.1454095784002</v>
      </c>
      <c r="F517" s="4">
        <v>7728.87841796875</v>
      </c>
      <c r="G517" s="1">
        <v>99109500</v>
      </c>
      <c r="H517" s="2" t="str">
        <f t="shared" si="8"/>
        <v>Turun</v>
      </c>
    </row>
    <row r="518" spans="1:8" x14ac:dyDescent="0.2">
      <c r="A518" s="1">
        <v>517</v>
      </c>
      <c r="B518" s="3">
        <v>44960</v>
      </c>
      <c r="C518" s="4">
        <v>7820.34539163524</v>
      </c>
      <c r="D518" s="4">
        <v>7957.54443359375</v>
      </c>
      <c r="E518" s="4">
        <v>7774.6123776490704</v>
      </c>
      <c r="F518" s="4">
        <v>7957.54443359375</v>
      </c>
      <c r="G518" s="1">
        <v>71716700</v>
      </c>
      <c r="H518" s="2" t="str">
        <f t="shared" si="8"/>
        <v>Naik</v>
      </c>
    </row>
    <row r="519" spans="1:8" x14ac:dyDescent="0.2">
      <c r="A519" s="1">
        <v>518</v>
      </c>
      <c r="B519" s="3">
        <v>44963</v>
      </c>
      <c r="C519" s="4">
        <v>8003.2766609956998</v>
      </c>
      <c r="D519" s="4">
        <v>8003.2766609956998</v>
      </c>
      <c r="E519" s="4">
        <v>7911.8106420128897</v>
      </c>
      <c r="F519" s="4">
        <v>7980.41015625</v>
      </c>
      <c r="G519" s="1">
        <v>117757700</v>
      </c>
      <c r="H519" s="2" t="str">
        <f t="shared" si="8"/>
        <v>Naik</v>
      </c>
    </row>
    <row r="520" spans="1:8" x14ac:dyDescent="0.2">
      <c r="A520" s="1">
        <v>519</v>
      </c>
      <c r="B520" s="3">
        <v>44964</v>
      </c>
      <c r="C520" s="4">
        <v>8026.14267743644</v>
      </c>
      <c r="D520" s="4">
        <v>8094.7421875</v>
      </c>
      <c r="E520" s="4">
        <v>8003.2761740819196</v>
      </c>
      <c r="F520" s="4">
        <v>8094.7421875</v>
      </c>
      <c r="G520" s="1">
        <v>116014700</v>
      </c>
      <c r="H520" s="2" t="str">
        <f t="shared" si="8"/>
        <v>Naik</v>
      </c>
    </row>
    <row r="521" spans="1:8" x14ac:dyDescent="0.2">
      <c r="A521" s="1">
        <v>520</v>
      </c>
      <c r="B521" s="3">
        <v>44965</v>
      </c>
      <c r="C521" s="4">
        <v>8071.87646484375</v>
      </c>
      <c r="D521" s="4">
        <v>8094.7429704098804</v>
      </c>
      <c r="E521" s="4">
        <v>8049.0099592776196</v>
      </c>
      <c r="F521" s="4">
        <v>8071.87646484375</v>
      </c>
      <c r="G521" s="1">
        <v>54495500</v>
      </c>
      <c r="H521" s="2" t="str">
        <f t="shared" si="8"/>
        <v>Turun</v>
      </c>
    </row>
    <row r="522" spans="1:8" x14ac:dyDescent="0.2">
      <c r="A522" s="1">
        <v>521</v>
      </c>
      <c r="B522" s="3">
        <v>44966</v>
      </c>
      <c r="C522" s="4">
        <v>8071.8760725728598</v>
      </c>
      <c r="D522" s="4">
        <v>8140.4755859375</v>
      </c>
      <c r="E522" s="4">
        <v>8049.0095681179801</v>
      </c>
      <c r="F522" s="4">
        <v>8140.4755859375</v>
      </c>
      <c r="G522" s="1">
        <v>72381700</v>
      </c>
      <c r="H522" s="2" t="str">
        <f t="shared" si="8"/>
        <v>Naik</v>
      </c>
    </row>
    <row r="523" spans="1:8" x14ac:dyDescent="0.2">
      <c r="A523" s="1">
        <v>522</v>
      </c>
      <c r="B523" s="3">
        <v>44967</v>
      </c>
      <c r="C523" s="4">
        <v>8117.6094759760099</v>
      </c>
      <c r="D523" s="4">
        <v>8140.4759815421403</v>
      </c>
      <c r="E523" s="4">
        <v>7957.5439370130998</v>
      </c>
      <c r="F523" s="4">
        <v>8071.87646484375</v>
      </c>
      <c r="G523" s="1">
        <v>62060900</v>
      </c>
      <c r="H523" s="2" t="str">
        <f t="shared" si="8"/>
        <v>Turun</v>
      </c>
    </row>
    <row r="524" spans="1:8" x14ac:dyDescent="0.2">
      <c r="A524" s="1">
        <v>523</v>
      </c>
      <c r="B524" s="3">
        <v>44970</v>
      </c>
      <c r="C524" s="4">
        <v>8117.61083984375</v>
      </c>
      <c r="D524" s="4">
        <v>8140.4773492517597</v>
      </c>
      <c r="E524" s="4">
        <v>8026.1448022117102</v>
      </c>
      <c r="F524" s="4">
        <v>8117.61083984375</v>
      </c>
      <c r="G524" s="1">
        <v>63775000</v>
      </c>
      <c r="H524" s="2" t="str">
        <f t="shared" si="8"/>
        <v>Naik</v>
      </c>
    </row>
    <row r="525" spans="1:8" x14ac:dyDescent="0.2">
      <c r="A525" s="1">
        <v>524</v>
      </c>
      <c r="B525" s="3">
        <v>44971</v>
      </c>
      <c r="C525" s="4">
        <v>8094.7429622032096</v>
      </c>
      <c r="D525" s="4">
        <v>8186.208984375</v>
      </c>
      <c r="E525" s="4">
        <v>8071.8764566602704</v>
      </c>
      <c r="F525" s="4">
        <v>8186.208984375</v>
      </c>
      <c r="G525" s="1">
        <v>81678200</v>
      </c>
      <c r="H525" s="2" t="str">
        <f t="shared" si="8"/>
        <v>Naik</v>
      </c>
    </row>
    <row r="526" spans="1:8" x14ac:dyDescent="0.2">
      <c r="A526" s="1">
        <v>525</v>
      </c>
      <c r="B526" s="3">
        <v>44972</v>
      </c>
      <c r="C526" s="4">
        <v>8117.61083984375</v>
      </c>
      <c r="D526" s="4">
        <v>8140.4773492517597</v>
      </c>
      <c r="E526" s="4">
        <v>8003.2782928037004</v>
      </c>
      <c r="F526" s="4">
        <v>8117.61083984375</v>
      </c>
      <c r="G526" s="1">
        <v>38037000</v>
      </c>
      <c r="H526" s="2" t="str">
        <f t="shared" si="8"/>
        <v>Turun</v>
      </c>
    </row>
    <row r="527" spans="1:8" x14ac:dyDescent="0.2">
      <c r="A527" s="1">
        <v>526</v>
      </c>
      <c r="B527" s="3">
        <v>44973</v>
      </c>
      <c r="C527" s="4">
        <v>8071.8769685591797</v>
      </c>
      <c r="D527" s="4">
        <v>8094.74347555226</v>
      </c>
      <c r="E527" s="4">
        <v>7957.54443359375</v>
      </c>
      <c r="F527" s="4">
        <v>7957.54443359375</v>
      </c>
      <c r="G527" s="1">
        <v>66040400</v>
      </c>
      <c r="H527" s="2" t="str">
        <f t="shared" si="8"/>
        <v>Turun</v>
      </c>
    </row>
    <row r="528" spans="1:8" x14ac:dyDescent="0.2">
      <c r="A528" s="1">
        <v>527</v>
      </c>
      <c r="B528" s="3">
        <v>44974</v>
      </c>
      <c r="C528" s="4">
        <v>8026.1431657413996</v>
      </c>
      <c r="D528" s="4">
        <v>8094.7426799785098</v>
      </c>
      <c r="E528" s="4">
        <v>7980.41015625</v>
      </c>
      <c r="F528" s="4">
        <v>7980.41015625</v>
      </c>
      <c r="G528" s="1">
        <v>43588900</v>
      </c>
      <c r="H528" s="2" t="str">
        <f t="shared" si="8"/>
        <v>Naik</v>
      </c>
    </row>
    <row r="529" spans="1:8" x14ac:dyDescent="0.2">
      <c r="A529" s="1">
        <v>528</v>
      </c>
      <c r="B529" s="3">
        <v>44977</v>
      </c>
      <c r="C529" s="4">
        <v>7980.4103501674099</v>
      </c>
      <c r="D529" s="4">
        <v>8071.8763713727703</v>
      </c>
      <c r="E529" s="4">
        <v>7957.5438448660698</v>
      </c>
      <c r="F529" s="4">
        <v>8003.27685546875</v>
      </c>
      <c r="G529" s="1">
        <v>40077000</v>
      </c>
      <c r="H529" s="2" t="str">
        <f t="shared" si="8"/>
        <v>Naik</v>
      </c>
    </row>
    <row r="530" spans="1:8" x14ac:dyDescent="0.2">
      <c r="A530" s="1">
        <v>529</v>
      </c>
      <c r="B530" s="3">
        <v>44978</v>
      </c>
      <c r="C530" s="4">
        <v>8026.14395457301</v>
      </c>
      <c r="D530" s="4">
        <v>8049.0104615660903</v>
      </c>
      <c r="E530" s="4">
        <v>7957.54443359375</v>
      </c>
      <c r="F530" s="4">
        <v>7957.54443359375</v>
      </c>
      <c r="G530" s="1">
        <v>25390500</v>
      </c>
      <c r="H530" s="2" t="str">
        <f t="shared" si="8"/>
        <v>Turun</v>
      </c>
    </row>
    <row r="531" spans="1:8" x14ac:dyDescent="0.2">
      <c r="A531" s="1">
        <v>530</v>
      </c>
      <c r="B531" s="3">
        <v>44979</v>
      </c>
      <c r="C531" s="4">
        <v>7957.5437511257196</v>
      </c>
      <c r="D531" s="4">
        <v>8003.2767611896597</v>
      </c>
      <c r="E531" s="4">
        <v>7888.9442360298099</v>
      </c>
      <c r="F531" s="4">
        <v>7934.67724609375</v>
      </c>
      <c r="G531" s="1">
        <v>38671900</v>
      </c>
      <c r="H531" s="2" t="str">
        <f t="shared" si="8"/>
        <v>Turun</v>
      </c>
    </row>
    <row r="532" spans="1:8" x14ac:dyDescent="0.2">
      <c r="A532" s="1">
        <v>531</v>
      </c>
      <c r="B532" s="3">
        <v>44980</v>
      </c>
      <c r="C532" s="4">
        <v>7888.9441372671899</v>
      </c>
      <c r="D532" s="4">
        <v>8003.2766609956998</v>
      </c>
      <c r="E532" s="4">
        <v>7888.9441372671899</v>
      </c>
      <c r="F532" s="4">
        <v>7980.41015625</v>
      </c>
      <c r="G532" s="1">
        <v>53412300</v>
      </c>
      <c r="H532" s="2" t="str">
        <f t="shared" si="8"/>
        <v>Naik</v>
      </c>
    </row>
    <row r="533" spans="1:8" x14ac:dyDescent="0.2">
      <c r="A533" s="1">
        <v>532</v>
      </c>
      <c r="B533" s="3">
        <v>44981</v>
      </c>
      <c r="C533" s="4">
        <v>8026.1432662216303</v>
      </c>
      <c r="D533" s="4">
        <v>8094.74278131754</v>
      </c>
      <c r="E533" s="4">
        <v>7934.67724609375</v>
      </c>
      <c r="F533" s="4">
        <v>7934.67724609375</v>
      </c>
      <c r="G533" s="1">
        <v>44123400</v>
      </c>
      <c r="H533" s="2" t="str">
        <f t="shared" si="8"/>
        <v>Turun</v>
      </c>
    </row>
    <row r="534" spans="1:8" x14ac:dyDescent="0.2">
      <c r="A534" s="1">
        <v>533</v>
      </c>
      <c r="B534" s="3">
        <v>44984</v>
      </c>
      <c r="C534" s="4">
        <v>7934.6770485554698</v>
      </c>
      <c r="D534" s="4">
        <v>8026.14306640625</v>
      </c>
      <c r="E534" s="4">
        <v>7911.8105440927702</v>
      </c>
      <c r="F534" s="4">
        <v>8026.14306640625</v>
      </c>
      <c r="G534" s="1">
        <v>59983900</v>
      </c>
      <c r="H534" s="2" t="str">
        <f t="shared" si="8"/>
        <v>Naik</v>
      </c>
    </row>
    <row r="535" spans="1:8" x14ac:dyDescent="0.2">
      <c r="A535" s="1">
        <v>534</v>
      </c>
      <c r="B535" s="3">
        <v>44985</v>
      </c>
      <c r="C535" s="4">
        <v>8026.1433607700901</v>
      </c>
      <c r="D535" s="4">
        <v>8026.1433607700901</v>
      </c>
      <c r="E535" s="4">
        <v>7934.6773395647297</v>
      </c>
      <c r="F535" s="4">
        <v>8003.27685546875</v>
      </c>
      <c r="G535" s="1">
        <v>106349400</v>
      </c>
      <c r="H535" s="2" t="str">
        <f t="shared" si="8"/>
        <v>Turun</v>
      </c>
    </row>
    <row r="536" spans="1:8" x14ac:dyDescent="0.2">
      <c r="A536" s="1">
        <v>535</v>
      </c>
      <c r="B536" s="3">
        <v>44986</v>
      </c>
      <c r="C536" s="4">
        <v>7980.4106558866297</v>
      </c>
      <c r="D536" s="4">
        <v>8003.2771620639496</v>
      </c>
      <c r="E536" s="4">
        <v>7866.078125</v>
      </c>
      <c r="F536" s="4">
        <v>7866.078125</v>
      </c>
      <c r="G536" s="1">
        <v>67034700</v>
      </c>
      <c r="H536" s="2" t="str">
        <f t="shared" si="8"/>
        <v>Turun</v>
      </c>
    </row>
    <row r="537" spans="1:8" x14ac:dyDescent="0.2">
      <c r="A537" s="1">
        <v>536</v>
      </c>
      <c r="B537" s="3">
        <v>44987</v>
      </c>
      <c r="C537" s="4">
        <v>7866.0783174818798</v>
      </c>
      <c r="D537" s="4">
        <v>7957.5443444293496</v>
      </c>
      <c r="E537" s="4">
        <v>7866.0783174818798</v>
      </c>
      <c r="F537" s="4">
        <v>7888.94482421875</v>
      </c>
      <c r="G537" s="1">
        <v>56672000</v>
      </c>
      <c r="H537" s="2" t="str">
        <f t="shared" si="8"/>
        <v>Naik</v>
      </c>
    </row>
    <row r="538" spans="1:8" x14ac:dyDescent="0.2">
      <c r="A538" s="1">
        <v>537</v>
      </c>
      <c r="B538" s="3">
        <v>44988</v>
      </c>
      <c r="C538" s="4">
        <v>7911.81114894451</v>
      </c>
      <c r="D538" s="4">
        <v>7934.6776551553303</v>
      </c>
      <c r="E538" s="4">
        <v>7751.74560546875</v>
      </c>
      <c r="F538" s="4">
        <v>7751.74560546875</v>
      </c>
      <c r="G538" s="1">
        <v>95376900</v>
      </c>
      <c r="H538" s="2" t="str">
        <f t="shared" si="8"/>
        <v>Turun</v>
      </c>
    </row>
    <row r="539" spans="1:8" x14ac:dyDescent="0.2">
      <c r="A539" s="1">
        <v>538</v>
      </c>
      <c r="B539" s="3">
        <v>44991</v>
      </c>
      <c r="C539" s="4">
        <v>7820.3450317382803</v>
      </c>
      <c r="D539" s="4">
        <v>7820.3450317382803</v>
      </c>
      <c r="E539" s="4">
        <v>7683.14599609375</v>
      </c>
      <c r="F539" s="4">
        <v>7683.14599609375</v>
      </c>
      <c r="G539" s="1">
        <v>92652000</v>
      </c>
      <c r="H539" s="2" t="str">
        <f t="shared" si="8"/>
        <v>Turun</v>
      </c>
    </row>
    <row r="540" spans="1:8" x14ac:dyDescent="0.2">
      <c r="A540" s="1">
        <v>539</v>
      </c>
      <c r="B540" s="3">
        <v>44992</v>
      </c>
      <c r="C540" s="4">
        <v>7637.4131757696596</v>
      </c>
      <c r="D540" s="4">
        <v>7751.74570834106</v>
      </c>
      <c r="E540" s="4">
        <v>7637.4131757696596</v>
      </c>
      <c r="F540" s="4">
        <v>7706.0126953125</v>
      </c>
      <c r="G540" s="1">
        <v>106115600</v>
      </c>
      <c r="H540" s="2" t="str">
        <f t="shared" si="8"/>
        <v>Naik</v>
      </c>
    </row>
    <row r="541" spans="1:8" x14ac:dyDescent="0.2">
      <c r="A541" s="1">
        <v>540</v>
      </c>
      <c r="B541" s="3">
        <v>44993</v>
      </c>
      <c r="C541" s="4">
        <v>7683.1458864795904</v>
      </c>
      <c r="D541" s="4">
        <v>7843.21142578125</v>
      </c>
      <c r="E541" s="4">
        <v>7683.1458864795904</v>
      </c>
      <c r="F541" s="4">
        <v>7843.21142578125</v>
      </c>
      <c r="G541" s="1">
        <v>79350900</v>
      </c>
      <c r="H541" s="2" t="str">
        <f t="shared" si="8"/>
        <v>Naik</v>
      </c>
    </row>
    <row r="542" spans="1:8" x14ac:dyDescent="0.2">
      <c r="A542" s="1">
        <v>541</v>
      </c>
      <c r="B542" s="3">
        <v>44994</v>
      </c>
      <c r="C542" s="4">
        <v>7911.8109426248202</v>
      </c>
      <c r="D542" s="4">
        <v>7911.8109426248202</v>
      </c>
      <c r="E542" s="4">
        <v>7820.3449201667299</v>
      </c>
      <c r="F542" s="4">
        <v>7843.21142578125</v>
      </c>
      <c r="G542" s="1">
        <v>54201400</v>
      </c>
      <c r="H542" s="2" t="str">
        <f t="shared" si="8"/>
        <v>Stabil</v>
      </c>
    </row>
    <row r="543" spans="1:8" x14ac:dyDescent="0.2">
      <c r="A543" s="1">
        <v>542</v>
      </c>
      <c r="B543" s="3">
        <v>44995</v>
      </c>
      <c r="C543" s="4">
        <v>7774.6114263590998</v>
      </c>
      <c r="D543" s="4">
        <v>7820.3444347494496</v>
      </c>
      <c r="E543" s="4">
        <v>7728.87841796875</v>
      </c>
      <c r="F543" s="4">
        <v>7728.87841796875</v>
      </c>
      <c r="G543" s="1">
        <v>59580100</v>
      </c>
      <c r="H543" s="2" t="str">
        <f t="shared" si="8"/>
        <v>Turun</v>
      </c>
    </row>
    <row r="544" spans="1:8" x14ac:dyDescent="0.2">
      <c r="A544" s="1">
        <v>543</v>
      </c>
      <c r="B544" s="3">
        <v>44998</v>
      </c>
      <c r="C544" s="4">
        <v>7728.8782237984296</v>
      </c>
      <c r="D544" s="4">
        <v>7888.94374914337</v>
      </c>
      <c r="E544" s="4">
        <v>7728.8782237984296</v>
      </c>
      <c r="F544" s="4">
        <v>7820.34423828125</v>
      </c>
      <c r="G544" s="1">
        <v>82077700</v>
      </c>
      <c r="H544" s="2" t="str">
        <f t="shared" si="8"/>
        <v>Naik</v>
      </c>
    </row>
    <row r="545" spans="1:8" x14ac:dyDescent="0.2">
      <c r="A545" s="1">
        <v>544</v>
      </c>
      <c r="B545" s="3">
        <v>44999</v>
      </c>
      <c r="C545" s="4">
        <v>7706.0119152355501</v>
      </c>
      <c r="D545" s="4">
        <v>7751.7449236345701</v>
      </c>
      <c r="E545" s="4">
        <v>7614.5458984375</v>
      </c>
      <c r="F545" s="4">
        <v>7614.5458984375</v>
      </c>
      <c r="G545" s="1">
        <v>90495300</v>
      </c>
      <c r="H545" s="2" t="str">
        <f t="shared" si="8"/>
        <v>Turun</v>
      </c>
    </row>
    <row r="546" spans="1:8" x14ac:dyDescent="0.2">
      <c r="A546" s="1">
        <v>545</v>
      </c>
      <c r="B546" s="3">
        <v>45000</v>
      </c>
      <c r="C546" s="4">
        <v>7728.8784194350601</v>
      </c>
      <c r="D546" s="4">
        <v>7751.7449236345701</v>
      </c>
      <c r="E546" s="4">
        <v>7614.5458984375</v>
      </c>
      <c r="F546" s="4">
        <v>7614.5458984375</v>
      </c>
      <c r="G546" s="1">
        <v>86747400</v>
      </c>
      <c r="H546" s="2" t="str">
        <f t="shared" si="8"/>
        <v>Stabil</v>
      </c>
    </row>
    <row r="547" spans="1:8" x14ac:dyDescent="0.2">
      <c r="A547" s="1">
        <v>546</v>
      </c>
      <c r="B547" s="3">
        <v>45001</v>
      </c>
      <c r="C547" s="4">
        <v>7591.6796875</v>
      </c>
      <c r="D547" s="4">
        <v>7637.4126976656598</v>
      </c>
      <c r="E547" s="4">
        <v>7545.9466773343402</v>
      </c>
      <c r="F547" s="4">
        <v>7591.6796875</v>
      </c>
      <c r="G547" s="1">
        <v>105894000</v>
      </c>
      <c r="H547" s="2" t="str">
        <f t="shared" si="8"/>
        <v>Turun</v>
      </c>
    </row>
    <row r="548" spans="1:8" x14ac:dyDescent="0.2">
      <c r="A548" s="1">
        <v>547</v>
      </c>
      <c r="B548" s="3">
        <v>45002</v>
      </c>
      <c r="C548" s="4">
        <v>7660.279296875</v>
      </c>
      <c r="D548" s="4">
        <v>7728.8788129664199</v>
      </c>
      <c r="E548" s="4">
        <v>7614.5462861473898</v>
      </c>
      <c r="F548" s="4">
        <v>7660.279296875</v>
      </c>
      <c r="G548" s="1">
        <v>198558600</v>
      </c>
      <c r="H548" s="2" t="str">
        <f t="shared" si="8"/>
        <v>Naik</v>
      </c>
    </row>
    <row r="549" spans="1:8" x14ac:dyDescent="0.2">
      <c r="A549" s="1">
        <v>548</v>
      </c>
      <c r="B549" s="3">
        <v>45005</v>
      </c>
      <c r="C549" s="4">
        <v>7683.14599609375</v>
      </c>
      <c r="D549" s="4">
        <v>7751.7455139160202</v>
      </c>
      <c r="E549" s="4">
        <v>7660.2794901529996</v>
      </c>
      <c r="F549" s="4">
        <v>7683.14599609375</v>
      </c>
      <c r="G549" s="1">
        <v>37277900</v>
      </c>
      <c r="H549" s="2" t="str">
        <f t="shared" si="8"/>
        <v>Naik</v>
      </c>
    </row>
    <row r="550" spans="1:8" x14ac:dyDescent="0.2">
      <c r="A550" s="1">
        <v>549</v>
      </c>
      <c r="B550" s="3">
        <v>45006</v>
      </c>
      <c r="C550" s="4">
        <v>7683.1453124999998</v>
      </c>
      <c r="D550" s="4">
        <v>7774.611328125</v>
      </c>
      <c r="E550" s="4">
        <v>7660.27880859375</v>
      </c>
      <c r="F550" s="4">
        <v>7774.611328125</v>
      </c>
      <c r="G550" s="1">
        <v>91617400</v>
      </c>
      <c r="H550" s="2" t="str">
        <f t="shared" si="8"/>
        <v>Naik</v>
      </c>
    </row>
    <row r="551" spans="1:8" x14ac:dyDescent="0.2">
      <c r="A551" s="1">
        <v>550</v>
      </c>
      <c r="B551" s="3">
        <v>45009</v>
      </c>
      <c r="C551" s="4">
        <v>7957.5439370130998</v>
      </c>
      <c r="D551" s="4">
        <v>8071.87646484375</v>
      </c>
      <c r="E551" s="4">
        <v>7888.9444203147104</v>
      </c>
      <c r="F551" s="4">
        <v>8071.87646484375</v>
      </c>
      <c r="G551" s="1">
        <v>145603600</v>
      </c>
      <c r="H551" s="2" t="str">
        <f t="shared" si="8"/>
        <v>Naik</v>
      </c>
    </row>
    <row r="552" spans="1:8" x14ac:dyDescent="0.2">
      <c r="A552" s="1">
        <v>551</v>
      </c>
      <c r="B552" s="3">
        <v>45012</v>
      </c>
      <c r="C552" s="4">
        <v>8071.8769685591797</v>
      </c>
      <c r="D552" s="4">
        <v>8071.8769685591797</v>
      </c>
      <c r="E552" s="4">
        <v>7957.54443359375</v>
      </c>
      <c r="F552" s="4">
        <v>7957.54443359375</v>
      </c>
      <c r="G552" s="1">
        <v>110692800</v>
      </c>
      <c r="H552" s="2" t="str">
        <f t="shared" si="8"/>
        <v>Turun</v>
      </c>
    </row>
    <row r="553" spans="1:8" x14ac:dyDescent="0.2">
      <c r="A553" s="1">
        <v>552</v>
      </c>
      <c r="B553" s="3">
        <v>45013</v>
      </c>
      <c r="C553" s="4">
        <v>8049.0097712535999</v>
      </c>
      <c r="D553" s="4">
        <v>8049.0097712535999</v>
      </c>
      <c r="E553" s="4">
        <v>7934.67724609375</v>
      </c>
      <c r="F553" s="4">
        <v>7934.67724609375</v>
      </c>
      <c r="G553" s="1">
        <v>98296600</v>
      </c>
      <c r="H553" s="2" t="str">
        <f t="shared" si="8"/>
        <v>Turun</v>
      </c>
    </row>
    <row r="554" spans="1:8" x14ac:dyDescent="0.2">
      <c r="A554" s="1">
        <v>553</v>
      </c>
      <c r="B554" s="3">
        <v>45014</v>
      </c>
      <c r="C554" s="4">
        <v>8093.2776738947096</v>
      </c>
      <c r="D554" s="4">
        <v>8209.8955078125</v>
      </c>
      <c r="E554" s="4">
        <v>8046.6305403275901</v>
      </c>
      <c r="F554" s="4">
        <v>8209.8955078125</v>
      </c>
      <c r="G554" s="1">
        <v>101068200</v>
      </c>
      <c r="H554" s="2" t="str">
        <f t="shared" si="8"/>
        <v>Naik</v>
      </c>
    </row>
    <row r="555" spans="1:8" x14ac:dyDescent="0.2">
      <c r="A555" s="1">
        <v>554</v>
      </c>
      <c r="B555" s="3">
        <v>45015</v>
      </c>
      <c r="C555" s="4">
        <v>8303.1894475920708</v>
      </c>
      <c r="D555" s="4">
        <v>8303.1894475920708</v>
      </c>
      <c r="E555" s="4">
        <v>8209.8951841359794</v>
      </c>
      <c r="F555" s="4">
        <v>8233.21875</v>
      </c>
      <c r="G555" s="1">
        <v>118912100</v>
      </c>
      <c r="H555" s="2" t="str">
        <f t="shared" si="8"/>
        <v>Naik</v>
      </c>
    </row>
    <row r="556" spans="1:8" x14ac:dyDescent="0.2">
      <c r="A556" s="1">
        <v>555</v>
      </c>
      <c r="B556" s="3">
        <v>45016</v>
      </c>
      <c r="C556" s="4">
        <v>8233.2187444196406</v>
      </c>
      <c r="D556" s="4">
        <v>8256.5423102678596</v>
      </c>
      <c r="E556" s="4">
        <v>8139.9244810267901</v>
      </c>
      <c r="F556" s="4">
        <v>8163.248046875</v>
      </c>
      <c r="G556" s="1">
        <v>97146900</v>
      </c>
      <c r="H556" s="2" t="str">
        <f t="shared" si="8"/>
        <v>Turun</v>
      </c>
    </row>
    <row r="557" spans="1:8" x14ac:dyDescent="0.2">
      <c r="A557" s="1">
        <v>556</v>
      </c>
      <c r="B557" s="3">
        <v>45019</v>
      </c>
      <c r="C557" s="4">
        <v>8233.2190745960597</v>
      </c>
      <c r="D557" s="4">
        <v>8233.2190745960597</v>
      </c>
      <c r="E557" s="4">
        <v>8163.2483742453796</v>
      </c>
      <c r="F557" s="4">
        <v>8209.8955078125</v>
      </c>
      <c r="G557" s="1">
        <v>60288900</v>
      </c>
      <c r="H557" s="2" t="str">
        <f t="shared" si="8"/>
        <v>Naik</v>
      </c>
    </row>
    <row r="558" spans="1:8" x14ac:dyDescent="0.2">
      <c r="A558" s="1">
        <v>557</v>
      </c>
      <c r="B558" s="3">
        <v>45020</v>
      </c>
      <c r="C558" s="4">
        <v>8233.2194010416697</v>
      </c>
      <c r="D558" s="4">
        <v>8233.2194010416697</v>
      </c>
      <c r="E558" s="4">
        <v>8069.9544270833303</v>
      </c>
      <c r="F558" s="4">
        <v>8186.572265625</v>
      </c>
      <c r="G558" s="1">
        <v>60975800</v>
      </c>
      <c r="H558" s="2" t="str">
        <f t="shared" si="8"/>
        <v>Turun</v>
      </c>
    </row>
    <row r="559" spans="1:8" x14ac:dyDescent="0.2">
      <c r="A559" s="1">
        <v>558</v>
      </c>
      <c r="B559" s="3">
        <v>45021</v>
      </c>
      <c r="C559" s="4">
        <v>8186.5714471593001</v>
      </c>
      <c r="D559" s="4">
        <v>8209.8950125358206</v>
      </c>
      <c r="E559" s="4">
        <v>8139.92431640625</v>
      </c>
      <c r="F559" s="4">
        <v>8139.92431640625</v>
      </c>
      <c r="G559" s="1">
        <v>36922100</v>
      </c>
      <c r="H559" s="2" t="str">
        <f t="shared" si="8"/>
        <v>Turun</v>
      </c>
    </row>
    <row r="560" spans="1:8" x14ac:dyDescent="0.2">
      <c r="A560" s="1">
        <v>559</v>
      </c>
      <c r="B560" s="3">
        <v>45022</v>
      </c>
      <c r="C560" s="4">
        <v>8116.6009151785702</v>
      </c>
      <c r="D560" s="4">
        <v>8186.5716127232099</v>
      </c>
      <c r="E560" s="4">
        <v>8116.6009151785702</v>
      </c>
      <c r="F560" s="4">
        <v>8163.248046875</v>
      </c>
      <c r="G560" s="1">
        <v>45489400</v>
      </c>
      <c r="H560" s="2" t="str">
        <f t="shared" si="8"/>
        <v>Naik</v>
      </c>
    </row>
    <row r="561" spans="1:8" x14ac:dyDescent="0.2">
      <c r="A561" s="1">
        <v>560</v>
      </c>
      <c r="B561" s="3">
        <v>45026</v>
      </c>
      <c r="C561" s="4">
        <v>8139.9248074618299</v>
      </c>
      <c r="D561" s="4">
        <v>8209.8955078125</v>
      </c>
      <c r="E561" s="4">
        <v>8116.6012406782702</v>
      </c>
      <c r="F561" s="4">
        <v>8209.8955078125</v>
      </c>
      <c r="G561" s="1">
        <v>32996000</v>
      </c>
      <c r="H561" s="2" t="str">
        <f t="shared" si="8"/>
        <v>Naik</v>
      </c>
    </row>
    <row r="562" spans="1:8" x14ac:dyDescent="0.2">
      <c r="A562" s="1">
        <v>561</v>
      </c>
      <c r="B562" s="3">
        <v>45027</v>
      </c>
      <c r="C562" s="4">
        <v>8233.21875</v>
      </c>
      <c r="D562" s="4">
        <v>8233.21875</v>
      </c>
      <c r="E562" s="4">
        <v>8163.2480524079301</v>
      </c>
      <c r="F562" s="4">
        <v>8233.21875</v>
      </c>
      <c r="G562" s="1">
        <v>44554300</v>
      </c>
      <c r="H562" s="2" t="str">
        <f t="shared" si="8"/>
        <v>Naik</v>
      </c>
    </row>
    <row r="563" spans="1:8" x14ac:dyDescent="0.2">
      <c r="A563" s="1">
        <v>562</v>
      </c>
      <c r="B563" s="3">
        <v>45028</v>
      </c>
      <c r="C563" s="4">
        <v>8303.1884765625</v>
      </c>
      <c r="D563" s="4">
        <v>8303.1884765625</v>
      </c>
      <c r="E563" s="4">
        <v>8233.2177871532695</v>
      </c>
      <c r="F563" s="4">
        <v>8303.1884765625</v>
      </c>
      <c r="G563" s="1">
        <v>91903600</v>
      </c>
      <c r="H563" s="2" t="str">
        <f t="shared" si="8"/>
        <v>Naik</v>
      </c>
    </row>
    <row r="564" spans="1:8" x14ac:dyDescent="0.2">
      <c r="A564" s="1">
        <v>563</v>
      </c>
      <c r="B564" s="3">
        <v>45029</v>
      </c>
      <c r="C564" s="4">
        <v>8349.8372395833303</v>
      </c>
      <c r="D564" s="4">
        <v>8349.8372395833303</v>
      </c>
      <c r="E564" s="4">
        <v>8279.8665364583303</v>
      </c>
      <c r="F564" s="4">
        <v>8326.513671875</v>
      </c>
      <c r="G564" s="1">
        <v>51726500</v>
      </c>
      <c r="H564" s="2" t="str">
        <f t="shared" si="8"/>
        <v>Naik</v>
      </c>
    </row>
    <row r="565" spans="1:8" x14ac:dyDescent="0.2">
      <c r="A565" s="1">
        <v>564</v>
      </c>
      <c r="B565" s="3">
        <v>45030</v>
      </c>
      <c r="C565" s="4">
        <v>8396.484375</v>
      </c>
      <c r="D565" s="4">
        <v>8396.484375</v>
      </c>
      <c r="E565" s="4">
        <v>8349.8372395833303</v>
      </c>
      <c r="F565" s="4">
        <v>8396.484375</v>
      </c>
      <c r="G565" s="1">
        <v>110354200</v>
      </c>
      <c r="H565" s="2" t="str">
        <f t="shared" si="8"/>
        <v>Naik</v>
      </c>
    </row>
    <row r="566" spans="1:8" x14ac:dyDescent="0.2">
      <c r="A566" s="1">
        <v>565</v>
      </c>
      <c r="B566" s="3">
        <v>45033</v>
      </c>
      <c r="C566" s="4">
        <v>8419.8076171875</v>
      </c>
      <c r="D566" s="4">
        <v>8443.13118399411</v>
      </c>
      <c r="E566" s="4">
        <v>8303.1897831544302</v>
      </c>
      <c r="F566" s="4">
        <v>8419.8076171875</v>
      </c>
      <c r="G566" s="1">
        <v>83946900</v>
      </c>
      <c r="H566" s="2" t="str">
        <f t="shared" si="8"/>
        <v>Naik</v>
      </c>
    </row>
    <row r="567" spans="1:8" x14ac:dyDescent="0.2">
      <c r="A567" s="1">
        <v>566</v>
      </c>
      <c r="B567" s="3">
        <v>45034</v>
      </c>
      <c r="C567" s="4">
        <v>8443.1298961900702</v>
      </c>
      <c r="D567" s="4">
        <v>8559.7477124357902</v>
      </c>
      <c r="E567" s="4">
        <v>8419.8063329409306</v>
      </c>
      <c r="F567" s="4">
        <v>8513.1005859375</v>
      </c>
      <c r="G567" s="1">
        <v>91178700</v>
      </c>
      <c r="H567" s="2" t="str">
        <f t="shared" si="8"/>
        <v>Naik</v>
      </c>
    </row>
    <row r="568" spans="1:8" x14ac:dyDescent="0.2">
      <c r="A568" s="1">
        <v>567</v>
      </c>
      <c r="B568" s="3">
        <v>45042</v>
      </c>
      <c r="C568" s="4">
        <v>8513.1025364088</v>
      </c>
      <c r="D568" s="4">
        <v>8583.0732421875</v>
      </c>
      <c r="E568" s="4">
        <v>8396.4846934442903</v>
      </c>
      <c r="F568" s="4">
        <v>8583.0732421875</v>
      </c>
      <c r="G568" s="1">
        <v>186928200</v>
      </c>
      <c r="H568" s="2" t="str">
        <f t="shared" si="8"/>
        <v>Naik</v>
      </c>
    </row>
    <row r="569" spans="1:8" x14ac:dyDescent="0.2">
      <c r="A569" s="1">
        <v>568</v>
      </c>
      <c r="B569" s="3">
        <v>45043</v>
      </c>
      <c r="C569" s="4">
        <v>8489.7786458333303</v>
      </c>
      <c r="D569" s="4">
        <v>8559.7493489583303</v>
      </c>
      <c r="E569" s="4">
        <v>8466.455078125</v>
      </c>
      <c r="F569" s="4">
        <v>8536.42578125</v>
      </c>
      <c r="G569" s="1">
        <v>54842400</v>
      </c>
      <c r="H569" s="2" t="str">
        <f t="shared" si="8"/>
        <v>Turun</v>
      </c>
    </row>
    <row r="570" spans="1:8" x14ac:dyDescent="0.2">
      <c r="A570" s="1">
        <v>569</v>
      </c>
      <c r="B570" s="3">
        <v>45044</v>
      </c>
      <c r="C570" s="4">
        <v>8489.7779911947491</v>
      </c>
      <c r="D570" s="4">
        <v>8513.10155710463</v>
      </c>
      <c r="E570" s="4">
        <v>8443.130859375</v>
      </c>
      <c r="F570" s="4">
        <v>8443.130859375</v>
      </c>
      <c r="G570" s="1">
        <v>145775300</v>
      </c>
      <c r="H570" s="2" t="str">
        <f t="shared" si="8"/>
        <v>Turun</v>
      </c>
    </row>
    <row r="571" spans="1:8" x14ac:dyDescent="0.2">
      <c r="A571" s="1">
        <v>570</v>
      </c>
      <c r="B571" s="3">
        <v>45048</v>
      </c>
      <c r="C571" s="4">
        <v>8489.7779911947491</v>
      </c>
      <c r="D571" s="4">
        <v>8489.7779911947491</v>
      </c>
      <c r="E571" s="4">
        <v>8303.1894639157508</v>
      </c>
      <c r="F571" s="4">
        <v>8443.130859375</v>
      </c>
      <c r="G571" s="1">
        <v>83645900</v>
      </c>
      <c r="H571" s="2" t="str">
        <f t="shared" si="8"/>
        <v>Stabil</v>
      </c>
    </row>
    <row r="572" spans="1:8" x14ac:dyDescent="0.2">
      <c r="A572" s="1">
        <v>571</v>
      </c>
      <c r="B572" s="3">
        <v>45049</v>
      </c>
      <c r="C572" s="4">
        <v>8443.1315104166697</v>
      </c>
      <c r="D572" s="4">
        <v>8443.1315104166697</v>
      </c>
      <c r="E572" s="4">
        <v>8279.8665364583303</v>
      </c>
      <c r="F572" s="4">
        <v>8326.513671875</v>
      </c>
      <c r="G572" s="1">
        <v>83728800</v>
      </c>
      <c r="H572" s="2" t="str">
        <f t="shared" si="8"/>
        <v>Turun</v>
      </c>
    </row>
    <row r="573" spans="1:8" x14ac:dyDescent="0.2">
      <c r="A573" s="1">
        <v>572</v>
      </c>
      <c r="B573" s="3">
        <v>45050</v>
      </c>
      <c r="C573" s="4">
        <v>8326.513671875</v>
      </c>
      <c r="D573" s="4">
        <v>8419.8079427083303</v>
      </c>
      <c r="E573" s="4">
        <v>8279.8665364583303</v>
      </c>
      <c r="F573" s="4">
        <v>8396.484375</v>
      </c>
      <c r="G573" s="1">
        <v>67565000</v>
      </c>
      <c r="H573" s="2" t="str">
        <f t="shared" si="8"/>
        <v>Naik</v>
      </c>
    </row>
    <row r="574" spans="1:8" x14ac:dyDescent="0.2">
      <c r="A574" s="1">
        <v>573</v>
      </c>
      <c r="B574" s="3">
        <v>45051</v>
      </c>
      <c r="C574" s="4">
        <v>8396.484375</v>
      </c>
      <c r="D574" s="4">
        <v>8443.1315104166697</v>
      </c>
      <c r="E574" s="4">
        <v>8349.8372395833303</v>
      </c>
      <c r="F574" s="4">
        <v>8396.484375</v>
      </c>
      <c r="G574" s="1">
        <v>64815100</v>
      </c>
      <c r="H574" s="2" t="str">
        <f t="shared" si="8"/>
        <v>Stabil</v>
      </c>
    </row>
    <row r="575" spans="1:8" x14ac:dyDescent="0.2">
      <c r="A575" s="1">
        <v>574</v>
      </c>
      <c r="B575" s="3">
        <v>45054</v>
      </c>
      <c r="C575" s="4">
        <v>8396.484375</v>
      </c>
      <c r="D575" s="4">
        <v>8466.455078125</v>
      </c>
      <c r="E575" s="4">
        <v>8349.8372395833303</v>
      </c>
      <c r="F575" s="4">
        <v>8396.484375</v>
      </c>
      <c r="G575" s="1">
        <v>84754500</v>
      </c>
      <c r="H575" s="2" t="str">
        <f t="shared" si="8"/>
        <v>Stabil</v>
      </c>
    </row>
    <row r="576" spans="1:8" x14ac:dyDescent="0.2">
      <c r="A576" s="1">
        <v>575</v>
      </c>
      <c r="B576" s="3">
        <v>45055</v>
      </c>
      <c r="C576" s="4">
        <v>8349.8372395833303</v>
      </c>
      <c r="D576" s="4">
        <v>8373.1608072916697</v>
      </c>
      <c r="E576" s="4">
        <v>8303.1901041666697</v>
      </c>
      <c r="F576" s="4">
        <v>8326.513671875</v>
      </c>
      <c r="G576" s="1">
        <v>40929600</v>
      </c>
      <c r="H576" s="2" t="str">
        <f t="shared" si="8"/>
        <v>Turun</v>
      </c>
    </row>
    <row r="577" spans="1:8" x14ac:dyDescent="0.2">
      <c r="A577" s="1">
        <v>576</v>
      </c>
      <c r="B577" s="3">
        <v>45056</v>
      </c>
      <c r="C577" s="4">
        <v>8326.513671875</v>
      </c>
      <c r="D577" s="4">
        <v>8349.8372395833303</v>
      </c>
      <c r="E577" s="4">
        <v>8303.1901041666697</v>
      </c>
      <c r="F577" s="4">
        <v>8326.513671875</v>
      </c>
      <c r="G577" s="1">
        <v>45322600</v>
      </c>
      <c r="H577" s="2" t="str">
        <f t="shared" si="8"/>
        <v>Stabil</v>
      </c>
    </row>
    <row r="578" spans="1:8" x14ac:dyDescent="0.2">
      <c r="A578" s="1">
        <v>577</v>
      </c>
      <c r="B578" s="3">
        <v>45057</v>
      </c>
      <c r="C578" s="4">
        <v>8303.1894475920708</v>
      </c>
      <c r="D578" s="4">
        <v>8303.1894475920708</v>
      </c>
      <c r="E578" s="4">
        <v>8209.8951841359794</v>
      </c>
      <c r="F578" s="4">
        <v>8233.21875</v>
      </c>
      <c r="G578" s="1">
        <v>81993900</v>
      </c>
      <c r="H578" s="2" t="str">
        <f t="shared" si="8"/>
        <v>Turun</v>
      </c>
    </row>
    <row r="579" spans="1:8" x14ac:dyDescent="0.2">
      <c r="A579" s="1">
        <v>578</v>
      </c>
      <c r="B579" s="3">
        <v>45058</v>
      </c>
      <c r="C579" s="4">
        <v>8163.2483742453796</v>
      </c>
      <c r="D579" s="4">
        <v>8279.8662081631792</v>
      </c>
      <c r="E579" s="4">
        <v>8139.9248074618299</v>
      </c>
      <c r="F579" s="4">
        <v>8209.8955078125</v>
      </c>
      <c r="G579" s="1">
        <v>96525600</v>
      </c>
      <c r="H579" s="2" t="str">
        <f t="shared" si="8"/>
        <v>Turun</v>
      </c>
    </row>
    <row r="580" spans="1:8" x14ac:dyDescent="0.2">
      <c r="A580" s="1">
        <v>579</v>
      </c>
      <c r="B580" s="3">
        <v>45061</v>
      </c>
      <c r="C580" s="4">
        <v>8279.8665364583303</v>
      </c>
      <c r="D580" s="4">
        <v>8279.8665364583303</v>
      </c>
      <c r="E580" s="4">
        <v>8139.9251302083303</v>
      </c>
      <c r="F580" s="4">
        <v>8186.572265625</v>
      </c>
      <c r="G580" s="1">
        <v>64830300</v>
      </c>
      <c r="H580" s="2" t="str">
        <f t="shared" ref="H580:H643" si="9">IF(F580&gt;F579,"Naik",IF(F580&lt;F579,"Turun","Stabil"))</f>
        <v>Turun</v>
      </c>
    </row>
    <row r="581" spans="1:8" x14ac:dyDescent="0.2">
      <c r="A581" s="1">
        <v>580</v>
      </c>
      <c r="B581" s="3">
        <v>45062</v>
      </c>
      <c r="C581" s="4">
        <v>8209.8958333333303</v>
      </c>
      <c r="D581" s="4">
        <v>8233.2194010416697</v>
      </c>
      <c r="E581" s="4">
        <v>8116.6015625</v>
      </c>
      <c r="F581" s="4">
        <v>8116.6015625</v>
      </c>
      <c r="G581" s="1">
        <v>49497000</v>
      </c>
      <c r="H581" s="2" t="str">
        <f t="shared" si="9"/>
        <v>Turun</v>
      </c>
    </row>
    <row r="582" spans="1:8" x14ac:dyDescent="0.2">
      <c r="A582" s="1">
        <v>581</v>
      </c>
      <c r="B582" s="3">
        <v>45063</v>
      </c>
      <c r="C582" s="4">
        <v>8186.572265625</v>
      </c>
      <c r="D582" s="4">
        <v>8256.54296875</v>
      </c>
      <c r="E582" s="4">
        <v>8163.2486979166697</v>
      </c>
      <c r="F582" s="4">
        <v>8186.572265625</v>
      </c>
      <c r="G582" s="1">
        <v>69996100</v>
      </c>
      <c r="H582" s="2" t="str">
        <f t="shared" si="9"/>
        <v>Naik</v>
      </c>
    </row>
    <row r="583" spans="1:8" x14ac:dyDescent="0.2">
      <c r="A583" s="1">
        <v>582</v>
      </c>
      <c r="B583" s="3">
        <v>45065</v>
      </c>
      <c r="C583" s="4">
        <v>8303.1901041666697</v>
      </c>
      <c r="D583" s="4">
        <v>8396.484375</v>
      </c>
      <c r="E583" s="4">
        <v>8233.2194010416697</v>
      </c>
      <c r="F583" s="4">
        <v>8396.484375</v>
      </c>
      <c r="G583" s="1">
        <v>123592500</v>
      </c>
      <c r="H583" s="2" t="str">
        <f t="shared" si="9"/>
        <v>Naik</v>
      </c>
    </row>
    <row r="584" spans="1:8" x14ac:dyDescent="0.2">
      <c r="A584" s="1">
        <v>583</v>
      </c>
      <c r="B584" s="3">
        <v>45068</v>
      </c>
      <c r="C584" s="4">
        <v>8396.484375</v>
      </c>
      <c r="D584" s="4">
        <v>8466.455078125</v>
      </c>
      <c r="E584" s="4">
        <v>8326.513671875</v>
      </c>
      <c r="F584" s="4">
        <v>8396.484375</v>
      </c>
      <c r="G584" s="1">
        <v>91000000</v>
      </c>
      <c r="H584" s="2" t="str">
        <f t="shared" si="9"/>
        <v>Stabil</v>
      </c>
    </row>
    <row r="585" spans="1:8" x14ac:dyDescent="0.2">
      <c r="A585" s="1">
        <v>584</v>
      </c>
      <c r="B585" s="3">
        <v>45069</v>
      </c>
      <c r="C585" s="4">
        <v>8443.1298961900702</v>
      </c>
      <c r="D585" s="4">
        <v>8536.4241491866396</v>
      </c>
      <c r="E585" s="4">
        <v>8419.8063329409306</v>
      </c>
      <c r="F585" s="4">
        <v>8513.1005859375</v>
      </c>
      <c r="G585" s="1">
        <v>102980500</v>
      </c>
      <c r="H585" s="2" t="str">
        <f t="shared" si="9"/>
        <v>Naik</v>
      </c>
    </row>
    <row r="586" spans="1:8" x14ac:dyDescent="0.2">
      <c r="A586" s="1">
        <v>585</v>
      </c>
      <c r="B586" s="3">
        <v>45070</v>
      </c>
      <c r="C586" s="4">
        <v>8583.0725848338006</v>
      </c>
      <c r="D586" s="4">
        <v>8583.0725848338006</v>
      </c>
      <c r="E586" s="4">
        <v>8419.8076171875</v>
      </c>
      <c r="F586" s="4">
        <v>8419.8076171875</v>
      </c>
      <c r="G586" s="1">
        <v>77392900</v>
      </c>
      <c r="H586" s="2" t="str">
        <f t="shared" si="9"/>
        <v>Turun</v>
      </c>
    </row>
    <row r="587" spans="1:8" x14ac:dyDescent="0.2">
      <c r="A587" s="1">
        <v>586</v>
      </c>
      <c r="B587" s="3">
        <v>45071</v>
      </c>
      <c r="C587" s="4">
        <v>8489.7779911947491</v>
      </c>
      <c r="D587" s="4">
        <v>8536.4251230145001</v>
      </c>
      <c r="E587" s="4">
        <v>8443.130859375</v>
      </c>
      <c r="F587" s="4">
        <v>8443.130859375</v>
      </c>
      <c r="G587" s="1">
        <v>76325700</v>
      </c>
      <c r="H587" s="2" t="str">
        <f t="shared" si="9"/>
        <v>Naik</v>
      </c>
    </row>
    <row r="588" spans="1:8" x14ac:dyDescent="0.2">
      <c r="A588" s="1">
        <v>587</v>
      </c>
      <c r="B588" s="3">
        <v>45072</v>
      </c>
      <c r="C588" s="4">
        <v>8559.7493489583303</v>
      </c>
      <c r="D588" s="4">
        <v>8583.0729166666697</v>
      </c>
      <c r="E588" s="4">
        <v>8489.7786458333303</v>
      </c>
      <c r="F588" s="4">
        <v>8536.42578125</v>
      </c>
      <c r="G588" s="1">
        <v>55675900</v>
      </c>
      <c r="H588" s="2" t="str">
        <f t="shared" si="9"/>
        <v>Naik</v>
      </c>
    </row>
    <row r="589" spans="1:8" x14ac:dyDescent="0.2">
      <c r="A589" s="1">
        <v>588</v>
      </c>
      <c r="B589" s="3">
        <v>45075</v>
      </c>
      <c r="C589" s="4">
        <v>8629.7200520833303</v>
      </c>
      <c r="D589" s="4">
        <v>8629.7200520833303</v>
      </c>
      <c r="E589" s="4">
        <v>8466.455078125</v>
      </c>
      <c r="F589" s="4">
        <v>8536.42578125</v>
      </c>
      <c r="G589" s="1">
        <v>79148200</v>
      </c>
      <c r="H589" s="2" t="str">
        <f t="shared" si="9"/>
        <v>Stabil</v>
      </c>
    </row>
    <row r="590" spans="1:8" x14ac:dyDescent="0.2">
      <c r="A590" s="1">
        <v>589</v>
      </c>
      <c r="B590" s="3">
        <v>45076</v>
      </c>
      <c r="C590" s="4">
        <v>8583.0725929054097</v>
      </c>
      <c r="D590" s="4">
        <v>8699.6904270481391</v>
      </c>
      <c r="E590" s="4">
        <v>8536.4254592483103</v>
      </c>
      <c r="F590" s="4">
        <v>8629.7197265625</v>
      </c>
      <c r="G590" s="1">
        <v>97189500</v>
      </c>
      <c r="H590" s="2" t="str">
        <f t="shared" si="9"/>
        <v>Naik</v>
      </c>
    </row>
    <row r="591" spans="1:8" x14ac:dyDescent="0.2">
      <c r="A591" s="1">
        <v>590</v>
      </c>
      <c r="B591" s="3">
        <v>45077</v>
      </c>
      <c r="C591" s="4">
        <v>8676.3665184737602</v>
      </c>
      <c r="D591" s="4">
        <v>8699.6900843836302</v>
      </c>
      <c r="E591" s="4">
        <v>8443.130859375</v>
      </c>
      <c r="F591" s="4">
        <v>8443.130859375</v>
      </c>
      <c r="G591" s="1">
        <v>722827900</v>
      </c>
      <c r="H591" s="2" t="str">
        <f t="shared" si="9"/>
        <v>Turun</v>
      </c>
    </row>
    <row r="592" spans="1:8" x14ac:dyDescent="0.2">
      <c r="A592" s="1">
        <v>591</v>
      </c>
      <c r="B592" s="3">
        <v>45082</v>
      </c>
      <c r="C592" s="4">
        <v>8536.4261050016994</v>
      </c>
      <c r="D592" s="4">
        <v>8699.6910851520006</v>
      </c>
      <c r="E592" s="4">
        <v>8489.7789678159006</v>
      </c>
      <c r="F592" s="4">
        <v>8583.0732421875</v>
      </c>
      <c r="G592" s="1">
        <v>163535600</v>
      </c>
      <c r="H592" s="2" t="str">
        <f t="shared" si="9"/>
        <v>Naik</v>
      </c>
    </row>
    <row r="593" spans="1:8" x14ac:dyDescent="0.2">
      <c r="A593" s="1">
        <v>592</v>
      </c>
      <c r="B593" s="3">
        <v>45083</v>
      </c>
      <c r="C593" s="4">
        <v>8443.1315104166697</v>
      </c>
      <c r="D593" s="4">
        <v>8583.0729166666697</v>
      </c>
      <c r="E593" s="4">
        <v>8443.1315104166697</v>
      </c>
      <c r="F593" s="4">
        <v>8536.42578125</v>
      </c>
      <c r="G593" s="1">
        <v>74872200</v>
      </c>
      <c r="H593" s="2" t="str">
        <f t="shared" si="9"/>
        <v>Turun</v>
      </c>
    </row>
    <row r="594" spans="1:8" x14ac:dyDescent="0.2">
      <c r="A594" s="1">
        <v>593</v>
      </c>
      <c r="B594" s="3">
        <v>45084</v>
      </c>
      <c r="C594" s="4">
        <v>8513.1028663719098</v>
      </c>
      <c r="D594" s="4">
        <v>8559.7500053657295</v>
      </c>
      <c r="E594" s="4">
        <v>8466.4557273780902</v>
      </c>
      <c r="F594" s="4">
        <v>8489.779296875</v>
      </c>
      <c r="G594" s="1">
        <v>87492200</v>
      </c>
      <c r="H594" s="2" t="str">
        <f t="shared" si="9"/>
        <v>Turun</v>
      </c>
    </row>
    <row r="595" spans="1:8" x14ac:dyDescent="0.2">
      <c r="A595" s="1">
        <v>594</v>
      </c>
      <c r="B595" s="3">
        <v>45085</v>
      </c>
      <c r="C595" s="4">
        <v>8466.4534594392098</v>
      </c>
      <c r="D595" s="4">
        <v>8513.1005859375</v>
      </c>
      <c r="E595" s="4">
        <v>8466.4534594392098</v>
      </c>
      <c r="F595" s="4">
        <v>8513.1005859375</v>
      </c>
      <c r="G595" s="1">
        <v>53188400</v>
      </c>
      <c r="H595" s="2" t="str">
        <f t="shared" si="9"/>
        <v>Naik</v>
      </c>
    </row>
    <row r="596" spans="1:8" x14ac:dyDescent="0.2">
      <c r="A596" s="1">
        <v>595</v>
      </c>
      <c r="B596" s="3">
        <v>45086</v>
      </c>
      <c r="C596" s="4">
        <v>8559.7500053657295</v>
      </c>
      <c r="D596" s="4">
        <v>8559.7500053657295</v>
      </c>
      <c r="E596" s="4">
        <v>8489.779296875</v>
      </c>
      <c r="F596" s="4">
        <v>8489.779296875</v>
      </c>
      <c r="G596" s="1">
        <v>44632400</v>
      </c>
      <c r="H596" s="2" t="str">
        <f t="shared" si="9"/>
        <v>Turun</v>
      </c>
    </row>
    <row r="597" spans="1:8" x14ac:dyDescent="0.2">
      <c r="A597" s="1">
        <v>596</v>
      </c>
      <c r="B597" s="3">
        <v>45089</v>
      </c>
      <c r="C597" s="4">
        <v>8536.42578125</v>
      </c>
      <c r="D597" s="4">
        <v>8536.42578125</v>
      </c>
      <c r="E597" s="4">
        <v>8489.7786458333303</v>
      </c>
      <c r="F597" s="4">
        <v>8536.42578125</v>
      </c>
      <c r="G597" s="1">
        <v>38082300</v>
      </c>
      <c r="H597" s="2" t="str">
        <f t="shared" si="9"/>
        <v>Naik</v>
      </c>
    </row>
    <row r="598" spans="1:8" x14ac:dyDescent="0.2">
      <c r="A598" s="1">
        <v>597</v>
      </c>
      <c r="B598" s="3">
        <v>45090</v>
      </c>
      <c r="C598" s="4">
        <v>8559.7493489583303</v>
      </c>
      <c r="D598" s="4">
        <v>8559.7493489583303</v>
      </c>
      <c r="E598" s="4">
        <v>8489.7786458333303</v>
      </c>
      <c r="F598" s="4">
        <v>8536.42578125</v>
      </c>
      <c r="G598" s="1">
        <v>45552600</v>
      </c>
      <c r="H598" s="2" t="str">
        <f t="shared" si="9"/>
        <v>Stabil</v>
      </c>
    </row>
    <row r="599" spans="1:8" x14ac:dyDescent="0.2">
      <c r="A599" s="1">
        <v>598</v>
      </c>
      <c r="B599" s="3">
        <v>45091</v>
      </c>
      <c r="C599" s="4">
        <v>8489.7776665805795</v>
      </c>
      <c r="D599" s="4">
        <v>8513.1012315986609</v>
      </c>
      <c r="E599" s="4">
        <v>8443.1305365444205</v>
      </c>
      <c r="F599" s="4">
        <v>8466.4541015625</v>
      </c>
      <c r="G599" s="1">
        <v>72223700</v>
      </c>
      <c r="H599" s="2" t="str">
        <f t="shared" si="9"/>
        <v>Turun</v>
      </c>
    </row>
    <row r="600" spans="1:8" x14ac:dyDescent="0.2">
      <c r="A600" s="1">
        <v>599</v>
      </c>
      <c r="B600" s="3">
        <v>45092</v>
      </c>
      <c r="C600" s="4">
        <v>8489.7779911947491</v>
      </c>
      <c r="D600" s="4">
        <v>8489.7779911947491</v>
      </c>
      <c r="E600" s="4">
        <v>8443.130859375</v>
      </c>
      <c r="F600" s="4">
        <v>8443.130859375</v>
      </c>
      <c r="G600" s="1">
        <v>59073000</v>
      </c>
      <c r="H600" s="2" t="str">
        <f t="shared" si="9"/>
        <v>Turun</v>
      </c>
    </row>
    <row r="601" spans="1:8" x14ac:dyDescent="0.2">
      <c r="A601" s="1">
        <v>600</v>
      </c>
      <c r="B601" s="3">
        <v>45093</v>
      </c>
      <c r="C601" s="4">
        <v>8489.7779911947491</v>
      </c>
      <c r="D601" s="4">
        <v>8489.7779911947491</v>
      </c>
      <c r="E601" s="4">
        <v>8373.16016164537</v>
      </c>
      <c r="F601" s="4">
        <v>8443.130859375</v>
      </c>
      <c r="G601" s="1">
        <v>112769400</v>
      </c>
      <c r="H601" s="2" t="str">
        <f t="shared" si="9"/>
        <v>Stabil</v>
      </c>
    </row>
    <row r="602" spans="1:8" x14ac:dyDescent="0.2">
      <c r="A602" s="1">
        <v>601</v>
      </c>
      <c r="B602" s="3">
        <v>45096</v>
      </c>
      <c r="C602" s="4">
        <v>8396.484375</v>
      </c>
      <c r="D602" s="4">
        <v>8443.1315104166697</v>
      </c>
      <c r="E602" s="4">
        <v>8396.484375</v>
      </c>
      <c r="F602" s="4">
        <v>8396.484375</v>
      </c>
      <c r="G602" s="1">
        <v>32330600</v>
      </c>
      <c r="H602" s="2" t="str">
        <f t="shared" si="9"/>
        <v>Turun</v>
      </c>
    </row>
    <row r="603" spans="1:8" x14ac:dyDescent="0.2">
      <c r="A603" s="1">
        <v>602</v>
      </c>
      <c r="B603" s="3">
        <v>45097</v>
      </c>
      <c r="C603" s="4">
        <v>8419.80729346513</v>
      </c>
      <c r="D603" s="4">
        <v>8443.130859375</v>
      </c>
      <c r="E603" s="4">
        <v>8349.8365957354999</v>
      </c>
      <c r="F603" s="4">
        <v>8443.130859375</v>
      </c>
      <c r="G603" s="1">
        <v>54990100</v>
      </c>
      <c r="H603" s="2" t="str">
        <f t="shared" si="9"/>
        <v>Naik</v>
      </c>
    </row>
    <row r="604" spans="1:8" x14ac:dyDescent="0.2">
      <c r="A604" s="1">
        <v>603</v>
      </c>
      <c r="B604" s="3">
        <v>45098</v>
      </c>
      <c r="C604" s="4">
        <v>8443.1298961900702</v>
      </c>
      <c r="D604" s="4">
        <v>8513.1005859375</v>
      </c>
      <c r="E604" s="4">
        <v>8396.48276969178</v>
      </c>
      <c r="F604" s="4">
        <v>8513.1005859375</v>
      </c>
      <c r="G604" s="1">
        <v>42676300</v>
      </c>
      <c r="H604" s="2" t="str">
        <f t="shared" si="9"/>
        <v>Naik</v>
      </c>
    </row>
    <row r="605" spans="1:8" x14ac:dyDescent="0.2">
      <c r="A605" s="1">
        <v>604</v>
      </c>
      <c r="B605" s="3">
        <v>45099</v>
      </c>
      <c r="C605" s="4">
        <v>8513.10155710463</v>
      </c>
      <c r="D605" s="4">
        <v>8536.4251230145001</v>
      </c>
      <c r="E605" s="4">
        <v>8443.130859375</v>
      </c>
      <c r="F605" s="4">
        <v>8443.130859375</v>
      </c>
      <c r="G605" s="1">
        <v>48291100</v>
      </c>
      <c r="H605" s="2" t="str">
        <f t="shared" si="9"/>
        <v>Turun</v>
      </c>
    </row>
    <row r="606" spans="1:8" x14ac:dyDescent="0.2">
      <c r="A606" s="1">
        <v>605</v>
      </c>
      <c r="B606" s="3">
        <v>45100</v>
      </c>
      <c r="C606" s="4">
        <v>8419.80729346513</v>
      </c>
      <c r="D606" s="4">
        <v>8536.4251230145001</v>
      </c>
      <c r="E606" s="4">
        <v>8419.80729346513</v>
      </c>
      <c r="F606" s="4">
        <v>8443.130859375</v>
      </c>
      <c r="G606" s="1">
        <v>47813500</v>
      </c>
      <c r="H606" s="2" t="str">
        <f t="shared" si="9"/>
        <v>Stabil</v>
      </c>
    </row>
    <row r="607" spans="1:8" x14ac:dyDescent="0.2">
      <c r="A607" s="1">
        <v>606</v>
      </c>
      <c r="B607" s="3">
        <v>45103</v>
      </c>
      <c r="C607" s="4">
        <v>8419.8069715263391</v>
      </c>
      <c r="D607" s="4">
        <v>8513.1012315986609</v>
      </c>
      <c r="E607" s="4">
        <v>8419.8069715263391</v>
      </c>
      <c r="F607" s="4">
        <v>8466.4541015625</v>
      </c>
      <c r="G607" s="1">
        <v>36389900</v>
      </c>
      <c r="H607" s="2" t="str">
        <f t="shared" si="9"/>
        <v>Naik</v>
      </c>
    </row>
    <row r="608" spans="1:8" x14ac:dyDescent="0.2">
      <c r="A608" s="1">
        <v>607</v>
      </c>
      <c r="B608" s="3">
        <v>45104</v>
      </c>
      <c r="C608" s="4">
        <v>8443.1315104166697</v>
      </c>
      <c r="D608" s="4">
        <v>8536.42578125</v>
      </c>
      <c r="E608" s="4">
        <v>8443.1315104166697</v>
      </c>
      <c r="F608" s="4">
        <v>8536.42578125</v>
      </c>
      <c r="G608" s="1">
        <v>36225100</v>
      </c>
      <c r="H608" s="2" t="str">
        <f t="shared" si="9"/>
        <v>Naik</v>
      </c>
    </row>
    <row r="609" spans="1:8" x14ac:dyDescent="0.2">
      <c r="A609" s="1">
        <v>608</v>
      </c>
      <c r="B609" s="3">
        <v>45110</v>
      </c>
      <c r="C609" s="4">
        <v>8419.8069715263391</v>
      </c>
      <c r="D609" s="4">
        <v>8466.4541015625</v>
      </c>
      <c r="E609" s="4">
        <v>8419.8069715263391</v>
      </c>
      <c r="F609" s="4">
        <v>8466.4541015625</v>
      </c>
      <c r="G609" s="1">
        <v>108855900</v>
      </c>
      <c r="H609" s="2" t="str">
        <f t="shared" si="9"/>
        <v>Turun</v>
      </c>
    </row>
    <row r="610" spans="1:8" x14ac:dyDescent="0.2">
      <c r="A610" s="1">
        <v>609</v>
      </c>
      <c r="B610" s="3">
        <v>45111</v>
      </c>
      <c r="C610" s="4">
        <v>8536.4251230145001</v>
      </c>
      <c r="D610" s="4">
        <v>8536.4251230145001</v>
      </c>
      <c r="E610" s="4">
        <v>8443.130859375</v>
      </c>
      <c r="F610" s="4">
        <v>8443.130859375</v>
      </c>
      <c r="G610" s="1">
        <v>35049300</v>
      </c>
      <c r="H610" s="2" t="str">
        <f t="shared" si="9"/>
        <v>Turun</v>
      </c>
    </row>
    <row r="611" spans="1:8" x14ac:dyDescent="0.2">
      <c r="A611" s="1">
        <v>610</v>
      </c>
      <c r="B611" s="3">
        <v>45112</v>
      </c>
      <c r="C611" s="4">
        <v>8443.130859375</v>
      </c>
      <c r="D611" s="4">
        <v>8466.4544252848791</v>
      </c>
      <c r="E611" s="4">
        <v>8419.80729346513</v>
      </c>
      <c r="F611" s="4">
        <v>8443.130859375</v>
      </c>
      <c r="G611" s="1">
        <v>44609200</v>
      </c>
      <c r="H611" s="2" t="str">
        <f t="shared" si="9"/>
        <v>Stabil</v>
      </c>
    </row>
    <row r="612" spans="1:8" x14ac:dyDescent="0.2">
      <c r="A612" s="1">
        <v>611</v>
      </c>
      <c r="B612" s="3">
        <v>45113</v>
      </c>
      <c r="C612" s="4">
        <v>8443.1305365444205</v>
      </c>
      <c r="D612" s="4">
        <v>8489.7776665805795</v>
      </c>
      <c r="E612" s="4">
        <v>8419.8069715263391</v>
      </c>
      <c r="F612" s="4">
        <v>8466.4541015625</v>
      </c>
      <c r="G612" s="1">
        <v>52532400</v>
      </c>
      <c r="H612" s="2" t="str">
        <f t="shared" si="9"/>
        <v>Naik</v>
      </c>
    </row>
    <row r="613" spans="1:8" x14ac:dyDescent="0.2">
      <c r="A613" s="1">
        <v>612</v>
      </c>
      <c r="B613" s="3">
        <v>45114</v>
      </c>
      <c r="C613" s="4">
        <v>8419.8076171875</v>
      </c>
      <c r="D613" s="4">
        <v>8489.7783176073408</v>
      </c>
      <c r="E613" s="4">
        <v>8419.8076171875</v>
      </c>
      <c r="F613" s="4">
        <v>8419.8076171875</v>
      </c>
      <c r="G613" s="1">
        <v>37641300</v>
      </c>
      <c r="H613" s="2" t="str">
        <f t="shared" si="9"/>
        <v>Turun</v>
      </c>
    </row>
    <row r="614" spans="1:8" x14ac:dyDescent="0.2">
      <c r="A614" s="1">
        <v>613</v>
      </c>
      <c r="B614" s="3">
        <v>45117</v>
      </c>
      <c r="C614" s="4">
        <v>8489.7779911947491</v>
      </c>
      <c r="D614" s="4">
        <v>8489.7779911947491</v>
      </c>
      <c r="E614" s="4">
        <v>8443.130859375</v>
      </c>
      <c r="F614" s="4">
        <v>8443.130859375</v>
      </c>
      <c r="G614" s="1">
        <v>28981500</v>
      </c>
      <c r="H614" s="2" t="str">
        <f t="shared" si="9"/>
        <v>Naik</v>
      </c>
    </row>
    <row r="615" spans="1:8" x14ac:dyDescent="0.2">
      <c r="A615" s="1">
        <v>614</v>
      </c>
      <c r="B615" s="3">
        <v>45118</v>
      </c>
      <c r="C615" s="4">
        <v>8489.7783176073408</v>
      </c>
      <c r="D615" s="4">
        <v>8489.7783176073408</v>
      </c>
      <c r="E615" s="4">
        <v>8419.8076171875</v>
      </c>
      <c r="F615" s="4">
        <v>8419.8076171875</v>
      </c>
      <c r="G615" s="1">
        <v>43703500</v>
      </c>
      <c r="H615" s="2" t="str">
        <f t="shared" si="9"/>
        <v>Turun</v>
      </c>
    </row>
    <row r="616" spans="1:8" x14ac:dyDescent="0.2">
      <c r="A616" s="1">
        <v>615</v>
      </c>
      <c r="B616" s="3">
        <v>45119</v>
      </c>
      <c r="C616" s="4">
        <v>8466.4537902333104</v>
      </c>
      <c r="D616" s="4">
        <v>8559.748046875</v>
      </c>
      <c r="E616" s="4">
        <v>8443.1302260728899</v>
      </c>
      <c r="F616" s="4">
        <v>8559.748046875</v>
      </c>
      <c r="G616" s="1">
        <v>61566500</v>
      </c>
      <c r="H616" s="2" t="str">
        <f t="shared" si="9"/>
        <v>Naik</v>
      </c>
    </row>
    <row r="617" spans="1:8" x14ac:dyDescent="0.2">
      <c r="A617" s="1">
        <v>616</v>
      </c>
      <c r="B617" s="3">
        <v>45120</v>
      </c>
      <c r="C617" s="4">
        <v>8583.0712756849298</v>
      </c>
      <c r="D617" s="4">
        <v>8606.3948389340803</v>
      </c>
      <c r="E617" s="4">
        <v>8513.1005859375</v>
      </c>
      <c r="F617" s="4">
        <v>8513.1005859375</v>
      </c>
      <c r="G617" s="1">
        <v>65230900</v>
      </c>
      <c r="H617" s="2" t="str">
        <f t="shared" si="9"/>
        <v>Turun</v>
      </c>
    </row>
    <row r="618" spans="1:8" x14ac:dyDescent="0.2">
      <c r="A618" s="1">
        <v>617</v>
      </c>
      <c r="B618" s="3">
        <v>45121</v>
      </c>
      <c r="C618" s="4">
        <v>8559.7496735946006</v>
      </c>
      <c r="D618" s="4">
        <v>8583.0732421875</v>
      </c>
      <c r="E618" s="4">
        <v>8513.1025364088</v>
      </c>
      <c r="F618" s="4">
        <v>8583.0732421875</v>
      </c>
      <c r="G618" s="1">
        <v>55554500</v>
      </c>
      <c r="H618" s="2" t="str">
        <f t="shared" si="9"/>
        <v>Naik</v>
      </c>
    </row>
    <row r="619" spans="1:8" x14ac:dyDescent="0.2">
      <c r="A619" s="1">
        <v>618</v>
      </c>
      <c r="B619" s="3">
        <v>45124</v>
      </c>
      <c r="C619" s="4">
        <v>8583.0716110354206</v>
      </c>
      <c r="D619" s="4">
        <v>8629.7187393562708</v>
      </c>
      <c r="E619" s="4">
        <v>8559.748046875</v>
      </c>
      <c r="F619" s="4">
        <v>8559.748046875</v>
      </c>
      <c r="G619" s="1">
        <v>62550100</v>
      </c>
      <c r="H619" s="2" t="str">
        <f t="shared" si="9"/>
        <v>Turun</v>
      </c>
    </row>
    <row r="620" spans="1:8" x14ac:dyDescent="0.2">
      <c r="A620" s="1">
        <v>619</v>
      </c>
      <c r="B620" s="3">
        <v>45125</v>
      </c>
      <c r="C620" s="4">
        <v>8583.0729166666697</v>
      </c>
      <c r="D620" s="4">
        <v>8629.7200520833303</v>
      </c>
      <c r="E620" s="4">
        <v>8489.7786458333303</v>
      </c>
      <c r="F620" s="4">
        <v>8536.42578125</v>
      </c>
      <c r="G620" s="1">
        <v>52924600</v>
      </c>
      <c r="H620" s="2" t="str">
        <f t="shared" si="9"/>
        <v>Turun</v>
      </c>
    </row>
    <row r="621" spans="1:8" x14ac:dyDescent="0.2">
      <c r="A621" s="1">
        <v>620</v>
      </c>
      <c r="B621" s="3">
        <v>45127</v>
      </c>
      <c r="C621" s="4">
        <v>8583.0729166666697</v>
      </c>
      <c r="D621" s="4">
        <v>8606.396484375</v>
      </c>
      <c r="E621" s="4">
        <v>8513.1022135416697</v>
      </c>
      <c r="F621" s="4">
        <v>8536.42578125</v>
      </c>
      <c r="G621" s="1">
        <v>83476600</v>
      </c>
      <c r="H621" s="2" t="str">
        <f t="shared" si="9"/>
        <v>Stabil</v>
      </c>
    </row>
    <row r="622" spans="1:8" x14ac:dyDescent="0.2">
      <c r="A622" s="1">
        <v>621</v>
      </c>
      <c r="B622" s="3">
        <v>45128</v>
      </c>
      <c r="C622" s="4">
        <v>8536.42578125</v>
      </c>
      <c r="D622" s="4">
        <v>8559.7493489583303</v>
      </c>
      <c r="E622" s="4">
        <v>8513.1022135416697</v>
      </c>
      <c r="F622" s="4">
        <v>8536.42578125</v>
      </c>
      <c r="G622" s="1">
        <v>42667800</v>
      </c>
      <c r="H622" s="2" t="str">
        <f t="shared" si="9"/>
        <v>Stabil</v>
      </c>
    </row>
    <row r="623" spans="1:8" x14ac:dyDescent="0.2">
      <c r="A623" s="1">
        <v>622</v>
      </c>
      <c r="B623" s="3">
        <v>45131</v>
      </c>
      <c r="C623" s="4">
        <v>8583.0735748626394</v>
      </c>
      <c r="D623" s="4">
        <v>8583.0735748626394</v>
      </c>
      <c r="E623" s="4">
        <v>8489.779296875</v>
      </c>
      <c r="F623" s="4">
        <v>8489.779296875</v>
      </c>
      <c r="G623" s="1">
        <v>62061200</v>
      </c>
      <c r="H623" s="2" t="str">
        <f t="shared" si="9"/>
        <v>Turun</v>
      </c>
    </row>
    <row r="624" spans="1:8" x14ac:dyDescent="0.2">
      <c r="A624" s="1">
        <v>623</v>
      </c>
      <c r="B624" s="3">
        <v>45132</v>
      </c>
      <c r="C624" s="4">
        <v>8559.7493489583303</v>
      </c>
      <c r="D624" s="4">
        <v>8676.3671875</v>
      </c>
      <c r="E624" s="4">
        <v>8536.42578125</v>
      </c>
      <c r="F624" s="4">
        <v>8536.42578125</v>
      </c>
      <c r="G624" s="1">
        <v>122802700</v>
      </c>
      <c r="H624" s="2" t="str">
        <f t="shared" si="9"/>
        <v>Naik</v>
      </c>
    </row>
    <row r="625" spans="1:8" x14ac:dyDescent="0.2">
      <c r="A625" s="1">
        <v>624</v>
      </c>
      <c r="B625" s="3">
        <v>45133</v>
      </c>
      <c r="C625" s="4">
        <v>8559.7477518173491</v>
      </c>
      <c r="D625" s="4">
        <v>8723.0126953125</v>
      </c>
      <c r="E625" s="4">
        <v>8513.1006251044491</v>
      </c>
      <c r="F625" s="4">
        <v>8723.0126953125</v>
      </c>
      <c r="G625" s="1">
        <v>113868700</v>
      </c>
      <c r="H625" s="2" t="str">
        <f t="shared" si="9"/>
        <v>Naik</v>
      </c>
    </row>
    <row r="626" spans="1:8" x14ac:dyDescent="0.2">
      <c r="A626" s="1">
        <v>625</v>
      </c>
      <c r="B626" s="3">
        <v>45134</v>
      </c>
      <c r="C626" s="4">
        <v>8769.6614583333303</v>
      </c>
      <c r="D626" s="4">
        <v>8769.6614583333303</v>
      </c>
      <c r="E626" s="4">
        <v>8606.396484375</v>
      </c>
      <c r="F626" s="4">
        <v>8606.396484375</v>
      </c>
      <c r="G626" s="1">
        <v>77848400</v>
      </c>
      <c r="H626" s="2" t="str">
        <f t="shared" si="9"/>
        <v>Turun</v>
      </c>
    </row>
    <row r="627" spans="1:8" x14ac:dyDescent="0.2">
      <c r="A627" s="1">
        <v>626</v>
      </c>
      <c r="B627" s="3">
        <v>45135</v>
      </c>
      <c r="C627" s="4">
        <v>8583.0712756849298</v>
      </c>
      <c r="D627" s="4">
        <v>8606.3948389340803</v>
      </c>
      <c r="E627" s="4">
        <v>8513.1005859375</v>
      </c>
      <c r="F627" s="4">
        <v>8513.1005859375</v>
      </c>
      <c r="G627" s="1">
        <v>74510200</v>
      </c>
      <c r="H627" s="2" t="str">
        <f t="shared" si="9"/>
        <v>Turun</v>
      </c>
    </row>
    <row r="628" spans="1:8" x14ac:dyDescent="0.2">
      <c r="A628" s="1">
        <v>627</v>
      </c>
      <c r="B628" s="3">
        <v>45138</v>
      </c>
      <c r="C628" s="4">
        <v>8559.7477124357902</v>
      </c>
      <c r="D628" s="4">
        <v>8583.0712756849298</v>
      </c>
      <c r="E628" s="4">
        <v>8489.7770226883604</v>
      </c>
      <c r="F628" s="4">
        <v>8513.1005859375</v>
      </c>
      <c r="G628" s="1">
        <v>80868000</v>
      </c>
      <c r="H628" s="2" t="str">
        <f t="shared" si="9"/>
        <v>Stabil</v>
      </c>
    </row>
    <row r="629" spans="1:8" x14ac:dyDescent="0.2">
      <c r="A629" s="1">
        <v>628</v>
      </c>
      <c r="B629" s="3">
        <v>45139</v>
      </c>
      <c r="C629" s="4">
        <v>8559.7477124357902</v>
      </c>
      <c r="D629" s="4">
        <v>8559.7477124357902</v>
      </c>
      <c r="E629" s="4">
        <v>8489.7770226883604</v>
      </c>
      <c r="F629" s="4">
        <v>8513.1005859375</v>
      </c>
      <c r="G629" s="1">
        <v>49756400</v>
      </c>
      <c r="H629" s="2" t="str">
        <f t="shared" si="9"/>
        <v>Stabil</v>
      </c>
    </row>
    <row r="630" spans="1:8" x14ac:dyDescent="0.2">
      <c r="A630" s="1">
        <v>629</v>
      </c>
      <c r="B630" s="3">
        <v>45140</v>
      </c>
      <c r="C630" s="4">
        <v>8513.1025364088</v>
      </c>
      <c r="D630" s="4">
        <v>8583.0732421875</v>
      </c>
      <c r="E630" s="4">
        <v>8513.1025364088</v>
      </c>
      <c r="F630" s="4">
        <v>8583.0732421875</v>
      </c>
      <c r="G630" s="1">
        <v>60629900</v>
      </c>
      <c r="H630" s="2" t="str">
        <f t="shared" si="9"/>
        <v>Naik</v>
      </c>
    </row>
    <row r="631" spans="1:8" x14ac:dyDescent="0.2">
      <c r="A631" s="1">
        <v>630</v>
      </c>
      <c r="B631" s="3">
        <v>45141</v>
      </c>
      <c r="C631" s="4">
        <v>8536.4254592483103</v>
      </c>
      <c r="D631" s="4">
        <v>8676.3668602195994</v>
      </c>
      <c r="E631" s="4">
        <v>8536.4254592483103</v>
      </c>
      <c r="F631" s="4">
        <v>8629.7197265625</v>
      </c>
      <c r="G631" s="1">
        <v>64596100</v>
      </c>
      <c r="H631" s="2" t="str">
        <f t="shared" si="9"/>
        <v>Naik</v>
      </c>
    </row>
    <row r="632" spans="1:8" x14ac:dyDescent="0.2">
      <c r="A632" s="1">
        <v>631</v>
      </c>
      <c r="B632" s="3">
        <v>45142</v>
      </c>
      <c r="C632" s="4">
        <v>8629.7200520833303</v>
      </c>
      <c r="D632" s="4">
        <v>8653.0436197916697</v>
      </c>
      <c r="E632" s="4">
        <v>8513.1022135416697</v>
      </c>
      <c r="F632" s="4">
        <v>8536.42578125</v>
      </c>
      <c r="G632" s="1">
        <v>52675900</v>
      </c>
      <c r="H632" s="2" t="str">
        <f t="shared" si="9"/>
        <v>Turun</v>
      </c>
    </row>
    <row r="633" spans="1:8" x14ac:dyDescent="0.2">
      <c r="A633" s="1">
        <v>632</v>
      </c>
      <c r="B633" s="3">
        <v>45145</v>
      </c>
      <c r="C633" s="4">
        <v>8536.4251389824803</v>
      </c>
      <c r="D633" s="4">
        <v>8653.04296875</v>
      </c>
      <c r="E633" s="4">
        <v>8536.4251389824803</v>
      </c>
      <c r="F633" s="4">
        <v>8653.04296875</v>
      </c>
      <c r="G633" s="1">
        <v>55589300</v>
      </c>
      <c r="H633" s="2" t="str">
        <f t="shared" si="9"/>
        <v>Naik</v>
      </c>
    </row>
    <row r="634" spans="1:8" x14ac:dyDescent="0.2">
      <c r="A634" s="1">
        <v>633</v>
      </c>
      <c r="B634" s="3">
        <v>45146</v>
      </c>
      <c r="C634" s="4">
        <v>8653.0439479662</v>
      </c>
      <c r="D634" s="4">
        <v>8676.3675165590994</v>
      </c>
      <c r="E634" s="4">
        <v>8583.0732421875</v>
      </c>
      <c r="F634" s="4">
        <v>8583.0732421875</v>
      </c>
      <c r="G634" s="1">
        <v>43373400</v>
      </c>
      <c r="H634" s="2" t="str">
        <f t="shared" si="9"/>
        <v>Turun</v>
      </c>
    </row>
    <row r="635" spans="1:8" x14ac:dyDescent="0.2">
      <c r="A635" s="1">
        <v>634</v>
      </c>
      <c r="B635" s="3">
        <v>45147</v>
      </c>
      <c r="C635" s="4">
        <v>8653.0423350232704</v>
      </c>
      <c r="D635" s="4">
        <v>8769.66015625</v>
      </c>
      <c r="E635" s="4">
        <v>8629.7187707779303</v>
      </c>
      <c r="F635" s="4">
        <v>8769.66015625</v>
      </c>
      <c r="G635" s="1">
        <v>77056800</v>
      </c>
      <c r="H635" s="2" t="str">
        <f t="shared" si="9"/>
        <v>Naik</v>
      </c>
    </row>
    <row r="636" spans="1:8" x14ac:dyDescent="0.2">
      <c r="A636" s="1">
        <v>635</v>
      </c>
      <c r="B636" s="3">
        <v>45148</v>
      </c>
      <c r="C636" s="4">
        <v>8769.66015625</v>
      </c>
      <c r="D636" s="4">
        <v>8792.9837204953492</v>
      </c>
      <c r="E636" s="4">
        <v>8723.0130277593107</v>
      </c>
      <c r="F636" s="4">
        <v>8769.66015625</v>
      </c>
      <c r="G636" s="1">
        <v>76738100</v>
      </c>
      <c r="H636" s="2" t="str">
        <f t="shared" si="9"/>
        <v>Stabil</v>
      </c>
    </row>
    <row r="637" spans="1:8" x14ac:dyDescent="0.2">
      <c r="A637" s="1">
        <v>636</v>
      </c>
      <c r="B637" s="3">
        <v>45149</v>
      </c>
      <c r="C637" s="4">
        <v>8792.9837204953492</v>
      </c>
      <c r="D637" s="4">
        <v>8816.3072847406893</v>
      </c>
      <c r="E637" s="4">
        <v>8746.3365920046508</v>
      </c>
      <c r="F637" s="4">
        <v>8769.66015625</v>
      </c>
      <c r="G637" s="1">
        <v>68898600</v>
      </c>
      <c r="H637" s="2" t="str">
        <f t="shared" si="9"/>
        <v>Stabil</v>
      </c>
    </row>
    <row r="638" spans="1:8" x14ac:dyDescent="0.2">
      <c r="A638" s="1">
        <v>637</v>
      </c>
      <c r="B638" s="3">
        <v>45152</v>
      </c>
      <c r="C638" s="4">
        <v>8699.6891319560491</v>
      </c>
      <c r="D638" s="4">
        <v>8723.0126953125</v>
      </c>
      <c r="E638" s="4">
        <v>8606.3948785302491</v>
      </c>
      <c r="F638" s="4">
        <v>8723.0126953125</v>
      </c>
      <c r="G638" s="1">
        <v>75495400</v>
      </c>
      <c r="H638" s="2" t="str">
        <f t="shared" si="9"/>
        <v>Turun</v>
      </c>
    </row>
    <row r="639" spans="1:8" x14ac:dyDescent="0.2">
      <c r="A639" s="1">
        <v>638</v>
      </c>
      <c r="B639" s="3">
        <v>45153</v>
      </c>
      <c r="C639" s="4">
        <v>8699.6907552083303</v>
      </c>
      <c r="D639" s="4">
        <v>8746.337890625</v>
      </c>
      <c r="E639" s="4">
        <v>8676.3671875</v>
      </c>
      <c r="F639" s="4">
        <v>8676.3671875</v>
      </c>
      <c r="G639" s="1">
        <v>59303700</v>
      </c>
      <c r="H639" s="2" t="str">
        <f t="shared" si="9"/>
        <v>Turun</v>
      </c>
    </row>
    <row r="640" spans="1:8" x14ac:dyDescent="0.2">
      <c r="A640" s="1">
        <v>639</v>
      </c>
      <c r="B640" s="3">
        <v>45154</v>
      </c>
      <c r="C640" s="4">
        <v>8653.0436197916697</v>
      </c>
      <c r="D640" s="4">
        <v>8699.6907552083303</v>
      </c>
      <c r="E640" s="4">
        <v>8629.7200520833303</v>
      </c>
      <c r="F640" s="4">
        <v>8676.3671875</v>
      </c>
      <c r="G640" s="1">
        <v>53440000</v>
      </c>
      <c r="H640" s="2" t="str">
        <f t="shared" si="9"/>
        <v>Stabil</v>
      </c>
    </row>
    <row r="641" spans="1:8" x14ac:dyDescent="0.2">
      <c r="A641" s="1">
        <v>640</v>
      </c>
      <c r="B641" s="3">
        <v>45156</v>
      </c>
      <c r="C641" s="4">
        <v>8629.7197265625</v>
      </c>
      <c r="D641" s="4">
        <v>8723.0139938766897</v>
      </c>
      <c r="E641" s="4">
        <v>8629.7197265625</v>
      </c>
      <c r="F641" s="4">
        <v>8629.7197265625</v>
      </c>
      <c r="G641" s="1">
        <v>79328900</v>
      </c>
      <c r="H641" s="2" t="str">
        <f t="shared" si="9"/>
        <v>Turun</v>
      </c>
    </row>
    <row r="642" spans="1:8" x14ac:dyDescent="0.2">
      <c r="A642" s="1">
        <v>641</v>
      </c>
      <c r="B642" s="3">
        <v>45159</v>
      </c>
      <c r="C642" s="4">
        <v>8606.3951751958502</v>
      </c>
      <c r="D642" s="4">
        <v>8629.7187393562708</v>
      </c>
      <c r="E642" s="4">
        <v>8559.748046875</v>
      </c>
      <c r="F642" s="4">
        <v>8559.748046875</v>
      </c>
      <c r="G642" s="1">
        <v>73573000</v>
      </c>
      <c r="H642" s="2" t="str">
        <f t="shared" si="9"/>
        <v>Turun</v>
      </c>
    </row>
    <row r="643" spans="1:8" x14ac:dyDescent="0.2">
      <c r="A643" s="1">
        <v>642</v>
      </c>
      <c r="B643" s="3">
        <v>45160</v>
      </c>
      <c r="C643" s="4">
        <v>8536.42578125</v>
      </c>
      <c r="D643" s="4">
        <v>8699.6907552083303</v>
      </c>
      <c r="E643" s="4">
        <v>8536.42578125</v>
      </c>
      <c r="F643" s="4">
        <v>8676.3671875</v>
      </c>
      <c r="G643" s="1">
        <v>65664600</v>
      </c>
      <c r="H643" s="2" t="str">
        <f t="shared" si="9"/>
        <v>Naik</v>
      </c>
    </row>
    <row r="644" spans="1:8" x14ac:dyDescent="0.2">
      <c r="A644" s="1">
        <v>643</v>
      </c>
      <c r="B644" s="3">
        <v>45161</v>
      </c>
      <c r="C644" s="4">
        <v>8676.3671875</v>
      </c>
      <c r="D644" s="4">
        <v>8699.6907552083303</v>
      </c>
      <c r="E644" s="4">
        <v>8653.0436197916697</v>
      </c>
      <c r="F644" s="4">
        <v>8676.3671875</v>
      </c>
      <c r="G644" s="1">
        <v>63749800</v>
      </c>
      <c r="H644" s="2" t="str">
        <f t="shared" ref="H644:H707" si="10">IF(F644&gt;F643,"Naik",IF(F644&lt;F643,"Turun","Stabil"))</f>
        <v>Stabil</v>
      </c>
    </row>
    <row r="645" spans="1:8" x14ac:dyDescent="0.2">
      <c r="A645" s="1">
        <v>644</v>
      </c>
      <c r="B645" s="3">
        <v>45162</v>
      </c>
      <c r="C645" s="4">
        <v>8629.7203793733006</v>
      </c>
      <c r="D645" s="4">
        <v>8699.6910851520006</v>
      </c>
      <c r="E645" s="4">
        <v>8583.0732421875</v>
      </c>
      <c r="F645" s="4">
        <v>8583.0732421875</v>
      </c>
      <c r="G645" s="1">
        <v>53725900</v>
      </c>
      <c r="H645" s="2" t="str">
        <f t="shared" si="10"/>
        <v>Turun</v>
      </c>
    </row>
    <row r="646" spans="1:8" x14ac:dyDescent="0.2">
      <c r="A646" s="1">
        <v>645</v>
      </c>
      <c r="B646" s="3">
        <v>45163</v>
      </c>
      <c r="C646" s="4">
        <v>8583.07227088949</v>
      </c>
      <c r="D646" s="4">
        <v>8653.04296875</v>
      </c>
      <c r="E646" s="4">
        <v>8559.7487049359806</v>
      </c>
      <c r="F646" s="4">
        <v>8653.04296875</v>
      </c>
      <c r="G646" s="1">
        <v>50379000</v>
      </c>
      <c r="H646" s="2" t="str">
        <f t="shared" si="10"/>
        <v>Naik</v>
      </c>
    </row>
    <row r="647" spans="1:8" x14ac:dyDescent="0.2">
      <c r="A647" s="1">
        <v>646</v>
      </c>
      <c r="B647" s="3">
        <v>45166</v>
      </c>
      <c r="C647" s="4">
        <v>8629.7203793733006</v>
      </c>
      <c r="D647" s="4">
        <v>8629.7203793733006</v>
      </c>
      <c r="E647" s="4">
        <v>8583.0732421875</v>
      </c>
      <c r="F647" s="4">
        <v>8583.0732421875</v>
      </c>
      <c r="G647" s="1">
        <v>44423100</v>
      </c>
      <c r="H647" s="2" t="str">
        <f t="shared" si="10"/>
        <v>Turun</v>
      </c>
    </row>
    <row r="648" spans="1:8" x14ac:dyDescent="0.2">
      <c r="A648" s="1">
        <v>647</v>
      </c>
      <c r="B648" s="3">
        <v>45167</v>
      </c>
      <c r="C648" s="4">
        <v>8653.0432933910506</v>
      </c>
      <c r="D648" s="4">
        <v>8676.3668602195994</v>
      </c>
      <c r="E648" s="4">
        <v>8583.0725929054097</v>
      </c>
      <c r="F648" s="4">
        <v>8629.7197265625</v>
      </c>
      <c r="G648" s="1">
        <v>45428500</v>
      </c>
      <c r="H648" s="2" t="str">
        <f t="shared" si="10"/>
        <v>Naik</v>
      </c>
    </row>
    <row r="649" spans="1:8" x14ac:dyDescent="0.2">
      <c r="A649" s="1">
        <v>648</v>
      </c>
      <c r="B649" s="3">
        <v>45168</v>
      </c>
      <c r="C649" s="4">
        <v>8676.3675165590994</v>
      </c>
      <c r="D649" s="4">
        <v>8676.3675165590994</v>
      </c>
      <c r="E649" s="4">
        <v>8583.0732421875</v>
      </c>
      <c r="F649" s="4">
        <v>8583.0732421875</v>
      </c>
      <c r="G649" s="1">
        <v>56227000</v>
      </c>
      <c r="H649" s="2" t="str">
        <f t="shared" si="10"/>
        <v>Turun</v>
      </c>
    </row>
    <row r="650" spans="1:8" x14ac:dyDescent="0.2">
      <c r="A650" s="1">
        <v>649</v>
      </c>
      <c r="B650" s="3">
        <v>45169</v>
      </c>
      <c r="C650" s="4">
        <v>8583.0716110354206</v>
      </c>
      <c r="D650" s="4">
        <v>8606.3951751958502</v>
      </c>
      <c r="E650" s="4">
        <v>8489.7773543937292</v>
      </c>
      <c r="F650" s="4">
        <v>8559.748046875</v>
      </c>
      <c r="G650" s="1">
        <v>136107200</v>
      </c>
      <c r="H650" s="2" t="str">
        <f t="shared" si="10"/>
        <v>Turun</v>
      </c>
    </row>
    <row r="651" spans="1:8" x14ac:dyDescent="0.2">
      <c r="A651" s="1">
        <v>650</v>
      </c>
      <c r="B651" s="3">
        <v>45170</v>
      </c>
      <c r="C651" s="4">
        <v>8583.0729166666697</v>
      </c>
      <c r="D651" s="4">
        <v>8653.0436197916697</v>
      </c>
      <c r="E651" s="4">
        <v>8559.7493489583303</v>
      </c>
      <c r="F651" s="4">
        <v>8606.396484375</v>
      </c>
      <c r="G651" s="1">
        <v>42152700</v>
      </c>
      <c r="H651" s="2" t="str">
        <f t="shared" si="10"/>
        <v>Naik</v>
      </c>
    </row>
    <row r="652" spans="1:8" x14ac:dyDescent="0.2">
      <c r="A652" s="1">
        <v>651</v>
      </c>
      <c r="B652" s="3">
        <v>45173</v>
      </c>
      <c r="C652" s="4">
        <v>8606.396484375</v>
      </c>
      <c r="D652" s="4">
        <v>8653.0436197916697</v>
      </c>
      <c r="E652" s="4">
        <v>8559.7493489583303</v>
      </c>
      <c r="F652" s="4">
        <v>8606.396484375</v>
      </c>
      <c r="G652" s="1">
        <v>40610600</v>
      </c>
      <c r="H652" s="2" t="str">
        <f t="shared" si="10"/>
        <v>Stabil</v>
      </c>
    </row>
    <row r="653" spans="1:8" x14ac:dyDescent="0.2">
      <c r="A653" s="1">
        <v>652</v>
      </c>
      <c r="B653" s="3">
        <v>45174</v>
      </c>
      <c r="C653" s="4">
        <v>8629.7200520833303</v>
      </c>
      <c r="D653" s="4">
        <v>8629.7200520833303</v>
      </c>
      <c r="E653" s="4">
        <v>8583.0729166666697</v>
      </c>
      <c r="F653" s="4">
        <v>8606.396484375</v>
      </c>
      <c r="G653" s="1">
        <v>42007200</v>
      </c>
      <c r="H653" s="2" t="str">
        <f t="shared" si="10"/>
        <v>Stabil</v>
      </c>
    </row>
    <row r="654" spans="1:8" x14ac:dyDescent="0.2">
      <c r="A654" s="1">
        <v>653</v>
      </c>
      <c r="B654" s="3">
        <v>45175</v>
      </c>
      <c r="C654" s="4">
        <v>8583.0729166666697</v>
      </c>
      <c r="D654" s="4">
        <v>8629.7200520833303</v>
      </c>
      <c r="E654" s="4">
        <v>8536.42578125</v>
      </c>
      <c r="F654" s="4">
        <v>8536.42578125</v>
      </c>
      <c r="G654" s="1">
        <v>49318400</v>
      </c>
      <c r="H654" s="2" t="str">
        <f t="shared" si="10"/>
        <v>Turun</v>
      </c>
    </row>
    <row r="655" spans="1:8" x14ac:dyDescent="0.2">
      <c r="A655" s="1">
        <v>654</v>
      </c>
      <c r="B655" s="3">
        <v>45176</v>
      </c>
      <c r="C655" s="4">
        <v>8513.1009185541607</v>
      </c>
      <c r="D655" s="4">
        <v>8559.748046875</v>
      </c>
      <c r="E655" s="4">
        <v>8489.7773543937292</v>
      </c>
      <c r="F655" s="4">
        <v>8559.748046875</v>
      </c>
      <c r="G655" s="1">
        <v>61405200</v>
      </c>
      <c r="H655" s="2" t="str">
        <f t="shared" si="10"/>
        <v>Naik</v>
      </c>
    </row>
    <row r="656" spans="1:8" x14ac:dyDescent="0.2">
      <c r="A656" s="1">
        <v>655</v>
      </c>
      <c r="B656" s="3">
        <v>45177</v>
      </c>
      <c r="C656" s="4">
        <v>8489.7770226883604</v>
      </c>
      <c r="D656" s="4">
        <v>8536.4241491866396</v>
      </c>
      <c r="E656" s="4">
        <v>8443.1298961900702</v>
      </c>
      <c r="F656" s="4">
        <v>8513.1005859375</v>
      </c>
      <c r="G656" s="1">
        <v>80732300</v>
      </c>
      <c r="H656" s="2" t="str">
        <f t="shared" si="10"/>
        <v>Turun</v>
      </c>
    </row>
    <row r="657" spans="1:8" x14ac:dyDescent="0.2">
      <c r="A657" s="1">
        <v>656</v>
      </c>
      <c r="B657" s="3">
        <v>45180</v>
      </c>
      <c r="C657" s="4">
        <v>8466.4534594392098</v>
      </c>
      <c r="D657" s="4">
        <v>8513.1005859375</v>
      </c>
      <c r="E657" s="4">
        <v>8466.4534594392098</v>
      </c>
      <c r="F657" s="4">
        <v>8513.1005859375</v>
      </c>
      <c r="G657" s="1">
        <v>53155900</v>
      </c>
      <c r="H657" s="2" t="str">
        <f t="shared" si="10"/>
        <v>Stabil</v>
      </c>
    </row>
    <row r="658" spans="1:8" x14ac:dyDescent="0.2">
      <c r="A658" s="1">
        <v>657</v>
      </c>
      <c r="B658" s="3">
        <v>45181</v>
      </c>
      <c r="C658" s="4">
        <v>8489.779296875</v>
      </c>
      <c r="D658" s="4">
        <v>8513.1028663719098</v>
      </c>
      <c r="E658" s="4">
        <v>8466.4557273780902</v>
      </c>
      <c r="F658" s="4">
        <v>8489.779296875</v>
      </c>
      <c r="G658" s="1">
        <v>66479000</v>
      </c>
      <c r="H658" s="2" t="str">
        <f t="shared" si="10"/>
        <v>Turun</v>
      </c>
    </row>
    <row r="659" spans="1:8" x14ac:dyDescent="0.2">
      <c r="A659" s="1">
        <v>658</v>
      </c>
      <c r="B659" s="3">
        <v>45182</v>
      </c>
      <c r="C659" s="4">
        <v>8443.1305365444205</v>
      </c>
      <c r="D659" s="4">
        <v>8466.4541015625</v>
      </c>
      <c r="E659" s="4">
        <v>8396.4834065082705</v>
      </c>
      <c r="F659" s="4">
        <v>8466.4541015625</v>
      </c>
      <c r="G659" s="1">
        <v>69490200</v>
      </c>
      <c r="H659" s="2" t="str">
        <f t="shared" si="10"/>
        <v>Turun</v>
      </c>
    </row>
    <row r="660" spans="1:8" x14ac:dyDescent="0.2">
      <c r="A660" s="1">
        <v>659</v>
      </c>
      <c r="B660" s="3">
        <v>45183</v>
      </c>
      <c r="C660" s="4">
        <v>8396.4850188873606</v>
      </c>
      <c r="D660" s="4">
        <v>8513.1028663719098</v>
      </c>
      <c r="E660" s="4">
        <v>8396.4850188873606</v>
      </c>
      <c r="F660" s="4">
        <v>8489.779296875</v>
      </c>
      <c r="G660" s="1">
        <v>112757900</v>
      </c>
      <c r="H660" s="2" t="str">
        <f t="shared" si="10"/>
        <v>Naik</v>
      </c>
    </row>
    <row r="661" spans="1:8" x14ac:dyDescent="0.2">
      <c r="A661" s="1">
        <v>660</v>
      </c>
      <c r="B661" s="3">
        <v>45184</v>
      </c>
      <c r="C661" s="4">
        <v>8443.1315104166697</v>
      </c>
      <c r="D661" s="4">
        <v>8489.7786458333303</v>
      </c>
      <c r="E661" s="4">
        <v>8396.484375</v>
      </c>
      <c r="F661" s="4">
        <v>8396.484375</v>
      </c>
      <c r="G661" s="1">
        <v>121005300</v>
      </c>
      <c r="H661" s="2" t="str">
        <f t="shared" si="10"/>
        <v>Turun</v>
      </c>
    </row>
    <row r="662" spans="1:8" x14ac:dyDescent="0.2">
      <c r="A662" s="1">
        <v>661</v>
      </c>
      <c r="B662" s="3">
        <v>45187</v>
      </c>
      <c r="C662" s="4">
        <v>8443.1315104166697</v>
      </c>
      <c r="D662" s="4">
        <v>8466.455078125</v>
      </c>
      <c r="E662" s="4">
        <v>8396.484375</v>
      </c>
      <c r="F662" s="4">
        <v>8396.484375</v>
      </c>
      <c r="G662" s="1">
        <v>34272200</v>
      </c>
      <c r="H662" s="2" t="str">
        <f t="shared" si="10"/>
        <v>Stabil</v>
      </c>
    </row>
    <row r="663" spans="1:8" x14ac:dyDescent="0.2">
      <c r="A663" s="1">
        <v>662</v>
      </c>
      <c r="B663" s="3">
        <v>45188</v>
      </c>
      <c r="C663" s="4">
        <v>8396.4834065082705</v>
      </c>
      <c r="D663" s="4">
        <v>8466.4541015625</v>
      </c>
      <c r="E663" s="4">
        <v>8373.1598414901891</v>
      </c>
      <c r="F663" s="4">
        <v>8466.4541015625</v>
      </c>
      <c r="G663" s="1">
        <v>33325800</v>
      </c>
      <c r="H663" s="2" t="str">
        <f t="shared" si="10"/>
        <v>Naik</v>
      </c>
    </row>
    <row r="664" spans="1:8" x14ac:dyDescent="0.2">
      <c r="A664" s="1">
        <v>663</v>
      </c>
      <c r="B664" s="3">
        <v>45189</v>
      </c>
      <c r="C664" s="4">
        <v>8513.1022135416697</v>
      </c>
      <c r="D664" s="4">
        <v>8559.7493489583303</v>
      </c>
      <c r="E664" s="4">
        <v>8466.455078125</v>
      </c>
      <c r="F664" s="4">
        <v>8536.42578125</v>
      </c>
      <c r="G664" s="1">
        <v>54305500</v>
      </c>
      <c r="H664" s="2" t="str">
        <f t="shared" si="10"/>
        <v>Naik</v>
      </c>
    </row>
    <row r="665" spans="1:8" x14ac:dyDescent="0.2">
      <c r="A665" s="1">
        <v>664</v>
      </c>
      <c r="B665" s="3">
        <v>45190</v>
      </c>
      <c r="C665" s="4">
        <v>8513.1005859375</v>
      </c>
      <c r="D665" s="4">
        <v>8536.4241491866396</v>
      </c>
      <c r="E665" s="4">
        <v>8466.4534594392098</v>
      </c>
      <c r="F665" s="4">
        <v>8513.1005859375</v>
      </c>
      <c r="G665" s="1">
        <v>40607000</v>
      </c>
      <c r="H665" s="2" t="str">
        <f t="shared" si="10"/>
        <v>Turun</v>
      </c>
    </row>
    <row r="666" spans="1:8" x14ac:dyDescent="0.2">
      <c r="A666" s="1">
        <v>665</v>
      </c>
      <c r="B666" s="3">
        <v>45191</v>
      </c>
      <c r="C666" s="4">
        <v>8513.1012315986609</v>
      </c>
      <c r="D666" s="4">
        <v>8536.4247966167404</v>
      </c>
      <c r="E666" s="4">
        <v>8466.4541015625</v>
      </c>
      <c r="F666" s="4">
        <v>8466.4541015625</v>
      </c>
      <c r="G666" s="1">
        <v>42445300</v>
      </c>
      <c r="H666" s="2" t="str">
        <f t="shared" si="10"/>
        <v>Turun</v>
      </c>
    </row>
    <row r="667" spans="1:8" x14ac:dyDescent="0.2">
      <c r="A667" s="1">
        <v>666</v>
      </c>
      <c r="B667" s="3">
        <v>45194</v>
      </c>
      <c r="C667" s="4">
        <v>8466.455078125</v>
      </c>
      <c r="D667" s="4">
        <v>8466.455078125</v>
      </c>
      <c r="E667" s="4">
        <v>8396.484375</v>
      </c>
      <c r="F667" s="4">
        <v>8396.484375</v>
      </c>
      <c r="G667" s="1">
        <v>56132200</v>
      </c>
      <c r="H667" s="2" t="str">
        <f t="shared" si="10"/>
        <v>Turun</v>
      </c>
    </row>
    <row r="668" spans="1:8" x14ac:dyDescent="0.2">
      <c r="A668" s="1">
        <v>667</v>
      </c>
      <c r="B668" s="3">
        <v>45195</v>
      </c>
      <c r="C668" s="4">
        <v>8396.4830656424601</v>
      </c>
      <c r="D668" s="4">
        <v>8419.8066297136902</v>
      </c>
      <c r="E668" s="4">
        <v>8349.8359375</v>
      </c>
      <c r="F668" s="4">
        <v>8349.8359375</v>
      </c>
      <c r="G668" s="1">
        <v>73544700</v>
      </c>
      <c r="H668" s="2" t="str">
        <f t="shared" si="10"/>
        <v>Turun</v>
      </c>
    </row>
    <row r="669" spans="1:8" x14ac:dyDescent="0.2">
      <c r="A669" s="1">
        <v>668</v>
      </c>
      <c r="B669" s="3">
        <v>45196</v>
      </c>
      <c r="C669" s="4">
        <v>8303.1897777288705</v>
      </c>
      <c r="D669" s="4">
        <v>8396.4840448943705</v>
      </c>
      <c r="E669" s="4">
        <v>8279.8662109375</v>
      </c>
      <c r="F669" s="4">
        <v>8279.8662109375</v>
      </c>
      <c r="G669" s="1">
        <v>84345000</v>
      </c>
      <c r="H669" s="2" t="str">
        <f t="shared" si="10"/>
        <v>Turun</v>
      </c>
    </row>
    <row r="670" spans="1:8" x14ac:dyDescent="0.2">
      <c r="A670" s="1">
        <v>669</v>
      </c>
      <c r="B670" s="3">
        <v>45198</v>
      </c>
      <c r="C670" s="4">
        <v>8233.21875</v>
      </c>
      <c r="D670" s="4">
        <v>8303.1894475920708</v>
      </c>
      <c r="E670" s="4">
        <v>8233.21875</v>
      </c>
      <c r="F670" s="4">
        <v>8233.21875</v>
      </c>
      <c r="G670" s="1">
        <v>118960000</v>
      </c>
      <c r="H670" s="2" t="str">
        <f t="shared" si="10"/>
        <v>Turun</v>
      </c>
    </row>
    <row r="671" spans="1:8" x14ac:dyDescent="0.2">
      <c r="A671" s="1">
        <v>670</v>
      </c>
      <c r="B671" s="3">
        <v>45201</v>
      </c>
      <c r="C671" s="4">
        <v>8303.1891464359505</v>
      </c>
      <c r="D671" s="4">
        <v>8489.7776665805795</v>
      </c>
      <c r="E671" s="4">
        <v>8279.8655814178692</v>
      </c>
      <c r="F671" s="4">
        <v>8466.4541015625</v>
      </c>
      <c r="G671" s="1">
        <v>93663000</v>
      </c>
      <c r="H671" s="2" t="str">
        <f t="shared" si="10"/>
        <v>Naik</v>
      </c>
    </row>
    <row r="672" spans="1:8" x14ac:dyDescent="0.2">
      <c r="A672" s="1">
        <v>671</v>
      </c>
      <c r="B672" s="3">
        <v>45202</v>
      </c>
      <c r="C672" s="4">
        <v>8466.4553992229994</v>
      </c>
      <c r="D672" s="4">
        <v>8583.0732421875</v>
      </c>
      <c r="E672" s="4">
        <v>8419.8082620371897</v>
      </c>
      <c r="F672" s="4">
        <v>8583.0732421875</v>
      </c>
      <c r="G672" s="1">
        <v>98380200</v>
      </c>
      <c r="H672" s="2" t="str">
        <f t="shared" si="10"/>
        <v>Naik</v>
      </c>
    </row>
    <row r="673" spans="1:8" x14ac:dyDescent="0.2">
      <c r="A673" s="1">
        <v>672</v>
      </c>
      <c r="B673" s="3">
        <v>45203</v>
      </c>
      <c r="C673" s="4">
        <v>8583.0732421875</v>
      </c>
      <c r="D673" s="4">
        <v>8629.7203793733006</v>
      </c>
      <c r="E673" s="4">
        <v>8513.1025364088</v>
      </c>
      <c r="F673" s="4">
        <v>8583.0732421875</v>
      </c>
      <c r="G673" s="1">
        <v>112582800</v>
      </c>
      <c r="H673" s="2" t="str">
        <f t="shared" si="10"/>
        <v>Stabil</v>
      </c>
    </row>
    <row r="674" spans="1:8" x14ac:dyDescent="0.2">
      <c r="A674" s="1">
        <v>673</v>
      </c>
      <c r="B674" s="3">
        <v>45204</v>
      </c>
      <c r="C674" s="4">
        <v>8583.0719266528904</v>
      </c>
      <c r="D674" s="4">
        <v>8583.0719266528904</v>
      </c>
      <c r="E674" s="4">
        <v>8466.4541015625</v>
      </c>
      <c r="F674" s="4">
        <v>8466.4541015625</v>
      </c>
      <c r="G674" s="1">
        <v>72855700</v>
      </c>
      <c r="H674" s="2" t="str">
        <f t="shared" si="10"/>
        <v>Turun</v>
      </c>
    </row>
    <row r="675" spans="1:8" x14ac:dyDescent="0.2">
      <c r="A675" s="1">
        <v>674</v>
      </c>
      <c r="B675" s="3">
        <v>45205</v>
      </c>
      <c r="C675" s="4">
        <v>8489.7783176073408</v>
      </c>
      <c r="D675" s="4">
        <v>8489.7783176073408</v>
      </c>
      <c r="E675" s="4">
        <v>8419.8076171875</v>
      </c>
      <c r="F675" s="4">
        <v>8419.8076171875</v>
      </c>
      <c r="G675" s="1">
        <v>53344400</v>
      </c>
      <c r="H675" s="2" t="str">
        <f t="shared" si="10"/>
        <v>Turun</v>
      </c>
    </row>
    <row r="676" spans="1:8" x14ac:dyDescent="0.2">
      <c r="A676" s="1">
        <v>675</v>
      </c>
      <c r="B676" s="3">
        <v>45208</v>
      </c>
      <c r="C676" s="4">
        <v>8419.80729346513</v>
      </c>
      <c r="D676" s="4">
        <v>8513.10155710463</v>
      </c>
      <c r="E676" s="4">
        <v>8419.80729346513</v>
      </c>
      <c r="F676" s="4">
        <v>8443.130859375</v>
      </c>
      <c r="G676" s="1">
        <v>43774500</v>
      </c>
      <c r="H676" s="2" t="str">
        <f t="shared" si="10"/>
        <v>Naik</v>
      </c>
    </row>
    <row r="677" spans="1:8" x14ac:dyDescent="0.2">
      <c r="A677" s="1">
        <v>676</v>
      </c>
      <c r="B677" s="3">
        <v>45209</v>
      </c>
      <c r="C677" s="4">
        <v>8396.484375</v>
      </c>
      <c r="D677" s="4">
        <v>8396.484375</v>
      </c>
      <c r="E677" s="4">
        <v>8326.513671875</v>
      </c>
      <c r="F677" s="4">
        <v>8326.513671875</v>
      </c>
      <c r="G677" s="1">
        <v>71966100</v>
      </c>
      <c r="H677" s="2" t="str">
        <f t="shared" si="10"/>
        <v>Turun</v>
      </c>
    </row>
    <row r="678" spans="1:8" x14ac:dyDescent="0.2">
      <c r="A678" s="1">
        <v>677</v>
      </c>
      <c r="B678" s="3">
        <v>45210</v>
      </c>
      <c r="C678" s="4">
        <v>8326.513671875</v>
      </c>
      <c r="D678" s="4">
        <v>8419.8079427083303</v>
      </c>
      <c r="E678" s="4">
        <v>8326.513671875</v>
      </c>
      <c r="F678" s="4">
        <v>8326.513671875</v>
      </c>
      <c r="G678" s="1">
        <v>84305800</v>
      </c>
      <c r="H678" s="2" t="str">
        <f t="shared" si="10"/>
        <v>Stabil</v>
      </c>
    </row>
    <row r="679" spans="1:8" x14ac:dyDescent="0.2">
      <c r="A679" s="1">
        <v>678</v>
      </c>
      <c r="B679" s="3">
        <v>45211</v>
      </c>
      <c r="C679" s="4">
        <v>8396.4837275552509</v>
      </c>
      <c r="D679" s="4">
        <v>8489.7779911947491</v>
      </c>
      <c r="E679" s="4">
        <v>8396.4837275552509</v>
      </c>
      <c r="F679" s="4">
        <v>8443.130859375</v>
      </c>
      <c r="G679" s="1">
        <v>71064500</v>
      </c>
      <c r="H679" s="2" t="str">
        <f t="shared" si="10"/>
        <v>Naik</v>
      </c>
    </row>
    <row r="680" spans="1:8" x14ac:dyDescent="0.2">
      <c r="A680" s="1">
        <v>679</v>
      </c>
      <c r="B680" s="3">
        <v>45212</v>
      </c>
      <c r="C680" s="4">
        <v>8489.7776665805795</v>
      </c>
      <c r="D680" s="4">
        <v>8513.1012315986609</v>
      </c>
      <c r="E680" s="4">
        <v>8419.8069715263391</v>
      </c>
      <c r="F680" s="4">
        <v>8466.4541015625</v>
      </c>
      <c r="G680" s="1">
        <v>62941800</v>
      </c>
      <c r="H680" s="2" t="str">
        <f t="shared" si="10"/>
        <v>Naik</v>
      </c>
    </row>
    <row r="681" spans="1:8" x14ac:dyDescent="0.2">
      <c r="A681" s="1">
        <v>680</v>
      </c>
      <c r="B681" s="3">
        <v>45215</v>
      </c>
      <c r="C681" s="4">
        <v>8513.1028663719098</v>
      </c>
      <c r="D681" s="4">
        <v>8513.1028663719098</v>
      </c>
      <c r="E681" s="4">
        <v>8443.1321578811803</v>
      </c>
      <c r="F681" s="4">
        <v>8489.779296875</v>
      </c>
      <c r="G681" s="1">
        <v>29429200</v>
      </c>
      <c r="H681" s="2" t="str">
        <f t="shared" si="10"/>
        <v>Naik</v>
      </c>
    </row>
    <row r="682" spans="1:8" x14ac:dyDescent="0.2">
      <c r="A682" s="1">
        <v>681</v>
      </c>
      <c r="B682" s="3">
        <v>45216</v>
      </c>
      <c r="C682" s="4">
        <v>8443.1301937849203</v>
      </c>
      <c r="D682" s="4">
        <v>8466.4537578561503</v>
      </c>
      <c r="E682" s="4">
        <v>8349.8359375</v>
      </c>
      <c r="F682" s="4">
        <v>8349.8359375</v>
      </c>
      <c r="G682" s="1">
        <v>59606000</v>
      </c>
      <c r="H682" s="2" t="str">
        <f t="shared" si="10"/>
        <v>Turun</v>
      </c>
    </row>
    <row r="683" spans="1:8" x14ac:dyDescent="0.2">
      <c r="A683" s="1">
        <v>682</v>
      </c>
      <c r="B683" s="3">
        <v>45217</v>
      </c>
      <c r="C683" s="4">
        <v>8326.5126870365493</v>
      </c>
      <c r="D683" s="4">
        <v>8349.8362519862294</v>
      </c>
      <c r="E683" s="4">
        <v>8256.5419921875</v>
      </c>
      <c r="F683" s="4">
        <v>8256.5419921875</v>
      </c>
      <c r="G683" s="1">
        <v>50919200</v>
      </c>
      <c r="H683" s="2" t="str">
        <f t="shared" si="10"/>
        <v>Turun</v>
      </c>
    </row>
    <row r="684" spans="1:8" x14ac:dyDescent="0.2">
      <c r="A684" s="1">
        <v>683</v>
      </c>
      <c r="B684" s="3">
        <v>45218</v>
      </c>
      <c r="C684" s="4">
        <v>8233.2187444196406</v>
      </c>
      <c r="D684" s="4">
        <v>8256.5423102678596</v>
      </c>
      <c r="E684" s="4">
        <v>8163.248046875</v>
      </c>
      <c r="F684" s="4">
        <v>8163.248046875</v>
      </c>
      <c r="G684" s="1">
        <v>89509700</v>
      </c>
      <c r="H684" s="2" t="str">
        <f t="shared" si="10"/>
        <v>Turun</v>
      </c>
    </row>
    <row r="685" spans="1:8" x14ac:dyDescent="0.2">
      <c r="A685" s="1">
        <v>684</v>
      </c>
      <c r="B685" s="3">
        <v>45219</v>
      </c>
      <c r="C685" s="4">
        <v>8139.9244973015302</v>
      </c>
      <c r="D685" s="4">
        <v>8419.8072880396903</v>
      </c>
      <c r="E685" s="4">
        <v>8139.9244973015302</v>
      </c>
      <c r="F685" s="4">
        <v>8373.16015625</v>
      </c>
      <c r="G685" s="1">
        <v>64554500</v>
      </c>
      <c r="H685" s="2" t="str">
        <f t="shared" si="10"/>
        <v>Naik</v>
      </c>
    </row>
    <row r="686" spans="1:8" x14ac:dyDescent="0.2">
      <c r="A686" s="1">
        <v>685</v>
      </c>
      <c r="B686" s="3">
        <v>45222</v>
      </c>
      <c r="C686" s="4">
        <v>8279.8655571371801</v>
      </c>
      <c r="D686" s="4">
        <v>8326.5126870365493</v>
      </c>
      <c r="E686" s="4">
        <v>8256.5419921875</v>
      </c>
      <c r="F686" s="4">
        <v>8256.5419921875</v>
      </c>
      <c r="G686" s="1">
        <v>50633500</v>
      </c>
      <c r="H686" s="2" t="str">
        <f t="shared" si="10"/>
        <v>Turun</v>
      </c>
    </row>
    <row r="687" spans="1:8" x14ac:dyDescent="0.2">
      <c r="A687" s="1">
        <v>686</v>
      </c>
      <c r="B687" s="3">
        <v>45223</v>
      </c>
      <c r="C687" s="4">
        <v>8186.572265625</v>
      </c>
      <c r="D687" s="4">
        <v>8279.8665364583303</v>
      </c>
      <c r="E687" s="4">
        <v>8186.572265625</v>
      </c>
      <c r="F687" s="4">
        <v>8186.572265625</v>
      </c>
      <c r="G687" s="1">
        <v>76963200</v>
      </c>
      <c r="H687" s="2" t="str">
        <f t="shared" si="10"/>
        <v>Turun</v>
      </c>
    </row>
    <row r="688" spans="1:8" x14ac:dyDescent="0.2">
      <c r="A688" s="1">
        <v>687</v>
      </c>
      <c r="B688" s="3">
        <v>45224</v>
      </c>
      <c r="C688" s="4">
        <v>8233.21907735475</v>
      </c>
      <c r="D688" s="4">
        <v>8326.51334452025</v>
      </c>
      <c r="E688" s="4">
        <v>8233.21907735475</v>
      </c>
      <c r="F688" s="4">
        <v>8279.8662109375</v>
      </c>
      <c r="G688" s="1">
        <v>54748400</v>
      </c>
      <c r="H688" s="2" t="str">
        <f t="shared" si="10"/>
        <v>Naik</v>
      </c>
    </row>
    <row r="689" spans="1:8" x14ac:dyDescent="0.2">
      <c r="A689" s="1">
        <v>688</v>
      </c>
      <c r="B689" s="3">
        <v>45225</v>
      </c>
      <c r="C689" s="4">
        <v>8326.5128394184303</v>
      </c>
      <c r="D689" s="4">
        <v>8349.8364047949508</v>
      </c>
      <c r="E689" s="4">
        <v>8139.92431640625</v>
      </c>
      <c r="F689" s="4">
        <v>8139.92431640625</v>
      </c>
      <c r="G689" s="1">
        <v>63199400</v>
      </c>
      <c r="H689" s="2" t="str">
        <f t="shared" si="10"/>
        <v>Turun</v>
      </c>
    </row>
    <row r="690" spans="1:8" x14ac:dyDescent="0.2">
      <c r="A690" s="1">
        <v>689</v>
      </c>
      <c r="B690" s="3">
        <v>45226</v>
      </c>
      <c r="C690" s="4">
        <v>8139.9251302083303</v>
      </c>
      <c r="D690" s="4">
        <v>8209.8958333333303</v>
      </c>
      <c r="E690" s="4">
        <v>8116.6015625</v>
      </c>
      <c r="F690" s="4">
        <v>8116.6015625</v>
      </c>
      <c r="G690" s="1">
        <v>52450700</v>
      </c>
      <c r="H690" s="2" t="str">
        <f t="shared" si="10"/>
        <v>Turun</v>
      </c>
    </row>
    <row r="691" spans="1:8" x14ac:dyDescent="0.2">
      <c r="A691" s="1">
        <v>690</v>
      </c>
      <c r="B691" s="3">
        <v>45229</v>
      </c>
      <c r="C691" s="4">
        <v>8116.6006024894104</v>
      </c>
      <c r="D691" s="4">
        <v>8256.5419921875</v>
      </c>
      <c r="E691" s="4">
        <v>8116.6006024894104</v>
      </c>
      <c r="F691" s="4">
        <v>8256.5419921875</v>
      </c>
      <c r="G691" s="1">
        <v>51958200</v>
      </c>
      <c r="H691" s="2" t="str">
        <f t="shared" si="10"/>
        <v>Naik</v>
      </c>
    </row>
    <row r="692" spans="1:8" x14ac:dyDescent="0.2">
      <c r="A692" s="1">
        <v>691</v>
      </c>
      <c r="B692" s="3">
        <v>45230</v>
      </c>
      <c r="C692" s="4">
        <v>8209.8951785714307</v>
      </c>
      <c r="D692" s="4">
        <v>8233.2187444196406</v>
      </c>
      <c r="E692" s="4">
        <v>8139.9244810267901</v>
      </c>
      <c r="F692" s="4">
        <v>8163.248046875</v>
      </c>
      <c r="G692" s="1">
        <v>64907600</v>
      </c>
      <c r="H692" s="2" t="str">
        <f t="shared" si="10"/>
        <v>Turun</v>
      </c>
    </row>
    <row r="693" spans="1:8" x14ac:dyDescent="0.2">
      <c r="A693" s="1">
        <v>692</v>
      </c>
      <c r="B693" s="3">
        <v>45231</v>
      </c>
      <c r="C693" s="4">
        <v>8163.2485323174096</v>
      </c>
      <c r="D693" s="4">
        <v>8186.5720995525999</v>
      </c>
      <c r="E693" s="4">
        <v>8023.30712890625</v>
      </c>
      <c r="F693" s="4">
        <v>8023.30712890625</v>
      </c>
      <c r="G693" s="1">
        <v>67027600</v>
      </c>
      <c r="H693" s="2" t="str">
        <f t="shared" si="10"/>
        <v>Turun</v>
      </c>
    </row>
    <row r="694" spans="1:8" x14ac:dyDescent="0.2">
      <c r="A694" s="1">
        <v>693</v>
      </c>
      <c r="B694" s="3">
        <v>45232</v>
      </c>
      <c r="C694" s="4">
        <v>8139.9241674390896</v>
      </c>
      <c r="D694" s="4">
        <v>8303.1891220868692</v>
      </c>
      <c r="E694" s="4">
        <v>8139.9241674390896</v>
      </c>
      <c r="F694" s="4">
        <v>8256.5419921875</v>
      </c>
      <c r="G694" s="1">
        <v>56050900</v>
      </c>
      <c r="H694" s="2" t="str">
        <f t="shared" si="10"/>
        <v>Naik</v>
      </c>
    </row>
    <row r="695" spans="1:8" x14ac:dyDescent="0.2">
      <c r="A695" s="1">
        <v>694</v>
      </c>
      <c r="B695" s="3">
        <v>45233</v>
      </c>
      <c r="C695" s="4">
        <v>8326.5120396989096</v>
      </c>
      <c r="D695" s="4">
        <v>8349.8356028353192</v>
      </c>
      <c r="E695" s="4">
        <v>8256.5413502896808</v>
      </c>
      <c r="F695" s="4">
        <v>8303.1884765625</v>
      </c>
      <c r="G695" s="1">
        <v>60414100</v>
      </c>
      <c r="H695" s="2" t="str">
        <f t="shared" si="10"/>
        <v>Naik</v>
      </c>
    </row>
    <row r="696" spans="1:8" x14ac:dyDescent="0.2">
      <c r="A696" s="1">
        <v>695</v>
      </c>
      <c r="B696" s="3">
        <v>45236</v>
      </c>
      <c r="C696" s="4">
        <v>8373.16016164537</v>
      </c>
      <c r="D696" s="4">
        <v>8443.130859375</v>
      </c>
      <c r="E696" s="4">
        <v>8349.8365957354999</v>
      </c>
      <c r="F696" s="4">
        <v>8443.130859375</v>
      </c>
      <c r="G696" s="1">
        <v>84994200</v>
      </c>
      <c r="H696" s="2" t="str">
        <f t="shared" si="10"/>
        <v>Naik</v>
      </c>
    </row>
    <row r="697" spans="1:8" x14ac:dyDescent="0.2">
      <c r="A697" s="1">
        <v>696</v>
      </c>
      <c r="B697" s="3">
        <v>45237</v>
      </c>
      <c r="C697" s="4">
        <v>8396.4837221448506</v>
      </c>
      <c r="D697" s="4">
        <v>8419.8072880396903</v>
      </c>
      <c r="E697" s="4">
        <v>8303.1894585654609</v>
      </c>
      <c r="F697" s="4">
        <v>8373.16015625</v>
      </c>
      <c r="G697" s="1">
        <v>60648200</v>
      </c>
      <c r="H697" s="2" t="str">
        <f t="shared" si="10"/>
        <v>Turun</v>
      </c>
    </row>
    <row r="698" spans="1:8" x14ac:dyDescent="0.2">
      <c r="A698" s="1">
        <v>697</v>
      </c>
      <c r="B698" s="3">
        <v>45238</v>
      </c>
      <c r="C698" s="4">
        <v>8349.8372395833303</v>
      </c>
      <c r="D698" s="4">
        <v>8396.484375</v>
      </c>
      <c r="E698" s="4">
        <v>8303.1901041666697</v>
      </c>
      <c r="F698" s="4">
        <v>8396.484375</v>
      </c>
      <c r="G698" s="1">
        <v>31829300</v>
      </c>
      <c r="H698" s="2" t="str">
        <f t="shared" si="10"/>
        <v>Naik</v>
      </c>
    </row>
    <row r="699" spans="1:8" x14ac:dyDescent="0.2">
      <c r="A699" s="1">
        <v>698</v>
      </c>
      <c r="B699" s="3">
        <v>45239</v>
      </c>
      <c r="C699" s="4">
        <v>8303.1901041666697</v>
      </c>
      <c r="D699" s="4">
        <v>8443.1315104166697</v>
      </c>
      <c r="E699" s="4">
        <v>8303.1901041666697</v>
      </c>
      <c r="F699" s="4">
        <v>8396.484375</v>
      </c>
      <c r="G699" s="1">
        <v>46076800</v>
      </c>
      <c r="H699" s="2" t="str">
        <f t="shared" si="10"/>
        <v>Stabil</v>
      </c>
    </row>
    <row r="700" spans="1:8" x14ac:dyDescent="0.2">
      <c r="A700" s="1">
        <v>699</v>
      </c>
      <c r="B700" s="3">
        <v>45240</v>
      </c>
      <c r="C700" s="4">
        <v>8349.8365793201101</v>
      </c>
      <c r="D700" s="4">
        <v>8396.4837110481603</v>
      </c>
      <c r="E700" s="4">
        <v>8233.21875</v>
      </c>
      <c r="F700" s="4">
        <v>8233.21875</v>
      </c>
      <c r="G700" s="1">
        <v>50754600</v>
      </c>
      <c r="H700" s="2" t="str">
        <f t="shared" si="10"/>
        <v>Turun</v>
      </c>
    </row>
    <row r="701" spans="1:8" x14ac:dyDescent="0.2">
      <c r="A701" s="1">
        <v>700</v>
      </c>
      <c r="B701" s="3">
        <v>45243</v>
      </c>
      <c r="C701" s="4">
        <v>8279.8662109375</v>
      </c>
      <c r="D701" s="4">
        <v>8326.51334452025</v>
      </c>
      <c r="E701" s="4">
        <v>8256.5426441461295</v>
      </c>
      <c r="F701" s="4">
        <v>8279.8662109375</v>
      </c>
      <c r="G701" s="1">
        <v>20827700</v>
      </c>
      <c r="H701" s="2" t="str">
        <f t="shared" si="10"/>
        <v>Naik</v>
      </c>
    </row>
    <row r="702" spans="1:8" x14ac:dyDescent="0.2">
      <c r="A702" s="1">
        <v>701</v>
      </c>
      <c r="B702" s="3">
        <v>45244</v>
      </c>
      <c r="C702" s="4">
        <v>8303.1901041666697</v>
      </c>
      <c r="D702" s="4">
        <v>8349.8372395833303</v>
      </c>
      <c r="E702" s="4">
        <v>8279.8665364583303</v>
      </c>
      <c r="F702" s="4">
        <v>8326.513671875</v>
      </c>
      <c r="G702" s="1">
        <v>37195700</v>
      </c>
      <c r="H702" s="2" t="str">
        <f t="shared" si="10"/>
        <v>Naik</v>
      </c>
    </row>
    <row r="703" spans="1:8" x14ac:dyDescent="0.2">
      <c r="A703" s="1">
        <v>702</v>
      </c>
      <c r="B703" s="3">
        <v>45245</v>
      </c>
      <c r="C703" s="4">
        <v>8373.16016164537</v>
      </c>
      <c r="D703" s="4">
        <v>8443.130859375</v>
      </c>
      <c r="E703" s="4">
        <v>8349.8365957354999</v>
      </c>
      <c r="F703" s="4">
        <v>8443.130859375</v>
      </c>
      <c r="G703" s="1">
        <v>84977900</v>
      </c>
      <c r="H703" s="2" t="str">
        <f t="shared" si="10"/>
        <v>Naik</v>
      </c>
    </row>
    <row r="704" spans="1:8" x14ac:dyDescent="0.2">
      <c r="A704" s="1">
        <v>703</v>
      </c>
      <c r="B704" s="3">
        <v>45246</v>
      </c>
      <c r="C704" s="4">
        <v>8443.1305365444205</v>
      </c>
      <c r="D704" s="4">
        <v>8466.4541015625</v>
      </c>
      <c r="E704" s="4">
        <v>8349.8362764721096</v>
      </c>
      <c r="F704" s="4">
        <v>8466.4541015625</v>
      </c>
      <c r="G704" s="1">
        <v>48714300</v>
      </c>
      <c r="H704" s="2" t="str">
        <f t="shared" si="10"/>
        <v>Naik</v>
      </c>
    </row>
    <row r="705" spans="1:8" x14ac:dyDescent="0.2">
      <c r="A705" s="1">
        <v>704</v>
      </c>
      <c r="B705" s="3">
        <v>45247</v>
      </c>
      <c r="C705" s="4">
        <v>8419.8069715263391</v>
      </c>
      <c r="D705" s="4">
        <v>8466.4541015625</v>
      </c>
      <c r="E705" s="4">
        <v>8373.1598414901891</v>
      </c>
      <c r="F705" s="4">
        <v>8466.4541015625</v>
      </c>
      <c r="G705" s="1">
        <v>57050500</v>
      </c>
      <c r="H705" s="2" t="str">
        <f t="shared" si="10"/>
        <v>Stabil</v>
      </c>
    </row>
    <row r="706" spans="1:8" x14ac:dyDescent="0.2">
      <c r="A706" s="1">
        <v>705</v>
      </c>
      <c r="B706" s="3">
        <v>45250</v>
      </c>
      <c r="C706" s="4">
        <v>8373.1604781029891</v>
      </c>
      <c r="D706" s="4">
        <v>8419.8076116857392</v>
      </c>
      <c r="E706" s="4">
        <v>8279.8662109375</v>
      </c>
      <c r="F706" s="4">
        <v>8279.8662109375</v>
      </c>
      <c r="G706" s="1">
        <v>49216000</v>
      </c>
      <c r="H706" s="2" t="str">
        <f t="shared" si="10"/>
        <v>Turun</v>
      </c>
    </row>
    <row r="707" spans="1:8" x14ac:dyDescent="0.2">
      <c r="A707" s="1">
        <v>706</v>
      </c>
      <c r="B707" s="3">
        <v>45251</v>
      </c>
      <c r="C707" s="4">
        <v>8233.2194010416697</v>
      </c>
      <c r="D707" s="4">
        <v>8303.1901041666697</v>
      </c>
      <c r="E707" s="4">
        <v>8186.572265625</v>
      </c>
      <c r="F707" s="4">
        <v>8186.572265625</v>
      </c>
      <c r="G707" s="1">
        <v>107614800</v>
      </c>
      <c r="H707" s="2" t="str">
        <f t="shared" si="10"/>
        <v>Turun</v>
      </c>
    </row>
    <row r="708" spans="1:8" x14ac:dyDescent="0.2">
      <c r="A708" s="1">
        <v>707</v>
      </c>
      <c r="B708" s="3">
        <v>45252</v>
      </c>
      <c r="C708" s="4">
        <v>8186.5719437720099</v>
      </c>
      <c r="D708" s="4">
        <v>8279.8662109375</v>
      </c>
      <c r="E708" s="4">
        <v>8186.5719437720099</v>
      </c>
      <c r="F708" s="4">
        <v>8279.8662109375</v>
      </c>
      <c r="G708" s="1">
        <v>40364800</v>
      </c>
      <c r="H708" s="2" t="str">
        <f t="shared" ref="H708:H771" si="11">IF(F708&gt;F707,"Naik",IF(F708&lt;F707,"Turun","Stabil"))</f>
        <v>Naik</v>
      </c>
    </row>
    <row r="709" spans="1:8" x14ac:dyDescent="0.2">
      <c r="A709" s="1">
        <v>708</v>
      </c>
      <c r="B709" s="3">
        <v>45253</v>
      </c>
      <c r="C709" s="4">
        <v>8256.54296875</v>
      </c>
      <c r="D709" s="4">
        <v>8373.1608072916697</v>
      </c>
      <c r="E709" s="4">
        <v>8256.54296875</v>
      </c>
      <c r="F709" s="4">
        <v>8326.513671875</v>
      </c>
      <c r="G709" s="1">
        <v>55542100</v>
      </c>
      <c r="H709" s="2" t="str">
        <f t="shared" si="11"/>
        <v>Naik</v>
      </c>
    </row>
    <row r="710" spans="1:8" x14ac:dyDescent="0.2">
      <c r="A710" s="1">
        <v>709</v>
      </c>
      <c r="B710" s="3">
        <v>45254</v>
      </c>
      <c r="C710" s="4">
        <v>8326.513671875</v>
      </c>
      <c r="D710" s="4">
        <v>8373.1608072916697</v>
      </c>
      <c r="E710" s="4">
        <v>8303.1901041666697</v>
      </c>
      <c r="F710" s="4">
        <v>8326.513671875</v>
      </c>
      <c r="G710" s="1">
        <v>43631900</v>
      </c>
      <c r="H710" s="2" t="str">
        <f t="shared" si="11"/>
        <v>Stabil</v>
      </c>
    </row>
    <row r="711" spans="1:8" x14ac:dyDescent="0.2">
      <c r="A711" s="1">
        <v>710</v>
      </c>
      <c r="B711" s="3">
        <v>45257</v>
      </c>
      <c r="C711" s="4">
        <v>8303.1897777288705</v>
      </c>
      <c r="D711" s="4">
        <v>8349.8369113116205</v>
      </c>
      <c r="E711" s="4">
        <v>8279.8662109375</v>
      </c>
      <c r="F711" s="4">
        <v>8279.8662109375</v>
      </c>
      <c r="G711" s="1">
        <v>35679000</v>
      </c>
      <c r="H711" s="2" t="str">
        <f t="shared" si="11"/>
        <v>Turun</v>
      </c>
    </row>
    <row r="712" spans="1:8" x14ac:dyDescent="0.2">
      <c r="A712" s="1">
        <v>711</v>
      </c>
      <c r="B712" s="3">
        <v>45258</v>
      </c>
      <c r="C712" s="4">
        <v>8279.8662109375</v>
      </c>
      <c r="D712" s="4">
        <v>8349.8369113116205</v>
      </c>
      <c r="E712" s="4">
        <v>8256.5426441461295</v>
      </c>
      <c r="F712" s="4">
        <v>8279.8662109375</v>
      </c>
      <c r="G712" s="1">
        <v>69070600</v>
      </c>
      <c r="H712" s="2" t="str">
        <f t="shared" si="11"/>
        <v>Stabil</v>
      </c>
    </row>
    <row r="713" spans="1:8" x14ac:dyDescent="0.2">
      <c r="A713" s="1">
        <v>712</v>
      </c>
      <c r="B713" s="3">
        <v>45259</v>
      </c>
      <c r="C713" s="4">
        <v>8303.1884765625</v>
      </c>
      <c r="D713" s="4">
        <v>8349.8356028353192</v>
      </c>
      <c r="E713" s="4">
        <v>8303.1884765625</v>
      </c>
      <c r="F713" s="4">
        <v>8303.1884765625</v>
      </c>
      <c r="G713" s="1">
        <v>54715600</v>
      </c>
      <c r="H713" s="2" t="str">
        <f t="shared" si="11"/>
        <v>Naik</v>
      </c>
    </row>
    <row r="714" spans="1:8" x14ac:dyDescent="0.2">
      <c r="A714" s="1">
        <v>713</v>
      </c>
      <c r="B714" s="3">
        <v>45260</v>
      </c>
      <c r="C714" s="4">
        <v>8326.5130244603097</v>
      </c>
      <c r="D714" s="4">
        <v>8373.16015625</v>
      </c>
      <c r="E714" s="4">
        <v>8303.1894585654609</v>
      </c>
      <c r="F714" s="4">
        <v>8373.16015625</v>
      </c>
      <c r="G714" s="1">
        <v>205312100</v>
      </c>
      <c r="H714" s="2" t="str">
        <f t="shared" si="11"/>
        <v>Naik</v>
      </c>
    </row>
    <row r="715" spans="1:8" x14ac:dyDescent="0.2">
      <c r="A715" s="1">
        <v>714</v>
      </c>
      <c r="B715" s="3">
        <v>45261</v>
      </c>
      <c r="C715" s="4">
        <v>8326.5123734287699</v>
      </c>
      <c r="D715" s="4">
        <v>8373.1595015712301</v>
      </c>
      <c r="E715" s="4">
        <v>8303.1888093575399</v>
      </c>
      <c r="F715" s="4">
        <v>8349.8359375</v>
      </c>
      <c r="G715" s="1">
        <v>80566400</v>
      </c>
      <c r="H715" s="2" t="str">
        <f t="shared" si="11"/>
        <v>Turun</v>
      </c>
    </row>
    <row r="716" spans="1:8" x14ac:dyDescent="0.2">
      <c r="A716" s="1">
        <v>715</v>
      </c>
      <c r="B716" s="3">
        <v>45264</v>
      </c>
      <c r="C716" s="4">
        <v>8389.6750809698897</v>
      </c>
      <c r="D716" s="4">
        <v>8459.9796207545496</v>
      </c>
      <c r="E716" s="4">
        <v>8366.240234375</v>
      </c>
      <c r="F716" s="4">
        <v>8366.240234375</v>
      </c>
      <c r="G716" s="1">
        <v>54747400</v>
      </c>
      <c r="H716" s="2" t="str">
        <f t="shared" si="11"/>
        <v>Naik</v>
      </c>
    </row>
    <row r="717" spans="1:8" x14ac:dyDescent="0.2">
      <c r="A717" s="1">
        <v>716</v>
      </c>
      <c r="B717" s="3">
        <v>45265</v>
      </c>
      <c r="C717" s="4">
        <v>8389.6753588044303</v>
      </c>
      <c r="D717" s="4">
        <v>8389.6753588044303</v>
      </c>
      <c r="E717" s="4">
        <v>8272.50112194961</v>
      </c>
      <c r="F717" s="4">
        <v>8342.8056640625</v>
      </c>
      <c r="G717" s="1">
        <v>94363900</v>
      </c>
      <c r="H717" s="2" t="str">
        <f t="shared" si="11"/>
        <v>Turun</v>
      </c>
    </row>
    <row r="718" spans="1:8" x14ac:dyDescent="0.2">
      <c r="A718" s="1">
        <v>717</v>
      </c>
      <c r="B718" s="3">
        <v>45266</v>
      </c>
      <c r="C718" s="4">
        <v>8295.9370838512095</v>
      </c>
      <c r="D718" s="4">
        <v>8389.6764859286195</v>
      </c>
      <c r="E718" s="4">
        <v>8249.0673828125</v>
      </c>
      <c r="F718" s="4">
        <v>8249.0673828125</v>
      </c>
      <c r="G718" s="1">
        <v>81852800</v>
      </c>
      <c r="H718" s="2" t="str">
        <f t="shared" si="11"/>
        <v>Turun</v>
      </c>
    </row>
    <row r="719" spans="1:8" x14ac:dyDescent="0.2">
      <c r="A719" s="1">
        <v>718</v>
      </c>
      <c r="B719" s="3">
        <v>45267</v>
      </c>
      <c r="C719" s="4">
        <v>8202.1964356852004</v>
      </c>
      <c r="D719" s="4">
        <v>8272.5009765625</v>
      </c>
      <c r="E719" s="4">
        <v>8178.7615887260999</v>
      </c>
      <c r="F719" s="4">
        <v>8272.5009765625</v>
      </c>
      <c r="G719" s="1">
        <v>91322500</v>
      </c>
      <c r="H719" s="2" t="str">
        <f t="shared" si="11"/>
        <v>Naik</v>
      </c>
    </row>
    <row r="720" spans="1:8" x14ac:dyDescent="0.2">
      <c r="A720" s="1">
        <v>719</v>
      </c>
      <c r="B720" s="3">
        <v>45268</v>
      </c>
      <c r="C720" s="4">
        <v>8249.0669642857101</v>
      </c>
      <c r="D720" s="4">
        <v>8295.9366629464294</v>
      </c>
      <c r="E720" s="4">
        <v>8202.197265625</v>
      </c>
      <c r="F720" s="4">
        <v>8202.197265625</v>
      </c>
      <c r="G720" s="1">
        <v>43891600</v>
      </c>
      <c r="H720" s="2" t="str">
        <f t="shared" si="11"/>
        <v>Turun</v>
      </c>
    </row>
    <row r="721" spans="1:8" x14ac:dyDescent="0.2">
      <c r="A721" s="1">
        <v>720</v>
      </c>
      <c r="B721" s="3">
        <v>45271</v>
      </c>
      <c r="C721" s="4">
        <v>8131.8927176339303</v>
      </c>
      <c r="D721" s="4">
        <v>8225.6321149553605</v>
      </c>
      <c r="E721" s="4">
        <v>8131.8927176339303</v>
      </c>
      <c r="F721" s="4">
        <v>8202.197265625</v>
      </c>
      <c r="G721" s="1">
        <v>78642800</v>
      </c>
      <c r="H721" s="2" t="str">
        <f t="shared" si="11"/>
        <v>Stabil</v>
      </c>
    </row>
    <row r="722" spans="1:8" x14ac:dyDescent="0.2">
      <c r="A722" s="1">
        <v>721</v>
      </c>
      <c r="B722" s="3">
        <v>45272</v>
      </c>
      <c r="C722" s="4">
        <v>8155.32666015625</v>
      </c>
      <c r="D722" s="4">
        <v>8202.19635360543</v>
      </c>
      <c r="E722" s="4">
        <v>8155.32666015625</v>
      </c>
      <c r="F722" s="4">
        <v>8155.32666015625</v>
      </c>
      <c r="G722" s="1">
        <v>87589300</v>
      </c>
      <c r="H722" s="2" t="str">
        <f t="shared" si="11"/>
        <v>Turun</v>
      </c>
    </row>
    <row r="723" spans="1:8" x14ac:dyDescent="0.2">
      <c r="A723" s="1">
        <v>722</v>
      </c>
      <c r="B723" s="3">
        <v>45273</v>
      </c>
      <c r="C723" s="4">
        <v>8155.3274270533102</v>
      </c>
      <c r="D723" s="4">
        <v>8202.1971249099406</v>
      </c>
      <c r="E723" s="4">
        <v>8131.892578125</v>
      </c>
      <c r="F723" s="4">
        <v>8131.892578125</v>
      </c>
      <c r="G723" s="1">
        <v>51560500</v>
      </c>
      <c r="H723" s="2" t="str">
        <f t="shared" si="11"/>
        <v>Turun</v>
      </c>
    </row>
    <row r="724" spans="1:8" x14ac:dyDescent="0.2">
      <c r="A724" s="1">
        <v>723</v>
      </c>
      <c r="B724" s="3">
        <v>45274</v>
      </c>
      <c r="C724" s="4">
        <v>8225.6317091462406</v>
      </c>
      <c r="D724" s="4">
        <v>8483.4150390625</v>
      </c>
      <c r="E724" s="4">
        <v>8202.1968609720298</v>
      </c>
      <c r="F724" s="4">
        <v>8483.4150390625</v>
      </c>
      <c r="G724" s="1">
        <v>115332800</v>
      </c>
      <c r="H724" s="2" t="str">
        <f t="shared" si="11"/>
        <v>Naik</v>
      </c>
    </row>
    <row r="725" spans="1:8" x14ac:dyDescent="0.2">
      <c r="A725" s="1">
        <v>724</v>
      </c>
      <c r="B725" s="3">
        <v>45275</v>
      </c>
      <c r="C725" s="4">
        <v>8553.7195915904504</v>
      </c>
      <c r="D725" s="4">
        <v>8647.458984375</v>
      </c>
      <c r="E725" s="4">
        <v>8506.8498951981692</v>
      </c>
      <c r="F725" s="4">
        <v>8647.458984375</v>
      </c>
      <c r="G725" s="1">
        <v>275013500</v>
      </c>
      <c r="H725" s="2" t="str">
        <f t="shared" si="11"/>
        <v>Naik</v>
      </c>
    </row>
    <row r="726" spans="1:8" x14ac:dyDescent="0.2">
      <c r="A726" s="1">
        <v>725</v>
      </c>
      <c r="B726" s="3">
        <v>45278</v>
      </c>
      <c r="C726" s="4">
        <v>8624.0244140625</v>
      </c>
      <c r="D726" s="4">
        <v>8647.4592630137595</v>
      </c>
      <c r="E726" s="4">
        <v>8577.1547161599901</v>
      </c>
      <c r="F726" s="4">
        <v>8624.0244140625</v>
      </c>
      <c r="G726" s="1">
        <v>111712200</v>
      </c>
      <c r="H726" s="2" t="str">
        <f t="shared" si="11"/>
        <v>Turun</v>
      </c>
    </row>
    <row r="727" spans="1:8" x14ac:dyDescent="0.2">
      <c r="A727" s="1">
        <v>726</v>
      </c>
      <c r="B727" s="3">
        <v>45279</v>
      </c>
      <c r="C727" s="4">
        <v>8553.7202808276998</v>
      </c>
      <c r="D727" s="4">
        <v>8670.89453125</v>
      </c>
      <c r="E727" s="4">
        <v>8553.7202808276998</v>
      </c>
      <c r="F727" s="4">
        <v>8670.89453125</v>
      </c>
      <c r="G727" s="1">
        <v>65174500</v>
      </c>
      <c r="H727" s="2" t="str">
        <f t="shared" si="11"/>
        <v>Naik</v>
      </c>
    </row>
    <row r="728" spans="1:8" x14ac:dyDescent="0.2">
      <c r="A728" s="1">
        <v>727</v>
      </c>
      <c r="B728" s="3">
        <v>45280</v>
      </c>
      <c r="C728" s="4">
        <v>8670.8939747143795</v>
      </c>
      <c r="D728" s="4">
        <v>8717.763671875</v>
      </c>
      <c r="E728" s="4">
        <v>8647.4591261340702</v>
      </c>
      <c r="F728" s="4">
        <v>8717.763671875</v>
      </c>
      <c r="G728" s="1">
        <v>72938100</v>
      </c>
      <c r="H728" s="2" t="str">
        <f t="shared" si="11"/>
        <v>Naik</v>
      </c>
    </row>
    <row r="729" spans="1:8" x14ac:dyDescent="0.2">
      <c r="A729" s="1">
        <v>728</v>
      </c>
      <c r="B729" s="3">
        <v>45281</v>
      </c>
      <c r="C729" s="4">
        <v>8717.7633943532201</v>
      </c>
      <c r="D729" s="4">
        <v>8741.1982421875</v>
      </c>
      <c r="E729" s="4">
        <v>8670.8936986846493</v>
      </c>
      <c r="F729" s="4">
        <v>8741.1982421875</v>
      </c>
      <c r="G729" s="1">
        <v>88116700</v>
      </c>
      <c r="H729" s="2" t="str">
        <f t="shared" si="11"/>
        <v>Naik</v>
      </c>
    </row>
    <row r="730" spans="1:8" x14ac:dyDescent="0.2">
      <c r="A730" s="1">
        <v>729</v>
      </c>
      <c r="B730" s="3">
        <v>45282</v>
      </c>
      <c r="C730" s="4">
        <v>8694.3285465189401</v>
      </c>
      <c r="D730" s="4">
        <v>8764.6330900217799</v>
      </c>
      <c r="E730" s="4">
        <v>8694.3285465189401</v>
      </c>
      <c r="F730" s="4">
        <v>8741.1982421875</v>
      </c>
      <c r="G730" s="1">
        <v>64449600</v>
      </c>
      <c r="H730" s="2" t="str">
        <f t="shared" si="11"/>
        <v>Stabil</v>
      </c>
    </row>
    <row r="731" spans="1:8" x14ac:dyDescent="0.2">
      <c r="A731" s="1">
        <v>730</v>
      </c>
      <c r="B731" s="3">
        <v>45287</v>
      </c>
      <c r="C731" s="4">
        <v>8788.068359375</v>
      </c>
      <c r="D731" s="4">
        <v>8811.5032083333299</v>
      </c>
      <c r="E731" s="4">
        <v>8741.1986614583293</v>
      </c>
      <c r="F731" s="4">
        <v>8788.068359375</v>
      </c>
      <c r="G731" s="1">
        <v>64464700</v>
      </c>
      <c r="H731" s="2" t="str">
        <f t="shared" si="11"/>
        <v>Naik</v>
      </c>
    </row>
    <row r="732" spans="1:8" x14ac:dyDescent="0.2">
      <c r="A732" s="1">
        <v>731</v>
      </c>
      <c r="B732" s="3">
        <v>45288</v>
      </c>
      <c r="C732" s="4">
        <v>8741.1983850357392</v>
      </c>
      <c r="D732" s="4">
        <v>8834.93777790475</v>
      </c>
      <c r="E732" s="4">
        <v>8741.1983850357392</v>
      </c>
      <c r="F732" s="4">
        <v>8811.5029296875</v>
      </c>
      <c r="G732" s="1">
        <v>70184600</v>
      </c>
      <c r="H732" s="2" t="str">
        <f t="shared" si="11"/>
        <v>Naik</v>
      </c>
    </row>
    <row r="733" spans="1:8" x14ac:dyDescent="0.2">
      <c r="A733" s="1">
        <v>732</v>
      </c>
      <c r="B733" s="3">
        <v>45289</v>
      </c>
      <c r="C733" s="4">
        <v>8834.93777790475</v>
      </c>
      <c r="D733" s="4">
        <v>8858.3726261220108</v>
      </c>
      <c r="E733" s="4">
        <v>8764.6332332529892</v>
      </c>
      <c r="F733" s="4">
        <v>8811.5029296875</v>
      </c>
      <c r="G733" s="1">
        <v>79903400</v>
      </c>
      <c r="H733" s="2" t="str">
        <f t="shared" si="11"/>
        <v>Stabil</v>
      </c>
    </row>
    <row r="734" spans="1:8" x14ac:dyDescent="0.2">
      <c r="A734" s="1">
        <v>733</v>
      </c>
      <c r="B734" s="3">
        <v>45293</v>
      </c>
      <c r="C734" s="4">
        <v>8811.50362649204</v>
      </c>
      <c r="D734" s="4">
        <v>8834.9384765625</v>
      </c>
      <c r="E734" s="4">
        <v>8764.6339263511309</v>
      </c>
      <c r="F734" s="4">
        <v>8834.9384765625</v>
      </c>
      <c r="G734" s="1">
        <v>30545200</v>
      </c>
      <c r="H734" s="2" t="str">
        <f t="shared" si="11"/>
        <v>Naik</v>
      </c>
    </row>
    <row r="735" spans="1:8" x14ac:dyDescent="0.2">
      <c r="A735" s="1">
        <v>734</v>
      </c>
      <c r="B735" s="3">
        <v>45294</v>
      </c>
      <c r="C735" s="4">
        <v>8834.9373537767406</v>
      </c>
      <c r="D735" s="4">
        <v>8834.9373537767406</v>
      </c>
      <c r="E735" s="4">
        <v>8741.1979654077495</v>
      </c>
      <c r="F735" s="4">
        <v>8764.6328125</v>
      </c>
      <c r="G735" s="1">
        <v>34603300</v>
      </c>
      <c r="H735" s="2" t="str">
        <f t="shared" si="11"/>
        <v>Turun</v>
      </c>
    </row>
    <row r="736" spans="1:8" x14ac:dyDescent="0.2">
      <c r="A736" s="1">
        <v>735</v>
      </c>
      <c r="B736" s="3">
        <v>45295</v>
      </c>
      <c r="C736" s="4">
        <v>8811.50210257256</v>
      </c>
      <c r="D736" s="4">
        <v>8881.806640625</v>
      </c>
      <c r="E736" s="4">
        <v>8788.0672565550794</v>
      </c>
      <c r="F736" s="4">
        <v>8881.806640625</v>
      </c>
      <c r="G736" s="1">
        <v>56501800</v>
      </c>
      <c r="H736" s="2" t="str">
        <f t="shared" si="11"/>
        <v>Naik</v>
      </c>
    </row>
    <row r="737" spans="1:8" x14ac:dyDescent="0.2">
      <c r="A737" s="1">
        <v>736</v>
      </c>
      <c r="B737" s="3">
        <v>45296</v>
      </c>
      <c r="C737" s="4">
        <v>8905.2432992003905</v>
      </c>
      <c r="D737" s="4">
        <v>8998.9827023498692</v>
      </c>
      <c r="E737" s="4">
        <v>8881.8084484130195</v>
      </c>
      <c r="F737" s="4">
        <v>8975.5478515625</v>
      </c>
      <c r="G737" s="1">
        <v>85290100</v>
      </c>
      <c r="H737" s="2" t="str">
        <f t="shared" si="11"/>
        <v>Naik</v>
      </c>
    </row>
    <row r="738" spans="1:8" x14ac:dyDescent="0.2">
      <c r="A738" s="1">
        <v>737</v>
      </c>
      <c r="B738" s="3">
        <v>45299</v>
      </c>
      <c r="C738" s="4">
        <v>8998.9827023498692</v>
      </c>
      <c r="D738" s="4">
        <v>9022.4175531372402</v>
      </c>
      <c r="E738" s="4">
        <v>8881.8084484130195</v>
      </c>
      <c r="F738" s="4">
        <v>8975.5478515625</v>
      </c>
      <c r="G738" s="1">
        <v>50896000</v>
      </c>
      <c r="H738" s="2" t="str">
        <f t="shared" si="11"/>
        <v>Stabil</v>
      </c>
    </row>
    <row r="739" spans="1:8" x14ac:dyDescent="0.2">
      <c r="A739" s="1">
        <v>738</v>
      </c>
      <c r="B739" s="3">
        <v>45300</v>
      </c>
      <c r="C739" s="4">
        <v>8998.9811688311693</v>
      </c>
      <c r="D739" s="4">
        <v>9022.416015625</v>
      </c>
      <c r="E739" s="4">
        <v>8975.5463220373404</v>
      </c>
      <c r="F739" s="4">
        <v>9022.416015625</v>
      </c>
      <c r="G739" s="1">
        <v>59848600</v>
      </c>
      <c r="H739" s="2" t="str">
        <f t="shared" si="11"/>
        <v>Naik</v>
      </c>
    </row>
    <row r="740" spans="1:8" x14ac:dyDescent="0.2">
      <c r="A740" s="1">
        <v>739</v>
      </c>
      <c r="B740" s="3">
        <v>45301</v>
      </c>
      <c r="C740" s="4">
        <v>9045.8517005481008</v>
      </c>
      <c r="D740" s="4">
        <v>9045.8517005481008</v>
      </c>
      <c r="E740" s="4">
        <v>8952.1123046875</v>
      </c>
      <c r="F740" s="4">
        <v>8952.1123046875</v>
      </c>
      <c r="G740" s="1">
        <v>52774900</v>
      </c>
      <c r="H740" s="2" t="str">
        <f t="shared" si="11"/>
        <v>Turun</v>
      </c>
    </row>
    <row r="741" spans="1:8" x14ac:dyDescent="0.2">
      <c r="A741" s="1">
        <v>740</v>
      </c>
      <c r="B741" s="3">
        <v>45302</v>
      </c>
      <c r="C741" s="4">
        <v>9022.4175531372402</v>
      </c>
      <c r="D741" s="4">
        <v>9045.8524039246095</v>
      </c>
      <c r="E741" s="4">
        <v>8975.5478515625</v>
      </c>
      <c r="F741" s="4">
        <v>8975.5478515625</v>
      </c>
      <c r="G741" s="1">
        <v>39381500</v>
      </c>
      <c r="H741" s="2" t="str">
        <f t="shared" si="11"/>
        <v>Naik</v>
      </c>
    </row>
    <row r="742" spans="1:8" x14ac:dyDescent="0.2">
      <c r="A742" s="1">
        <v>741</v>
      </c>
      <c r="B742" s="3">
        <v>45303</v>
      </c>
      <c r="C742" s="4">
        <v>9045.8519803076706</v>
      </c>
      <c r="D742" s="4">
        <v>9092.7216796875</v>
      </c>
      <c r="E742" s="4">
        <v>8998.9822809278394</v>
      </c>
      <c r="F742" s="4">
        <v>9092.7216796875</v>
      </c>
      <c r="G742" s="1">
        <v>68253400</v>
      </c>
      <c r="H742" s="2" t="str">
        <f t="shared" si="11"/>
        <v>Naik</v>
      </c>
    </row>
    <row r="743" spans="1:8" x14ac:dyDescent="0.2">
      <c r="A743" s="1">
        <v>742</v>
      </c>
      <c r="B743" s="3">
        <v>45306</v>
      </c>
      <c r="C743" s="4">
        <v>9139.5910989717195</v>
      </c>
      <c r="D743" s="4">
        <v>9139.5910989717195</v>
      </c>
      <c r="E743" s="4">
        <v>9045.8517030848307</v>
      </c>
      <c r="F743" s="4">
        <v>9116.15625</v>
      </c>
      <c r="G743" s="1">
        <v>88399500</v>
      </c>
      <c r="H743" s="2" t="str">
        <f t="shared" si="11"/>
        <v>Naik</v>
      </c>
    </row>
    <row r="744" spans="1:8" x14ac:dyDescent="0.2">
      <c r="A744" s="1">
        <v>743</v>
      </c>
      <c r="B744" s="3">
        <v>45307</v>
      </c>
      <c r="C744" s="4">
        <v>9092.7216796875</v>
      </c>
      <c r="D744" s="4">
        <v>9139.5913790673294</v>
      </c>
      <c r="E744" s="4">
        <v>9069.2868299975798</v>
      </c>
      <c r="F744" s="4">
        <v>9092.7216796875</v>
      </c>
      <c r="G744" s="1">
        <v>44869200</v>
      </c>
      <c r="H744" s="2" t="str">
        <f t="shared" si="11"/>
        <v>Turun</v>
      </c>
    </row>
    <row r="745" spans="1:8" x14ac:dyDescent="0.2">
      <c r="A745" s="1">
        <v>744</v>
      </c>
      <c r="B745" s="3">
        <v>45308</v>
      </c>
      <c r="C745" s="4">
        <v>9139.5908203125</v>
      </c>
      <c r="D745" s="4">
        <v>9139.5908203125</v>
      </c>
      <c r="E745" s="4">
        <v>9045.8514272836492</v>
      </c>
      <c r="F745" s="4">
        <v>9139.5908203125</v>
      </c>
      <c r="G745" s="1">
        <v>107706100</v>
      </c>
      <c r="H745" s="2" t="str">
        <f t="shared" si="11"/>
        <v>Naik</v>
      </c>
    </row>
    <row r="746" spans="1:8" x14ac:dyDescent="0.2">
      <c r="A746" s="1">
        <v>745</v>
      </c>
      <c r="B746" s="3">
        <v>45309</v>
      </c>
      <c r="C746" s="4">
        <v>9069.287109375</v>
      </c>
      <c r="D746" s="4">
        <v>9139.5916606104693</v>
      </c>
      <c r="E746" s="4">
        <v>9022.4174085513605</v>
      </c>
      <c r="F746" s="4">
        <v>9069.287109375</v>
      </c>
      <c r="G746" s="1">
        <v>71048900</v>
      </c>
      <c r="H746" s="2" t="str">
        <f t="shared" si="11"/>
        <v>Turun</v>
      </c>
    </row>
    <row r="747" spans="1:8" x14ac:dyDescent="0.2">
      <c r="A747" s="1">
        <v>746</v>
      </c>
      <c r="B747" s="3">
        <v>45310</v>
      </c>
      <c r="C747" s="4">
        <v>9163.0250963879898</v>
      </c>
      <c r="D747" s="4">
        <v>9163.0250963879898</v>
      </c>
      <c r="E747" s="4">
        <v>8998.9811688311693</v>
      </c>
      <c r="F747" s="4">
        <v>9022.416015625</v>
      </c>
      <c r="G747" s="1">
        <v>63176500</v>
      </c>
      <c r="H747" s="2" t="str">
        <f t="shared" si="11"/>
        <v>Turun</v>
      </c>
    </row>
    <row r="748" spans="1:8" x14ac:dyDescent="0.2">
      <c r="A748" s="1">
        <v>747</v>
      </c>
      <c r="B748" s="3">
        <v>45313</v>
      </c>
      <c r="C748" s="4">
        <v>8998.9811688311693</v>
      </c>
      <c r="D748" s="4">
        <v>9045.8508624188307</v>
      </c>
      <c r="E748" s="4">
        <v>8928.6766284496807</v>
      </c>
      <c r="F748" s="4">
        <v>9022.416015625</v>
      </c>
      <c r="G748" s="1">
        <v>52868300</v>
      </c>
      <c r="H748" s="2" t="str">
        <f t="shared" si="11"/>
        <v>Stabil</v>
      </c>
    </row>
    <row r="749" spans="1:8" x14ac:dyDescent="0.2">
      <c r="A749" s="1">
        <v>748</v>
      </c>
      <c r="B749" s="3">
        <v>45314</v>
      </c>
      <c r="C749" s="4">
        <v>8858.3723602294904</v>
      </c>
      <c r="D749" s="4">
        <v>8998.9814453125</v>
      </c>
      <c r="E749" s="4">
        <v>8858.3723602294904</v>
      </c>
      <c r="F749" s="4">
        <v>8998.9814453125</v>
      </c>
      <c r="G749" s="1">
        <v>92348600</v>
      </c>
      <c r="H749" s="2" t="str">
        <f t="shared" si="11"/>
        <v>Turun</v>
      </c>
    </row>
    <row r="750" spans="1:8" x14ac:dyDescent="0.2">
      <c r="A750" s="1">
        <v>749</v>
      </c>
      <c r="B750" s="3">
        <v>45315</v>
      </c>
      <c r="C750" s="4">
        <v>8998.9812992126008</v>
      </c>
      <c r="D750" s="4">
        <v>8998.9812992126008</v>
      </c>
      <c r="E750" s="4">
        <v>8881.8070635457698</v>
      </c>
      <c r="F750" s="4">
        <v>8928.6767578125</v>
      </c>
      <c r="G750" s="1">
        <v>84906000</v>
      </c>
      <c r="H750" s="2" t="str">
        <f t="shared" si="11"/>
        <v>Turun</v>
      </c>
    </row>
    <row r="751" spans="1:8" x14ac:dyDescent="0.2">
      <c r="A751" s="1">
        <v>750</v>
      </c>
      <c r="B751" s="3">
        <v>45316</v>
      </c>
      <c r="C751" s="4">
        <v>8858.3734631990101</v>
      </c>
      <c r="D751" s="4">
        <v>8975.5477153577303</v>
      </c>
      <c r="E751" s="4">
        <v>8858.3734631990101</v>
      </c>
      <c r="F751" s="4">
        <v>8905.2431640625</v>
      </c>
      <c r="G751" s="1">
        <v>63212700</v>
      </c>
      <c r="H751" s="2" t="str">
        <f t="shared" si="11"/>
        <v>Turun</v>
      </c>
    </row>
    <row r="752" spans="1:8" x14ac:dyDescent="0.2">
      <c r="A752" s="1">
        <v>751</v>
      </c>
      <c r="B752" s="3">
        <v>45317</v>
      </c>
      <c r="C752" s="4">
        <v>8811.5025066844901</v>
      </c>
      <c r="D752" s="4">
        <v>8858.3722008689801</v>
      </c>
      <c r="E752" s="4">
        <v>8717.7631183155099</v>
      </c>
      <c r="F752" s="4">
        <v>8764.6328125</v>
      </c>
      <c r="G752" s="1">
        <v>78977300</v>
      </c>
      <c r="H752" s="2" t="str">
        <f t="shared" si="11"/>
        <v>Turun</v>
      </c>
    </row>
    <row r="753" spans="1:8" x14ac:dyDescent="0.2">
      <c r="A753" s="1">
        <v>752</v>
      </c>
      <c r="B753" s="3">
        <v>45320</v>
      </c>
      <c r="C753" s="4">
        <v>8811.5032108966006</v>
      </c>
      <c r="D753" s="4">
        <v>8952.1123046875</v>
      </c>
      <c r="E753" s="4">
        <v>8788.0683619314495</v>
      </c>
      <c r="F753" s="4">
        <v>8952.1123046875</v>
      </c>
      <c r="G753" s="1">
        <v>73452800</v>
      </c>
      <c r="H753" s="2" t="str">
        <f t="shared" si="11"/>
        <v>Naik</v>
      </c>
    </row>
    <row r="754" spans="1:8" x14ac:dyDescent="0.2">
      <c r="A754" s="1">
        <v>753</v>
      </c>
      <c r="B754" s="3">
        <v>45321</v>
      </c>
      <c r="C754" s="4">
        <v>8905.2424708549206</v>
      </c>
      <c r="D754" s="4">
        <v>9045.8515625</v>
      </c>
      <c r="E754" s="4">
        <v>8881.8076222474101</v>
      </c>
      <c r="F754" s="4">
        <v>9045.8515625</v>
      </c>
      <c r="G754" s="1">
        <v>73136400</v>
      </c>
      <c r="H754" s="2" t="str">
        <f t="shared" si="11"/>
        <v>Naik</v>
      </c>
    </row>
    <row r="755" spans="1:8" x14ac:dyDescent="0.2">
      <c r="A755" s="1">
        <v>754</v>
      </c>
      <c r="B755" s="3">
        <v>45322</v>
      </c>
      <c r="C755" s="4">
        <v>9092.7213984783994</v>
      </c>
      <c r="D755" s="4">
        <v>9092.7213984783994</v>
      </c>
      <c r="E755" s="4">
        <v>8952.1123046875</v>
      </c>
      <c r="F755" s="4">
        <v>8952.1123046875</v>
      </c>
      <c r="G755" s="1">
        <v>102581200</v>
      </c>
      <c r="H755" s="2" t="str">
        <f t="shared" si="11"/>
        <v>Turun</v>
      </c>
    </row>
    <row r="756" spans="1:8" x14ac:dyDescent="0.2">
      <c r="A756" s="1">
        <v>755</v>
      </c>
      <c r="B756" s="3">
        <v>45323</v>
      </c>
      <c r="C756" s="4">
        <v>9045.8519803076706</v>
      </c>
      <c r="D756" s="4">
        <v>9116.1565293774202</v>
      </c>
      <c r="E756" s="4">
        <v>8975.5474312379192</v>
      </c>
      <c r="F756" s="4">
        <v>9092.7216796875</v>
      </c>
      <c r="G756" s="1">
        <v>104208700</v>
      </c>
      <c r="H756" s="2" t="str">
        <f t="shared" si="11"/>
        <v>Naik</v>
      </c>
    </row>
    <row r="757" spans="1:8" x14ac:dyDescent="0.2">
      <c r="A757" s="1">
        <v>756</v>
      </c>
      <c r="B757" s="3">
        <v>45324</v>
      </c>
      <c r="C757" s="4">
        <v>9163.0262287572496</v>
      </c>
      <c r="D757" s="4">
        <v>9186.4610784471606</v>
      </c>
      <c r="E757" s="4">
        <v>9022.4171306177504</v>
      </c>
      <c r="F757" s="4">
        <v>9092.7216796875</v>
      </c>
      <c r="G757" s="1">
        <v>99324000</v>
      </c>
      <c r="H757" s="2" t="str">
        <f t="shared" si="11"/>
        <v>Stabil</v>
      </c>
    </row>
    <row r="758" spans="1:8" x14ac:dyDescent="0.2">
      <c r="A758" s="1">
        <v>757</v>
      </c>
      <c r="B758" s="3">
        <v>45327</v>
      </c>
      <c r="C758" s="4">
        <v>9069.2872547119805</v>
      </c>
      <c r="D758" s="4">
        <v>9069.2872547119805</v>
      </c>
      <c r="E758" s="4">
        <v>8928.6781499877598</v>
      </c>
      <c r="F758" s="4">
        <v>8975.5478515625</v>
      </c>
      <c r="G758" s="1">
        <v>57983300</v>
      </c>
      <c r="H758" s="2" t="str">
        <f t="shared" si="11"/>
        <v>Turun</v>
      </c>
    </row>
    <row r="759" spans="1:8" x14ac:dyDescent="0.2">
      <c r="A759" s="1">
        <v>758</v>
      </c>
      <c r="B759" s="3">
        <v>45328</v>
      </c>
      <c r="C759" s="4">
        <v>9139.5902495941591</v>
      </c>
      <c r="D759" s="4">
        <v>9139.5902495941591</v>
      </c>
      <c r="E759" s="4">
        <v>9022.416015625</v>
      </c>
      <c r="F759" s="4">
        <v>9022.416015625</v>
      </c>
      <c r="G759" s="1">
        <v>87651000</v>
      </c>
      <c r="H759" s="2" t="str">
        <f t="shared" si="11"/>
        <v>Naik</v>
      </c>
    </row>
    <row r="760" spans="1:8" x14ac:dyDescent="0.2">
      <c r="A760" s="1">
        <v>759</v>
      </c>
      <c r="B760" s="3">
        <v>45329</v>
      </c>
      <c r="C760" s="4">
        <v>9092.7216796875</v>
      </c>
      <c r="D760" s="4">
        <v>9116.1565293774202</v>
      </c>
      <c r="E760" s="4">
        <v>9045.8519803076706</v>
      </c>
      <c r="F760" s="4">
        <v>9092.7216796875</v>
      </c>
      <c r="G760" s="1">
        <v>92953500</v>
      </c>
      <c r="H760" s="2" t="str">
        <f t="shared" si="11"/>
        <v>Naik</v>
      </c>
    </row>
    <row r="761" spans="1:8" x14ac:dyDescent="0.2">
      <c r="A761" s="1">
        <v>760</v>
      </c>
      <c r="B761" s="3">
        <v>45334</v>
      </c>
      <c r="C761" s="4">
        <v>9139.5902672592492</v>
      </c>
      <c r="D761" s="4">
        <v>9186.4599609375</v>
      </c>
      <c r="E761" s="4">
        <v>9092.7205735810003</v>
      </c>
      <c r="F761" s="4">
        <v>9186.4599609375</v>
      </c>
      <c r="G761" s="1">
        <v>87949400</v>
      </c>
      <c r="H761" s="2" t="str">
        <f t="shared" si="11"/>
        <v>Naik</v>
      </c>
    </row>
    <row r="762" spans="1:8" x14ac:dyDescent="0.2">
      <c r="A762" s="1">
        <v>761</v>
      </c>
      <c r="B762" s="3">
        <v>45335</v>
      </c>
      <c r="C762" s="4">
        <v>9139.5910989717195</v>
      </c>
      <c r="D762" s="4">
        <v>9186.4607969151693</v>
      </c>
      <c r="E762" s="4">
        <v>9092.7214010282805</v>
      </c>
      <c r="F762" s="4">
        <v>9116.15625</v>
      </c>
      <c r="G762" s="1">
        <v>66072400</v>
      </c>
      <c r="H762" s="2" t="str">
        <f t="shared" si="11"/>
        <v>Turun</v>
      </c>
    </row>
    <row r="763" spans="1:8" x14ac:dyDescent="0.2">
      <c r="A763" s="1">
        <v>762</v>
      </c>
      <c r="B763" s="3">
        <v>45337</v>
      </c>
      <c r="C763" s="4">
        <v>9327.0704562579303</v>
      </c>
      <c r="D763" s="4">
        <v>9350.5053066505407</v>
      </c>
      <c r="E763" s="4">
        <v>9233.3310546875</v>
      </c>
      <c r="F763" s="4">
        <v>9233.3310546875</v>
      </c>
      <c r="G763" s="1">
        <v>164748900</v>
      </c>
      <c r="H763" s="2" t="str">
        <f t="shared" si="11"/>
        <v>Naik</v>
      </c>
    </row>
    <row r="764" spans="1:8" x14ac:dyDescent="0.2">
      <c r="A764" s="1">
        <v>763</v>
      </c>
      <c r="B764" s="3">
        <v>45338</v>
      </c>
      <c r="C764" s="4">
        <v>9350.5041835152297</v>
      </c>
      <c r="D764" s="4">
        <v>9373.9390310929703</v>
      </c>
      <c r="E764" s="4">
        <v>9256.7647932043001</v>
      </c>
      <c r="F764" s="4">
        <v>9327.0693359375</v>
      </c>
      <c r="G764" s="1">
        <v>142277200</v>
      </c>
      <c r="H764" s="2" t="str">
        <f t="shared" si="11"/>
        <v>Naik</v>
      </c>
    </row>
    <row r="765" spans="1:8" x14ac:dyDescent="0.2">
      <c r="A765" s="1">
        <v>764</v>
      </c>
      <c r="B765" s="3">
        <v>45341</v>
      </c>
      <c r="C765" s="4">
        <v>9280.2004746835501</v>
      </c>
      <c r="D765" s="4">
        <v>9350.5050237341802</v>
      </c>
      <c r="E765" s="4">
        <v>9209.8959256329108</v>
      </c>
      <c r="F765" s="4">
        <v>9256.765625</v>
      </c>
      <c r="G765" s="1">
        <v>53341300</v>
      </c>
      <c r="H765" s="2" t="str">
        <f t="shared" si="11"/>
        <v>Turun</v>
      </c>
    </row>
    <row r="766" spans="1:8" x14ac:dyDescent="0.2">
      <c r="A766" s="1">
        <v>765</v>
      </c>
      <c r="B766" s="3">
        <v>45342</v>
      </c>
      <c r="C766" s="4">
        <v>9233.3300878662703</v>
      </c>
      <c r="D766" s="4">
        <v>9397.3740234375</v>
      </c>
      <c r="E766" s="4">
        <v>9233.3300878662703</v>
      </c>
      <c r="F766" s="4">
        <v>9397.3740234375</v>
      </c>
      <c r="G766" s="1">
        <v>63997700</v>
      </c>
      <c r="H766" s="2" t="str">
        <f t="shared" si="11"/>
        <v>Naik</v>
      </c>
    </row>
    <row r="767" spans="1:8" x14ac:dyDescent="0.2">
      <c r="A767" s="1">
        <v>766</v>
      </c>
      <c r="B767" s="3">
        <v>45343</v>
      </c>
      <c r="C767" s="4">
        <v>9327.0700334821395</v>
      </c>
      <c r="D767" s="4">
        <v>9373.9397321428605</v>
      </c>
      <c r="E767" s="4">
        <v>9233.3306361607101</v>
      </c>
      <c r="F767" s="4">
        <v>9350.5048828125</v>
      </c>
      <c r="G767" s="1">
        <v>75371600</v>
      </c>
      <c r="H767" s="2" t="str">
        <f t="shared" si="11"/>
        <v>Turun</v>
      </c>
    </row>
    <row r="768" spans="1:8" x14ac:dyDescent="0.2">
      <c r="A768" s="1">
        <v>767</v>
      </c>
      <c r="B768" s="3">
        <v>45344</v>
      </c>
      <c r="C768" s="4">
        <v>9350.5050237341802</v>
      </c>
      <c r="D768" s="4">
        <v>9350.5050237341802</v>
      </c>
      <c r="E768" s="4">
        <v>9256.765625</v>
      </c>
      <c r="F768" s="4">
        <v>9256.765625</v>
      </c>
      <c r="G768" s="1">
        <v>66913000</v>
      </c>
      <c r="H768" s="2" t="str">
        <f t="shared" si="11"/>
        <v>Turun</v>
      </c>
    </row>
    <row r="769" spans="1:8" x14ac:dyDescent="0.2">
      <c r="A769" s="1">
        <v>768</v>
      </c>
      <c r="B769" s="3">
        <v>45345</v>
      </c>
      <c r="C769" s="4">
        <v>9280.2000536736705</v>
      </c>
      <c r="D769" s="4">
        <v>9303.6349022940503</v>
      </c>
      <c r="E769" s="4">
        <v>9186.4606591921092</v>
      </c>
      <c r="F769" s="4">
        <v>9209.8955078125</v>
      </c>
      <c r="G769" s="1">
        <v>55192300</v>
      </c>
      <c r="H769" s="2" t="str">
        <f t="shared" si="11"/>
        <v>Turun</v>
      </c>
    </row>
    <row r="770" spans="1:8" x14ac:dyDescent="0.2">
      <c r="A770" s="1">
        <v>769</v>
      </c>
      <c r="B770" s="3">
        <v>45348</v>
      </c>
      <c r="C770" s="4">
        <v>9139.5902672592492</v>
      </c>
      <c r="D770" s="4">
        <v>9256.7645014548798</v>
      </c>
      <c r="E770" s="4">
        <v>9116.1554204201202</v>
      </c>
      <c r="F770" s="4">
        <v>9186.4599609375</v>
      </c>
      <c r="G770" s="1">
        <v>41356000</v>
      </c>
      <c r="H770" s="2" t="str">
        <f t="shared" si="11"/>
        <v>Turun</v>
      </c>
    </row>
    <row r="771" spans="1:8" x14ac:dyDescent="0.2">
      <c r="A771" s="1">
        <v>770</v>
      </c>
      <c r="B771" s="3">
        <v>45349</v>
      </c>
      <c r="C771" s="4">
        <v>9139.5913765822806</v>
      </c>
      <c r="D771" s="4">
        <v>9280.2004746835501</v>
      </c>
      <c r="E771" s="4">
        <v>9139.5913765822806</v>
      </c>
      <c r="F771" s="4">
        <v>9256.765625</v>
      </c>
      <c r="G771" s="1">
        <v>43735800</v>
      </c>
      <c r="H771" s="2" t="str">
        <f t="shared" si="11"/>
        <v>Naik</v>
      </c>
    </row>
    <row r="772" spans="1:8" x14ac:dyDescent="0.2">
      <c r="A772" s="1">
        <v>771</v>
      </c>
      <c r="B772" s="3">
        <v>45350</v>
      </c>
      <c r="C772" s="4">
        <v>9350.5046044921892</v>
      </c>
      <c r="D772" s="4">
        <v>9373.939453125</v>
      </c>
      <c r="E772" s="4">
        <v>9280.2000585937494</v>
      </c>
      <c r="F772" s="4">
        <v>9373.939453125</v>
      </c>
      <c r="G772" s="1">
        <v>54043100</v>
      </c>
      <c r="H772" s="2" t="str">
        <f t="shared" ref="H772:H835" si="12">IF(F772&gt;F771,"Naik",IF(F772&lt;F771,"Turun","Stabil"))</f>
        <v>Naik</v>
      </c>
    </row>
    <row r="773" spans="1:8" x14ac:dyDescent="0.2">
      <c r="A773" s="1">
        <v>772</v>
      </c>
      <c r="B773" s="3">
        <v>45351</v>
      </c>
      <c r="C773" s="4">
        <v>9373.9398734177194</v>
      </c>
      <c r="D773" s="4">
        <v>9373.9398734177194</v>
      </c>
      <c r="E773" s="4">
        <v>9233.3307753164609</v>
      </c>
      <c r="F773" s="4">
        <v>9256.765625</v>
      </c>
      <c r="G773" s="1">
        <v>126671200</v>
      </c>
      <c r="H773" s="2" t="str">
        <f t="shared" si="12"/>
        <v>Turun</v>
      </c>
    </row>
    <row r="774" spans="1:8" x14ac:dyDescent="0.2">
      <c r="A774" s="1">
        <v>773</v>
      </c>
      <c r="B774" s="3">
        <v>45352</v>
      </c>
      <c r="C774" s="4">
        <v>9280.2000536736705</v>
      </c>
      <c r="D774" s="4">
        <v>9303.6349022940503</v>
      </c>
      <c r="E774" s="4">
        <v>9186.4606591921092</v>
      </c>
      <c r="F774" s="4">
        <v>9209.8955078125</v>
      </c>
      <c r="G774" s="1">
        <v>51520600</v>
      </c>
      <c r="H774" s="2" t="str">
        <f t="shared" si="12"/>
        <v>Turun</v>
      </c>
    </row>
    <row r="775" spans="1:8" x14ac:dyDescent="0.2">
      <c r="A775" s="1">
        <v>774</v>
      </c>
      <c r="B775" s="3">
        <v>45355</v>
      </c>
      <c r="C775" s="4">
        <v>9186.4605168269209</v>
      </c>
      <c r="D775" s="4">
        <v>9209.8953650841304</v>
      </c>
      <c r="E775" s="4">
        <v>9139.5908203125</v>
      </c>
      <c r="F775" s="4">
        <v>9139.5908203125</v>
      </c>
      <c r="G775" s="1">
        <v>43822900</v>
      </c>
      <c r="H775" s="2" t="str">
        <f t="shared" si="12"/>
        <v>Turun</v>
      </c>
    </row>
    <row r="776" spans="1:8" x14ac:dyDescent="0.2">
      <c r="A776" s="1">
        <v>775</v>
      </c>
      <c r="B776" s="3">
        <v>45356</v>
      </c>
      <c r="C776" s="4">
        <v>9280.1993482940106</v>
      </c>
      <c r="D776" s="4">
        <v>9280.1993482940106</v>
      </c>
      <c r="E776" s="4">
        <v>9163.0251140983692</v>
      </c>
      <c r="F776" s="4">
        <v>9186.4599609375</v>
      </c>
      <c r="G776" s="1">
        <v>61952900</v>
      </c>
      <c r="H776" s="2" t="str">
        <f t="shared" si="12"/>
        <v>Naik</v>
      </c>
    </row>
    <row r="777" spans="1:8" x14ac:dyDescent="0.2">
      <c r="A777" s="1">
        <v>776</v>
      </c>
      <c r="B777" s="3">
        <v>45357</v>
      </c>
      <c r="C777" s="4">
        <v>9280.1996407820407</v>
      </c>
      <c r="D777" s="4">
        <v>9373.9390310929703</v>
      </c>
      <c r="E777" s="4">
        <v>9163.0254028933705</v>
      </c>
      <c r="F777" s="4">
        <v>9327.0693359375</v>
      </c>
      <c r="G777" s="1">
        <v>70242200</v>
      </c>
      <c r="H777" s="2" t="str">
        <f t="shared" si="12"/>
        <v>Naik</v>
      </c>
    </row>
    <row r="778" spans="1:8" x14ac:dyDescent="0.2">
      <c r="A778" s="1">
        <v>777</v>
      </c>
      <c r="B778" s="3">
        <v>45358</v>
      </c>
      <c r="C778" s="4">
        <v>9420.8087384259306</v>
      </c>
      <c r="D778" s="4">
        <v>9537.9829764660499</v>
      </c>
      <c r="E778" s="4">
        <v>9373.9390432098808</v>
      </c>
      <c r="F778" s="4">
        <v>9491.11328125</v>
      </c>
      <c r="G778" s="1">
        <v>118369300</v>
      </c>
      <c r="H778" s="2" t="str">
        <f t="shared" si="12"/>
        <v>Naik</v>
      </c>
    </row>
    <row r="779" spans="1:8" x14ac:dyDescent="0.2">
      <c r="A779" s="1">
        <v>778</v>
      </c>
      <c r="B779" s="3">
        <v>45359</v>
      </c>
      <c r="C779" s="4">
        <v>9608.2882254464294</v>
      </c>
      <c r="D779" s="4">
        <v>9655.1579241071395</v>
      </c>
      <c r="E779" s="4">
        <v>9491.1139787946395</v>
      </c>
      <c r="F779" s="4">
        <v>9514.548828125</v>
      </c>
      <c r="G779" s="1">
        <v>100947200</v>
      </c>
      <c r="H779" s="2" t="str">
        <f t="shared" si="12"/>
        <v>Naik</v>
      </c>
    </row>
    <row r="780" spans="1:8" x14ac:dyDescent="0.2">
      <c r="A780" s="1">
        <v>779</v>
      </c>
      <c r="B780" s="3">
        <v>45364</v>
      </c>
      <c r="C780" s="4">
        <v>9748.8970312500005</v>
      </c>
      <c r="D780" s="4">
        <v>9748.8970312500005</v>
      </c>
      <c r="E780" s="4">
        <v>9373.939453125</v>
      </c>
      <c r="F780" s="4">
        <v>9373.939453125</v>
      </c>
      <c r="G780" s="1">
        <v>141622600</v>
      </c>
      <c r="H780" s="2" t="str">
        <f t="shared" si="12"/>
        <v>Turun</v>
      </c>
    </row>
    <row r="781" spans="1:8" x14ac:dyDescent="0.2">
      <c r="A781" s="1">
        <v>780</v>
      </c>
      <c r="B781" s="3">
        <v>45365</v>
      </c>
      <c r="C781" s="4">
        <v>9420.8084802512094</v>
      </c>
      <c r="D781" s="4">
        <v>9678.591796875</v>
      </c>
      <c r="E781" s="4">
        <v>9397.3736332854096</v>
      </c>
      <c r="F781" s="4">
        <v>9678.591796875</v>
      </c>
      <c r="G781" s="1">
        <v>110681100</v>
      </c>
      <c r="H781" s="2" t="str">
        <f t="shared" si="12"/>
        <v>Naik</v>
      </c>
    </row>
    <row r="782" spans="1:8" x14ac:dyDescent="0.2">
      <c r="A782" s="1">
        <v>781</v>
      </c>
      <c r="B782" s="3">
        <v>45366</v>
      </c>
      <c r="C782" s="4">
        <v>9561.4185267857101</v>
      </c>
      <c r="D782" s="4">
        <v>9655.1579241071395</v>
      </c>
      <c r="E782" s="4">
        <v>9420.8094308035706</v>
      </c>
      <c r="F782" s="4">
        <v>9514.548828125</v>
      </c>
      <c r="G782" s="1">
        <v>154176800</v>
      </c>
      <c r="H782" s="2" t="str">
        <f t="shared" si="12"/>
        <v>Turun</v>
      </c>
    </row>
    <row r="783" spans="1:8" x14ac:dyDescent="0.2">
      <c r="A783" s="1">
        <v>782</v>
      </c>
      <c r="B783" s="3">
        <v>45369</v>
      </c>
      <c r="C783" s="4">
        <v>9537.9836774553605</v>
      </c>
      <c r="D783" s="4">
        <v>9631.7230747767899</v>
      </c>
      <c r="E783" s="4">
        <v>9514.548828125</v>
      </c>
      <c r="F783" s="4">
        <v>9514.548828125</v>
      </c>
      <c r="G783" s="1">
        <v>62444100</v>
      </c>
      <c r="H783" s="2" t="str">
        <f t="shared" si="12"/>
        <v>Stabil</v>
      </c>
    </row>
    <row r="784" spans="1:8" x14ac:dyDescent="0.2">
      <c r="A784" s="1">
        <v>783</v>
      </c>
      <c r="B784" s="3">
        <v>45370</v>
      </c>
      <c r="C784" s="4">
        <v>9514.5485497926893</v>
      </c>
      <c r="D784" s="4">
        <v>9608.2879443719303</v>
      </c>
      <c r="E784" s="4">
        <v>9514.5485497926893</v>
      </c>
      <c r="F784" s="4">
        <v>9537.9833984375</v>
      </c>
      <c r="G784" s="1">
        <v>55004800</v>
      </c>
      <c r="H784" s="2" t="str">
        <f t="shared" si="12"/>
        <v>Naik</v>
      </c>
    </row>
    <row r="785" spans="1:8" x14ac:dyDescent="0.2">
      <c r="A785" s="1">
        <v>784</v>
      </c>
      <c r="B785" s="3">
        <v>45371</v>
      </c>
      <c r="C785" s="4">
        <v>9467.6784336419805</v>
      </c>
      <c r="D785" s="4">
        <v>9514.5481288580304</v>
      </c>
      <c r="E785" s="4">
        <v>9444.2435860339501</v>
      </c>
      <c r="F785" s="4">
        <v>9491.11328125</v>
      </c>
      <c r="G785" s="1">
        <v>66269700</v>
      </c>
      <c r="H785" s="2" t="str">
        <f t="shared" si="12"/>
        <v>Turun</v>
      </c>
    </row>
    <row r="786" spans="1:8" x14ac:dyDescent="0.2">
      <c r="A786" s="1">
        <v>785</v>
      </c>
      <c r="B786" s="3">
        <v>45372</v>
      </c>
      <c r="C786" s="4">
        <v>9537.9829764660499</v>
      </c>
      <c r="D786" s="4">
        <v>9584.8526716820998</v>
      </c>
      <c r="E786" s="4">
        <v>9420.8087384259306</v>
      </c>
      <c r="F786" s="4">
        <v>9491.11328125</v>
      </c>
      <c r="G786" s="1">
        <v>90279400</v>
      </c>
      <c r="H786" s="2" t="str">
        <f t="shared" si="12"/>
        <v>Stabil</v>
      </c>
    </row>
    <row r="787" spans="1:8" x14ac:dyDescent="0.2">
      <c r="A787" s="1">
        <v>786</v>
      </c>
      <c r="B787" s="3">
        <v>45373</v>
      </c>
      <c r="C787" s="4">
        <v>9373.9393177598995</v>
      </c>
      <c r="D787" s="4">
        <v>9491.1135592319006</v>
      </c>
      <c r="E787" s="4">
        <v>9327.0696211711002</v>
      </c>
      <c r="F787" s="4">
        <v>9467.6787109375</v>
      </c>
      <c r="G787" s="1">
        <v>91968200</v>
      </c>
      <c r="H787" s="2" t="str">
        <f t="shared" si="12"/>
        <v>Turun</v>
      </c>
    </row>
    <row r="788" spans="1:8" x14ac:dyDescent="0.2">
      <c r="A788" s="1">
        <v>787</v>
      </c>
      <c r="B788" s="3">
        <v>45376</v>
      </c>
      <c r="C788" s="4">
        <v>9661.875</v>
      </c>
      <c r="D788" s="4">
        <v>9661.875</v>
      </c>
      <c r="E788" s="4">
        <v>9518.0257444168692</v>
      </c>
      <c r="F788" s="4">
        <v>9661.875</v>
      </c>
      <c r="G788" s="1">
        <v>66971000</v>
      </c>
      <c r="H788" s="2" t="str">
        <f t="shared" si="12"/>
        <v>Naik</v>
      </c>
    </row>
    <row r="789" spans="1:8" x14ac:dyDescent="0.2">
      <c r="A789" s="1">
        <v>788</v>
      </c>
      <c r="B789" s="3">
        <v>45377</v>
      </c>
      <c r="C789" s="4">
        <v>9637.900390625</v>
      </c>
      <c r="D789" s="4">
        <v>9637.900390625</v>
      </c>
      <c r="E789" s="4">
        <v>9542.0008842506195</v>
      </c>
      <c r="F789" s="4">
        <v>9637.900390625</v>
      </c>
      <c r="G789" s="1">
        <v>65742700</v>
      </c>
      <c r="H789" s="2" t="str">
        <f t="shared" si="12"/>
        <v>Turun</v>
      </c>
    </row>
    <row r="790" spans="1:8" x14ac:dyDescent="0.2">
      <c r="A790" s="1">
        <v>789</v>
      </c>
      <c r="B790" s="3">
        <v>45378</v>
      </c>
      <c r="C790" s="4">
        <v>9613.9252481389594</v>
      </c>
      <c r="D790" s="4">
        <v>9661.875</v>
      </c>
      <c r="E790" s="4">
        <v>9589.9503722084391</v>
      </c>
      <c r="F790" s="4">
        <v>9661.875</v>
      </c>
      <c r="G790" s="1">
        <v>39514100</v>
      </c>
      <c r="H790" s="2" t="str">
        <f t="shared" si="12"/>
        <v>Naik</v>
      </c>
    </row>
    <row r="791" spans="1:8" x14ac:dyDescent="0.2">
      <c r="A791" s="1">
        <v>790</v>
      </c>
      <c r="B791" s="3">
        <v>45379</v>
      </c>
      <c r="C791" s="4">
        <v>9613.9252481389594</v>
      </c>
      <c r="D791" s="4">
        <v>9685.8498759305203</v>
      </c>
      <c r="E791" s="4">
        <v>9565.9754962779207</v>
      </c>
      <c r="F791" s="4">
        <v>9661.875</v>
      </c>
      <c r="G791" s="1">
        <v>79229700</v>
      </c>
      <c r="H791" s="2" t="str">
        <f t="shared" si="12"/>
        <v>Stabil</v>
      </c>
    </row>
    <row r="792" spans="1:8" x14ac:dyDescent="0.2">
      <c r="A792" s="1">
        <v>791</v>
      </c>
      <c r="B792" s="3">
        <v>45383</v>
      </c>
      <c r="C792" s="4">
        <v>9661.8754560596408</v>
      </c>
      <c r="D792" s="4">
        <v>9685.8503331218308</v>
      </c>
      <c r="E792" s="4">
        <v>9422.1266854378191</v>
      </c>
      <c r="F792" s="4">
        <v>9446.1015625</v>
      </c>
      <c r="G792" s="1">
        <v>79248700</v>
      </c>
      <c r="H792" s="2" t="str">
        <f t="shared" si="12"/>
        <v>Turun</v>
      </c>
    </row>
    <row r="793" spans="1:8" x14ac:dyDescent="0.2">
      <c r="A793" s="1">
        <v>792</v>
      </c>
      <c r="B793" s="3">
        <v>45384</v>
      </c>
      <c r="C793" s="4">
        <v>9518.0256569602298</v>
      </c>
      <c r="D793" s="4">
        <v>9542.0005326704504</v>
      </c>
      <c r="E793" s="4">
        <v>9398.1512784090901</v>
      </c>
      <c r="F793" s="4">
        <v>9494.05078125</v>
      </c>
      <c r="G793" s="1">
        <v>76763100</v>
      </c>
      <c r="H793" s="2" t="str">
        <f t="shared" si="12"/>
        <v>Naik</v>
      </c>
    </row>
    <row r="794" spans="1:8" x14ac:dyDescent="0.2">
      <c r="A794" s="1">
        <v>793</v>
      </c>
      <c r="B794" s="3">
        <v>45385</v>
      </c>
      <c r="C794" s="4">
        <v>9350.2016178641697</v>
      </c>
      <c r="D794" s="4">
        <v>9398.1513697506598</v>
      </c>
      <c r="E794" s="4">
        <v>9134.427734375</v>
      </c>
      <c r="F794" s="4">
        <v>9134.427734375</v>
      </c>
      <c r="G794" s="1">
        <v>177418400</v>
      </c>
      <c r="H794" s="2" t="str">
        <f t="shared" si="12"/>
        <v>Turun</v>
      </c>
    </row>
    <row r="795" spans="1:8" x14ac:dyDescent="0.2">
      <c r="A795" s="1">
        <v>794</v>
      </c>
      <c r="B795" s="3">
        <v>45386</v>
      </c>
      <c r="C795" s="4">
        <v>9182.3779148159902</v>
      </c>
      <c r="D795" s="4">
        <v>9446.1015625</v>
      </c>
      <c r="E795" s="4">
        <v>9182.3779148159902</v>
      </c>
      <c r="F795" s="4">
        <v>9446.1015625</v>
      </c>
      <c r="G795" s="1">
        <v>75993500</v>
      </c>
      <c r="H795" s="2" t="str">
        <f t="shared" si="12"/>
        <v>Naik</v>
      </c>
    </row>
    <row r="796" spans="1:8" x14ac:dyDescent="0.2">
      <c r="A796" s="1">
        <v>795</v>
      </c>
      <c r="B796" s="3">
        <v>45387</v>
      </c>
      <c r="C796" s="4">
        <v>9542.0013418416002</v>
      </c>
      <c r="D796" s="4">
        <v>9542.0013418416002</v>
      </c>
      <c r="E796" s="4">
        <v>9422.126953125</v>
      </c>
      <c r="F796" s="4">
        <v>9422.126953125</v>
      </c>
      <c r="G796" s="1">
        <v>70428600</v>
      </c>
      <c r="H796" s="2" t="str">
        <f t="shared" si="12"/>
        <v>Turun</v>
      </c>
    </row>
    <row r="797" spans="1:8" x14ac:dyDescent="0.2">
      <c r="A797" s="1">
        <v>796</v>
      </c>
      <c r="B797" s="3">
        <v>45398</v>
      </c>
      <c r="C797" s="4">
        <v>8966.6041288753295</v>
      </c>
      <c r="D797" s="4">
        <v>9182.3780250247401</v>
      </c>
      <c r="E797" s="4">
        <v>8870.7046194755894</v>
      </c>
      <c r="F797" s="4">
        <v>9086.478515625</v>
      </c>
      <c r="G797" s="1">
        <v>283265900</v>
      </c>
      <c r="H797" s="2" t="str">
        <f t="shared" si="12"/>
        <v>Turun</v>
      </c>
    </row>
    <row r="798" spans="1:8" x14ac:dyDescent="0.2">
      <c r="A798" s="1">
        <v>797</v>
      </c>
      <c r="B798" s="3">
        <v>45399</v>
      </c>
      <c r="C798" s="4">
        <v>9158.4026103182405</v>
      </c>
      <c r="D798" s="4">
        <v>9278.2769900344501</v>
      </c>
      <c r="E798" s="4">
        <v>9134.427734375</v>
      </c>
      <c r="F798" s="4">
        <v>9134.427734375</v>
      </c>
      <c r="G798" s="1">
        <v>95620700</v>
      </c>
      <c r="H798" s="2" t="str">
        <f t="shared" si="12"/>
        <v>Naik</v>
      </c>
    </row>
    <row r="799" spans="1:8" x14ac:dyDescent="0.2">
      <c r="A799" s="1">
        <v>798</v>
      </c>
      <c r="B799" s="3">
        <v>45400</v>
      </c>
      <c r="C799" s="4">
        <v>9134.42827032487</v>
      </c>
      <c r="D799" s="4">
        <v>9182.3780250247401</v>
      </c>
      <c r="E799" s="4">
        <v>9062.5036382750695</v>
      </c>
      <c r="F799" s="4">
        <v>9086.478515625</v>
      </c>
      <c r="G799" s="1">
        <v>127134000</v>
      </c>
      <c r="H799" s="2" t="str">
        <f t="shared" si="12"/>
        <v>Turun</v>
      </c>
    </row>
    <row r="800" spans="1:8" x14ac:dyDescent="0.2">
      <c r="A800" s="1">
        <v>799</v>
      </c>
      <c r="B800" s="3">
        <v>45401</v>
      </c>
      <c r="C800" s="4">
        <v>8966.6041288753295</v>
      </c>
      <c r="D800" s="4">
        <v>9110.4533929749305</v>
      </c>
      <c r="E800" s="4">
        <v>8918.6543741754595</v>
      </c>
      <c r="F800" s="4">
        <v>9086.478515625</v>
      </c>
      <c r="G800" s="1">
        <v>147784300</v>
      </c>
      <c r="H800" s="2" t="str">
        <f t="shared" si="12"/>
        <v>Stabil</v>
      </c>
    </row>
    <row r="801" spans="1:8" x14ac:dyDescent="0.2">
      <c r="A801" s="1">
        <v>800</v>
      </c>
      <c r="B801" s="3">
        <v>45404</v>
      </c>
      <c r="C801" s="4">
        <v>9014.5532670454504</v>
      </c>
      <c r="D801" s="4">
        <v>9038.5281427556802</v>
      </c>
      <c r="E801" s="4">
        <v>8966.603515625</v>
      </c>
      <c r="F801" s="4">
        <v>8966.603515625</v>
      </c>
      <c r="G801" s="1">
        <v>128908000</v>
      </c>
      <c r="H801" s="2" t="str">
        <f t="shared" si="12"/>
        <v>Turun</v>
      </c>
    </row>
    <row r="802" spans="1:8" x14ac:dyDescent="0.2">
      <c r="A802" s="1">
        <v>801</v>
      </c>
      <c r="B802" s="3">
        <v>45405</v>
      </c>
      <c r="C802" s="4">
        <v>9014.5550690874006</v>
      </c>
      <c r="D802" s="4">
        <v>9374.1782766307806</v>
      </c>
      <c r="E802" s="4">
        <v>9014.5550690874006</v>
      </c>
      <c r="F802" s="4">
        <v>9326.228515625</v>
      </c>
      <c r="G802" s="1">
        <v>178833000</v>
      </c>
      <c r="H802" s="2" t="str">
        <f t="shared" si="12"/>
        <v>Naik</v>
      </c>
    </row>
    <row r="803" spans="1:8" x14ac:dyDescent="0.2">
      <c r="A803" s="1">
        <v>802</v>
      </c>
      <c r="B803" s="3">
        <v>45406</v>
      </c>
      <c r="C803" s="4">
        <v>9422.1275567289595</v>
      </c>
      <c r="D803" s="4">
        <v>9542.001953125</v>
      </c>
      <c r="E803" s="4">
        <v>9350.2029188913293</v>
      </c>
      <c r="F803" s="4">
        <v>9542.001953125</v>
      </c>
      <c r="G803" s="1">
        <v>132832700</v>
      </c>
      <c r="H803" s="2" t="str">
        <f t="shared" si="12"/>
        <v>Naik</v>
      </c>
    </row>
    <row r="804" spans="1:8" x14ac:dyDescent="0.2">
      <c r="A804" s="1">
        <v>803</v>
      </c>
      <c r="B804" s="3">
        <v>45407</v>
      </c>
      <c r="C804" s="4">
        <v>9589.9506473785204</v>
      </c>
      <c r="D804" s="4">
        <v>9589.9506473785204</v>
      </c>
      <c r="E804" s="4">
        <v>9302.2521279571592</v>
      </c>
      <c r="F804" s="4">
        <v>9374.1767578125</v>
      </c>
      <c r="G804" s="1">
        <v>104874100</v>
      </c>
      <c r="H804" s="2" t="str">
        <f t="shared" si="12"/>
        <v>Turun</v>
      </c>
    </row>
    <row r="805" spans="1:8" x14ac:dyDescent="0.2">
      <c r="A805" s="1">
        <v>804</v>
      </c>
      <c r="B805" s="3">
        <v>45408</v>
      </c>
      <c r="C805" s="4">
        <v>9302.2517755681802</v>
      </c>
      <c r="D805" s="4">
        <v>9422.1261541193198</v>
      </c>
      <c r="E805" s="4">
        <v>9230.3271484375</v>
      </c>
      <c r="F805" s="4">
        <v>9230.3271484375</v>
      </c>
      <c r="G805" s="1">
        <v>100932900</v>
      </c>
      <c r="H805" s="2" t="str">
        <f t="shared" si="12"/>
        <v>Turun</v>
      </c>
    </row>
    <row r="806" spans="1:8" x14ac:dyDescent="0.2">
      <c r="A806" s="1">
        <v>805</v>
      </c>
      <c r="B806" s="3">
        <v>45411</v>
      </c>
      <c r="C806" s="4">
        <v>9134.4277318837703</v>
      </c>
      <c r="D806" s="4">
        <v>9446.1011190609097</v>
      </c>
      <c r="E806" s="4">
        <v>9134.4277318837703</v>
      </c>
      <c r="F806" s="4">
        <v>9398.1513671875</v>
      </c>
      <c r="G806" s="1">
        <v>90063500</v>
      </c>
      <c r="H806" s="2" t="str">
        <f t="shared" si="12"/>
        <v>Naik</v>
      </c>
    </row>
    <row r="807" spans="1:8" x14ac:dyDescent="0.2">
      <c r="A807" s="1">
        <v>806</v>
      </c>
      <c r="B807" s="3">
        <v>45412</v>
      </c>
      <c r="C807" s="4">
        <v>9637.9001265545303</v>
      </c>
      <c r="D807" s="4">
        <v>9637.9001265545303</v>
      </c>
      <c r="E807" s="4">
        <v>9398.1513671875</v>
      </c>
      <c r="F807" s="4">
        <v>9398.1513671875</v>
      </c>
      <c r="G807" s="1">
        <v>109623000</v>
      </c>
      <c r="H807" s="2" t="str">
        <f t="shared" si="12"/>
        <v>Stabil</v>
      </c>
    </row>
    <row r="808" spans="1:8" x14ac:dyDescent="0.2">
      <c r="A808" s="1">
        <v>807</v>
      </c>
      <c r="B808" s="3">
        <v>45414</v>
      </c>
      <c r="C808" s="4">
        <v>9494.0516095386101</v>
      </c>
      <c r="D808" s="4">
        <v>9494.0516095386101</v>
      </c>
      <c r="E808" s="4">
        <v>9110.4535647087705</v>
      </c>
      <c r="F808" s="4">
        <v>9158.4033203125</v>
      </c>
      <c r="G808" s="1">
        <v>97079400</v>
      </c>
      <c r="H808" s="2" t="str">
        <f t="shared" si="12"/>
        <v>Turun</v>
      </c>
    </row>
    <row r="809" spans="1:8" x14ac:dyDescent="0.2">
      <c r="A809" s="1">
        <v>808</v>
      </c>
      <c r="B809" s="3">
        <v>45415</v>
      </c>
      <c r="C809" s="4">
        <v>9350.2020542512691</v>
      </c>
      <c r="D809" s="4">
        <v>9446.1015625</v>
      </c>
      <c r="E809" s="4">
        <v>9278.2774230647192</v>
      </c>
      <c r="F809" s="4">
        <v>9446.1015625</v>
      </c>
      <c r="G809" s="1">
        <v>81200400</v>
      </c>
      <c r="H809" s="2" t="str">
        <f t="shared" si="12"/>
        <v>Naik</v>
      </c>
    </row>
    <row r="810" spans="1:8" x14ac:dyDescent="0.2">
      <c r="A810" s="1">
        <v>809</v>
      </c>
      <c r="B810" s="3">
        <v>45418</v>
      </c>
      <c r="C810" s="4">
        <v>9446.1011190609097</v>
      </c>
      <c r="D810" s="4">
        <v>9470.0759949976109</v>
      </c>
      <c r="E810" s="4">
        <v>9374.1764912508006</v>
      </c>
      <c r="F810" s="4">
        <v>9398.1513671875</v>
      </c>
      <c r="G810" s="1">
        <v>53076200</v>
      </c>
      <c r="H810" s="2" t="str">
        <f t="shared" si="12"/>
        <v>Turun</v>
      </c>
    </row>
    <row r="811" spans="1:8" x14ac:dyDescent="0.2">
      <c r="A811" s="1">
        <v>810</v>
      </c>
      <c r="B811" s="3">
        <v>45419</v>
      </c>
      <c r="C811" s="4">
        <v>9302.2529296875</v>
      </c>
      <c r="D811" s="4">
        <v>9350.2026870570207</v>
      </c>
      <c r="E811" s="4">
        <v>9230.3282936332107</v>
      </c>
      <c r="F811" s="4">
        <v>9302.2529296875</v>
      </c>
      <c r="G811" s="1">
        <v>66746800</v>
      </c>
      <c r="H811" s="2" t="str">
        <f t="shared" si="12"/>
        <v>Turun</v>
      </c>
    </row>
    <row r="812" spans="1:8" x14ac:dyDescent="0.2">
      <c r="A812" s="1">
        <v>811</v>
      </c>
      <c r="B812" s="3">
        <v>45420</v>
      </c>
      <c r="C812" s="4">
        <v>9206.3529999999992</v>
      </c>
      <c r="D812" s="4">
        <v>9302.2525104166707</v>
      </c>
      <c r="E812" s="4">
        <v>8990.5791015625</v>
      </c>
      <c r="F812" s="4">
        <v>8990.5791015625</v>
      </c>
      <c r="G812" s="1">
        <v>112808900</v>
      </c>
      <c r="H812" s="2" t="str">
        <f t="shared" si="12"/>
        <v>Turun</v>
      </c>
    </row>
    <row r="813" spans="1:8" x14ac:dyDescent="0.2">
      <c r="A813" s="1">
        <v>812</v>
      </c>
      <c r="B813" s="3">
        <v>45425</v>
      </c>
      <c r="C813" s="4">
        <v>8822.7543471128593</v>
      </c>
      <c r="D813" s="4">
        <v>9134.427734375</v>
      </c>
      <c r="E813" s="4">
        <v>8822.7543471128593</v>
      </c>
      <c r="F813" s="4">
        <v>9134.427734375</v>
      </c>
      <c r="G813" s="1">
        <v>145469900</v>
      </c>
      <c r="H813" s="2" t="str">
        <f t="shared" si="12"/>
        <v>Naik</v>
      </c>
    </row>
    <row r="814" spans="1:8" x14ac:dyDescent="0.2">
      <c r="A814" s="1">
        <v>813</v>
      </c>
      <c r="B814" s="3">
        <v>45426</v>
      </c>
      <c r="C814" s="4">
        <v>9230.3279537181006</v>
      </c>
      <c r="D814" s="4">
        <v>9278.2777093218301</v>
      </c>
      <c r="E814" s="4">
        <v>9134.4284425106307</v>
      </c>
      <c r="F814" s="4">
        <v>9158.4033203125</v>
      </c>
      <c r="G814" s="1">
        <v>95363500</v>
      </c>
      <c r="H814" s="2" t="str">
        <f t="shared" si="12"/>
        <v>Naik</v>
      </c>
    </row>
    <row r="815" spans="1:8" x14ac:dyDescent="0.2">
      <c r="A815" s="1">
        <v>814</v>
      </c>
      <c r="B815" s="3">
        <v>45427</v>
      </c>
      <c r="C815" s="4">
        <v>9110.4541015625</v>
      </c>
      <c r="D815" s="4">
        <v>9206.3536184210498</v>
      </c>
      <c r="E815" s="4">
        <v>9038.5294639185904</v>
      </c>
      <c r="F815" s="4">
        <v>9110.4541015625</v>
      </c>
      <c r="G815" s="1">
        <v>54741900</v>
      </c>
      <c r="H815" s="2" t="str">
        <f t="shared" si="12"/>
        <v>Turun</v>
      </c>
    </row>
    <row r="816" spans="1:8" x14ac:dyDescent="0.2">
      <c r="A816" s="1">
        <v>815</v>
      </c>
      <c r="B816" s="3">
        <v>45428</v>
      </c>
      <c r="C816" s="4">
        <v>9182.3776626586896</v>
      </c>
      <c r="D816" s="4">
        <v>9278.2771682739294</v>
      </c>
      <c r="E816" s="4">
        <v>9134.4279098510706</v>
      </c>
      <c r="F816" s="4">
        <v>9206.3525390625</v>
      </c>
      <c r="G816" s="1">
        <v>61126000</v>
      </c>
      <c r="H816" s="2" t="str">
        <f t="shared" si="12"/>
        <v>Naik</v>
      </c>
    </row>
    <row r="817" spans="1:8" x14ac:dyDescent="0.2">
      <c r="A817" s="1">
        <v>816</v>
      </c>
      <c r="B817" s="3">
        <v>45429</v>
      </c>
      <c r="C817" s="4">
        <v>9206.3519230769198</v>
      </c>
      <c r="D817" s="4">
        <v>9446.1006710737202</v>
      </c>
      <c r="E817" s="4">
        <v>9182.3770482772397</v>
      </c>
      <c r="F817" s="4">
        <v>9350.201171875</v>
      </c>
      <c r="G817" s="1">
        <v>99848500</v>
      </c>
      <c r="H817" s="2" t="str">
        <f t="shared" si="12"/>
        <v>Naik</v>
      </c>
    </row>
    <row r="818" spans="1:8" x14ac:dyDescent="0.2">
      <c r="A818" s="1">
        <v>817</v>
      </c>
      <c r="B818" s="3">
        <v>45432</v>
      </c>
      <c r="C818" s="4">
        <v>9302.2524117744106</v>
      </c>
      <c r="D818" s="4">
        <v>9398.1519211741397</v>
      </c>
      <c r="E818" s="4">
        <v>9086.478515625</v>
      </c>
      <c r="F818" s="4">
        <v>9086.478515625</v>
      </c>
      <c r="G818" s="1">
        <v>87890100</v>
      </c>
      <c r="H818" s="2" t="str">
        <f t="shared" si="12"/>
        <v>Turun</v>
      </c>
    </row>
    <row r="819" spans="1:8" x14ac:dyDescent="0.2">
      <c r="A819" s="1">
        <v>818</v>
      </c>
      <c r="B819" s="3">
        <v>45433</v>
      </c>
      <c r="C819" s="4">
        <v>9062.5037343749991</v>
      </c>
      <c r="D819" s="4">
        <v>9182.3781223958304</v>
      </c>
      <c r="E819" s="4">
        <v>8990.5791015625</v>
      </c>
      <c r="F819" s="4">
        <v>8990.5791015625</v>
      </c>
      <c r="G819" s="1">
        <v>75311400</v>
      </c>
      <c r="H819" s="2" t="str">
        <f t="shared" si="12"/>
        <v>Turun</v>
      </c>
    </row>
    <row r="820" spans="1:8" x14ac:dyDescent="0.2">
      <c r="A820" s="1">
        <v>819</v>
      </c>
      <c r="B820" s="3">
        <v>45434</v>
      </c>
      <c r="C820" s="4">
        <v>9086.4790544180996</v>
      </c>
      <c r="D820" s="4">
        <v>9182.3785695043098</v>
      </c>
      <c r="E820" s="4">
        <v>8942.6297817887898</v>
      </c>
      <c r="F820" s="4">
        <v>9038.529296875</v>
      </c>
      <c r="G820" s="1">
        <v>121712700</v>
      </c>
      <c r="H820" s="2" t="str">
        <f t="shared" si="12"/>
        <v>Naik</v>
      </c>
    </row>
    <row r="821" spans="1:8" x14ac:dyDescent="0.2">
      <c r="A821" s="1">
        <v>820</v>
      </c>
      <c r="B821" s="3">
        <v>45439</v>
      </c>
      <c r="C821" s="4">
        <v>8918.654296875</v>
      </c>
      <c r="D821" s="4">
        <v>8990.5789283014092</v>
      </c>
      <c r="E821" s="4">
        <v>8894.67941973286</v>
      </c>
      <c r="F821" s="4">
        <v>8918.654296875</v>
      </c>
      <c r="G821" s="1">
        <v>128578500</v>
      </c>
      <c r="H821" s="2" t="str">
        <f t="shared" si="12"/>
        <v>Turun</v>
      </c>
    </row>
    <row r="822" spans="1:8" x14ac:dyDescent="0.2">
      <c r="A822" s="1">
        <v>821</v>
      </c>
      <c r="B822" s="3">
        <v>45440</v>
      </c>
      <c r="C822" s="4">
        <v>8918.654296875</v>
      </c>
      <c r="D822" s="4">
        <v>9014.5538054435492</v>
      </c>
      <c r="E822" s="4">
        <v>8918.654296875</v>
      </c>
      <c r="F822" s="4">
        <v>8918.654296875</v>
      </c>
      <c r="G822" s="1">
        <v>73945700</v>
      </c>
      <c r="H822" s="2" t="str">
        <f t="shared" si="12"/>
        <v>Stabil</v>
      </c>
    </row>
    <row r="823" spans="1:8" x14ac:dyDescent="0.2">
      <c r="A823" s="1">
        <v>822</v>
      </c>
      <c r="B823" s="3">
        <v>45441</v>
      </c>
      <c r="C823" s="4">
        <v>8894.6800583802906</v>
      </c>
      <c r="D823" s="4">
        <v>8942.6298161074101</v>
      </c>
      <c r="E823" s="4">
        <v>8774.8056640625</v>
      </c>
      <c r="F823" s="4">
        <v>8774.8056640625</v>
      </c>
      <c r="G823" s="1">
        <v>117351600</v>
      </c>
      <c r="H823" s="2" t="str">
        <f t="shared" si="12"/>
        <v>Turun</v>
      </c>
    </row>
    <row r="824" spans="1:8" x14ac:dyDescent="0.2">
      <c r="A824" s="1">
        <v>823</v>
      </c>
      <c r="B824" s="3">
        <v>45442</v>
      </c>
      <c r="C824" s="4">
        <v>8630.9560546875</v>
      </c>
      <c r="D824" s="4">
        <v>8870.7048339843805</v>
      </c>
      <c r="E824" s="4">
        <v>8415.1821533203092</v>
      </c>
      <c r="F824" s="4">
        <v>8630.9560546875</v>
      </c>
      <c r="G824" s="1">
        <v>207115100</v>
      </c>
      <c r="H824" s="2" t="str">
        <f t="shared" si="12"/>
        <v>Turun</v>
      </c>
    </row>
    <row r="825" spans="1:8" x14ac:dyDescent="0.2">
      <c r="A825" s="1">
        <v>824</v>
      </c>
      <c r="B825" s="3">
        <v>45443</v>
      </c>
      <c r="C825" s="4">
        <v>8726.8558065878406</v>
      </c>
      <c r="D825" s="4">
        <v>8870.705078125</v>
      </c>
      <c r="E825" s="4">
        <v>8654.9311708192599</v>
      </c>
      <c r="F825" s="4">
        <v>8870.705078125</v>
      </c>
      <c r="G825" s="1">
        <v>756431600</v>
      </c>
      <c r="H825" s="2" t="str">
        <f t="shared" si="12"/>
        <v>Naik</v>
      </c>
    </row>
    <row r="826" spans="1:8" x14ac:dyDescent="0.2">
      <c r="A826" s="1">
        <v>825</v>
      </c>
      <c r="B826" s="3">
        <v>45446</v>
      </c>
      <c r="C826" s="4">
        <v>8966.6043210916505</v>
      </c>
      <c r="D826" s="4">
        <v>8966.6043210916505</v>
      </c>
      <c r="E826" s="4">
        <v>8846.7299317722409</v>
      </c>
      <c r="F826" s="4">
        <v>8894.6796875</v>
      </c>
      <c r="G826" s="1">
        <v>72197700</v>
      </c>
      <c r="H826" s="2" t="str">
        <f t="shared" si="12"/>
        <v>Naik</v>
      </c>
    </row>
    <row r="827" spans="1:8" x14ac:dyDescent="0.2">
      <c r="A827" s="1">
        <v>826</v>
      </c>
      <c r="B827" s="3">
        <v>45447</v>
      </c>
      <c r="C827" s="4">
        <v>9134.4276455965901</v>
      </c>
      <c r="D827" s="4">
        <v>9134.4276455965901</v>
      </c>
      <c r="E827" s="4">
        <v>8966.603515625</v>
      </c>
      <c r="F827" s="4">
        <v>8966.603515625</v>
      </c>
      <c r="G827" s="1">
        <v>75353100</v>
      </c>
      <c r="H827" s="2" t="str">
        <f t="shared" si="12"/>
        <v>Naik</v>
      </c>
    </row>
    <row r="828" spans="1:8" x14ac:dyDescent="0.2">
      <c r="A828" s="1">
        <v>827</v>
      </c>
      <c r="B828" s="3">
        <v>45448</v>
      </c>
      <c r="C828" s="4">
        <v>9110.4536623677304</v>
      </c>
      <c r="D828" s="4">
        <v>9110.4536623677304</v>
      </c>
      <c r="E828" s="4">
        <v>8918.6546378968305</v>
      </c>
      <c r="F828" s="4">
        <v>9062.50390625</v>
      </c>
      <c r="G828" s="1">
        <v>82087300</v>
      </c>
      <c r="H828" s="2" t="str">
        <f t="shared" si="12"/>
        <v>Naik</v>
      </c>
    </row>
    <row r="829" spans="1:8" x14ac:dyDescent="0.2">
      <c r="A829" s="1">
        <v>828</v>
      </c>
      <c r="B829" s="3">
        <v>45449</v>
      </c>
      <c r="C829" s="4">
        <v>9134.42827032487</v>
      </c>
      <c r="D829" s="4">
        <v>9134.42827032487</v>
      </c>
      <c r="E829" s="4">
        <v>9062.5036382750695</v>
      </c>
      <c r="F829" s="4">
        <v>9086.478515625</v>
      </c>
      <c r="G829" s="1">
        <v>44991300</v>
      </c>
      <c r="H829" s="2" t="str">
        <f t="shared" si="12"/>
        <v>Naik</v>
      </c>
    </row>
    <row r="830" spans="1:8" x14ac:dyDescent="0.2">
      <c r="A830" s="1">
        <v>829</v>
      </c>
      <c r="B830" s="3">
        <v>45450</v>
      </c>
      <c r="C830" s="4">
        <v>9110.4530412198401</v>
      </c>
      <c r="D830" s="4">
        <v>9110.4530412198401</v>
      </c>
      <c r="E830" s="4">
        <v>8942.62890625</v>
      </c>
      <c r="F830" s="4">
        <v>8942.62890625</v>
      </c>
      <c r="G830" s="1">
        <v>51599800</v>
      </c>
      <c r="H830" s="2" t="str">
        <f t="shared" si="12"/>
        <v>Turun</v>
      </c>
    </row>
    <row r="831" spans="1:8" x14ac:dyDescent="0.2">
      <c r="A831" s="1">
        <v>830</v>
      </c>
      <c r="B831" s="3">
        <v>45453</v>
      </c>
      <c r="C831" s="4">
        <v>9110.4528584317595</v>
      </c>
      <c r="D831" s="4">
        <v>9134.427734375</v>
      </c>
      <c r="E831" s="4">
        <v>9062.5031065452804</v>
      </c>
      <c r="F831" s="4">
        <v>9134.427734375</v>
      </c>
      <c r="G831" s="1">
        <v>45584700</v>
      </c>
      <c r="H831" s="2" t="str">
        <f t="shared" si="12"/>
        <v>Naik</v>
      </c>
    </row>
    <row r="832" spans="1:8" x14ac:dyDescent="0.2">
      <c r="A832" s="1">
        <v>831</v>
      </c>
      <c r="B832" s="3">
        <v>45454</v>
      </c>
      <c r="C832" s="4">
        <v>9158.4030682963694</v>
      </c>
      <c r="D832" s="4">
        <v>9158.4030682963694</v>
      </c>
      <c r="E832" s="4">
        <v>8918.654296875</v>
      </c>
      <c r="F832" s="4">
        <v>8918.654296875</v>
      </c>
      <c r="G832" s="1">
        <v>68690900</v>
      </c>
      <c r="H832" s="2" t="str">
        <f t="shared" si="12"/>
        <v>Turun</v>
      </c>
    </row>
    <row r="833" spans="1:8" x14ac:dyDescent="0.2">
      <c r="A833" s="1">
        <v>832</v>
      </c>
      <c r="B833" s="3">
        <v>45455</v>
      </c>
      <c r="C833" s="4">
        <v>8918.6548353040507</v>
      </c>
      <c r="D833" s="4">
        <v>8942.6297138935806</v>
      </c>
      <c r="E833" s="4">
        <v>8870.705078125</v>
      </c>
      <c r="F833" s="4">
        <v>8870.705078125</v>
      </c>
      <c r="G833" s="1">
        <v>49785700</v>
      </c>
      <c r="H833" s="2" t="str">
        <f t="shared" si="12"/>
        <v>Turun</v>
      </c>
    </row>
    <row r="834" spans="1:8" x14ac:dyDescent="0.2">
      <c r="A834" s="1">
        <v>833</v>
      </c>
      <c r="B834" s="3">
        <v>45456</v>
      </c>
      <c r="C834" s="4">
        <v>9086.47853420092</v>
      </c>
      <c r="D834" s="4">
        <v>9086.47853420092</v>
      </c>
      <c r="E834" s="4">
        <v>8822.7548828125</v>
      </c>
      <c r="F834" s="4">
        <v>8822.7548828125</v>
      </c>
      <c r="G834" s="1">
        <v>84652200</v>
      </c>
      <c r="H834" s="2" t="str">
        <f t="shared" si="12"/>
        <v>Turun</v>
      </c>
    </row>
    <row r="835" spans="1:8" x14ac:dyDescent="0.2">
      <c r="A835" s="1">
        <v>834</v>
      </c>
      <c r="B835" s="3">
        <v>45457</v>
      </c>
      <c r="C835" s="4">
        <v>8822.7548828125</v>
      </c>
      <c r="D835" s="4">
        <v>8870.7046376103899</v>
      </c>
      <c r="E835" s="4">
        <v>8726.8553732167093</v>
      </c>
      <c r="F835" s="4">
        <v>8822.7548828125</v>
      </c>
      <c r="G835" s="1">
        <v>52986300</v>
      </c>
      <c r="H835" s="2" t="str">
        <f t="shared" si="12"/>
        <v>Stabil</v>
      </c>
    </row>
    <row r="836" spans="1:8" x14ac:dyDescent="0.2">
      <c r="A836" s="1">
        <v>835</v>
      </c>
      <c r="B836" s="3">
        <v>45462</v>
      </c>
      <c r="C836" s="4">
        <v>8870.7042850051803</v>
      </c>
      <c r="D836" s="4">
        <v>8870.7042850051803</v>
      </c>
      <c r="E836" s="4">
        <v>8678.9052734375</v>
      </c>
      <c r="F836" s="4">
        <v>8678.9052734375</v>
      </c>
      <c r="G836" s="1">
        <v>100051000</v>
      </c>
      <c r="H836" s="2" t="str">
        <f t="shared" ref="H836:H899" si="13">IF(F836&gt;F835,"Naik",IF(F836&lt;F835,"Turun","Stabil"))</f>
        <v>Turun</v>
      </c>
    </row>
    <row r="837" spans="1:8" x14ac:dyDescent="0.2">
      <c r="A837" s="1">
        <v>836</v>
      </c>
      <c r="B837" s="3">
        <v>45463</v>
      </c>
      <c r="C837" s="4">
        <v>8774.8056303879293</v>
      </c>
      <c r="D837" s="4">
        <v>9038.529296875</v>
      </c>
      <c r="E837" s="4">
        <v>8726.8558728448297</v>
      </c>
      <c r="F837" s="4">
        <v>9038.529296875</v>
      </c>
      <c r="G837" s="1">
        <v>81474800</v>
      </c>
      <c r="H837" s="2" t="str">
        <f t="shared" si="13"/>
        <v>Naik</v>
      </c>
    </row>
    <row r="838" spans="1:8" x14ac:dyDescent="0.2">
      <c r="A838" s="1">
        <v>837</v>
      </c>
      <c r="B838" s="3">
        <v>45464</v>
      </c>
      <c r="C838" s="4">
        <v>9086.4781570434607</v>
      </c>
      <c r="D838" s="4">
        <v>9278.2771682739294</v>
      </c>
      <c r="E838" s="4">
        <v>9014.5535278320294</v>
      </c>
      <c r="F838" s="4">
        <v>9206.3525390625</v>
      </c>
      <c r="G838" s="1">
        <v>166841200</v>
      </c>
      <c r="H838" s="2" t="str">
        <f t="shared" si="13"/>
        <v>Naik</v>
      </c>
    </row>
    <row r="839" spans="1:8" x14ac:dyDescent="0.2">
      <c r="A839" s="1">
        <v>838</v>
      </c>
      <c r="B839" s="3">
        <v>45467</v>
      </c>
      <c r="C839" s="4">
        <v>9206.3525390625</v>
      </c>
      <c r="D839" s="4">
        <v>9350.2017974853497</v>
      </c>
      <c r="E839" s="4">
        <v>9182.3776626586896</v>
      </c>
      <c r="F839" s="4">
        <v>9206.3525390625</v>
      </c>
      <c r="G839" s="1">
        <v>79592300</v>
      </c>
      <c r="H839" s="2" t="str">
        <f t="shared" si="13"/>
        <v>Stabil</v>
      </c>
    </row>
    <row r="840" spans="1:8" x14ac:dyDescent="0.2">
      <c r="A840" s="1">
        <v>839</v>
      </c>
      <c r="B840" s="3">
        <v>45468</v>
      </c>
      <c r="C840" s="4">
        <v>9206.3525390625</v>
      </c>
      <c r="D840" s="4">
        <v>9206.3525390625</v>
      </c>
      <c r="E840" s="4">
        <v>9062.5032806396503</v>
      </c>
      <c r="F840" s="4">
        <v>9206.3525390625</v>
      </c>
      <c r="G840" s="1">
        <v>80029000</v>
      </c>
      <c r="H840" s="2" t="str">
        <f t="shared" si="13"/>
        <v>Stabil</v>
      </c>
    </row>
    <row r="841" spans="1:8" x14ac:dyDescent="0.2">
      <c r="A841" s="1">
        <v>840</v>
      </c>
      <c r="B841" s="3">
        <v>45469</v>
      </c>
      <c r="C841" s="4">
        <v>9134.4289807771402</v>
      </c>
      <c r="D841" s="4">
        <v>9254.3033768503301</v>
      </c>
      <c r="E841" s="4">
        <v>9062.5043431332197</v>
      </c>
      <c r="F841" s="4">
        <v>9110.4541015625</v>
      </c>
      <c r="G841" s="1">
        <v>77913200</v>
      </c>
      <c r="H841" s="2" t="str">
        <f t="shared" si="13"/>
        <v>Turun</v>
      </c>
    </row>
    <row r="842" spans="1:8" x14ac:dyDescent="0.2">
      <c r="A842" s="1">
        <v>841</v>
      </c>
      <c r="B842" s="3">
        <v>45470</v>
      </c>
      <c r="C842" s="4">
        <v>9182.3770482772397</v>
      </c>
      <c r="D842" s="4">
        <v>9350.201171875</v>
      </c>
      <c r="E842" s="4">
        <v>9158.4021734775706</v>
      </c>
      <c r="F842" s="4">
        <v>9350.201171875</v>
      </c>
      <c r="G842" s="1">
        <v>89150700</v>
      </c>
      <c r="H842" s="2" t="str">
        <f t="shared" si="13"/>
        <v>Naik</v>
      </c>
    </row>
    <row r="843" spans="1:8" x14ac:dyDescent="0.2">
      <c r="A843" s="1">
        <v>842</v>
      </c>
      <c r="B843" s="3">
        <v>45471</v>
      </c>
      <c r="C843" s="4">
        <v>9398.1519796914399</v>
      </c>
      <c r="D843" s="4">
        <v>9565.9761221859299</v>
      </c>
      <c r="E843" s="4">
        <v>9374.1771021922195</v>
      </c>
      <c r="F843" s="4">
        <v>9518.0263671875</v>
      </c>
      <c r="G843" s="1">
        <v>166172300</v>
      </c>
      <c r="H843" s="2" t="str">
        <f t="shared" si="13"/>
        <v>Naik</v>
      </c>
    </row>
    <row r="844" spans="1:8" x14ac:dyDescent="0.2">
      <c r="A844" s="1">
        <v>843</v>
      </c>
      <c r="B844" s="3">
        <v>45474</v>
      </c>
      <c r="C844" s="4">
        <v>9446.1022695807005</v>
      </c>
      <c r="D844" s="4">
        <v>9494.0520272942995</v>
      </c>
      <c r="E844" s="4">
        <v>9422.1273907238901</v>
      </c>
      <c r="F844" s="4">
        <v>9470.0771484375</v>
      </c>
      <c r="G844" s="1">
        <v>68634600</v>
      </c>
      <c r="H844" s="2" t="str">
        <f t="shared" si="13"/>
        <v>Turun</v>
      </c>
    </row>
    <row r="845" spans="1:8" x14ac:dyDescent="0.2">
      <c r="A845" s="1">
        <v>844</v>
      </c>
      <c r="B845" s="3">
        <v>45475</v>
      </c>
      <c r="C845" s="4">
        <v>9589.9502840909099</v>
      </c>
      <c r="D845" s="4">
        <v>9589.9502840909099</v>
      </c>
      <c r="E845" s="4">
        <v>9446.1010298295496</v>
      </c>
      <c r="F845" s="4">
        <v>9494.05078125</v>
      </c>
      <c r="G845" s="1">
        <v>78848500</v>
      </c>
      <c r="H845" s="2" t="str">
        <f t="shared" si="13"/>
        <v>Naik</v>
      </c>
    </row>
    <row r="846" spans="1:8" x14ac:dyDescent="0.2">
      <c r="A846" s="1">
        <v>845</v>
      </c>
      <c r="B846" s="3">
        <v>45476</v>
      </c>
      <c r="C846" s="4">
        <v>9565.9762939453103</v>
      </c>
      <c r="D846" s="4">
        <v>9589.951171875</v>
      </c>
      <c r="E846" s="4">
        <v>9518.02653808594</v>
      </c>
      <c r="F846" s="4">
        <v>9589.951171875</v>
      </c>
      <c r="G846" s="1">
        <v>55860200</v>
      </c>
      <c r="H846" s="2" t="str">
        <f t="shared" si="13"/>
        <v>Naik</v>
      </c>
    </row>
    <row r="847" spans="1:8" x14ac:dyDescent="0.2">
      <c r="A847" s="1">
        <v>846</v>
      </c>
      <c r="B847" s="3">
        <v>45477</v>
      </c>
      <c r="C847" s="4">
        <v>9565.9762195849198</v>
      </c>
      <c r="D847" s="4">
        <v>9589.9510973282504</v>
      </c>
      <c r="E847" s="4">
        <v>9422.126953125</v>
      </c>
      <c r="F847" s="4">
        <v>9422.126953125</v>
      </c>
      <c r="G847" s="1">
        <v>67054000</v>
      </c>
      <c r="H847" s="2" t="str">
        <f t="shared" si="13"/>
        <v>Turun</v>
      </c>
    </row>
    <row r="848" spans="1:8" x14ac:dyDescent="0.2">
      <c r="A848" s="1">
        <v>847</v>
      </c>
      <c r="B848" s="3">
        <v>45478</v>
      </c>
      <c r="C848" s="4">
        <v>9518.0270738457893</v>
      </c>
      <c r="D848" s="4">
        <v>9565.9768324042107</v>
      </c>
      <c r="E848" s="4">
        <v>9470.0773152873699</v>
      </c>
      <c r="F848" s="4">
        <v>9542.001953125</v>
      </c>
      <c r="G848" s="1">
        <v>36946900</v>
      </c>
      <c r="H848" s="2" t="str">
        <f t="shared" si="13"/>
        <v>Naik</v>
      </c>
    </row>
    <row r="849" spans="1:8" x14ac:dyDescent="0.2">
      <c r="A849" s="1">
        <v>848</v>
      </c>
      <c r="B849" s="3">
        <v>45481</v>
      </c>
      <c r="C849" s="4">
        <v>9589.9506374378107</v>
      </c>
      <c r="D849" s="4">
        <v>9637.900390625</v>
      </c>
      <c r="E849" s="4">
        <v>9542.0008842506195</v>
      </c>
      <c r="F849" s="4">
        <v>9637.900390625</v>
      </c>
      <c r="G849" s="1">
        <v>72903600</v>
      </c>
      <c r="H849" s="2" t="str">
        <f t="shared" si="13"/>
        <v>Naik</v>
      </c>
    </row>
    <row r="850" spans="1:8" x14ac:dyDescent="0.2">
      <c r="A850" s="1">
        <v>849</v>
      </c>
      <c r="B850" s="3">
        <v>45482</v>
      </c>
      <c r="C850" s="4">
        <v>9685.8498759305203</v>
      </c>
      <c r="D850" s="4">
        <v>9733.7996277915609</v>
      </c>
      <c r="E850" s="4">
        <v>9661.875</v>
      </c>
      <c r="F850" s="4">
        <v>9661.875</v>
      </c>
      <c r="G850" s="1">
        <v>61853200</v>
      </c>
      <c r="H850" s="2" t="str">
        <f t="shared" si="13"/>
        <v>Naik</v>
      </c>
    </row>
    <row r="851" spans="1:8" x14ac:dyDescent="0.2">
      <c r="A851" s="1">
        <v>850</v>
      </c>
      <c r="B851" s="3">
        <v>45483</v>
      </c>
      <c r="C851" s="4">
        <v>9757.7752190013907</v>
      </c>
      <c r="D851" s="4">
        <v>9805.7249743773209</v>
      </c>
      <c r="E851" s="4">
        <v>9637.9008305615698</v>
      </c>
      <c r="F851" s="4">
        <v>9685.8505859375</v>
      </c>
      <c r="G851" s="1">
        <v>62325900</v>
      </c>
      <c r="H851" s="2" t="str">
        <f t="shared" si="13"/>
        <v>Naik</v>
      </c>
    </row>
    <row r="852" spans="1:8" x14ac:dyDescent="0.2">
      <c r="A852" s="1">
        <v>851</v>
      </c>
      <c r="B852" s="3">
        <v>45484</v>
      </c>
      <c r="C852" s="4">
        <v>9589.9503722084391</v>
      </c>
      <c r="D852" s="4">
        <v>9709.8247518610406</v>
      </c>
      <c r="E852" s="4">
        <v>9589.9503722084391</v>
      </c>
      <c r="F852" s="4">
        <v>9661.875</v>
      </c>
      <c r="G852" s="1">
        <v>55908400</v>
      </c>
      <c r="H852" s="2" t="str">
        <f t="shared" si="13"/>
        <v>Turun</v>
      </c>
    </row>
    <row r="853" spans="1:8" x14ac:dyDescent="0.2">
      <c r="A853" s="1">
        <v>852</v>
      </c>
      <c r="B853" s="3">
        <v>45485</v>
      </c>
      <c r="C853" s="4">
        <v>9637.9001240694797</v>
      </c>
      <c r="D853" s="4">
        <v>9685.8498759305203</v>
      </c>
      <c r="E853" s="4">
        <v>9613.9252481389594</v>
      </c>
      <c r="F853" s="4">
        <v>9661.875</v>
      </c>
      <c r="G853" s="1">
        <v>62646500</v>
      </c>
      <c r="H853" s="2" t="str">
        <f t="shared" si="13"/>
        <v>Stabil</v>
      </c>
    </row>
    <row r="854" spans="1:8" x14ac:dyDescent="0.2">
      <c r="A854" s="1">
        <v>853</v>
      </c>
      <c r="B854" s="3">
        <v>45488</v>
      </c>
      <c r="C854" s="4">
        <v>9637.900390625</v>
      </c>
      <c r="D854" s="4">
        <v>9661.8752672186001</v>
      </c>
      <c r="E854" s="4">
        <v>9542.0008842506195</v>
      </c>
      <c r="F854" s="4">
        <v>9637.900390625</v>
      </c>
      <c r="G854" s="1">
        <v>36682600</v>
      </c>
      <c r="H854" s="2" t="str">
        <f t="shared" si="13"/>
        <v>Turun</v>
      </c>
    </row>
    <row r="855" spans="1:8" x14ac:dyDescent="0.2">
      <c r="A855" s="1">
        <v>854</v>
      </c>
      <c r="B855" s="3">
        <v>45489</v>
      </c>
      <c r="C855" s="4">
        <v>9565.9768324042107</v>
      </c>
      <c r="D855" s="4">
        <v>9613.9265909626301</v>
      </c>
      <c r="E855" s="4">
        <v>9542.001953125</v>
      </c>
      <c r="F855" s="4">
        <v>9542.001953125</v>
      </c>
      <c r="G855" s="1">
        <v>37192700</v>
      </c>
      <c r="H855" s="2" t="str">
        <f t="shared" si="13"/>
        <v>Turun</v>
      </c>
    </row>
    <row r="856" spans="1:8" x14ac:dyDescent="0.2">
      <c r="A856" s="1">
        <v>855</v>
      </c>
      <c r="B856" s="3">
        <v>45490</v>
      </c>
      <c r="C856" s="4">
        <v>9494.0508709343103</v>
      </c>
      <c r="D856" s="4">
        <v>9542.00062280772</v>
      </c>
      <c r="E856" s="4">
        <v>9398.1513671875</v>
      </c>
      <c r="F856" s="4">
        <v>9398.1513671875</v>
      </c>
      <c r="G856" s="1">
        <v>90666000</v>
      </c>
      <c r="H856" s="2" t="str">
        <f t="shared" si="13"/>
        <v>Turun</v>
      </c>
    </row>
    <row r="857" spans="1:8" x14ac:dyDescent="0.2">
      <c r="A857" s="1">
        <v>856</v>
      </c>
      <c r="B857" s="3">
        <v>45491</v>
      </c>
      <c r="C857" s="4">
        <v>9398.1520536819298</v>
      </c>
      <c r="D857" s="4">
        <v>9685.8505859375</v>
      </c>
      <c r="E857" s="4">
        <v>9398.1520536819298</v>
      </c>
      <c r="F857" s="4">
        <v>9685.8505859375</v>
      </c>
      <c r="G857" s="1">
        <v>65383200</v>
      </c>
      <c r="H857" s="2" t="str">
        <f t="shared" si="13"/>
        <v>Naik</v>
      </c>
    </row>
    <row r="858" spans="1:8" x14ac:dyDescent="0.2">
      <c r="A858" s="1">
        <v>857</v>
      </c>
      <c r="B858" s="3">
        <v>45492</v>
      </c>
      <c r="C858" s="4">
        <v>9637.9005642361099</v>
      </c>
      <c r="D858" s="4">
        <v>9709.8251953125</v>
      </c>
      <c r="E858" s="4">
        <v>9565.9759331597197</v>
      </c>
      <c r="F858" s="4">
        <v>9709.8251953125</v>
      </c>
      <c r="G858" s="1">
        <v>53880300</v>
      </c>
      <c r="H858" s="2" t="str">
        <f t="shared" si="13"/>
        <v>Naik</v>
      </c>
    </row>
    <row r="859" spans="1:8" x14ac:dyDescent="0.2">
      <c r="A859" s="1">
        <v>858</v>
      </c>
      <c r="B859" s="3">
        <v>45495</v>
      </c>
      <c r="C859" s="4">
        <v>9709.8254636254605</v>
      </c>
      <c r="D859" s="4">
        <v>9733.8003413134302</v>
      </c>
      <c r="E859" s="4">
        <v>9685.8505859375</v>
      </c>
      <c r="F859" s="4">
        <v>9685.8505859375</v>
      </c>
      <c r="G859" s="1">
        <v>31285300</v>
      </c>
      <c r="H859" s="2" t="str">
        <f t="shared" si="13"/>
        <v>Turun</v>
      </c>
    </row>
    <row r="860" spans="1:8" x14ac:dyDescent="0.2">
      <c r="A860" s="1">
        <v>859</v>
      </c>
      <c r="B860" s="3">
        <v>45496</v>
      </c>
      <c r="C860" s="4">
        <v>9781.7502687346405</v>
      </c>
      <c r="D860" s="4">
        <v>9781.7502687346405</v>
      </c>
      <c r="E860" s="4">
        <v>9709.8256344057099</v>
      </c>
      <c r="F860" s="4">
        <v>9757.775390625</v>
      </c>
      <c r="G860" s="1">
        <v>39321100</v>
      </c>
      <c r="H860" s="2" t="str">
        <f t="shared" si="13"/>
        <v>Naik</v>
      </c>
    </row>
    <row r="861" spans="1:8" x14ac:dyDescent="0.2">
      <c r="A861" s="1">
        <v>860</v>
      </c>
      <c r="B861" s="3">
        <v>45497</v>
      </c>
      <c r="C861" s="4">
        <v>9709.8247518610406</v>
      </c>
      <c r="D861" s="4">
        <v>9757.7745037220902</v>
      </c>
      <c r="E861" s="4">
        <v>9661.875</v>
      </c>
      <c r="F861" s="4">
        <v>9661.875</v>
      </c>
      <c r="G861" s="1">
        <v>24658000</v>
      </c>
      <c r="H861" s="2" t="str">
        <f t="shared" si="13"/>
        <v>Turun</v>
      </c>
    </row>
    <row r="862" spans="1:8" x14ac:dyDescent="0.2">
      <c r="A862" s="1">
        <v>861</v>
      </c>
      <c r="B862" s="3">
        <v>45498</v>
      </c>
      <c r="C862" s="4">
        <v>9805.7238129551006</v>
      </c>
      <c r="D862" s="4">
        <v>9877.6484375</v>
      </c>
      <c r="E862" s="4">
        <v>9781.7489381068008</v>
      </c>
      <c r="F862" s="4">
        <v>9877.6484375</v>
      </c>
      <c r="G862" s="1">
        <v>98088100</v>
      </c>
      <c r="H862" s="2" t="str">
        <f t="shared" si="13"/>
        <v>Naik</v>
      </c>
    </row>
    <row r="863" spans="1:8" x14ac:dyDescent="0.2">
      <c r="A863" s="1">
        <v>862</v>
      </c>
      <c r="B863" s="3">
        <v>45499</v>
      </c>
      <c r="C863" s="4">
        <v>9949.5737765776303</v>
      </c>
      <c r="D863" s="4">
        <v>9973.5486531477</v>
      </c>
      <c r="E863" s="4">
        <v>9877.6491468674303</v>
      </c>
      <c r="F863" s="4">
        <v>9901.6240234375</v>
      </c>
      <c r="G863" s="1">
        <v>75565800</v>
      </c>
      <c r="H863" s="2" t="str">
        <f t="shared" si="13"/>
        <v>Naik</v>
      </c>
    </row>
    <row r="864" spans="1:8" x14ac:dyDescent="0.2">
      <c r="A864" s="1">
        <v>863</v>
      </c>
      <c r="B864" s="3">
        <v>45502</v>
      </c>
      <c r="C864" s="4">
        <v>9973.5484756097594</v>
      </c>
      <c r="D864" s="4">
        <v>9997.5233517530505</v>
      </c>
      <c r="E864" s="4">
        <v>9757.7745903201194</v>
      </c>
      <c r="F864" s="4">
        <v>9829.69921875</v>
      </c>
      <c r="G864" s="1">
        <v>69092500</v>
      </c>
      <c r="H864" s="2" t="str">
        <f t="shared" si="13"/>
        <v>Turun</v>
      </c>
    </row>
    <row r="865" spans="1:8" x14ac:dyDescent="0.2">
      <c r="A865" s="1">
        <v>864</v>
      </c>
      <c r="B865" s="3">
        <v>45503</v>
      </c>
      <c r="C865" s="4">
        <v>9877.6497811732206</v>
      </c>
      <c r="D865" s="4">
        <v>9877.6497811732206</v>
      </c>
      <c r="E865" s="4">
        <v>9757.775390625</v>
      </c>
      <c r="F865" s="4">
        <v>9757.775390625</v>
      </c>
      <c r="G865" s="1">
        <v>32122900</v>
      </c>
      <c r="H865" s="2" t="str">
        <f t="shared" si="13"/>
        <v>Turun</v>
      </c>
    </row>
    <row r="866" spans="1:8" x14ac:dyDescent="0.2">
      <c r="A866" s="1">
        <v>865</v>
      </c>
      <c r="B866" s="3">
        <v>45504</v>
      </c>
      <c r="C866" s="4">
        <v>9925.5994382983608</v>
      </c>
      <c r="D866" s="4">
        <v>9925.5994382983608</v>
      </c>
      <c r="E866" s="4">
        <v>9805.7250489469297</v>
      </c>
      <c r="F866" s="4">
        <v>9853.6748046875</v>
      </c>
      <c r="G866" s="1">
        <v>82519900</v>
      </c>
      <c r="H866" s="2" t="str">
        <f t="shared" si="13"/>
        <v>Naik</v>
      </c>
    </row>
    <row r="867" spans="1:8" x14ac:dyDescent="0.2">
      <c r="A867" s="1">
        <v>866</v>
      </c>
      <c r="B867" s="3">
        <v>45505</v>
      </c>
      <c r="C867" s="4">
        <v>9781.75007530121</v>
      </c>
      <c r="D867" s="4">
        <v>9949.57421875</v>
      </c>
      <c r="E867" s="4">
        <v>9781.75007530121</v>
      </c>
      <c r="F867" s="4">
        <v>9949.57421875</v>
      </c>
      <c r="G867" s="1">
        <v>61176200</v>
      </c>
      <c r="H867" s="2" t="str">
        <f t="shared" si="13"/>
        <v>Naik</v>
      </c>
    </row>
    <row r="868" spans="1:8" x14ac:dyDescent="0.2">
      <c r="A868" s="1">
        <v>867</v>
      </c>
      <c r="B868" s="3">
        <v>45506</v>
      </c>
      <c r="C868" s="4">
        <v>9853.6746323529405</v>
      </c>
      <c r="D868" s="4">
        <v>9925.5992647058792</v>
      </c>
      <c r="E868" s="4">
        <v>9781.75</v>
      </c>
      <c r="F868" s="4">
        <v>9781.75</v>
      </c>
      <c r="G868" s="1">
        <v>55699900</v>
      </c>
      <c r="H868" s="2" t="str">
        <f t="shared" si="13"/>
        <v>Turun</v>
      </c>
    </row>
    <row r="869" spans="1:8" x14ac:dyDescent="0.2">
      <c r="A869" s="1">
        <v>868</v>
      </c>
      <c r="B869" s="3">
        <v>45509</v>
      </c>
      <c r="C869" s="4">
        <v>9589.9515427215192</v>
      </c>
      <c r="D869" s="4">
        <v>9733.8008158623397</v>
      </c>
      <c r="E869" s="4">
        <v>9470.0771484375</v>
      </c>
      <c r="F869" s="4">
        <v>9470.0771484375</v>
      </c>
      <c r="G869" s="1">
        <v>126328300</v>
      </c>
      <c r="H869" s="2" t="str">
        <f t="shared" si="13"/>
        <v>Turun</v>
      </c>
    </row>
    <row r="870" spans="1:8" x14ac:dyDescent="0.2">
      <c r="A870" s="1">
        <v>869</v>
      </c>
      <c r="B870" s="3">
        <v>45510</v>
      </c>
      <c r="C870" s="4">
        <v>9661.87580566406</v>
      </c>
      <c r="D870" s="4">
        <v>9661.87580566406</v>
      </c>
      <c r="E870" s="4">
        <v>9542.0014160156206</v>
      </c>
      <c r="F870" s="4">
        <v>9589.951171875</v>
      </c>
      <c r="G870" s="1">
        <v>78473900</v>
      </c>
      <c r="H870" s="2" t="str">
        <f t="shared" si="13"/>
        <v>Naik</v>
      </c>
    </row>
    <row r="871" spans="1:8" x14ac:dyDescent="0.2">
      <c r="A871" s="1">
        <v>870</v>
      </c>
      <c r="B871" s="3">
        <v>45511</v>
      </c>
      <c r="C871" s="4">
        <v>9589.9510751856396</v>
      </c>
      <c r="D871" s="4">
        <v>9685.8505859375</v>
      </c>
      <c r="E871" s="4">
        <v>9589.9510751856396</v>
      </c>
      <c r="F871" s="4">
        <v>9685.8505859375</v>
      </c>
      <c r="G871" s="1">
        <v>52327400</v>
      </c>
      <c r="H871" s="2" t="str">
        <f t="shared" si="13"/>
        <v>Naik</v>
      </c>
    </row>
    <row r="872" spans="1:8" x14ac:dyDescent="0.2">
      <c r="A872" s="1">
        <v>871</v>
      </c>
      <c r="B872" s="3">
        <v>45512</v>
      </c>
      <c r="C872" s="4">
        <v>9733.8009483878395</v>
      </c>
      <c r="D872" s="4">
        <v>9805.7255859375</v>
      </c>
      <c r="E872" s="4">
        <v>9661.87631083817</v>
      </c>
      <c r="F872" s="4">
        <v>9805.7255859375</v>
      </c>
      <c r="G872" s="1">
        <v>54162100</v>
      </c>
      <c r="H872" s="2" t="str">
        <f t="shared" si="13"/>
        <v>Naik</v>
      </c>
    </row>
    <row r="873" spans="1:8" x14ac:dyDescent="0.2">
      <c r="A873" s="1">
        <v>872</v>
      </c>
      <c r="B873" s="3">
        <v>45513</v>
      </c>
      <c r="C873" s="4">
        <v>9805.7254175646594</v>
      </c>
      <c r="D873" s="4">
        <v>9829.7002963362102</v>
      </c>
      <c r="E873" s="4">
        <v>9685.8510237069004</v>
      </c>
      <c r="F873" s="4">
        <v>9733.80078125</v>
      </c>
      <c r="G873" s="1">
        <v>47062400</v>
      </c>
      <c r="H873" s="2" t="str">
        <f t="shared" si="13"/>
        <v>Turun</v>
      </c>
    </row>
    <row r="874" spans="1:8" x14ac:dyDescent="0.2">
      <c r="A874" s="1">
        <v>873</v>
      </c>
      <c r="B874" s="3">
        <v>45516</v>
      </c>
      <c r="C874" s="4">
        <v>9685.8504901960805</v>
      </c>
      <c r="D874" s="4">
        <v>9781.75</v>
      </c>
      <c r="E874" s="4">
        <v>9661.8756127450997</v>
      </c>
      <c r="F874" s="4">
        <v>9781.75</v>
      </c>
      <c r="G874" s="1">
        <v>40364100</v>
      </c>
      <c r="H874" s="2" t="str">
        <f t="shared" si="13"/>
        <v>Naik</v>
      </c>
    </row>
    <row r="875" spans="1:8" x14ac:dyDescent="0.2">
      <c r="A875" s="1">
        <v>874</v>
      </c>
      <c r="B875" s="3">
        <v>45517</v>
      </c>
      <c r="C875" s="4">
        <v>9829.6986878034004</v>
      </c>
      <c r="D875" s="4">
        <v>9877.6484375</v>
      </c>
      <c r="E875" s="4">
        <v>9757.7740632584992</v>
      </c>
      <c r="F875" s="4">
        <v>9877.6484375</v>
      </c>
      <c r="G875" s="1">
        <v>55207100</v>
      </c>
      <c r="H875" s="2" t="str">
        <f t="shared" si="13"/>
        <v>Naik</v>
      </c>
    </row>
    <row r="876" spans="1:8" x14ac:dyDescent="0.2">
      <c r="A876" s="1">
        <v>875</v>
      </c>
      <c r="B876" s="3">
        <v>45518</v>
      </c>
      <c r="C876" s="4">
        <v>9877.6495098039195</v>
      </c>
      <c r="D876" s="4">
        <v>9877.6495098039195</v>
      </c>
      <c r="E876" s="4">
        <v>9781.75</v>
      </c>
      <c r="F876" s="4">
        <v>9781.75</v>
      </c>
      <c r="G876" s="1">
        <v>47999100</v>
      </c>
      <c r="H876" s="2" t="str">
        <f t="shared" si="13"/>
        <v>Turun</v>
      </c>
    </row>
    <row r="877" spans="1:8" x14ac:dyDescent="0.2">
      <c r="A877" s="1">
        <v>876</v>
      </c>
      <c r="B877" s="3">
        <v>45519</v>
      </c>
      <c r="C877" s="4">
        <v>9781.7507067542792</v>
      </c>
      <c r="D877" s="4">
        <v>9877.6502234871605</v>
      </c>
      <c r="E877" s="4">
        <v>9757.7758275710603</v>
      </c>
      <c r="F877" s="4">
        <v>9805.7255859375</v>
      </c>
      <c r="G877" s="1">
        <v>33396600</v>
      </c>
      <c r="H877" s="2" t="str">
        <f t="shared" si="13"/>
        <v>Naik</v>
      </c>
    </row>
    <row r="878" spans="1:8" x14ac:dyDescent="0.2">
      <c r="A878" s="1">
        <v>877</v>
      </c>
      <c r="B878" s="3">
        <v>45520</v>
      </c>
      <c r="C878" s="4">
        <v>9877.6491468674303</v>
      </c>
      <c r="D878" s="4">
        <v>9901.6240234375</v>
      </c>
      <c r="E878" s="4">
        <v>9829.6993937273</v>
      </c>
      <c r="F878" s="4">
        <v>9901.6240234375</v>
      </c>
      <c r="G878" s="1">
        <v>40731400</v>
      </c>
      <c r="H878" s="2" t="str">
        <f t="shared" si="13"/>
        <v>Naik</v>
      </c>
    </row>
    <row r="879" spans="1:8" x14ac:dyDescent="0.2">
      <c r="A879" s="1">
        <v>878</v>
      </c>
      <c r="B879" s="3">
        <v>45523</v>
      </c>
      <c r="C879" s="4">
        <v>9901.62446347892</v>
      </c>
      <c r="D879" s="4">
        <v>9997.52397402108</v>
      </c>
      <c r="E879" s="4">
        <v>9853.6747082078291</v>
      </c>
      <c r="F879" s="4">
        <v>9949.57421875</v>
      </c>
      <c r="G879" s="1">
        <v>51054400</v>
      </c>
      <c r="H879" s="2" t="str">
        <f t="shared" si="13"/>
        <v>Naik</v>
      </c>
    </row>
    <row r="880" spans="1:8" x14ac:dyDescent="0.2">
      <c r="A880" s="1">
        <v>879</v>
      </c>
      <c r="B880" s="3">
        <v>45524</v>
      </c>
      <c r="C880" s="4">
        <v>9901.6248992993096</v>
      </c>
      <c r="D880" s="4">
        <v>10021.4992927533</v>
      </c>
      <c r="E880" s="4">
        <v>9877.6500206085093</v>
      </c>
      <c r="F880" s="4">
        <v>9997.5244140625</v>
      </c>
      <c r="G880" s="1">
        <v>60304400</v>
      </c>
      <c r="H880" s="2" t="str">
        <f t="shared" si="13"/>
        <v>Naik</v>
      </c>
    </row>
    <row r="881" spans="1:8" x14ac:dyDescent="0.2">
      <c r="A881" s="1">
        <v>880</v>
      </c>
      <c r="B881" s="3">
        <v>45525</v>
      </c>
      <c r="C881" s="4">
        <v>10069.449050134899</v>
      </c>
      <c r="D881" s="4">
        <v>10069.449050134899</v>
      </c>
      <c r="E881" s="4">
        <v>9997.5244140625</v>
      </c>
      <c r="F881" s="4">
        <v>9997.5244140625</v>
      </c>
      <c r="G881" s="1">
        <v>84848800</v>
      </c>
      <c r="H881" s="2" t="str">
        <f t="shared" si="13"/>
        <v>Stabil</v>
      </c>
    </row>
    <row r="882" spans="1:8" x14ac:dyDescent="0.2">
      <c r="A882" s="1">
        <v>881</v>
      </c>
      <c r="B882" s="3">
        <v>45526</v>
      </c>
      <c r="C882" s="4">
        <v>9925.5989000075697</v>
      </c>
      <c r="D882" s="4">
        <v>9973.5486531477</v>
      </c>
      <c r="E882" s="4">
        <v>9805.7245171572304</v>
      </c>
      <c r="F882" s="4">
        <v>9901.6240234375</v>
      </c>
      <c r="G882" s="1">
        <v>56611600</v>
      </c>
      <c r="H882" s="2" t="str">
        <f t="shared" si="13"/>
        <v>Turun</v>
      </c>
    </row>
    <row r="883" spans="1:8" x14ac:dyDescent="0.2">
      <c r="A883" s="1">
        <v>882</v>
      </c>
      <c r="B883" s="3">
        <v>45527</v>
      </c>
      <c r="C883" s="4">
        <v>9901.6240234375</v>
      </c>
      <c r="D883" s="4">
        <v>9949.5737765776303</v>
      </c>
      <c r="E883" s="4">
        <v>9877.6491468674303</v>
      </c>
      <c r="F883" s="4">
        <v>9901.6240234375</v>
      </c>
      <c r="G883" s="1">
        <v>46651600</v>
      </c>
      <c r="H883" s="2" t="str">
        <f t="shared" si="13"/>
        <v>Stabil</v>
      </c>
    </row>
    <row r="884" spans="1:8" x14ac:dyDescent="0.2">
      <c r="A884" s="1">
        <v>883</v>
      </c>
      <c r="B884" s="3">
        <v>45530</v>
      </c>
      <c r="C884" s="4">
        <v>9853.6742702973697</v>
      </c>
      <c r="D884" s="4">
        <v>9949.5737765776303</v>
      </c>
      <c r="E884" s="4">
        <v>9829.6993937273</v>
      </c>
      <c r="F884" s="4">
        <v>9901.6240234375</v>
      </c>
      <c r="G884" s="1">
        <v>35145600</v>
      </c>
      <c r="H884" s="2" t="str">
        <f t="shared" si="13"/>
        <v>Stabil</v>
      </c>
    </row>
    <row r="885" spans="1:8" x14ac:dyDescent="0.2">
      <c r="A885" s="1">
        <v>884</v>
      </c>
      <c r="B885" s="3">
        <v>45531</v>
      </c>
      <c r="C885" s="4">
        <v>9853.6746323529405</v>
      </c>
      <c r="D885" s="4">
        <v>9877.6495098039195</v>
      </c>
      <c r="E885" s="4">
        <v>9757.7751225490192</v>
      </c>
      <c r="F885" s="4">
        <v>9781.75</v>
      </c>
      <c r="G885" s="1">
        <v>60448400</v>
      </c>
      <c r="H885" s="2" t="str">
        <f t="shared" si="13"/>
        <v>Turun</v>
      </c>
    </row>
    <row r="886" spans="1:8" x14ac:dyDescent="0.2">
      <c r="A886" s="1">
        <v>885</v>
      </c>
      <c r="B886" s="3">
        <v>45532</v>
      </c>
      <c r="C886" s="4">
        <v>9877.6488809631701</v>
      </c>
      <c r="D886" s="4">
        <v>9925.5986328125</v>
      </c>
      <c r="E886" s="4">
        <v>9829.6991291138293</v>
      </c>
      <c r="F886" s="4">
        <v>9925.5986328125</v>
      </c>
      <c r="G886" s="1">
        <v>38489900</v>
      </c>
      <c r="H886" s="2" t="str">
        <f t="shared" si="13"/>
        <v>Naik</v>
      </c>
    </row>
    <row r="887" spans="1:8" x14ac:dyDescent="0.2">
      <c r="A887" s="1">
        <v>886</v>
      </c>
      <c r="B887" s="3">
        <v>45533</v>
      </c>
      <c r="C887" s="4">
        <v>10069.449256952899</v>
      </c>
      <c r="D887" s="4">
        <v>10069.449256952899</v>
      </c>
      <c r="E887" s="4">
        <v>9805.7255859375</v>
      </c>
      <c r="F887" s="4">
        <v>9805.7255859375</v>
      </c>
      <c r="G887" s="1">
        <v>53004700</v>
      </c>
      <c r="H887" s="2" t="str">
        <f t="shared" si="13"/>
        <v>Turun</v>
      </c>
    </row>
    <row r="888" spans="1:8" x14ac:dyDescent="0.2">
      <c r="A888" s="1">
        <v>887</v>
      </c>
      <c r="B888" s="3">
        <v>45534</v>
      </c>
      <c r="C888" s="4">
        <v>9901.6240234375</v>
      </c>
      <c r="D888" s="4">
        <v>9901.6240234375</v>
      </c>
      <c r="E888" s="4">
        <v>9781.7496405871698</v>
      </c>
      <c r="F888" s="4">
        <v>9901.6240234375</v>
      </c>
      <c r="G888" s="1">
        <v>158403700</v>
      </c>
      <c r="H888" s="2" t="str">
        <f t="shared" si="13"/>
        <v>Naik</v>
      </c>
    </row>
    <row r="889" spans="1:8" x14ac:dyDescent="0.2">
      <c r="A889" s="1">
        <v>888</v>
      </c>
      <c r="B889" s="3">
        <v>45537</v>
      </c>
      <c r="C889" s="4">
        <v>9949.5743161686405</v>
      </c>
      <c r="D889" s="4">
        <v>9949.5743161686405</v>
      </c>
      <c r="E889" s="4">
        <v>9781.7501710766392</v>
      </c>
      <c r="F889" s="4">
        <v>9853.6748046875</v>
      </c>
      <c r="G889" s="1">
        <v>72008600</v>
      </c>
      <c r="H889" s="2" t="str">
        <f t="shared" si="13"/>
        <v>Turun</v>
      </c>
    </row>
    <row r="890" spans="1:8" x14ac:dyDescent="0.2">
      <c r="A890" s="1">
        <v>889</v>
      </c>
      <c r="B890" s="3">
        <v>45538</v>
      </c>
      <c r="C890" s="4">
        <v>9901.6246592828593</v>
      </c>
      <c r="D890" s="4">
        <v>9901.6246592828593</v>
      </c>
      <c r="E890" s="4">
        <v>9733.8005125153595</v>
      </c>
      <c r="F890" s="4">
        <v>9757.775390625</v>
      </c>
      <c r="G890" s="1">
        <v>50950200</v>
      </c>
      <c r="H890" s="2" t="str">
        <f t="shared" si="13"/>
        <v>Turun</v>
      </c>
    </row>
    <row r="891" spans="1:8" x14ac:dyDescent="0.2">
      <c r="A891" s="1">
        <v>890</v>
      </c>
      <c r="B891" s="3">
        <v>45539</v>
      </c>
      <c r="C891" s="4">
        <v>9733.7991884101903</v>
      </c>
      <c r="D891" s="4">
        <v>9877.6484375</v>
      </c>
      <c r="E891" s="4">
        <v>9709.8243135618904</v>
      </c>
      <c r="F891" s="4">
        <v>9877.6484375</v>
      </c>
      <c r="G891" s="1">
        <v>44817000</v>
      </c>
      <c r="H891" s="2" t="str">
        <f t="shared" si="13"/>
        <v>Naik</v>
      </c>
    </row>
    <row r="892" spans="1:8" x14ac:dyDescent="0.2">
      <c r="A892" s="1">
        <v>891</v>
      </c>
      <c r="B892" s="3">
        <v>45540</v>
      </c>
      <c r="C892" s="4">
        <v>9925.5987233231699</v>
      </c>
      <c r="D892" s="4">
        <v>9925.5987233231699</v>
      </c>
      <c r="E892" s="4">
        <v>9829.69921875</v>
      </c>
      <c r="F892" s="4">
        <v>9829.69921875</v>
      </c>
      <c r="G892" s="1">
        <v>39332900</v>
      </c>
      <c r="H892" s="2" t="str">
        <f t="shared" si="13"/>
        <v>Turun</v>
      </c>
    </row>
    <row r="893" spans="1:8" x14ac:dyDescent="0.2">
      <c r="A893" s="1">
        <v>892</v>
      </c>
      <c r="B893" s="3">
        <v>45541</v>
      </c>
      <c r="C893" s="4">
        <v>9805.7238129551006</v>
      </c>
      <c r="D893" s="4">
        <v>9877.6484375</v>
      </c>
      <c r="E893" s="4">
        <v>9805.7238129551006</v>
      </c>
      <c r="F893" s="4">
        <v>9877.6484375</v>
      </c>
      <c r="G893" s="1">
        <v>31541800</v>
      </c>
      <c r="H893" s="2" t="str">
        <f t="shared" si="13"/>
        <v>Naik</v>
      </c>
    </row>
    <row r="894" spans="1:8" x14ac:dyDescent="0.2">
      <c r="A894" s="1">
        <v>893</v>
      </c>
      <c r="B894" s="3">
        <v>45544</v>
      </c>
      <c r="C894" s="4">
        <v>9877.6496825577906</v>
      </c>
      <c r="D894" s="4">
        <v>9925.5994382983608</v>
      </c>
      <c r="E894" s="4">
        <v>9781.7501710766392</v>
      </c>
      <c r="F894" s="4">
        <v>9853.6748046875</v>
      </c>
      <c r="G894" s="1">
        <v>36185100</v>
      </c>
      <c r="H894" s="2" t="str">
        <f t="shared" si="13"/>
        <v>Turun</v>
      </c>
    </row>
    <row r="895" spans="1:8" x14ac:dyDescent="0.2">
      <c r="A895" s="1">
        <v>894</v>
      </c>
      <c r="B895" s="3">
        <v>45545</v>
      </c>
      <c r="C895" s="4">
        <v>9925.5986328125</v>
      </c>
      <c r="D895" s="4">
        <v>9925.5986328125</v>
      </c>
      <c r="E895" s="4">
        <v>9853.6740050384997</v>
      </c>
      <c r="F895" s="4">
        <v>9925.5986328125</v>
      </c>
      <c r="G895" s="1">
        <v>55093100</v>
      </c>
      <c r="H895" s="2" t="str">
        <f t="shared" si="13"/>
        <v>Naik</v>
      </c>
    </row>
    <row r="896" spans="1:8" x14ac:dyDescent="0.2">
      <c r="A896" s="1">
        <v>895</v>
      </c>
      <c r="B896" s="3">
        <v>45546</v>
      </c>
      <c r="C896" s="4">
        <v>9997.5244140625</v>
      </c>
      <c r="D896" s="4">
        <v>9997.5244140625</v>
      </c>
      <c r="E896" s="4">
        <v>9925.5997779901099</v>
      </c>
      <c r="F896" s="4">
        <v>9997.5244140625</v>
      </c>
      <c r="G896" s="1">
        <v>64621300</v>
      </c>
      <c r="H896" s="2" t="str">
        <f t="shared" si="13"/>
        <v>Naik</v>
      </c>
    </row>
    <row r="897" spans="1:8" x14ac:dyDescent="0.2">
      <c r="A897" s="1">
        <v>896</v>
      </c>
      <c r="B897" s="3">
        <v>45547</v>
      </c>
      <c r="C897" s="4">
        <v>10021.498755407199</v>
      </c>
      <c r="D897" s="4">
        <v>10069.448510217801</v>
      </c>
      <c r="E897" s="4">
        <v>9949.5741231913798</v>
      </c>
      <c r="F897" s="4">
        <v>10045.4736328125</v>
      </c>
      <c r="G897" s="1">
        <v>70759100</v>
      </c>
      <c r="H897" s="2" t="str">
        <f t="shared" si="13"/>
        <v>Naik</v>
      </c>
    </row>
    <row r="898" spans="1:8" x14ac:dyDescent="0.2">
      <c r="A898" s="1">
        <v>897</v>
      </c>
      <c r="B898" s="3">
        <v>45548</v>
      </c>
      <c r="C898" s="4">
        <v>9973.5495353716997</v>
      </c>
      <c r="D898" s="4">
        <v>9997.5244140625</v>
      </c>
      <c r="E898" s="4">
        <v>9901.6248992993096</v>
      </c>
      <c r="F898" s="4">
        <v>9997.5244140625</v>
      </c>
      <c r="G898" s="1">
        <v>70057100</v>
      </c>
      <c r="H898" s="2" t="str">
        <f t="shared" si="13"/>
        <v>Turun</v>
      </c>
    </row>
    <row r="899" spans="1:8" x14ac:dyDescent="0.2">
      <c r="A899" s="1">
        <v>898</v>
      </c>
      <c r="B899" s="3">
        <v>45552</v>
      </c>
      <c r="C899" s="4">
        <v>10021.4984886533</v>
      </c>
      <c r="D899" s="4">
        <v>10069.4482421875</v>
      </c>
      <c r="E899" s="4">
        <v>9925.5989815848206</v>
      </c>
      <c r="F899" s="4">
        <v>10069.4482421875</v>
      </c>
      <c r="G899" s="1">
        <v>89745000</v>
      </c>
      <c r="H899" s="2" t="str">
        <f t="shared" si="13"/>
        <v>Naik</v>
      </c>
    </row>
    <row r="900" spans="1:8" x14ac:dyDescent="0.2">
      <c r="A900" s="1">
        <v>899</v>
      </c>
      <c r="B900" s="3">
        <v>45553</v>
      </c>
      <c r="C900" s="4">
        <v>10069.448851102899</v>
      </c>
      <c r="D900" s="4">
        <v>10189.3232421875</v>
      </c>
      <c r="E900" s="4">
        <v>10021.4990946691</v>
      </c>
      <c r="F900" s="4">
        <v>10189.3232421875</v>
      </c>
      <c r="G900" s="1">
        <v>65420200</v>
      </c>
      <c r="H900" s="2" t="str">
        <f t="shared" ref="H900:H963" si="14">IF(F900&gt;F899,"Naik",IF(F900&lt;F899,"Turun","Stabil"))</f>
        <v>Naik</v>
      </c>
    </row>
    <row r="901" spans="1:8" x14ac:dyDescent="0.2">
      <c r="A901" s="1">
        <v>900</v>
      </c>
      <c r="B901" s="3">
        <v>45554</v>
      </c>
      <c r="C901" s="4">
        <v>10261.2478497706</v>
      </c>
      <c r="D901" s="4">
        <v>10453.046875</v>
      </c>
      <c r="E901" s="4">
        <v>10213.2980934633</v>
      </c>
      <c r="F901" s="4">
        <v>10453.046875</v>
      </c>
      <c r="G901" s="1">
        <v>140886600</v>
      </c>
      <c r="H901" s="2" t="str">
        <f t="shared" si="14"/>
        <v>Naik</v>
      </c>
    </row>
    <row r="902" spans="1:8" x14ac:dyDescent="0.2">
      <c r="A902" s="1">
        <v>901</v>
      </c>
      <c r="B902" s="3">
        <v>45555</v>
      </c>
      <c r="C902" s="4">
        <v>10453.0462587007</v>
      </c>
      <c r="D902" s="4">
        <v>10453.0462587007</v>
      </c>
      <c r="E902" s="4">
        <v>10333.171875</v>
      </c>
      <c r="F902" s="4">
        <v>10333.171875</v>
      </c>
      <c r="G902" s="1">
        <v>142194600</v>
      </c>
      <c r="H902" s="2" t="str">
        <f t="shared" si="14"/>
        <v>Turun</v>
      </c>
    </row>
    <row r="903" spans="1:8" x14ac:dyDescent="0.2">
      <c r="A903" s="1">
        <v>902</v>
      </c>
      <c r="B903" s="3">
        <v>45558</v>
      </c>
      <c r="C903" s="4">
        <v>10285.2231579088</v>
      </c>
      <c r="D903" s="4">
        <v>10500.9970703125</v>
      </c>
      <c r="E903" s="4">
        <v>10285.2231579088</v>
      </c>
      <c r="F903" s="4">
        <v>10500.9970703125</v>
      </c>
      <c r="G903" s="1">
        <v>72553800</v>
      </c>
      <c r="H903" s="2" t="str">
        <f t="shared" si="14"/>
        <v>Naik</v>
      </c>
    </row>
    <row r="904" spans="1:8" x14ac:dyDescent="0.2">
      <c r="A904" s="1">
        <v>903</v>
      </c>
      <c r="B904" s="3">
        <v>45559</v>
      </c>
      <c r="C904" s="4">
        <v>10333.171608253801</v>
      </c>
      <c r="D904" s="4">
        <v>10500.995741102401</v>
      </c>
      <c r="E904" s="4">
        <v>10333.171608253801</v>
      </c>
      <c r="F904" s="4">
        <v>10357.146484375</v>
      </c>
      <c r="G904" s="1">
        <v>105191100</v>
      </c>
      <c r="H904" s="2" t="str">
        <f t="shared" si="14"/>
        <v>Turun</v>
      </c>
    </row>
    <row r="905" spans="1:8" x14ac:dyDescent="0.2">
      <c r="A905" s="1">
        <v>904</v>
      </c>
      <c r="B905" s="3">
        <v>45560</v>
      </c>
      <c r="C905" s="4">
        <v>10237.273500503999</v>
      </c>
      <c r="D905" s="4">
        <v>10405.09765625</v>
      </c>
      <c r="E905" s="4">
        <v>10093.4242241503</v>
      </c>
      <c r="F905" s="4">
        <v>10405.09765625</v>
      </c>
      <c r="G905" s="1">
        <v>158369100</v>
      </c>
      <c r="H905" s="2" t="str">
        <f t="shared" si="14"/>
        <v>Naik</v>
      </c>
    </row>
    <row r="906" spans="1:8" x14ac:dyDescent="0.2">
      <c r="A906" s="1">
        <v>905</v>
      </c>
      <c r="B906" s="3">
        <v>45561</v>
      </c>
      <c r="C906" s="4">
        <v>10429.072197174401</v>
      </c>
      <c r="D906" s="4">
        <v>10429.072197174401</v>
      </c>
      <c r="E906" s="4">
        <v>10237.273168260799</v>
      </c>
      <c r="F906" s="4">
        <v>10261.248046875</v>
      </c>
      <c r="G906" s="1">
        <v>84960100</v>
      </c>
      <c r="H906" s="2" t="str">
        <f t="shared" si="14"/>
        <v>Turun</v>
      </c>
    </row>
    <row r="907" spans="1:8" x14ac:dyDescent="0.2">
      <c r="A907" s="1">
        <v>906</v>
      </c>
      <c r="B907" s="3">
        <v>45562</v>
      </c>
      <c r="C907" s="4">
        <v>10069.4485860475</v>
      </c>
      <c r="D907" s="4">
        <v>10309.197361905801</v>
      </c>
      <c r="E907" s="4">
        <v>9973.5490757042207</v>
      </c>
      <c r="F907" s="4">
        <v>10213.2978515625</v>
      </c>
      <c r="G907" s="1">
        <v>93027400</v>
      </c>
      <c r="H907" s="2" t="str">
        <f t="shared" si="14"/>
        <v>Turun</v>
      </c>
    </row>
    <row r="908" spans="1:8" x14ac:dyDescent="0.2">
      <c r="A908" s="1">
        <v>907</v>
      </c>
      <c r="B908" s="3">
        <v>45565</v>
      </c>
      <c r="C908" s="4">
        <v>10045.4732828579</v>
      </c>
      <c r="D908" s="4">
        <v>10117.3979125681</v>
      </c>
      <c r="E908" s="4">
        <v>9901.6240234375</v>
      </c>
      <c r="F908" s="4">
        <v>9901.6240234375</v>
      </c>
      <c r="G908" s="1">
        <v>144692100</v>
      </c>
      <c r="H908" s="2" t="str">
        <f t="shared" si="14"/>
        <v>Turun</v>
      </c>
    </row>
    <row r="909" spans="1:8" x14ac:dyDescent="0.2">
      <c r="A909" s="1">
        <v>908</v>
      </c>
      <c r="B909" s="3">
        <v>45566</v>
      </c>
      <c r="C909" s="4">
        <v>9973.5491706161101</v>
      </c>
      <c r="D909" s="4">
        <v>10117.3984375</v>
      </c>
      <c r="E909" s="4">
        <v>9949.57429280213</v>
      </c>
      <c r="F909" s="4">
        <v>10117.3984375</v>
      </c>
      <c r="G909" s="1">
        <v>59797700</v>
      </c>
      <c r="H909" s="2" t="str">
        <f t="shared" si="14"/>
        <v>Naik</v>
      </c>
    </row>
    <row r="910" spans="1:8" x14ac:dyDescent="0.2">
      <c r="A910" s="1">
        <v>909</v>
      </c>
      <c r="B910" s="3">
        <v>45567</v>
      </c>
      <c r="C910" s="4">
        <v>9901.6241048177108</v>
      </c>
      <c r="D910" s="4">
        <v>10117.3979957217</v>
      </c>
      <c r="E910" s="4">
        <v>9901.6241048177108</v>
      </c>
      <c r="F910" s="4">
        <v>10069.4482421875</v>
      </c>
      <c r="G910" s="1">
        <v>86746200</v>
      </c>
      <c r="H910" s="2" t="str">
        <f t="shared" si="14"/>
        <v>Turun</v>
      </c>
    </row>
    <row r="911" spans="1:8" x14ac:dyDescent="0.2">
      <c r="A911" s="1">
        <v>910</v>
      </c>
      <c r="B911" s="3">
        <v>45568</v>
      </c>
      <c r="C911" s="4">
        <v>10021.4990234375</v>
      </c>
      <c r="D911" s="4">
        <v>10093.423657576999</v>
      </c>
      <c r="E911" s="4">
        <v>9973.5492673445005</v>
      </c>
      <c r="F911" s="4">
        <v>10021.4990234375</v>
      </c>
      <c r="G911" s="1">
        <v>60887000</v>
      </c>
      <c r="H911" s="2" t="str">
        <f t="shared" si="14"/>
        <v>Turun</v>
      </c>
    </row>
    <row r="912" spans="1:8" x14ac:dyDescent="0.2">
      <c r="A912" s="1">
        <v>911</v>
      </c>
      <c r="B912" s="3">
        <v>45569</v>
      </c>
      <c r="C912" s="4">
        <v>9973.5490005966603</v>
      </c>
      <c r="D912" s="4">
        <v>10045.4736328125</v>
      </c>
      <c r="E912" s="4">
        <v>9925.5992457860993</v>
      </c>
      <c r="F912" s="4">
        <v>10045.4736328125</v>
      </c>
      <c r="G912" s="1">
        <v>58500400</v>
      </c>
      <c r="H912" s="2" t="str">
        <f t="shared" si="14"/>
        <v>Naik</v>
      </c>
    </row>
    <row r="913" spans="1:8" x14ac:dyDescent="0.2">
      <c r="A913" s="1">
        <v>912</v>
      </c>
      <c r="B913" s="3">
        <v>45572</v>
      </c>
      <c r="C913" s="4">
        <v>9925.5981871965996</v>
      </c>
      <c r="D913" s="4">
        <v>9949.5730620448994</v>
      </c>
      <c r="E913" s="4">
        <v>9829.6986878034004</v>
      </c>
      <c r="F913" s="4">
        <v>9877.6484375</v>
      </c>
      <c r="G913" s="1">
        <v>91867900</v>
      </c>
      <c r="H913" s="2" t="str">
        <f t="shared" si="14"/>
        <v>Turun</v>
      </c>
    </row>
    <row r="914" spans="1:8" x14ac:dyDescent="0.2">
      <c r="A914" s="1">
        <v>913</v>
      </c>
      <c r="B914" s="3">
        <v>45573</v>
      </c>
      <c r="C914" s="4">
        <v>9781.7507699819707</v>
      </c>
      <c r="D914" s="4">
        <v>10069.4493220403</v>
      </c>
      <c r="E914" s="4">
        <v>9733.8010113055898</v>
      </c>
      <c r="F914" s="4">
        <v>9973.5498046875</v>
      </c>
      <c r="G914" s="1">
        <v>99622900</v>
      </c>
      <c r="H914" s="2" t="str">
        <f t="shared" si="14"/>
        <v>Naik</v>
      </c>
    </row>
    <row r="915" spans="1:8" x14ac:dyDescent="0.2">
      <c r="A915" s="1">
        <v>914</v>
      </c>
      <c r="B915" s="3">
        <v>45574</v>
      </c>
      <c r="C915" s="4">
        <v>9973.5495353716997</v>
      </c>
      <c r="D915" s="4">
        <v>10093.423928825699</v>
      </c>
      <c r="E915" s="4">
        <v>9973.5495353716997</v>
      </c>
      <c r="F915" s="4">
        <v>9997.5244140625</v>
      </c>
      <c r="G915" s="1">
        <v>56835200</v>
      </c>
      <c r="H915" s="2" t="str">
        <f t="shared" si="14"/>
        <v>Naik</v>
      </c>
    </row>
    <row r="916" spans="1:8" x14ac:dyDescent="0.2">
      <c r="A916" s="1">
        <v>915</v>
      </c>
      <c r="B916" s="3">
        <v>45575</v>
      </c>
      <c r="C916" s="4">
        <v>9997.5236118861594</v>
      </c>
      <c r="D916" s="4">
        <v>10069.4482421875</v>
      </c>
      <c r="E916" s="4">
        <v>9973.5487351190495</v>
      </c>
      <c r="F916" s="4">
        <v>10069.4482421875</v>
      </c>
      <c r="G916" s="1">
        <v>51080000</v>
      </c>
      <c r="H916" s="2" t="str">
        <f t="shared" si="14"/>
        <v>Naik</v>
      </c>
    </row>
    <row r="917" spans="1:8" x14ac:dyDescent="0.2">
      <c r="A917" s="1">
        <v>916</v>
      </c>
      <c r="B917" s="3">
        <v>45576</v>
      </c>
      <c r="C917" s="4">
        <v>10141.3732398343</v>
      </c>
      <c r="D917" s="4">
        <v>10141.3732398343</v>
      </c>
      <c r="E917" s="4">
        <v>9949.57421875</v>
      </c>
      <c r="F917" s="4">
        <v>9949.57421875</v>
      </c>
      <c r="G917" s="1">
        <v>44632100</v>
      </c>
      <c r="H917" s="2" t="str">
        <f t="shared" si="14"/>
        <v>Turun</v>
      </c>
    </row>
    <row r="918" spans="1:8" x14ac:dyDescent="0.2">
      <c r="A918" s="1">
        <v>917</v>
      </c>
      <c r="B918" s="3">
        <v>45579</v>
      </c>
      <c r="C918" s="4">
        <v>9949.5738583519305</v>
      </c>
      <c r="D918" s="4">
        <v>10069.4482421875</v>
      </c>
      <c r="E918" s="4">
        <v>9949.5738583519305</v>
      </c>
      <c r="F918" s="4">
        <v>10069.4482421875</v>
      </c>
      <c r="G918" s="1">
        <v>31738600</v>
      </c>
      <c r="H918" s="2" t="str">
        <f t="shared" si="14"/>
        <v>Naik</v>
      </c>
    </row>
    <row r="919" spans="1:8" x14ac:dyDescent="0.2">
      <c r="A919" s="1">
        <v>918</v>
      </c>
      <c r="B919" s="3">
        <v>45580</v>
      </c>
      <c r="C919" s="4">
        <v>10117.398607536799</v>
      </c>
      <c r="D919" s="4">
        <v>10189.3232421875</v>
      </c>
      <c r="E919" s="4">
        <v>10021.4990946691</v>
      </c>
      <c r="F919" s="4">
        <v>10189.3232421875</v>
      </c>
      <c r="G919" s="1">
        <v>66635200</v>
      </c>
      <c r="H919" s="2" t="str">
        <f t="shared" si="14"/>
        <v>Naik</v>
      </c>
    </row>
    <row r="920" spans="1:8" x14ac:dyDescent="0.2">
      <c r="A920" s="1">
        <v>919</v>
      </c>
      <c r="B920" s="3">
        <v>45581</v>
      </c>
      <c r="C920" s="4">
        <v>10261.247529460001</v>
      </c>
      <c r="D920" s="4">
        <v>10285.222406865299</v>
      </c>
      <c r="E920" s="4">
        <v>10045.4736328125</v>
      </c>
      <c r="F920" s="4">
        <v>10045.4736328125</v>
      </c>
      <c r="G920" s="1">
        <v>63255900</v>
      </c>
      <c r="H920" s="2" t="str">
        <f t="shared" si="14"/>
        <v>Turun</v>
      </c>
    </row>
    <row r="921" spans="1:8" x14ac:dyDescent="0.2">
      <c r="A921" s="1">
        <v>920</v>
      </c>
      <c r="B921" s="3">
        <v>45582</v>
      </c>
      <c r="C921" s="4">
        <v>10117.398510343801</v>
      </c>
      <c r="D921" s="4">
        <v>10357.147290209799</v>
      </c>
      <c r="E921" s="4">
        <v>10069.4487543706</v>
      </c>
      <c r="F921" s="4">
        <v>10285.22265625</v>
      </c>
      <c r="G921" s="1">
        <v>66993300</v>
      </c>
      <c r="H921" s="2" t="str">
        <f t="shared" si="14"/>
        <v>Naik</v>
      </c>
    </row>
    <row r="922" spans="1:8" x14ac:dyDescent="0.2">
      <c r="A922" s="1">
        <v>921</v>
      </c>
      <c r="B922" s="3">
        <v>45583</v>
      </c>
      <c r="C922" s="4">
        <v>10429.070664516699</v>
      </c>
      <c r="D922" s="4">
        <v>10429.070664516699</v>
      </c>
      <c r="E922" s="4">
        <v>10285.2214139717</v>
      </c>
      <c r="F922" s="4">
        <v>10309.1962890625</v>
      </c>
      <c r="G922" s="1">
        <v>56299600</v>
      </c>
      <c r="H922" s="2" t="str">
        <f t="shared" si="14"/>
        <v>Naik</v>
      </c>
    </row>
    <row r="923" spans="1:8" x14ac:dyDescent="0.2">
      <c r="A923" s="1">
        <v>922</v>
      </c>
      <c r="B923" s="3">
        <v>45586</v>
      </c>
      <c r="C923" s="4">
        <v>10405.0975922131</v>
      </c>
      <c r="D923" s="4">
        <v>10405.0975922131</v>
      </c>
      <c r="E923" s="4">
        <v>10237.2734375</v>
      </c>
      <c r="F923" s="4">
        <v>10237.2734375</v>
      </c>
      <c r="G923" s="1">
        <v>36472500</v>
      </c>
      <c r="H923" s="2" t="str">
        <f t="shared" si="14"/>
        <v>Turun</v>
      </c>
    </row>
    <row r="924" spans="1:8" x14ac:dyDescent="0.2">
      <c r="A924" s="1">
        <v>923</v>
      </c>
      <c r="B924" s="3">
        <v>45587</v>
      </c>
      <c r="C924" s="4">
        <v>10045.473365420399</v>
      </c>
      <c r="D924" s="4">
        <v>10165.347749256</v>
      </c>
      <c r="E924" s="4">
        <v>10045.473365420399</v>
      </c>
      <c r="F924" s="4">
        <v>10069.4482421875</v>
      </c>
      <c r="G924" s="1">
        <v>94799500</v>
      </c>
      <c r="H924" s="2" t="str">
        <f t="shared" si="14"/>
        <v>Turun</v>
      </c>
    </row>
    <row r="925" spans="1:8" x14ac:dyDescent="0.2">
      <c r="A925" s="1">
        <v>924</v>
      </c>
      <c r="B925" s="3">
        <v>45588</v>
      </c>
      <c r="C925" s="4">
        <v>10045.473708461701</v>
      </c>
      <c r="D925" s="4">
        <v>10213.2978515625</v>
      </c>
      <c r="E925" s="4">
        <v>10045.473708461701</v>
      </c>
      <c r="F925" s="4">
        <v>10213.2978515625</v>
      </c>
      <c r="G925" s="1">
        <v>48903000</v>
      </c>
      <c r="H925" s="2" t="str">
        <f t="shared" si="14"/>
        <v>Naik</v>
      </c>
    </row>
    <row r="926" spans="1:8" x14ac:dyDescent="0.2">
      <c r="A926" s="1">
        <v>925</v>
      </c>
      <c r="B926" s="3">
        <v>45589</v>
      </c>
      <c r="C926" s="4">
        <v>10285.222925489201</v>
      </c>
      <c r="D926" s="4">
        <v>10405.0973185602</v>
      </c>
      <c r="E926" s="4">
        <v>10261.248046875</v>
      </c>
      <c r="F926" s="4">
        <v>10261.248046875</v>
      </c>
      <c r="G926" s="1">
        <v>85341200</v>
      </c>
      <c r="H926" s="2" t="str">
        <f t="shared" si="14"/>
        <v>Naik</v>
      </c>
    </row>
    <row r="927" spans="1:8" x14ac:dyDescent="0.2">
      <c r="A927" s="1">
        <v>926</v>
      </c>
      <c r="B927" s="3">
        <v>45590</v>
      </c>
      <c r="C927" s="4">
        <v>10213.296788699099</v>
      </c>
      <c r="D927" s="4">
        <v>10309.1962890625</v>
      </c>
      <c r="E927" s="4">
        <v>10189.321913608301</v>
      </c>
      <c r="F927" s="4">
        <v>10309.1962890625</v>
      </c>
      <c r="G927" s="1">
        <v>34847500</v>
      </c>
      <c r="H927" s="2" t="str">
        <f t="shared" si="14"/>
        <v>Naik</v>
      </c>
    </row>
    <row r="928" spans="1:8" x14ac:dyDescent="0.2">
      <c r="A928" s="1">
        <v>927</v>
      </c>
      <c r="B928" s="3">
        <v>45593</v>
      </c>
      <c r="C928" s="4">
        <v>10381.1215451798</v>
      </c>
      <c r="D928" s="4">
        <v>10381.1215451798</v>
      </c>
      <c r="E928" s="4">
        <v>10165.34765625</v>
      </c>
      <c r="F928" s="4">
        <v>10165.34765625</v>
      </c>
      <c r="G928" s="1">
        <v>39061500</v>
      </c>
      <c r="H928" s="2" t="str">
        <f t="shared" si="14"/>
        <v>Turun</v>
      </c>
    </row>
    <row r="929" spans="1:8" x14ac:dyDescent="0.2">
      <c r="A929" s="1">
        <v>928</v>
      </c>
      <c r="B929" s="3">
        <v>45594</v>
      </c>
      <c r="C929" s="4">
        <v>10093.423118954601</v>
      </c>
      <c r="D929" s="4">
        <v>10141.372872488801</v>
      </c>
      <c r="E929" s="4">
        <v>10069.4482421875</v>
      </c>
      <c r="F929" s="4">
        <v>10069.4482421875</v>
      </c>
      <c r="G929" s="1">
        <v>49680100</v>
      </c>
      <c r="H929" s="2" t="str">
        <f t="shared" si="14"/>
        <v>Turun</v>
      </c>
    </row>
    <row r="930" spans="1:8" x14ac:dyDescent="0.2">
      <c r="A930" s="1">
        <v>929</v>
      </c>
      <c r="B930" s="3">
        <v>45595</v>
      </c>
      <c r="C930" s="4">
        <v>9853.6740050384997</v>
      </c>
      <c r="D930" s="4">
        <v>9973.5483846618408</v>
      </c>
      <c r="E930" s="4">
        <v>9853.6740050384997</v>
      </c>
      <c r="F930" s="4">
        <v>9925.5986328125</v>
      </c>
      <c r="G930" s="1">
        <v>114484100</v>
      </c>
      <c r="H930" s="2" t="str">
        <f t="shared" si="14"/>
        <v>Turun</v>
      </c>
    </row>
    <row r="931" spans="1:8" x14ac:dyDescent="0.2">
      <c r="A931" s="1">
        <v>930</v>
      </c>
      <c r="B931" s="3">
        <v>45596</v>
      </c>
      <c r="C931" s="4">
        <v>9901.6238471798806</v>
      </c>
      <c r="D931" s="4">
        <v>10045.4731040396</v>
      </c>
      <c r="E931" s="4">
        <v>9829.69921875</v>
      </c>
      <c r="F931" s="4">
        <v>9829.69921875</v>
      </c>
      <c r="G931" s="1">
        <v>97553400</v>
      </c>
      <c r="H931" s="2" t="str">
        <f t="shared" si="14"/>
        <v>Turun</v>
      </c>
    </row>
    <row r="932" spans="1:8" x14ac:dyDescent="0.2">
      <c r="A932" s="1">
        <v>931</v>
      </c>
      <c r="B932" s="3">
        <v>45597</v>
      </c>
      <c r="C932" s="4">
        <v>9853.6751419177199</v>
      </c>
      <c r="D932" s="4">
        <v>9997.5244140625</v>
      </c>
      <c r="E932" s="4">
        <v>9853.6751419177199</v>
      </c>
      <c r="F932" s="4">
        <v>9997.5244140625</v>
      </c>
      <c r="G932" s="1">
        <v>47710000</v>
      </c>
      <c r="H932" s="2" t="str">
        <f t="shared" si="14"/>
        <v>Naik</v>
      </c>
    </row>
    <row r="933" spans="1:8" x14ac:dyDescent="0.2">
      <c r="A933" s="1">
        <v>932</v>
      </c>
      <c r="B933" s="3">
        <v>45600</v>
      </c>
      <c r="C933" s="4">
        <v>9997.52397402108</v>
      </c>
      <c r="D933" s="4">
        <v>10069.448606927701</v>
      </c>
      <c r="E933" s="4">
        <v>9877.64958584337</v>
      </c>
      <c r="F933" s="4">
        <v>9949.57421875</v>
      </c>
      <c r="G933" s="1">
        <v>49275700</v>
      </c>
      <c r="H933" s="2" t="str">
        <f t="shared" si="14"/>
        <v>Turun</v>
      </c>
    </row>
    <row r="934" spans="1:8" x14ac:dyDescent="0.2">
      <c r="A934" s="1">
        <v>933</v>
      </c>
      <c r="B934" s="3">
        <v>45601</v>
      </c>
      <c r="C934" s="4">
        <v>9877.6492280506009</v>
      </c>
      <c r="D934" s="4">
        <v>10141.372872488801</v>
      </c>
      <c r="E934" s="4">
        <v>9877.6492280506009</v>
      </c>
      <c r="F934" s="4">
        <v>10069.4482421875</v>
      </c>
      <c r="G934" s="1">
        <v>50296500</v>
      </c>
      <c r="H934" s="2" t="str">
        <f t="shared" si="14"/>
        <v>Naik</v>
      </c>
    </row>
    <row r="935" spans="1:8" x14ac:dyDescent="0.2">
      <c r="A935" s="1">
        <v>934</v>
      </c>
      <c r="B935" s="3">
        <v>45602</v>
      </c>
      <c r="C935" s="4">
        <v>10045.473901484</v>
      </c>
      <c r="D935" s="4">
        <v>10069.448779530499</v>
      </c>
      <c r="E935" s="4">
        <v>9949.5743892980008</v>
      </c>
      <c r="F935" s="4">
        <v>10021.4990234375</v>
      </c>
      <c r="G935" s="1">
        <v>50324900</v>
      </c>
      <c r="H935" s="2" t="str">
        <f t="shared" si="14"/>
        <v>Turun</v>
      </c>
    </row>
    <row r="936" spans="1:8" x14ac:dyDescent="0.2">
      <c r="A936" s="1">
        <v>935</v>
      </c>
      <c r="B936" s="3">
        <v>45603</v>
      </c>
      <c r="C936" s="4">
        <v>9901.6246592828593</v>
      </c>
      <c r="D936" s="4">
        <v>10021.4990498311</v>
      </c>
      <c r="E936" s="4">
        <v>9757.775390625</v>
      </c>
      <c r="F936" s="4">
        <v>9757.775390625</v>
      </c>
      <c r="G936" s="1">
        <v>131579100</v>
      </c>
      <c r="H936" s="2" t="str">
        <f t="shared" si="14"/>
        <v>Turun</v>
      </c>
    </row>
    <row r="937" spans="1:8" x14ac:dyDescent="0.2">
      <c r="A937" s="1">
        <v>936</v>
      </c>
      <c r="B937" s="3">
        <v>45604</v>
      </c>
      <c r="C937" s="4">
        <v>9781.7493796526105</v>
      </c>
      <c r="D937" s="4">
        <v>9805.7242555831308</v>
      </c>
      <c r="E937" s="4">
        <v>9637.9001240694797</v>
      </c>
      <c r="F937" s="4">
        <v>9661.875</v>
      </c>
      <c r="G937" s="1">
        <v>92166100</v>
      </c>
      <c r="H937" s="2" t="str">
        <f t="shared" si="14"/>
        <v>Turun</v>
      </c>
    </row>
    <row r="938" spans="1:8" x14ac:dyDescent="0.2">
      <c r="A938" s="1">
        <v>937</v>
      </c>
      <c r="B938" s="3">
        <v>45607</v>
      </c>
      <c r="C938" s="4">
        <v>9398.1516246890606</v>
      </c>
      <c r="D938" s="4">
        <v>9637.900390625</v>
      </c>
      <c r="E938" s="4">
        <v>9398.1516246890606</v>
      </c>
      <c r="F938" s="4">
        <v>9637.900390625</v>
      </c>
      <c r="G938" s="1">
        <v>128707600</v>
      </c>
      <c r="H938" s="2" t="str">
        <f t="shared" si="14"/>
        <v>Turun</v>
      </c>
    </row>
    <row r="939" spans="1:8" x14ac:dyDescent="0.2">
      <c r="A939" s="1">
        <v>938</v>
      </c>
      <c r="B939" s="3">
        <v>45608</v>
      </c>
      <c r="C939" s="4">
        <v>9685.8510237069004</v>
      </c>
      <c r="D939" s="4">
        <v>9805.7254175646594</v>
      </c>
      <c r="E939" s="4">
        <v>9589.9515086206902</v>
      </c>
      <c r="F939" s="4">
        <v>9733.80078125</v>
      </c>
      <c r="G939" s="1">
        <v>80378500</v>
      </c>
      <c r="H939" s="2" t="str">
        <f t="shared" si="14"/>
        <v>Naik</v>
      </c>
    </row>
    <row r="940" spans="1:8" x14ac:dyDescent="0.2">
      <c r="A940" s="1">
        <v>939</v>
      </c>
      <c r="B940" s="3">
        <v>45609</v>
      </c>
      <c r="C940" s="4">
        <v>9805.7254175646594</v>
      </c>
      <c r="D940" s="4">
        <v>9829.7002963362102</v>
      </c>
      <c r="E940" s="4">
        <v>9733.80078125</v>
      </c>
      <c r="F940" s="4">
        <v>9733.80078125</v>
      </c>
      <c r="G940" s="1">
        <v>62933100</v>
      </c>
      <c r="H940" s="2" t="str">
        <f t="shared" si="14"/>
        <v>Stabil</v>
      </c>
    </row>
    <row r="941" spans="1:8" x14ac:dyDescent="0.2">
      <c r="A941" s="1">
        <v>940</v>
      </c>
      <c r="B941" s="3">
        <v>45610</v>
      </c>
      <c r="C941" s="4">
        <v>9709.8254636254605</v>
      </c>
      <c r="D941" s="4">
        <v>9757.7752190013907</v>
      </c>
      <c r="E941" s="4">
        <v>9637.9008305615698</v>
      </c>
      <c r="F941" s="4">
        <v>9685.8505859375</v>
      </c>
      <c r="G941" s="1">
        <v>56381400</v>
      </c>
      <c r="H941" s="2" t="str">
        <f t="shared" si="14"/>
        <v>Turun</v>
      </c>
    </row>
    <row r="942" spans="1:8" x14ac:dyDescent="0.2">
      <c r="A942" s="1">
        <v>941</v>
      </c>
      <c r="B942" s="3">
        <v>45611</v>
      </c>
      <c r="C942" s="4">
        <v>9637.9010000767794</v>
      </c>
      <c r="D942" s="4">
        <v>9853.6749030635801</v>
      </c>
      <c r="E942" s="4">
        <v>9637.9010000767794</v>
      </c>
      <c r="F942" s="4">
        <v>9757.775390625</v>
      </c>
      <c r="G942" s="1">
        <v>63598200</v>
      </c>
      <c r="H942" s="2" t="str">
        <f t="shared" si="14"/>
        <v>Naik</v>
      </c>
    </row>
    <row r="943" spans="1:8" x14ac:dyDescent="0.2">
      <c r="A943" s="1">
        <v>942</v>
      </c>
      <c r="B943" s="3">
        <v>45614</v>
      </c>
      <c r="C943" s="4">
        <v>9661.87580566406</v>
      </c>
      <c r="D943" s="4">
        <v>9709.8255615234393</v>
      </c>
      <c r="E943" s="4">
        <v>9589.951171875</v>
      </c>
      <c r="F943" s="4">
        <v>9589.951171875</v>
      </c>
      <c r="G943" s="1">
        <v>65716200</v>
      </c>
      <c r="H943" s="2" t="str">
        <f t="shared" si="14"/>
        <v>Turun</v>
      </c>
    </row>
    <row r="944" spans="1:8" x14ac:dyDescent="0.2">
      <c r="A944" s="1">
        <v>943</v>
      </c>
      <c r="B944" s="3">
        <v>45615</v>
      </c>
      <c r="C944" s="4">
        <v>9494.0514896882905</v>
      </c>
      <c r="D944" s="4">
        <v>9613.9258771843506</v>
      </c>
      <c r="E944" s="4">
        <v>9494.0514896882905</v>
      </c>
      <c r="F944" s="4">
        <v>9518.0263671875</v>
      </c>
      <c r="G944" s="1">
        <v>85295300</v>
      </c>
      <c r="H944" s="2" t="str">
        <f t="shared" si="14"/>
        <v>Turun</v>
      </c>
    </row>
    <row r="945" spans="1:8" x14ac:dyDescent="0.2">
      <c r="A945" s="1">
        <v>944</v>
      </c>
      <c r="B945" s="3">
        <v>45616</v>
      </c>
      <c r="C945" s="4">
        <v>9613.9252481389594</v>
      </c>
      <c r="D945" s="4">
        <v>9733.7996277915609</v>
      </c>
      <c r="E945" s="4">
        <v>9589.9503722084391</v>
      </c>
      <c r="F945" s="4">
        <v>9661.875</v>
      </c>
      <c r="G945" s="1">
        <v>58584400</v>
      </c>
      <c r="H945" s="2" t="str">
        <f t="shared" si="14"/>
        <v>Naik</v>
      </c>
    </row>
    <row r="946" spans="1:8" x14ac:dyDescent="0.2">
      <c r="A946" s="1">
        <v>945</v>
      </c>
      <c r="B946" s="3">
        <v>45617</v>
      </c>
      <c r="C946" s="4">
        <v>9637.7815672588804</v>
      </c>
      <c r="D946" s="4">
        <v>9637.7815672588804</v>
      </c>
      <c r="E946" s="4">
        <v>9493.21484375</v>
      </c>
      <c r="F946" s="4">
        <v>9493.21484375</v>
      </c>
      <c r="G946" s="1">
        <v>93181200</v>
      </c>
      <c r="H946" s="2" t="str">
        <f t="shared" si="14"/>
        <v>Turun</v>
      </c>
    </row>
    <row r="947" spans="1:8" x14ac:dyDescent="0.2">
      <c r="A947" s="1">
        <v>946</v>
      </c>
      <c r="B947" s="3">
        <v>45618</v>
      </c>
      <c r="C947" s="4">
        <v>9565.4982055044402</v>
      </c>
      <c r="D947" s="4">
        <v>9589.5926594225893</v>
      </c>
      <c r="E947" s="4">
        <v>9493.21484375</v>
      </c>
      <c r="F947" s="4">
        <v>9493.21484375</v>
      </c>
      <c r="G947" s="1">
        <v>58396100</v>
      </c>
      <c r="H947" s="2" t="str">
        <f t="shared" si="14"/>
        <v>Stabil</v>
      </c>
    </row>
    <row r="948" spans="1:8" x14ac:dyDescent="0.2">
      <c r="A948" s="1">
        <v>947</v>
      </c>
      <c r="B948" s="3">
        <v>45621</v>
      </c>
      <c r="C948" s="4">
        <v>9589.5923055512903</v>
      </c>
      <c r="D948" s="4">
        <v>9830.5368358415199</v>
      </c>
      <c r="E948" s="4">
        <v>9541.4033994932397</v>
      </c>
      <c r="F948" s="4">
        <v>9806.4423828125</v>
      </c>
      <c r="G948" s="1">
        <v>165369400</v>
      </c>
      <c r="H948" s="2" t="str">
        <f t="shared" si="14"/>
        <v>Naik</v>
      </c>
    </row>
    <row r="949" spans="1:8" x14ac:dyDescent="0.2">
      <c r="A949" s="1">
        <v>948</v>
      </c>
      <c r="B949" s="3">
        <v>45622</v>
      </c>
      <c r="C949" s="4">
        <v>9878.7257812499993</v>
      </c>
      <c r="D949" s="4">
        <v>9878.7257812499993</v>
      </c>
      <c r="E949" s="4">
        <v>9637.78125</v>
      </c>
      <c r="F949" s="4">
        <v>9637.78125</v>
      </c>
      <c r="G949" s="1">
        <v>62310100</v>
      </c>
      <c r="H949" s="2" t="str">
        <f t="shared" si="14"/>
        <v>Turun</v>
      </c>
    </row>
    <row r="950" spans="1:8" x14ac:dyDescent="0.2">
      <c r="A950" s="1">
        <v>949</v>
      </c>
      <c r="B950" s="3">
        <v>45624</v>
      </c>
      <c r="C950" s="4">
        <v>9613.6867968749993</v>
      </c>
      <c r="D950" s="4">
        <v>9710.0646093750001</v>
      </c>
      <c r="E950" s="4">
        <v>9565.4978906249999</v>
      </c>
      <c r="F950" s="4">
        <v>9637.78125</v>
      </c>
      <c r="G950" s="1">
        <v>57443500</v>
      </c>
      <c r="H950" s="2" t="str">
        <f t="shared" si="14"/>
        <v>Stabil</v>
      </c>
    </row>
    <row r="951" spans="1:8" x14ac:dyDescent="0.2">
      <c r="A951" s="1">
        <v>950</v>
      </c>
      <c r="B951" s="3">
        <v>45625</v>
      </c>
      <c r="C951" s="4">
        <v>9637.78125</v>
      </c>
      <c r="D951" s="4">
        <v>9734.1590625000008</v>
      </c>
      <c r="E951" s="4">
        <v>9589.5923437500005</v>
      </c>
      <c r="F951" s="4">
        <v>9637.78125</v>
      </c>
      <c r="G951" s="1">
        <v>76886000</v>
      </c>
      <c r="H951" s="2" t="str">
        <f t="shared" si="14"/>
        <v>Stabil</v>
      </c>
    </row>
    <row r="952" spans="1:8" x14ac:dyDescent="0.2">
      <c r="A952" s="1">
        <v>951</v>
      </c>
      <c r="B952" s="3">
        <v>45628</v>
      </c>
      <c r="C952" s="4">
        <v>9637.7804487179492</v>
      </c>
      <c r="D952" s="4">
        <v>9685.9693509615408</v>
      </c>
      <c r="E952" s="4">
        <v>9396.8359375</v>
      </c>
      <c r="F952" s="4">
        <v>9396.8359375</v>
      </c>
      <c r="G952" s="1">
        <v>87879600</v>
      </c>
      <c r="H952" s="2" t="str">
        <f t="shared" si="14"/>
        <v>Turun</v>
      </c>
    </row>
    <row r="953" spans="1:8" x14ac:dyDescent="0.2">
      <c r="A953" s="1">
        <v>952</v>
      </c>
      <c r="B953" s="3">
        <v>45629</v>
      </c>
      <c r="C953" s="4">
        <v>9661.8759334788592</v>
      </c>
      <c r="D953" s="4">
        <v>9854.6315630744502</v>
      </c>
      <c r="E953" s="4">
        <v>9541.4036649816208</v>
      </c>
      <c r="F953" s="4">
        <v>9830.537109375</v>
      </c>
      <c r="G953" s="1">
        <v>126087100</v>
      </c>
      <c r="H953" s="2" t="str">
        <f t="shared" si="14"/>
        <v>Naik</v>
      </c>
    </row>
    <row r="954" spans="1:8" x14ac:dyDescent="0.2">
      <c r="A954" s="1">
        <v>953</v>
      </c>
      <c r="B954" s="3">
        <v>45630</v>
      </c>
      <c r="C954" s="4">
        <v>9806.4426556755498</v>
      </c>
      <c r="D954" s="4">
        <v>9878.7260167739005</v>
      </c>
      <c r="E954" s="4">
        <v>9685.9703871783095</v>
      </c>
      <c r="F954" s="4">
        <v>9830.537109375</v>
      </c>
      <c r="G954" s="1">
        <v>97876300</v>
      </c>
      <c r="H954" s="2" t="str">
        <f t="shared" si="14"/>
        <v>Stabil</v>
      </c>
    </row>
    <row r="955" spans="1:8" x14ac:dyDescent="0.2">
      <c r="A955" s="1">
        <v>954</v>
      </c>
      <c r="B955" s="3">
        <v>45631</v>
      </c>
      <c r="C955" s="4">
        <v>9878.7255859375</v>
      </c>
      <c r="D955" s="4">
        <v>9975.1033965320094</v>
      </c>
      <c r="E955" s="4">
        <v>9854.6311332888708</v>
      </c>
      <c r="F955" s="4">
        <v>9878.7255859375</v>
      </c>
      <c r="G955" s="1">
        <v>96904400</v>
      </c>
      <c r="H955" s="2" t="str">
        <f t="shared" si="14"/>
        <v>Naik</v>
      </c>
    </row>
    <row r="956" spans="1:8" x14ac:dyDescent="0.2">
      <c r="A956" s="1">
        <v>955</v>
      </c>
      <c r="B956" s="3">
        <v>45632</v>
      </c>
      <c r="C956" s="4">
        <v>9734.1589058622794</v>
      </c>
      <c r="D956" s="4">
        <v>9806.4422640741304</v>
      </c>
      <c r="E956" s="4">
        <v>9685.9700003877206</v>
      </c>
      <c r="F956" s="4">
        <v>9710.064453125</v>
      </c>
      <c r="G956" s="1">
        <v>68247200</v>
      </c>
      <c r="H956" s="2" t="str">
        <f t="shared" si="14"/>
        <v>Turun</v>
      </c>
    </row>
    <row r="957" spans="1:8" x14ac:dyDescent="0.2">
      <c r="A957" s="1">
        <v>956</v>
      </c>
      <c r="B957" s="3">
        <v>45635</v>
      </c>
      <c r="C957" s="4">
        <v>9661.8756274532007</v>
      </c>
      <c r="D957" s="4">
        <v>9975.103515625</v>
      </c>
      <c r="E957" s="4">
        <v>9637.7811745169092</v>
      </c>
      <c r="F957" s="4">
        <v>9975.103515625</v>
      </c>
      <c r="G957" s="1">
        <v>64458400</v>
      </c>
      <c r="H957" s="2" t="str">
        <f t="shared" si="14"/>
        <v>Naik</v>
      </c>
    </row>
    <row r="958" spans="1:8" x14ac:dyDescent="0.2">
      <c r="A958" s="1">
        <v>957</v>
      </c>
      <c r="B958" s="3">
        <v>45636</v>
      </c>
      <c r="C958" s="4">
        <v>9951.0090626887104</v>
      </c>
      <c r="D958" s="4">
        <v>9975.103515625</v>
      </c>
      <c r="E958" s="4">
        <v>9902.8201568161203</v>
      </c>
      <c r="F958" s="4">
        <v>9975.103515625</v>
      </c>
      <c r="G958" s="1">
        <v>61230400</v>
      </c>
      <c r="H958" s="2" t="str">
        <f t="shared" si="14"/>
        <v>Stabil</v>
      </c>
    </row>
    <row r="959" spans="1:8" x14ac:dyDescent="0.2">
      <c r="A959" s="1">
        <v>958</v>
      </c>
      <c r="B959" s="3">
        <v>45637</v>
      </c>
      <c r="C959" s="4">
        <v>9854.6320560738895</v>
      </c>
      <c r="D959" s="4">
        <v>10047.3876953125</v>
      </c>
      <c r="E959" s="4">
        <v>9854.6320560738895</v>
      </c>
      <c r="F959" s="4">
        <v>10047.3876953125</v>
      </c>
      <c r="G959" s="1">
        <v>37934300</v>
      </c>
      <c r="H959" s="2" t="str">
        <f t="shared" si="14"/>
        <v>Naik</v>
      </c>
    </row>
    <row r="960" spans="1:8" x14ac:dyDescent="0.2">
      <c r="A960" s="1">
        <v>959</v>
      </c>
      <c r="B960" s="3">
        <v>45638</v>
      </c>
      <c r="C960" s="4">
        <v>9926.9146479576193</v>
      </c>
      <c r="D960" s="4">
        <v>9999.1980070446898</v>
      </c>
      <c r="E960" s="4">
        <v>9806.4423828125</v>
      </c>
      <c r="F960" s="4">
        <v>9806.4423828125</v>
      </c>
      <c r="G960" s="1">
        <v>44780100</v>
      </c>
      <c r="H960" s="2" t="str">
        <f t="shared" si="14"/>
        <v>Turun</v>
      </c>
    </row>
    <row r="961" spans="1:8" x14ac:dyDescent="0.2">
      <c r="A961" s="1">
        <v>960</v>
      </c>
      <c r="B961" s="3">
        <v>45639</v>
      </c>
      <c r="C961" s="4">
        <v>9758.2530827308801</v>
      </c>
      <c r="D961" s="4">
        <v>9854.6308909553809</v>
      </c>
      <c r="E961" s="4">
        <v>9661.8752745063794</v>
      </c>
      <c r="F961" s="4">
        <v>9685.9697265625</v>
      </c>
      <c r="G961" s="1">
        <v>75126400</v>
      </c>
      <c r="H961" s="2" t="str">
        <f t="shared" si="14"/>
        <v>Turun</v>
      </c>
    </row>
    <row r="962" spans="1:8" x14ac:dyDescent="0.2">
      <c r="A962" s="1">
        <v>961</v>
      </c>
      <c r="B962" s="3">
        <v>45642</v>
      </c>
      <c r="C962" s="4">
        <v>9637.7813660272295</v>
      </c>
      <c r="D962" s="4">
        <v>9758.2536331025694</v>
      </c>
      <c r="E962" s="4">
        <v>9637.7813660272295</v>
      </c>
      <c r="F962" s="4">
        <v>9734.1591796875</v>
      </c>
      <c r="G962" s="1">
        <v>57746100</v>
      </c>
      <c r="H962" s="2" t="str">
        <f t="shared" si="14"/>
        <v>Naik</v>
      </c>
    </row>
    <row r="963" spans="1:8" x14ac:dyDescent="0.2">
      <c r="A963" s="1">
        <v>962</v>
      </c>
      <c r="B963" s="3">
        <v>45643</v>
      </c>
      <c r="C963" s="4">
        <v>9589.5922259706404</v>
      </c>
      <c r="D963" s="4">
        <v>9685.9700372869302</v>
      </c>
      <c r="E963" s="4">
        <v>9541.4033203125</v>
      </c>
      <c r="F963" s="4">
        <v>9541.4033203125</v>
      </c>
      <c r="G963" s="1">
        <v>99845900</v>
      </c>
      <c r="H963" s="2" t="str">
        <f t="shared" si="14"/>
        <v>Turun</v>
      </c>
    </row>
    <row r="964" spans="1:8" x14ac:dyDescent="0.2">
      <c r="A964" s="1">
        <v>963</v>
      </c>
      <c r="B964" s="3">
        <v>45644</v>
      </c>
      <c r="C964" s="4">
        <v>9541.4032007334208</v>
      </c>
      <c r="D964" s="4">
        <v>9661.8754633689405</v>
      </c>
      <c r="E964" s="4">
        <v>9445.025390625</v>
      </c>
      <c r="F964" s="4">
        <v>9445.025390625</v>
      </c>
      <c r="G964" s="1">
        <v>84868500</v>
      </c>
      <c r="H964" s="2" t="str">
        <f t="shared" ref="H964:H1027" si="15">IF(F964&gt;F963,"Naik",IF(F964&lt;F963,"Turun","Stabil"))</f>
        <v>Turun</v>
      </c>
    </row>
    <row r="965" spans="1:8" x14ac:dyDescent="0.2">
      <c r="A965" s="1">
        <v>964</v>
      </c>
      <c r="B965" s="3">
        <v>45645</v>
      </c>
      <c r="C965" s="4">
        <v>9348.6481649709294</v>
      </c>
      <c r="D965" s="4">
        <v>9420.9315270712195</v>
      </c>
      <c r="E965" s="4">
        <v>9204.0814407703492</v>
      </c>
      <c r="F965" s="4">
        <v>9324.5537109375</v>
      </c>
      <c r="G965" s="1">
        <v>104254100</v>
      </c>
      <c r="H965" s="2" t="str">
        <f t="shared" si="15"/>
        <v>Turun</v>
      </c>
    </row>
    <row r="966" spans="1:8" x14ac:dyDescent="0.2">
      <c r="A966" s="1">
        <v>965</v>
      </c>
      <c r="B966" s="3">
        <v>45646</v>
      </c>
      <c r="C966" s="4">
        <v>9300.458984375</v>
      </c>
      <c r="D966" s="4">
        <v>9396.8367976845893</v>
      </c>
      <c r="E966" s="4">
        <v>9276.3645310476004</v>
      </c>
      <c r="F966" s="4">
        <v>9300.458984375</v>
      </c>
      <c r="G966" s="1">
        <v>91576900</v>
      </c>
      <c r="H966" s="2" t="str">
        <f t="shared" si="15"/>
        <v>Turun</v>
      </c>
    </row>
    <row r="967" spans="1:8" x14ac:dyDescent="0.2">
      <c r="A967" s="1">
        <v>966</v>
      </c>
      <c r="B967" s="3">
        <v>45649</v>
      </c>
      <c r="C967" s="4">
        <v>9348.6473085837606</v>
      </c>
      <c r="D967" s="4">
        <v>9493.2140195412394</v>
      </c>
      <c r="E967" s="4">
        <v>9348.6473085837606</v>
      </c>
      <c r="F967" s="4">
        <v>9420.9306640625</v>
      </c>
      <c r="G967" s="1">
        <v>43292100</v>
      </c>
      <c r="H967" s="2" t="str">
        <f t="shared" si="15"/>
        <v>Naik</v>
      </c>
    </row>
    <row r="968" spans="1:8" x14ac:dyDescent="0.2">
      <c r="A968" s="1">
        <v>967</v>
      </c>
      <c r="B968" s="3">
        <v>45650</v>
      </c>
      <c r="C968" s="4">
        <v>9493.2137419871797</v>
      </c>
      <c r="D968" s="4">
        <v>9541.4026442307695</v>
      </c>
      <c r="E968" s="4">
        <v>9396.8359375</v>
      </c>
      <c r="F968" s="4">
        <v>9396.8359375</v>
      </c>
      <c r="G968" s="1">
        <v>32415700</v>
      </c>
      <c r="H968" s="2" t="str">
        <f t="shared" si="15"/>
        <v>Turun</v>
      </c>
    </row>
    <row r="969" spans="1:8" x14ac:dyDescent="0.2">
      <c r="A969" s="1">
        <v>968</v>
      </c>
      <c r="B969" s="3">
        <v>45653</v>
      </c>
      <c r="C969" s="4">
        <v>9445.025390625</v>
      </c>
      <c r="D969" s="4">
        <v>9469.1198431521007</v>
      </c>
      <c r="E969" s="4">
        <v>9372.7420330436908</v>
      </c>
      <c r="F969" s="4">
        <v>9445.025390625</v>
      </c>
      <c r="G969" s="1">
        <v>24016700</v>
      </c>
      <c r="H969" s="2" t="str">
        <f t="shared" si="15"/>
        <v>Naik</v>
      </c>
    </row>
    <row r="970" spans="1:8" x14ac:dyDescent="0.2">
      <c r="A970" s="1">
        <v>969</v>
      </c>
      <c r="B970" s="3">
        <v>45656</v>
      </c>
      <c r="C970" s="4">
        <v>9445.0259811046508</v>
      </c>
      <c r="D970" s="4">
        <v>9469.1204351380802</v>
      </c>
      <c r="E970" s="4">
        <v>9324.5537109375</v>
      </c>
      <c r="F970" s="4">
        <v>9324.5537109375</v>
      </c>
      <c r="G970" s="1">
        <v>56350100</v>
      </c>
      <c r="H970" s="2" t="str">
        <f t="shared" si="15"/>
        <v>Turun</v>
      </c>
    </row>
    <row r="971" spans="1:8" x14ac:dyDescent="0.2">
      <c r="A971" s="1">
        <v>970</v>
      </c>
      <c r="B971" s="3">
        <v>45659</v>
      </c>
      <c r="C971" s="4">
        <v>9300.45879202178</v>
      </c>
      <c r="D971" s="4">
        <v>9541.4033203125</v>
      </c>
      <c r="E971" s="4">
        <v>9300.45879202178</v>
      </c>
      <c r="F971" s="4">
        <v>9541.4033203125</v>
      </c>
      <c r="G971" s="1">
        <v>38124800</v>
      </c>
      <c r="H971" s="2" t="str">
        <f t="shared" si="15"/>
        <v>Naik</v>
      </c>
    </row>
    <row r="972" spans="1:8" x14ac:dyDescent="0.2">
      <c r="A972" s="1">
        <v>971</v>
      </c>
      <c r="B972" s="3">
        <v>45660</v>
      </c>
      <c r="C972" s="4">
        <v>9493.21484375</v>
      </c>
      <c r="D972" s="4">
        <v>9565.4982055044402</v>
      </c>
      <c r="E972" s="4">
        <v>9469.1203898318508</v>
      </c>
      <c r="F972" s="4">
        <v>9493.21484375</v>
      </c>
      <c r="G972" s="1">
        <v>41916000</v>
      </c>
      <c r="H972" s="2" t="str">
        <f t="shared" si="15"/>
        <v>Turun</v>
      </c>
    </row>
    <row r="973" spans="1:8" x14ac:dyDescent="0.2">
      <c r="A973" s="1">
        <v>972</v>
      </c>
      <c r="B973" s="3">
        <v>45663</v>
      </c>
      <c r="C973" s="4">
        <v>9493.2148891715096</v>
      </c>
      <c r="D973" s="4">
        <v>9517.3093432049409</v>
      </c>
      <c r="E973" s="4">
        <v>9300.4592569040706</v>
      </c>
      <c r="F973" s="4">
        <v>9324.5537109375</v>
      </c>
      <c r="G973" s="1">
        <v>41593900</v>
      </c>
      <c r="H973" s="2" t="str">
        <f t="shared" si="15"/>
        <v>Turun</v>
      </c>
    </row>
    <row r="974" spans="1:8" x14ac:dyDescent="0.2">
      <c r="A974" s="1">
        <v>973</v>
      </c>
      <c r="B974" s="3">
        <v>45664</v>
      </c>
      <c r="C974" s="4">
        <v>9324.5530419537408</v>
      </c>
      <c r="D974" s="4">
        <v>9372.7419465633193</v>
      </c>
      <c r="E974" s="4">
        <v>9179.986328125</v>
      </c>
      <c r="F974" s="4">
        <v>9179.986328125</v>
      </c>
      <c r="G974" s="1">
        <v>71318600</v>
      </c>
      <c r="H974" s="2" t="str">
        <f t="shared" si="15"/>
        <v>Turun</v>
      </c>
    </row>
    <row r="975" spans="1:8" x14ac:dyDescent="0.2">
      <c r="A975" s="1">
        <v>974</v>
      </c>
      <c r="B975" s="3">
        <v>45665</v>
      </c>
      <c r="C975" s="4">
        <v>9324.5537109375</v>
      </c>
      <c r="D975" s="4">
        <v>9420.9315270712195</v>
      </c>
      <c r="E975" s="4">
        <v>9228.1758948037805</v>
      </c>
      <c r="F975" s="4">
        <v>9324.5537109375</v>
      </c>
      <c r="G975" s="1">
        <v>55943100</v>
      </c>
      <c r="H975" s="2" t="str">
        <f t="shared" si="15"/>
        <v>Naik</v>
      </c>
    </row>
    <row r="976" spans="1:8" x14ac:dyDescent="0.2">
      <c r="A976" s="1">
        <v>975</v>
      </c>
      <c r="B976" s="3">
        <v>45666</v>
      </c>
      <c r="C976" s="4">
        <v>9396.8370280774107</v>
      </c>
      <c r="D976" s="4">
        <v>9517.3092976681492</v>
      </c>
      <c r="E976" s="4">
        <v>9372.7425741592597</v>
      </c>
      <c r="F976" s="4">
        <v>9493.21484375</v>
      </c>
      <c r="G976" s="1">
        <v>42733800</v>
      </c>
      <c r="H976" s="2" t="str">
        <f t="shared" si="15"/>
        <v>Naik</v>
      </c>
    </row>
    <row r="977" spans="1:8" x14ac:dyDescent="0.2">
      <c r="A977" s="1">
        <v>976</v>
      </c>
      <c r="B977" s="3">
        <v>45667</v>
      </c>
      <c r="C977" s="4">
        <v>9445.02653036632</v>
      </c>
      <c r="D977" s="4">
        <v>9565.4988075393703</v>
      </c>
      <c r="E977" s="4">
        <v>9372.7431640625</v>
      </c>
      <c r="F977" s="4">
        <v>9372.7431640625</v>
      </c>
      <c r="G977" s="1">
        <v>72531300</v>
      </c>
      <c r="H977" s="2" t="str">
        <f t="shared" si="15"/>
        <v>Turun</v>
      </c>
    </row>
    <row r="978" spans="1:8" x14ac:dyDescent="0.2">
      <c r="A978" s="1">
        <v>977</v>
      </c>
      <c r="B978" s="3">
        <v>45670</v>
      </c>
      <c r="C978" s="4">
        <v>9276.3648028706393</v>
      </c>
      <c r="D978" s="4">
        <v>9372.7426190043607</v>
      </c>
      <c r="E978" s="4">
        <v>9276.3648028706393</v>
      </c>
      <c r="F978" s="4">
        <v>9324.5537109375</v>
      </c>
      <c r="G978" s="1">
        <v>88270100</v>
      </c>
      <c r="H978" s="2" t="str">
        <f t="shared" si="15"/>
        <v>Turun</v>
      </c>
    </row>
    <row r="979" spans="1:8" x14ac:dyDescent="0.2">
      <c r="A979" s="1">
        <v>978</v>
      </c>
      <c r="B979" s="3">
        <v>45671</v>
      </c>
      <c r="C979" s="4">
        <v>9252.2696850393695</v>
      </c>
      <c r="D979" s="4">
        <v>9372.7419465633193</v>
      </c>
      <c r="E979" s="4">
        <v>9179.986328125</v>
      </c>
      <c r="F979" s="4">
        <v>9179.986328125</v>
      </c>
      <c r="G979" s="1">
        <v>70942600</v>
      </c>
      <c r="H979" s="2" t="str">
        <f t="shared" si="15"/>
        <v>Turun</v>
      </c>
    </row>
    <row r="980" spans="1:8" x14ac:dyDescent="0.2">
      <c r="A980" s="1">
        <v>979</v>
      </c>
      <c r="B980" s="3">
        <v>45672</v>
      </c>
      <c r="C980" s="4">
        <v>9228.1753178810595</v>
      </c>
      <c r="D980" s="4">
        <v>9445.025390625</v>
      </c>
      <c r="E980" s="4">
        <v>9204.0808653539607</v>
      </c>
      <c r="F980" s="4">
        <v>9445.025390625</v>
      </c>
      <c r="G980" s="1">
        <v>77098000</v>
      </c>
      <c r="H980" s="2" t="str">
        <f t="shared" si="15"/>
        <v>Naik</v>
      </c>
    </row>
    <row r="981" spans="1:8" x14ac:dyDescent="0.2">
      <c r="A981" s="1">
        <v>980</v>
      </c>
      <c r="B981" s="3">
        <v>45673</v>
      </c>
      <c r="C981" s="4">
        <v>9493.2137419871797</v>
      </c>
      <c r="D981" s="4">
        <v>9565.4970953525608</v>
      </c>
      <c r="E981" s="4">
        <v>9396.8359375</v>
      </c>
      <c r="F981" s="4">
        <v>9396.8359375</v>
      </c>
      <c r="G981" s="1">
        <v>76979000</v>
      </c>
      <c r="H981" s="2" t="str">
        <f t="shared" si="15"/>
        <v>Turun</v>
      </c>
    </row>
    <row r="982" spans="1:8" x14ac:dyDescent="0.2">
      <c r="A982" s="1">
        <v>981</v>
      </c>
      <c r="B982" s="3">
        <v>45674</v>
      </c>
      <c r="C982" s="4">
        <v>9396.8366033380698</v>
      </c>
      <c r="D982" s="4">
        <v>9541.4033203125</v>
      </c>
      <c r="E982" s="4">
        <v>9300.45879202178</v>
      </c>
      <c r="F982" s="4">
        <v>9541.4033203125</v>
      </c>
      <c r="G982" s="1">
        <v>71033100</v>
      </c>
      <c r="H982" s="2" t="str">
        <f t="shared" si="15"/>
        <v>Naik</v>
      </c>
    </row>
    <row r="983" spans="1:8" x14ac:dyDescent="0.2">
      <c r="A983" s="1">
        <v>982</v>
      </c>
      <c r="B983" s="3">
        <v>45677</v>
      </c>
      <c r="C983" s="4">
        <v>9493.2143313717497</v>
      </c>
      <c r="D983" s="4">
        <v>9517.3087839894506</v>
      </c>
      <c r="E983" s="4">
        <v>9276.3642578125</v>
      </c>
      <c r="F983" s="4">
        <v>9276.3642578125</v>
      </c>
      <c r="G983" s="1">
        <v>112111200</v>
      </c>
      <c r="H983" s="2" t="str">
        <f t="shared" si="15"/>
        <v>Turun</v>
      </c>
    </row>
    <row r="984" spans="1:8" x14ac:dyDescent="0.2">
      <c r="A984" s="1">
        <v>983</v>
      </c>
      <c r="B984" s="3">
        <v>45678</v>
      </c>
      <c r="C984" s="4">
        <v>9252.2702349869505</v>
      </c>
      <c r="D984" s="4">
        <v>9324.5535961977803</v>
      </c>
      <c r="E984" s="4">
        <v>9204.0813275130604</v>
      </c>
      <c r="F984" s="4">
        <v>9228.17578125</v>
      </c>
      <c r="G984" s="1">
        <v>124547900</v>
      </c>
      <c r="H984" s="2" t="str">
        <f t="shared" si="15"/>
        <v>Turun</v>
      </c>
    </row>
    <row r="985" spans="1:8" x14ac:dyDescent="0.2">
      <c r="A985" s="1">
        <v>984</v>
      </c>
      <c r="B985" s="3">
        <v>45679</v>
      </c>
      <c r="C985" s="4">
        <v>9300.4584350585901</v>
      </c>
      <c r="D985" s="4">
        <v>9324.5528869628906</v>
      </c>
      <c r="E985" s="4">
        <v>9228.1750793456995</v>
      </c>
      <c r="F985" s="4">
        <v>9252.26953125</v>
      </c>
      <c r="G985" s="1">
        <v>90154800</v>
      </c>
      <c r="H985" s="2" t="str">
        <f t="shared" si="15"/>
        <v>Naik</v>
      </c>
    </row>
    <row r="986" spans="1:8" x14ac:dyDescent="0.2">
      <c r="A986" s="1">
        <v>985</v>
      </c>
      <c r="B986" s="3">
        <v>45680</v>
      </c>
      <c r="C986" s="4">
        <v>9252.26953125</v>
      </c>
      <c r="D986" s="4">
        <v>9396.8362426757794</v>
      </c>
      <c r="E986" s="4">
        <v>9252.26953125</v>
      </c>
      <c r="F986" s="4">
        <v>9252.26953125</v>
      </c>
      <c r="G986" s="1">
        <v>120515400</v>
      </c>
      <c r="H986" s="2" t="str">
        <f t="shared" si="15"/>
        <v>Stabil</v>
      </c>
    </row>
    <row r="987" spans="1:8" x14ac:dyDescent="0.2">
      <c r="A987" s="1">
        <v>986</v>
      </c>
      <c r="B987" s="3">
        <v>45681</v>
      </c>
      <c r="C987" s="4">
        <v>9276.3641716452203</v>
      </c>
      <c r="D987" s="4">
        <v>9300.4586240391</v>
      </c>
      <c r="E987" s="4">
        <v>9011.3251953125</v>
      </c>
      <c r="F987" s="4">
        <v>9011.3251953125</v>
      </c>
      <c r="G987" s="1">
        <v>152057000</v>
      </c>
      <c r="H987" s="2" t="str">
        <f t="shared" si="15"/>
        <v>Turun</v>
      </c>
    </row>
    <row r="988" spans="1:8" x14ac:dyDescent="0.2">
      <c r="A988" s="1">
        <v>987</v>
      </c>
      <c r="B988" s="3">
        <v>45687</v>
      </c>
      <c r="C988" s="4">
        <v>8818.5703125</v>
      </c>
      <c r="D988" s="4">
        <v>8939.04258452869</v>
      </c>
      <c r="E988" s="4">
        <v>8818.5703125</v>
      </c>
      <c r="F988" s="4">
        <v>8818.5703125</v>
      </c>
      <c r="G988" s="1">
        <v>154645800</v>
      </c>
      <c r="H988" s="2" t="str">
        <f t="shared" si="15"/>
        <v>Turun</v>
      </c>
    </row>
    <row r="989" spans="1:8" x14ac:dyDescent="0.2">
      <c r="A989" s="1">
        <v>988</v>
      </c>
      <c r="B989" s="3">
        <v>45688</v>
      </c>
      <c r="C989" s="4">
        <v>8914.9484592013905</v>
      </c>
      <c r="D989" s="4">
        <v>9155.8930121527792</v>
      </c>
      <c r="E989" s="4">
        <v>8890.85400390625</v>
      </c>
      <c r="F989" s="4">
        <v>9107.7041015625</v>
      </c>
      <c r="G989" s="1">
        <v>112982800</v>
      </c>
      <c r="H989" s="2" t="str">
        <f t="shared" si="15"/>
        <v>Naik</v>
      </c>
    </row>
    <row r="990" spans="1:8" x14ac:dyDescent="0.2">
      <c r="A990" s="1">
        <v>989</v>
      </c>
      <c r="B990" s="3">
        <v>45691</v>
      </c>
      <c r="C990" s="4">
        <v>9059.5141001002703</v>
      </c>
      <c r="D990" s="4">
        <v>9059.5141001002703</v>
      </c>
      <c r="E990" s="4">
        <v>8890.8529333430797</v>
      </c>
      <c r="F990" s="4">
        <v>9011.3251953125</v>
      </c>
      <c r="G990" s="1">
        <v>90439900</v>
      </c>
      <c r="H990" s="2" t="str">
        <f t="shared" si="15"/>
        <v>Turun</v>
      </c>
    </row>
    <row r="991" spans="1:8" x14ac:dyDescent="0.2">
      <c r="A991" s="1">
        <v>990</v>
      </c>
      <c r="B991" s="3">
        <v>45692</v>
      </c>
      <c r="C991" s="4">
        <v>9011.3262250936696</v>
      </c>
      <c r="D991" s="4">
        <v>9059.5151353882793</v>
      </c>
      <c r="E991" s="4">
        <v>8842.6650390625</v>
      </c>
      <c r="F991" s="4">
        <v>8842.6650390625</v>
      </c>
      <c r="G991" s="1">
        <v>94607700</v>
      </c>
      <c r="H991" s="2" t="str">
        <f t="shared" si="15"/>
        <v>Turun</v>
      </c>
    </row>
    <row r="992" spans="1:8" x14ac:dyDescent="0.2">
      <c r="A992" s="1">
        <v>991</v>
      </c>
      <c r="B992" s="3">
        <v>45693</v>
      </c>
      <c r="C992" s="4">
        <v>8770.3811322774</v>
      </c>
      <c r="D992" s="4">
        <v>8842.6644932577092</v>
      </c>
      <c r="E992" s="4">
        <v>8770.3811322774</v>
      </c>
      <c r="F992" s="4">
        <v>8794.4755859375</v>
      </c>
      <c r="G992" s="1">
        <v>98229900</v>
      </c>
      <c r="H992" s="2" t="str">
        <f t="shared" si="15"/>
        <v>Turun</v>
      </c>
    </row>
    <row r="993" spans="1:8" x14ac:dyDescent="0.2">
      <c r="A993" s="1">
        <v>992</v>
      </c>
      <c r="B993" s="3">
        <v>45694</v>
      </c>
      <c r="C993" s="4">
        <v>8746.2867220233893</v>
      </c>
      <c r="D993" s="4">
        <v>8770.3811758030697</v>
      </c>
      <c r="E993" s="4">
        <v>8529.4366380062893</v>
      </c>
      <c r="F993" s="4">
        <v>8625.814453125</v>
      </c>
      <c r="G993" s="1">
        <v>171477800</v>
      </c>
      <c r="H993" s="2" t="str">
        <f t="shared" si="15"/>
        <v>Turun</v>
      </c>
    </row>
    <row r="994" spans="1:8" x14ac:dyDescent="0.2">
      <c r="A994" s="1">
        <v>993</v>
      </c>
      <c r="B994" s="3">
        <v>45695</v>
      </c>
      <c r="C994" s="4">
        <v>8625.8139570103594</v>
      </c>
      <c r="D994" s="4">
        <v>9011.3251953125</v>
      </c>
      <c r="E994" s="4">
        <v>8505.3416950409392</v>
      </c>
      <c r="F994" s="4">
        <v>9011.3251953125</v>
      </c>
      <c r="G994" s="1">
        <v>131162200</v>
      </c>
      <c r="H994" s="2" t="str">
        <f t="shared" si="15"/>
        <v>Naik</v>
      </c>
    </row>
    <row r="995" spans="1:8" x14ac:dyDescent="0.2">
      <c r="A995" s="1">
        <v>994</v>
      </c>
      <c r="B995" s="3">
        <v>45698</v>
      </c>
      <c r="C995" s="4">
        <v>8698.09804047131</v>
      </c>
      <c r="D995" s="4">
        <v>8914.9481301229498</v>
      </c>
      <c r="E995" s="4">
        <v>8698.09804047131</v>
      </c>
      <c r="F995" s="4">
        <v>8818.5703125</v>
      </c>
      <c r="G995" s="1">
        <v>76209100</v>
      </c>
      <c r="H995" s="2" t="str">
        <f t="shared" si="15"/>
        <v>Turun</v>
      </c>
    </row>
    <row r="996" spans="1:8" x14ac:dyDescent="0.2">
      <c r="A996" s="1">
        <v>995</v>
      </c>
      <c r="B996" s="3">
        <v>45699</v>
      </c>
      <c r="C996" s="4">
        <v>8698.0972284994805</v>
      </c>
      <c r="D996" s="4">
        <v>8770.3805849690107</v>
      </c>
      <c r="E996" s="4">
        <v>8674.0027763429807</v>
      </c>
      <c r="F996" s="4">
        <v>8746.2861328125</v>
      </c>
      <c r="G996" s="1">
        <v>71188300</v>
      </c>
      <c r="H996" s="2" t="str">
        <f t="shared" si="15"/>
        <v>Turun</v>
      </c>
    </row>
    <row r="997" spans="1:8" x14ac:dyDescent="0.2">
      <c r="A997" s="1">
        <v>996</v>
      </c>
      <c r="B997" s="3">
        <v>45700</v>
      </c>
      <c r="C997" s="4">
        <v>8625.8146772541004</v>
      </c>
      <c r="D997" s="4">
        <v>8818.5703125</v>
      </c>
      <c r="E997" s="4">
        <v>8625.8146772541004</v>
      </c>
      <c r="F997" s="4">
        <v>8818.5703125</v>
      </c>
      <c r="G997" s="1">
        <v>121172600</v>
      </c>
      <c r="H997" s="2" t="str">
        <f t="shared" si="15"/>
        <v>Naik</v>
      </c>
    </row>
    <row r="998" spans="1:8" x14ac:dyDescent="0.2">
      <c r="A998" s="1">
        <v>997</v>
      </c>
      <c r="B998" s="3">
        <v>45701</v>
      </c>
      <c r="C998" s="4">
        <v>8770.3817274305602</v>
      </c>
      <c r="D998" s="4">
        <v>8818.5706380208303</v>
      </c>
      <c r="E998" s="4">
        <v>8674.00390625</v>
      </c>
      <c r="F998" s="4">
        <v>8674.00390625</v>
      </c>
      <c r="G998" s="1">
        <v>90439700</v>
      </c>
      <c r="H998" s="2" t="str">
        <f t="shared" si="15"/>
        <v>Turun</v>
      </c>
    </row>
    <row r="999" spans="1:8" x14ac:dyDescent="0.2">
      <c r="A999" s="1">
        <v>998</v>
      </c>
      <c r="B999" s="3">
        <v>45702</v>
      </c>
      <c r="C999" s="4">
        <v>8674.0036342270196</v>
      </c>
      <c r="D999" s="4">
        <v>8746.2869978455801</v>
      </c>
      <c r="E999" s="4">
        <v>8625.8147251479804</v>
      </c>
      <c r="F999" s="4">
        <v>8649.9091796875</v>
      </c>
      <c r="G999" s="1">
        <v>116274500</v>
      </c>
      <c r="H999" s="2" t="str">
        <f t="shared" si="15"/>
        <v>Turun</v>
      </c>
    </row>
    <row r="1000" spans="1:8" x14ac:dyDescent="0.2">
      <c r="A1000" s="1">
        <v>999</v>
      </c>
      <c r="B1000" s="3">
        <v>45705</v>
      </c>
      <c r="C1000" s="4">
        <v>8649.9081455261403</v>
      </c>
      <c r="D1000" s="4">
        <v>8987.23046875</v>
      </c>
      <c r="E1000" s="4">
        <v>8649.9081455261403</v>
      </c>
      <c r="F1000" s="4">
        <v>8987.23046875</v>
      </c>
      <c r="G1000" s="1">
        <v>89096400</v>
      </c>
      <c r="H1000" s="2" t="str">
        <f t="shared" si="15"/>
        <v>Naik</v>
      </c>
    </row>
    <row r="1001" spans="1:8" x14ac:dyDescent="0.2">
      <c r="A1001" s="1">
        <v>1000</v>
      </c>
      <c r="B1001" s="3">
        <v>45706</v>
      </c>
      <c r="C1001" s="4">
        <v>8987.2311722950308</v>
      </c>
      <c r="D1001" s="4">
        <v>9228.1757077453003</v>
      </c>
      <c r="E1001" s="4">
        <v>8914.9478116599494</v>
      </c>
      <c r="F1001" s="4">
        <v>8963.13671875</v>
      </c>
      <c r="G1001" s="1">
        <v>107318300</v>
      </c>
      <c r="H1001" s="2" t="str">
        <f t="shared" si="15"/>
        <v>Turun</v>
      </c>
    </row>
    <row r="1002" spans="1:8" x14ac:dyDescent="0.2">
      <c r="A1002" s="1">
        <v>1001</v>
      </c>
      <c r="B1002" s="3">
        <v>45707</v>
      </c>
      <c r="C1002" s="4">
        <v>8890.8534447014699</v>
      </c>
      <c r="D1002" s="4">
        <v>8914.9478984811503</v>
      </c>
      <c r="E1002" s="4">
        <v>8625.814453125</v>
      </c>
      <c r="F1002" s="4">
        <v>8625.814453125</v>
      </c>
      <c r="G1002" s="1">
        <v>154438200</v>
      </c>
      <c r="H1002" s="2" t="str">
        <f t="shared" si="15"/>
        <v>Turun</v>
      </c>
    </row>
    <row r="1003" spans="1:8" x14ac:dyDescent="0.2">
      <c r="A1003" s="1">
        <v>1002</v>
      </c>
      <c r="B1003" s="3">
        <v>45708</v>
      </c>
      <c r="C1003" s="4">
        <v>8649.9094509548595</v>
      </c>
      <c r="D1003" s="4">
        <v>8698.0983615451405</v>
      </c>
      <c r="E1003" s="4">
        <v>8625.8149956597208</v>
      </c>
      <c r="F1003" s="4">
        <v>8674.00390625</v>
      </c>
      <c r="G1003" s="1">
        <v>119260800</v>
      </c>
      <c r="H1003" s="2" t="str">
        <f t="shared" si="15"/>
        <v>Naik</v>
      </c>
    </row>
    <row r="1004" spans="1:8" x14ac:dyDescent="0.2">
      <c r="A1004" s="1">
        <v>1003</v>
      </c>
      <c r="B1004" s="3">
        <v>45709</v>
      </c>
      <c r="C1004" s="4">
        <v>8625.8149956597208</v>
      </c>
      <c r="D1004" s="4">
        <v>8674.00390625</v>
      </c>
      <c r="E1004" s="4">
        <v>8601.7205403645803</v>
      </c>
      <c r="F1004" s="4">
        <v>8674.00390625</v>
      </c>
      <c r="G1004" s="1">
        <v>106054700</v>
      </c>
      <c r="H1004" s="2" t="str">
        <f t="shared" si="15"/>
        <v>Stabil</v>
      </c>
    </row>
    <row r="1005" spans="1:8" x14ac:dyDescent="0.2">
      <c r="A1005" s="1">
        <v>1004</v>
      </c>
      <c r="B1005" s="3">
        <v>45712</v>
      </c>
      <c r="C1005" s="4">
        <v>8601.7197265625</v>
      </c>
      <c r="D1005" s="4">
        <v>8649.9086325936605</v>
      </c>
      <c r="E1005" s="4">
        <v>8553.5308205313395</v>
      </c>
      <c r="F1005" s="4">
        <v>8601.7197265625</v>
      </c>
      <c r="G1005" s="1">
        <v>108530300</v>
      </c>
      <c r="H1005" s="2" t="str">
        <f t="shared" si="15"/>
        <v>Turun</v>
      </c>
    </row>
    <row r="1006" spans="1:8" x14ac:dyDescent="0.2">
      <c r="A1006" s="1">
        <v>1005</v>
      </c>
      <c r="B1006" s="3">
        <v>45713</v>
      </c>
      <c r="C1006" s="4">
        <v>8577.6251549220997</v>
      </c>
      <c r="D1006" s="4">
        <v>8674.0029656515599</v>
      </c>
      <c r="E1006" s="4">
        <v>8505.341796875</v>
      </c>
      <c r="F1006" s="4">
        <v>8505.341796875</v>
      </c>
      <c r="G1006" s="1">
        <v>101592700</v>
      </c>
      <c r="H1006" s="2" t="str">
        <f t="shared" si="15"/>
        <v>Turun</v>
      </c>
    </row>
    <row r="1007" spans="1:8" x14ac:dyDescent="0.2">
      <c r="A1007" s="1">
        <v>1006</v>
      </c>
      <c r="B1007" s="3">
        <v>45714</v>
      </c>
      <c r="C1007" s="4">
        <v>8481.2467948718004</v>
      </c>
      <c r="D1007" s="4">
        <v>8577.62459935898</v>
      </c>
      <c r="E1007" s="4">
        <v>8408.9634415064102</v>
      </c>
      <c r="F1007" s="4">
        <v>8457.15234375</v>
      </c>
      <c r="G1007" s="1">
        <v>117843500</v>
      </c>
      <c r="H1007" s="2" t="str">
        <f t="shared" si="15"/>
        <v>Turun</v>
      </c>
    </row>
    <row r="1008" spans="1:8" x14ac:dyDescent="0.2">
      <c r="A1008" s="1">
        <v>1007</v>
      </c>
      <c r="B1008" s="3">
        <v>45715</v>
      </c>
      <c r="C1008" s="4">
        <v>8481.2469758064508</v>
      </c>
      <c r="D1008" s="4">
        <v>8481.2469758064508</v>
      </c>
      <c r="E1008" s="4">
        <v>8192.1135561766896</v>
      </c>
      <c r="F1008" s="4">
        <v>8216.2080078125</v>
      </c>
      <c r="G1008" s="1">
        <v>199991600</v>
      </c>
      <c r="H1008" s="2" t="str">
        <f t="shared" si="15"/>
        <v>Turun</v>
      </c>
    </row>
    <row r="1009" spans="1:8" x14ac:dyDescent="0.2">
      <c r="A1009" s="1">
        <v>1008</v>
      </c>
      <c r="B1009" s="3">
        <v>45716</v>
      </c>
      <c r="C1009" s="4">
        <v>8216.2088713603498</v>
      </c>
      <c r="D1009" s="4">
        <v>8360.77559636962</v>
      </c>
      <c r="E1009" s="4">
        <v>8119.8310546875</v>
      </c>
      <c r="F1009" s="4">
        <v>8119.8310546875</v>
      </c>
      <c r="G1009" s="1">
        <v>293095000</v>
      </c>
      <c r="H1009" s="2" t="str">
        <f t="shared" si="15"/>
        <v>Turun</v>
      </c>
    </row>
    <row r="1010" spans="1:8" x14ac:dyDescent="0.2">
      <c r="A1010" s="1">
        <v>1009</v>
      </c>
      <c r="B1010" s="3">
        <v>45719</v>
      </c>
      <c r="C1010" s="4">
        <v>8288.4914550781305</v>
      </c>
      <c r="D1010" s="4">
        <v>8577.6248779296893</v>
      </c>
      <c r="E1010" s="4">
        <v>8240.3025512695294</v>
      </c>
      <c r="F1010" s="4">
        <v>8481.2470703125</v>
      </c>
      <c r="G1010" s="1">
        <v>192944300</v>
      </c>
      <c r="H1010" s="2" t="str">
        <f t="shared" si="15"/>
        <v>Naik</v>
      </c>
    </row>
    <row r="1011" spans="1:8" x14ac:dyDescent="0.2">
      <c r="A1011" s="1">
        <v>1010</v>
      </c>
      <c r="B1011" s="3">
        <v>45720</v>
      </c>
      <c r="C1011" s="4">
        <v>8577.6254303495807</v>
      </c>
      <c r="D1011" s="4">
        <v>8601.7198838056192</v>
      </c>
      <c r="E1011" s="4">
        <v>8360.7753492452302</v>
      </c>
      <c r="F1011" s="4">
        <v>8529.4365234375</v>
      </c>
      <c r="G1011" s="1">
        <v>125418500</v>
      </c>
      <c r="H1011" s="2" t="str">
        <f t="shared" si="15"/>
        <v>Naik</v>
      </c>
    </row>
    <row r="1012" spans="1:8" x14ac:dyDescent="0.2">
      <c r="A1012" s="1">
        <v>1011</v>
      </c>
      <c r="B1012" s="3">
        <v>45721</v>
      </c>
      <c r="C1012" s="4">
        <v>8505.3427191840292</v>
      </c>
      <c r="D1012" s="4">
        <v>8842.6650933159708</v>
      </c>
      <c r="E1012" s="4">
        <v>8505.3427191840292</v>
      </c>
      <c r="F1012" s="4">
        <v>8674.00390625</v>
      </c>
      <c r="G1012" s="1">
        <v>155207900</v>
      </c>
      <c r="H1012" s="2" t="str">
        <f t="shared" si="15"/>
        <v>Naik</v>
      </c>
    </row>
    <row r="1013" spans="1:8" x14ac:dyDescent="0.2">
      <c r="A1013" s="1">
        <v>1012</v>
      </c>
      <c r="B1013" s="3">
        <v>45722</v>
      </c>
      <c r="C1013" s="4">
        <v>8866.7592705431798</v>
      </c>
      <c r="D1013" s="4">
        <v>8866.7592705431798</v>
      </c>
      <c r="E1013" s="4">
        <v>8649.9091796875</v>
      </c>
      <c r="F1013" s="4">
        <v>8649.9091796875</v>
      </c>
      <c r="G1013" s="1">
        <v>96270100</v>
      </c>
      <c r="H1013" s="2" t="str">
        <f t="shared" si="15"/>
        <v>Turun</v>
      </c>
    </row>
    <row r="1014" spans="1:8" x14ac:dyDescent="0.2">
      <c r="A1014" s="1">
        <v>1013</v>
      </c>
      <c r="B1014" s="3">
        <v>45723</v>
      </c>
      <c r="C1014" s="4">
        <v>8674.0030856092399</v>
      </c>
      <c r="D1014" s="4">
        <v>8674.0030856092399</v>
      </c>
      <c r="E1014" s="4">
        <v>8601.7197265625</v>
      </c>
      <c r="F1014" s="4">
        <v>8601.7197265625</v>
      </c>
      <c r="G1014" s="1">
        <v>82295300</v>
      </c>
      <c r="H1014" s="2" t="str">
        <f t="shared" si="15"/>
        <v>Turun</v>
      </c>
    </row>
    <row r="1015" spans="1:8" x14ac:dyDescent="0.2">
      <c r="A1015" s="1">
        <v>1014</v>
      </c>
      <c r="B1015" s="3">
        <v>45726</v>
      </c>
      <c r="C1015" s="4">
        <v>8433.05855545343</v>
      </c>
      <c r="D1015" s="4">
        <v>8649.9086325936605</v>
      </c>
      <c r="E1015" s="4">
        <v>8408.9641024378507</v>
      </c>
      <c r="F1015" s="4">
        <v>8601.7197265625</v>
      </c>
      <c r="G1015" s="1">
        <v>97652100</v>
      </c>
      <c r="H1015" s="2" t="str">
        <f t="shared" si="15"/>
        <v>Stabil</v>
      </c>
    </row>
    <row r="1016" spans="1:8" x14ac:dyDescent="0.2">
      <c r="A1016" s="1">
        <v>1015</v>
      </c>
      <c r="B1016" s="3">
        <v>45727</v>
      </c>
      <c r="C1016" s="4">
        <v>8625.8141795780793</v>
      </c>
      <c r="D1016" s="4">
        <v>8722.1919916404095</v>
      </c>
      <c r="E1016" s="4">
        <v>8553.5308205313395</v>
      </c>
      <c r="F1016" s="4">
        <v>8601.7197265625</v>
      </c>
      <c r="G1016" s="1">
        <v>109295600</v>
      </c>
      <c r="H1016" s="2" t="str">
        <f t="shared" si="15"/>
        <v>Stabil</v>
      </c>
    </row>
    <row r="1017" spans="1:8" x14ac:dyDescent="0.2">
      <c r="A1017" s="1">
        <v>1016</v>
      </c>
      <c r="B1017" s="3">
        <v>45728</v>
      </c>
      <c r="C1017" s="4">
        <v>8698.0977712970907</v>
      </c>
      <c r="D1017" s="4">
        <v>8794.4755859375</v>
      </c>
      <c r="E1017" s="4">
        <v>8649.9088639768797</v>
      </c>
      <c r="F1017" s="4">
        <v>8794.4755859375</v>
      </c>
      <c r="G1017" s="1">
        <v>87968900</v>
      </c>
      <c r="H1017" s="2" t="str">
        <f t="shared" si="15"/>
        <v>Naik</v>
      </c>
    </row>
    <row r="1018" spans="1:8" x14ac:dyDescent="0.2">
      <c r="A1018" s="1">
        <v>1017</v>
      </c>
      <c r="B1018" s="3">
        <v>45729</v>
      </c>
      <c r="C1018" s="4">
        <v>8818.5703614641407</v>
      </c>
      <c r="D1018" s="4">
        <v>8842.6648160036602</v>
      </c>
      <c r="E1018" s="4">
        <v>8649.9091796875</v>
      </c>
      <c r="F1018" s="4">
        <v>8649.9091796875</v>
      </c>
      <c r="G1018" s="1">
        <v>83030700</v>
      </c>
      <c r="H1018" s="2" t="str">
        <f t="shared" si="15"/>
        <v>Turun</v>
      </c>
    </row>
    <row r="1019" spans="1:8" x14ac:dyDescent="0.2">
      <c r="A1019" s="1">
        <v>1018</v>
      </c>
      <c r="B1019" s="3">
        <v>45730</v>
      </c>
      <c r="C1019" s="4">
        <v>8481.2484821428607</v>
      </c>
      <c r="D1019" s="4">
        <v>8601.7207617187505</v>
      </c>
      <c r="E1019" s="4">
        <v>8433.0595703125</v>
      </c>
      <c r="F1019" s="4">
        <v>8433.0595703125</v>
      </c>
      <c r="G1019" s="1">
        <v>111397800</v>
      </c>
      <c r="H1019" s="2" t="str">
        <f t="shared" si="15"/>
        <v>Turun</v>
      </c>
    </row>
    <row r="1020" spans="1:8" x14ac:dyDescent="0.2">
      <c r="A1020" s="1">
        <v>1019</v>
      </c>
      <c r="B1020" s="3">
        <v>45733</v>
      </c>
      <c r="C1020" s="4">
        <v>8433.0589117005802</v>
      </c>
      <c r="D1020" s="4">
        <v>8457.1533657340096</v>
      </c>
      <c r="E1020" s="4">
        <v>8240.3032794331393</v>
      </c>
      <c r="F1020" s="4">
        <v>8288.4921875</v>
      </c>
      <c r="G1020" s="1">
        <v>151365700</v>
      </c>
      <c r="H1020" s="2" t="str">
        <f t="shared" si="15"/>
        <v>Turun</v>
      </c>
    </row>
    <row r="1021" spans="1:8" x14ac:dyDescent="0.2">
      <c r="A1021" s="1">
        <v>1020</v>
      </c>
      <c r="B1021" s="3">
        <v>45734</v>
      </c>
      <c r="C1021" s="4">
        <v>8192.1140224962401</v>
      </c>
      <c r="D1021" s="4">
        <v>8240.3029285109205</v>
      </c>
      <c r="E1021" s="4">
        <v>7782.5083213714197</v>
      </c>
      <c r="F1021" s="4">
        <v>7999.3583984375</v>
      </c>
      <c r="G1021" s="1">
        <v>417305700</v>
      </c>
      <c r="H1021" s="2" t="str">
        <f t="shared" si="15"/>
        <v>Turun</v>
      </c>
    </row>
    <row r="1022" spans="1:8" x14ac:dyDescent="0.2">
      <c r="A1022" s="1">
        <v>1021</v>
      </c>
      <c r="B1022" s="3">
        <v>45735</v>
      </c>
      <c r="C1022" s="4">
        <v>7999.3586711711696</v>
      </c>
      <c r="D1022" s="4">
        <v>8095.7364864864903</v>
      </c>
      <c r="E1022" s="4">
        <v>7927.0753096846902</v>
      </c>
      <c r="F1022" s="4">
        <v>8023.453125</v>
      </c>
      <c r="G1022" s="1">
        <v>214108200</v>
      </c>
      <c r="H1022" s="2" t="str">
        <f t="shared" si="15"/>
        <v>Naik</v>
      </c>
    </row>
    <row r="1023" spans="1:8" x14ac:dyDescent="0.2">
      <c r="A1023" s="1">
        <v>1022</v>
      </c>
      <c r="B1023" s="3">
        <v>45736</v>
      </c>
      <c r="C1023" s="4">
        <v>8143.92495918843</v>
      </c>
      <c r="D1023" s="4">
        <v>8168.01941173041</v>
      </c>
      <c r="E1023" s="4">
        <v>8047.54714902052</v>
      </c>
      <c r="F1023" s="4">
        <v>8071.6416015625</v>
      </c>
      <c r="G1023" s="1">
        <v>152917300</v>
      </c>
      <c r="H1023" s="2" t="str">
        <f t="shared" si="15"/>
        <v>Naik</v>
      </c>
    </row>
    <row r="1024" spans="1:8" x14ac:dyDescent="0.2">
      <c r="A1024" s="1">
        <v>1023</v>
      </c>
      <c r="B1024" s="3">
        <v>45737</v>
      </c>
      <c r="C1024" s="4">
        <v>8220.6564416040401</v>
      </c>
      <c r="D1024" s="4">
        <v>8220.6564416040401</v>
      </c>
      <c r="E1024" s="4">
        <v>7848.119140625</v>
      </c>
      <c r="F1024" s="4">
        <v>7848.119140625</v>
      </c>
      <c r="G1024" s="1">
        <v>377916400</v>
      </c>
      <c r="H1024" s="2" t="str">
        <f t="shared" si="15"/>
        <v>Turun</v>
      </c>
    </row>
    <row r="1025" spans="1:8" x14ac:dyDescent="0.2">
      <c r="A1025" s="1">
        <v>1024</v>
      </c>
      <c r="B1025" s="3">
        <v>45740</v>
      </c>
      <c r="C1025" s="4">
        <v>7773.6119116057398</v>
      </c>
      <c r="D1025" s="4">
        <v>8046.8059404481101</v>
      </c>
      <c r="E1025" s="4">
        <v>7574.92534517492</v>
      </c>
      <c r="F1025" s="4">
        <v>7897.791015625</v>
      </c>
      <c r="G1025" s="1">
        <v>331836800</v>
      </c>
      <c r="H1025" s="2" t="str">
        <f t="shared" si="15"/>
        <v>Naik</v>
      </c>
    </row>
    <row r="1026" spans="1:8" x14ac:dyDescent="0.2">
      <c r="A1026" s="1">
        <v>1025</v>
      </c>
      <c r="B1026" s="3">
        <v>45741</v>
      </c>
      <c r="C1026" s="4">
        <v>8021.9700980808402</v>
      </c>
      <c r="D1026" s="4">
        <v>8096.47756029212</v>
      </c>
      <c r="E1026" s="4">
        <v>7947.4626358695696</v>
      </c>
      <c r="F1026" s="4">
        <v>7997.13427734375</v>
      </c>
      <c r="G1026" s="1">
        <v>136341700</v>
      </c>
      <c r="H1026" s="2" t="str">
        <f t="shared" si="15"/>
        <v>Naik</v>
      </c>
    </row>
    <row r="1027" spans="1:8" x14ac:dyDescent="0.2">
      <c r="A1027" s="1">
        <v>1026</v>
      </c>
      <c r="B1027" s="3">
        <v>45742</v>
      </c>
      <c r="C1027" s="4">
        <v>8245.4922676869501</v>
      </c>
      <c r="D1027" s="4">
        <v>8593.19374885447</v>
      </c>
      <c r="E1027" s="4">
        <v>8220.6564476035601</v>
      </c>
      <c r="F1027" s="4">
        <v>8469.0146484375</v>
      </c>
      <c r="G1027" s="1">
        <v>283104600</v>
      </c>
      <c r="H1027" s="2" t="str">
        <f t="shared" si="15"/>
        <v>Naik</v>
      </c>
    </row>
    <row r="1028" spans="1:8" x14ac:dyDescent="0.2">
      <c r="A1028" s="1">
        <v>1027</v>
      </c>
      <c r="B1028" s="3">
        <v>45743</v>
      </c>
      <c r="C1028" s="4">
        <v>8369.67125172335</v>
      </c>
      <c r="D1028" s="4">
        <v>8518.68617015165</v>
      </c>
      <c r="E1028" s="4">
        <v>8319.9996122472403</v>
      </c>
      <c r="F1028" s="4">
        <v>8444.1787109375</v>
      </c>
      <c r="G1028" s="1">
        <v>122943900</v>
      </c>
      <c r="H1028" s="2" t="str">
        <f t="shared" ref="H1028:H1091" si="16">IF(F1028&gt;F1027,"Naik",IF(F1028&lt;F1027,"Turun","Stabil"))</f>
        <v>Turun</v>
      </c>
    </row>
    <row r="1029" spans="1:8" x14ac:dyDescent="0.2">
      <c r="A1029" s="1">
        <v>1028</v>
      </c>
      <c r="B1029" s="3">
        <v>45755</v>
      </c>
      <c r="C1029" s="4">
        <v>7351.4026451969503</v>
      </c>
      <c r="D1029" s="4">
        <v>7947.4623191318296</v>
      </c>
      <c r="E1029" s="4">
        <v>7227.2235464605101</v>
      </c>
      <c r="F1029" s="4">
        <v>7723.93994140625</v>
      </c>
      <c r="G1029" s="1">
        <v>533073600</v>
      </c>
      <c r="H1029" s="2" t="str">
        <f t="shared" si="16"/>
        <v>Turun</v>
      </c>
    </row>
    <row r="1030" spans="1:8" x14ac:dyDescent="0.2">
      <c r="A1030" s="1">
        <v>1029</v>
      </c>
      <c r="B1030" s="3">
        <v>45756</v>
      </c>
      <c r="C1030" s="4">
        <v>7649.4326942034704</v>
      </c>
      <c r="D1030" s="4">
        <v>7897.7908985607301</v>
      </c>
      <c r="E1030" s="4">
        <v>7624.5968737677504</v>
      </c>
      <c r="F1030" s="4">
        <v>7872.955078125</v>
      </c>
      <c r="G1030" s="1">
        <v>136753900</v>
      </c>
      <c r="H1030" s="2" t="str">
        <f t="shared" si="16"/>
        <v>Naik</v>
      </c>
    </row>
    <row r="1031" spans="1:8" x14ac:dyDescent="0.2">
      <c r="A1031" s="1">
        <v>1030</v>
      </c>
      <c r="B1031" s="3">
        <v>45757</v>
      </c>
      <c r="C1031" s="4">
        <v>8444.1788860657307</v>
      </c>
      <c r="D1031" s="4">
        <v>8593.1938075845392</v>
      </c>
      <c r="E1031" s="4">
        <v>8121.3132227749802</v>
      </c>
      <c r="F1031" s="4">
        <v>8170.98486328125</v>
      </c>
      <c r="G1031" s="1">
        <v>144148600</v>
      </c>
      <c r="H1031" s="2" t="str">
        <f t="shared" si="16"/>
        <v>Naik</v>
      </c>
    </row>
    <row r="1032" spans="1:8" x14ac:dyDescent="0.2">
      <c r="A1032" s="1">
        <v>1031</v>
      </c>
      <c r="B1032" s="3">
        <v>45758</v>
      </c>
      <c r="C1032" s="4">
        <v>8146.1487915407897</v>
      </c>
      <c r="D1032" s="4">
        <v>8270.3278889728099</v>
      </c>
      <c r="E1032" s="4">
        <v>7997.1338746223601</v>
      </c>
      <c r="F1032" s="4">
        <v>8220.65625</v>
      </c>
      <c r="G1032" s="1">
        <v>82603000</v>
      </c>
      <c r="H1032" s="2" t="str">
        <f t="shared" si="16"/>
        <v>Naik</v>
      </c>
    </row>
    <row r="1033" spans="1:8" x14ac:dyDescent="0.2">
      <c r="A1033" s="1">
        <v>1032</v>
      </c>
      <c r="B1033" s="3">
        <v>45761</v>
      </c>
      <c r="C1033" s="4">
        <v>8195.8210100446395</v>
      </c>
      <c r="D1033" s="4">
        <v>8344.8359375</v>
      </c>
      <c r="E1033" s="4">
        <v>8195.8210100446395</v>
      </c>
      <c r="F1033" s="4">
        <v>8344.8359375</v>
      </c>
      <c r="G1033" s="1">
        <v>83319300</v>
      </c>
      <c r="H1033" s="2" t="str">
        <f t="shared" si="16"/>
        <v>Naik</v>
      </c>
    </row>
    <row r="1034" spans="1:8" x14ac:dyDescent="0.2">
      <c r="A1034" s="1">
        <v>1033</v>
      </c>
      <c r="B1034" s="3">
        <v>45762</v>
      </c>
      <c r="C1034" s="4">
        <v>8518.6865234375</v>
      </c>
      <c r="D1034" s="4">
        <v>8543.5223442055394</v>
      </c>
      <c r="E1034" s="4">
        <v>8394.5074195972993</v>
      </c>
      <c r="F1034" s="4">
        <v>8518.6865234375</v>
      </c>
      <c r="G1034" s="1">
        <v>83431800</v>
      </c>
      <c r="H1034" s="2" t="str">
        <f t="shared" si="16"/>
        <v>Naik</v>
      </c>
    </row>
    <row r="1035" spans="1:8" x14ac:dyDescent="0.2">
      <c r="A1035" s="1">
        <v>1034</v>
      </c>
      <c r="B1035" s="3">
        <v>45763</v>
      </c>
      <c r="C1035" s="4">
        <v>8444.1785928281697</v>
      </c>
      <c r="D1035" s="4">
        <v>8493.8502316095091</v>
      </c>
      <c r="E1035" s="4">
        <v>8369.6711346561606</v>
      </c>
      <c r="F1035" s="4">
        <v>8419.3427734375</v>
      </c>
      <c r="G1035" s="1">
        <v>76874900</v>
      </c>
      <c r="H1035" s="2" t="str">
        <f t="shared" si="16"/>
        <v>Turun</v>
      </c>
    </row>
    <row r="1036" spans="1:8" x14ac:dyDescent="0.2">
      <c r="A1036" s="1">
        <v>1035</v>
      </c>
      <c r="B1036" s="3">
        <v>45764</v>
      </c>
      <c r="C1036" s="4">
        <v>8394.5070714613994</v>
      </c>
      <c r="D1036" s="4">
        <v>8444.1787109375</v>
      </c>
      <c r="E1036" s="4">
        <v>8295.1637925091909</v>
      </c>
      <c r="F1036" s="4">
        <v>8444.1787109375</v>
      </c>
      <c r="G1036" s="1">
        <v>83540600</v>
      </c>
      <c r="H1036" s="2" t="str">
        <f t="shared" si="16"/>
        <v>Naik</v>
      </c>
    </row>
    <row r="1037" spans="1:8" x14ac:dyDescent="0.2">
      <c r="A1037" s="1">
        <v>1036</v>
      </c>
      <c r="B1037" s="3">
        <v>45768</v>
      </c>
      <c r="C1037" s="4">
        <v>8444.1787462349403</v>
      </c>
      <c r="D1037" s="4">
        <v>8444.1787462349403</v>
      </c>
      <c r="E1037" s="4">
        <v>8245.4921875</v>
      </c>
      <c r="F1037" s="4">
        <v>8245.4921875</v>
      </c>
      <c r="G1037" s="1">
        <v>40683800</v>
      </c>
      <c r="H1037" s="2" t="str">
        <f t="shared" si="16"/>
        <v>Turun</v>
      </c>
    </row>
    <row r="1038" spans="1:8" x14ac:dyDescent="0.2">
      <c r="A1038" s="1">
        <v>1037</v>
      </c>
      <c r="B1038" s="3">
        <v>45769</v>
      </c>
      <c r="C1038" s="4">
        <v>8270.3279727711397</v>
      </c>
      <c r="D1038" s="4">
        <v>8444.1787109375</v>
      </c>
      <c r="E1038" s="4">
        <v>8270.3279727711397</v>
      </c>
      <c r="F1038" s="4">
        <v>8444.1787109375</v>
      </c>
      <c r="G1038" s="1">
        <v>56537100</v>
      </c>
      <c r="H1038" s="2" t="str">
        <f t="shared" si="16"/>
        <v>Naik</v>
      </c>
    </row>
    <row r="1039" spans="1:8" x14ac:dyDescent="0.2">
      <c r="A1039" s="1">
        <v>1038</v>
      </c>
      <c r="B1039" s="3">
        <v>45770</v>
      </c>
      <c r="C1039" s="4">
        <v>8493.8504320379707</v>
      </c>
      <c r="D1039" s="4">
        <v>8667.701171875</v>
      </c>
      <c r="E1039" s="4">
        <v>8493.8504320379707</v>
      </c>
      <c r="F1039" s="4">
        <v>8667.701171875</v>
      </c>
      <c r="G1039" s="1">
        <v>92329600</v>
      </c>
      <c r="H1039" s="2" t="str">
        <f t="shared" si="16"/>
        <v>Naik</v>
      </c>
    </row>
    <row r="1040" spans="1:8" x14ac:dyDescent="0.2">
      <c r="A1040" s="1">
        <v>1039</v>
      </c>
      <c r="B1040" s="3">
        <v>45771</v>
      </c>
      <c r="C1040" s="4">
        <v>8791.8800642975693</v>
      </c>
      <c r="D1040" s="4">
        <v>8791.8800642975693</v>
      </c>
      <c r="E1040" s="4">
        <v>8419.3427734375</v>
      </c>
      <c r="F1040" s="4">
        <v>8419.3427734375</v>
      </c>
      <c r="G1040" s="1">
        <v>143675300</v>
      </c>
      <c r="H1040" s="2" t="str">
        <f t="shared" si="16"/>
        <v>Turun</v>
      </c>
    </row>
    <row r="1041" spans="1:8" x14ac:dyDescent="0.2">
      <c r="A1041" s="1">
        <v>1040</v>
      </c>
      <c r="B1041" s="3">
        <v>45772</v>
      </c>
      <c r="C1041" s="4">
        <v>8593.1941031522492</v>
      </c>
      <c r="D1041" s="4">
        <v>8593.1941031522492</v>
      </c>
      <c r="E1041" s="4">
        <v>8518.6866398301208</v>
      </c>
      <c r="F1041" s="4">
        <v>8543.5224609375</v>
      </c>
      <c r="G1041" s="1">
        <v>58297000</v>
      </c>
      <c r="H1041" s="2" t="str">
        <f t="shared" si="16"/>
        <v>Naik</v>
      </c>
    </row>
    <row r="1042" spans="1:8" x14ac:dyDescent="0.2">
      <c r="A1042" s="1">
        <v>1041</v>
      </c>
      <c r="B1042" s="3">
        <v>45775</v>
      </c>
      <c r="C1042" s="4">
        <v>8692.5372262286292</v>
      </c>
      <c r="D1042" s="4">
        <v>8717.373046875</v>
      </c>
      <c r="E1042" s="4">
        <v>8593.1939436431603</v>
      </c>
      <c r="F1042" s="4">
        <v>8717.373046875</v>
      </c>
      <c r="G1042" s="1">
        <v>73235400</v>
      </c>
      <c r="H1042" s="2" t="str">
        <f t="shared" si="16"/>
        <v>Naik</v>
      </c>
    </row>
    <row r="1043" spans="1:8" x14ac:dyDescent="0.2">
      <c r="A1043" s="1">
        <v>1042</v>
      </c>
      <c r="B1043" s="3">
        <v>45776</v>
      </c>
      <c r="C1043" s="4">
        <v>8742.2086318051606</v>
      </c>
      <c r="D1043" s="4">
        <v>8767.0444517818796</v>
      </c>
      <c r="E1043" s="4">
        <v>8642.8653518982792</v>
      </c>
      <c r="F1043" s="4">
        <v>8667.701171875</v>
      </c>
      <c r="G1043" s="1">
        <v>60315700</v>
      </c>
      <c r="H1043" s="2" t="str">
        <f t="shared" si="16"/>
        <v>Turun</v>
      </c>
    </row>
    <row r="1044" spans="1:8" x14ac:dyDescent="0.2">
      <c r="A1044" s="1">
        <v>1043</v>
      </c>
      <c r="B1044" s="3">
        <v>45777</v>
      </c>
      <c r="C1044" s="4">
        <v>8742.2091005665698</v>
      </c>
      <c r="D1044" s="4">
        <v>8866.38820710871</v>
      </c>
      <c r="E1044" s="4">
        <v>8618.0299940244295</v>
      </c>
      <c r="F1044" s="4">
        <v>8767.044921875</v>
      </c>
      <c r="G1044" s="1">
        <v>164597500</v>
      </c>
      <c r="H1044" s="2" t="str">
        <f t="shared" si="16"/>
        <v>Naik</v>
      </c>
    </row>
    <row r="1045" spans="1:8" x14ac:dyDescent="0.2">
      <c r="A1045" s="1">
        <v>1044</v>
      </c>
      <c r="B1045" s="3">
        <v>45779</v>
      </c>
      <c r="C1045" s="4">
        <v>8940.8953908426192</v>
      </c>
      <c r="D1045" s="4">
        <v>8940.8953908426192</v>
      </c>
      <c r="E1045" s="4">
        <v>8791.8804676619093</v>
      </c>
      <c r="F1045" s="4">
        <v>8916.0595703125</v>
      </c>
      <c r="G1045" s="1">
        <v>92219000</v>
      </c>
      <c r="H1045" s="2" t="str">
        <f t="shared" si="16"/>
        <v>Naik</v>
      </c>
    </row>
    <row r="1046" spans="1:8" x14ac:dyDescent="0.2">
      <c r="A1046" s="1">
        <v>1045</v>
      </c>
      <c r="B1046" s="3">
        <v>45782</v>
      </c>
      <c r="C1046" s="4">
        <v>8940.8953908426192</v>
      </c>
      <c r="D1046" s="4">
        <v>8990.5670319028595</v>
      </c>
      <c r="E1046" s="4">
        <v>8916.0595703125</v>
      </c>
      <c r="F1046" s="4">
        <v>8916.0595703125</v>
      </c>
      <c r="G1046" s="1">
        <v>86385600</v>
      </c>
      <c r="H1046" s="2" t="str">
        <f t="shared" si="16"/>
        <v>Stabil</v>
      </c>
    </row>
    <row r="1047" spans="1:8" x14ac:dyDescent="0.2">
      <c r="A1047" s="1">
        <v>1046</v>
      </c>
      <c r="B1047" s="3">
        <v>45783</v>
      </c>
      <c r="C1047" s="4">
        <v>8990.5672664906506</v>
      </c>
      <c r="D1047" s="4">
        <v>8990.5672664906506</v>
      </c>
      <c r="E1047" s="4">
        <v>8916.0598029562007</v>
      </c>
      <c r="F1047" s="4">
        <v>8965.7314453125</v>
      </c>
      <c r="G1047" s="1">
        <v>48860500</v>
      </c>
      <c r="H1047" s="2" t="str">
        <f t="shared" si="16"/>
        <v>Naik</v>
      </c>
    </row>
    <row r="1048" spans="1:8" x14ac:dyDescent="0.2">
      <c r="A1048" s="1">
        <v>1047</v>
      </c>
      <c r="B1048" s="3">
        <v>45784</v>
      </c>
      <c r="C1048" s="4">
        <v>9015.4033203125</v>
      </c>
      <c r="D1048" s="4">
        <v>9040.2391421315406</v>
      </c>
      <c r="E1048" s="4">
        <v>8940.8958548553692</v>
      </c>
      <c r="F1048" s="4">
        <v>9015.4033203125</v>
      </c>
      <c r="G1048" s="1">
        <v>77382000</v>
      </c>
      <c r="H1048" s="2" t="str">
        <f t="shared" si="16"/>
        <v>Naik</v>
      </c>
    </row>
    <row r="1049" spans="1:8" x14ac:dyDescent="0.2">
      <c r="A1049" s="1">
        <v>1048</v>
      </c>
      <c r="B1049" s="3">
        <v>45785</v>
      </c>
      <c r="C1049" s="4">
        <v>9015.4028524329697</v>
      </c>
      <c r="D1049" s="4">
        <v>9139.5819550835695</v>
      </c>
      <c r="E1049" s="4">
        <v>8866.3879292522597</v>
      </c>
      <c r="F1049" s="4">
        <v>8916.0595703125</v>
      </c>
      <c r="G1049" s="1">
        <v>99614500</v>
      </c>
      <c r="H1049" s="2" t="str">
        <f t="shared" si="16"/>
        <v>Turun</v>
      </c>
    </row>
    <row r="1050" spans="1:8" x14ac:dyDescent="0.2">
      <c r="A1050" s="1">
        <v>1049</v>
      </c>
      <c r="B1050" s="3">
        <v>45786</v>
      </c>
      <c r="C1050" s="4">
        <v>8990.5671495225706</v>
      </c>
      <c r="D1050" s="4">
        <v>8990.5671495225706</v>
      </c>
      <c r="E1050" s="4">
        <v>8916.0596869574692</v>
      </c>
      <c r="F1050" s="4">
        <v>8940.8955078125</v>
      </c>
      <c r="G1050" s="1">
        <v>47167500</v>
      </c>
      <c r="H1050" s="2" t="str">
        <f t="shared" si="16"/>
        <v>Naik</v>
      </c>
    </row>
    <row r="1051" spans="1:8" x14ac:dyDescent="0.2">
      <c r="A1051" s="1">
        <v>1050</v>
      </c>
      <c r="B1051" s="3">
        <v>45791</v>
      </c>
      <c r="C1051" s="4">
        <v>9189.2540220687297</v>
      </c>
      <c r="D1051" s="4">
        <v>9238.9256654312703</v>
      </c>
      <c r="E1051" s="4">
        <v>9089.9107353436702</v>
      </c>
      <c r="F1051" s="4">
        <v>9214.08984375</v>
      </c>
      <c r="G1051" s="1">
        <v>149002900</v>
      </c>
      <c r="H1051" s="2" t="str">
        <f t="shared" si="16"/>
        <v>Naik</v>
      </c>
    </row>
    <row r="1052" spans="1:8" x14ac:dyDescent="0.2">
      <c r="A1052" s="1">
        <v>1051</v>
      </c>
      <c r="B1052" s="3">
        <v>45792</v>
      </c>
      <c r="C1052" s="4">
        <v>9214.08984375</v>
      </c>
      <c r="D1052" s="4">
        <v>9338.2689521563298</v>
      </c>
      <c r="E1052" s="4">
        <v>9189.2540220687297</v>
      </c>
      <c r="F1052" s="4">
        <v>9214.08984375</v>
      </c>
      <c r="G1052" s="1">
        <v>101401300</v>
      </c>
      <c r="H1052" s="2" t="str">
        <f t="shared" si="16"/>
        <v>Stabil</v>
      </c>
    </row>
    <row r="1053" spans="1:8" x14ac:dyDescent="0.2">
      <c r="A1053" s="1">
        <v>1052</v>
      </c>
      <c r="B1053" s="3">
        <v>45793</v>
      </c>
      <c r="C1053" s="4">
        <v>9238.9248046875</v>
      </c>
      <c r="D1053" s="4">
        <v>9263.7606240549394</v>
      </c>
      <c r="E1053" s="4">
        <v>9164.41734658518</v>
      </c>
      <c r="F1053" s="4">
        <v>9238.9248046875</v>
      </c>
      <c r="G1053" s="1">
        <v>63007500</v>
      </c>
      <c r="H1053" s="2" t="str">
        <f t="shared" si="16"/>
        <v>Naik</v>
      </c>
    </row>
    <row r="1054" spans="1:8" x14ac:dyDescent="0.2">
      <c r="A1054" s="1">
        <v>1053</v>
      </c>
      <c r="B1054" s="3">
        <v>45796</v>
      </c>
      <c r="C1054" s="4">
        <v>9214.0889545641403</v>
      </c>
      <c r="D1054" s="4">
        <v>9437.611328125</v>
      </c>
      <c r="E1054" s="4">
        <v>9189.2531352796104</v>
      </c>
      <c r="F1054" s="4">
        <v>9437.611328125</v>
      </c>
      <c r="G1054" s="1">
        <v>111597200</v>
      </c>
      <c r="H1054" s="2" t="str">
        <f t="shared" si="16"/>
        <v>Naik</v>
      </c>
    </row>
    <row r="1055" spans="1:8" x14ac:dyDescent="0.2">
      <c r="A1055" s="1">
        <v>1054</v>
      </c>
      <c r="B1055" s="3">
        <v>45797</v>
      </c>
      <c r="C1055" s="4">
        <v>9437.6121887368099</v>
      </c>
      <c r="D1055" s="4">
        <v>9611.4629395819593</v>
      </c>
      <c r="E1055" s="4">
        <v>9412.7763671875</v>
      </c>
      <c r="F1055" s="4">
        <v>9412.7763671875</v>
      </c>
      <c r="G1055" s="1">
        <v>160614800</v>
      </c>
      <c r="H1055" s="2" t="str">
        <f t="shared" si="16"/>
        <v>Turun</v>
      </c>
    </row>
    <row r="1056" spans="1:8" x14ac:dyDescent="0.2">
      <c r="A1056" s="1">
        <v>1055</v>
      </c>
      <c r="B1056" s="3">
        <v>45798</v>
      </c>
      <c r="C1056" s="4">
        <v>9636.298828125</v>
      </c>
      <c r="D1056" s="4">
        <v>9661.1346498469702</v>
      </c>
      <c r="E1056" s="4">
        <v>9487.2838977931697</v>
      </c>
      <c r="F1056" s="4">
        <v>9636.298828125</v>
      </c>
      <c r="G1056" s="1">
        <v>169739200</v>
      </c>
      <c r="H1056" s="2" t="str">
        <f t="shared" si="16"/>
        <v>Naik</v>
      </c>
    </row>
    <row r="1057" spans="1:8" x14ac:dyDescent="0.2">
      <c r="A1057" s="1">
        <v>1056</v>
      </c>
      <c r="B1057" s="3">
        <v>45799</v>
      </c>
      <c r="C1057" s="4">
        <v>9735.6418798575105</v>
      </c>
      <c r="D1057" s="4">
        <v>9735.6418798575105</v>
      </c>
      <c r="E1057" s="4">
        <v>9586.626953125</v>
      </c>
      <c r="F1057" s="4">
        <v>9586.626953125</v>
      </c>
      <c r="G1057" s="1">
        <v>103113000</v>
      </c>
      <c r="H1057" s="2" t="str">
        <f t="shared" si="16"/>
        <v>Turun</v>
      </c>
    </row>
    <row r="1058" spans="1:8" x14ac:dyDescent="0.2">
      <c r="A1058" s="1">
        <v>1057</v>
      </c>
      <c r="B1058" s="3">
        <v>45800</v>
      </c>
      <c r="C1058" s="4">
        <v>9611.462890625</v>
      </c>
      <c r="D1058" s="4">
        <v>9636.2987120477992</v>
      </c>
      <c r="E1058" s="4">
        <v>9561.7912477793907</v>
      </c>
      <c r="F1058" s="4">
        <v>9611.462890625</v>
      </c>
      <c r="G1058" s="1">
        <v>48521800</v>
      </c>
      <c r="H1058" s="2" t="str">
        <f t="shared" si="16"/>
        <v>Naik</v>
      </c>
    </row>
    <row r="1059" spans="1:8" x14ac:dyDescent="0.2">
      <c r="A1059" s="1">
        <v>1058</v>
      </c>
      <c r="B1059" s="3">
        <v>45803</v>
      </c>
      <c r="C1059" s="4">
        <v>9536.9551948051994</v>
      </c>
      <c r="D1059" s="4">
        <v>9586.6268364448097</v>
      </c>
      <c r="E1059" s="4">
        <v>9437.6119115259808</v>
      </c>
      <c r="F1059" s="4">
        <v>9561.791015625</v>
      </c>
      <c r="G1059" s="1">
        <v>56625300</v>
      </c>
      <c r="H1059" s="2" t="str">
        <f t="shared" si="16"/>
        <v>Turun</v>
      </c>
    </row>
    <row r="1060" spans="1:8" x14ac:dyDescent="0.2">
      <c r="A1060" s="1">
        <v>1059</v>
      </c>
      <c r="B1060" s="3">
        <v>45804</v>
      </c>
      <c r="C1060" s="4">
        <v>9487.2837146577403</v>
      </c>
      <c r="D1060" s="4">
        <v>9536.9553571428605</v>
      </c>
      <c r="E1060" s="4">
        <v>9387.9404296875</v>
      </c>
      <c r="F1060" s="4">
        <v>9387.9404296875</v>
      </c>
      <c r="G1060" s="1">
        <v>93212000</v>
      </c>
      <c r="H1060" s="2" t="str">
        <f t="shared" si="16"/>
        <v>Turun</v>
      </c>
    </row>
    <row r="1061" spans="1:8" x14ac:dyDescent="0.2">
      <c r="A1061" s="1">
        <v>1060</v>
      </c>
      <c r="B1061" s="3">
        <v>45805</v>
      </c>
      <c r="C1061" s="4">
        <v>9387.9401959358402</v>
      </c>
      <c r="D1061" s="4">
        <v>9487.2834784325096</v>
      </c>
      <c r="E1061" s="4">
        <v>9338.2685546875</v>
      </c>
      <c r="F1061" s="4">
        <v>9338.2685546875</v>
      </c>
      <c r="G1061" s="1">
        <v>236950800</v>
      </c>
      <c r="H1061" s="2" t="str">
        <f t="shared" si="16"/>
        <v>Turun</v>
      </c>
    </row>
    <row r="1062" spans="1:8" x14ac:dyDescent="0.2">
      <c r="A1062" s="1">
        <v>1061</v>
      </c>
      <c r="B1062" s="3">
        <v>45810</v>
      </c>
      <c r="C1062" s="4">
        <v>8965.7308228880502</v>
      </c>
      <c r="D1062" s="4">
        <v>9114.7457396119498</v>
      </c>
      <c r="E1062" s="4">
        <v>8965.7308228880502</v>
      </c>
      <c r="F1062" s="4">
        <v>9040.23828125</v>
      </c>
      <c r="G1062" s="1">
        <v>264428700</v>
      </c>
      <c r="H1062" s="2" t="str">
        <f t="shared" si="16"/>
        <v>Turun</v>
      </c>
    </row>
    <row r="1063" spans="1:8" x14ac:dyDescent="0.2">
      <c r="A1063" s="1">
        <v>1062</v>
      </c>
      <c r="B1063" s="3">
        <v>45811</v>
      </c>
      <c r="C1063" s="4">
        <v>8990.5673828125</v>
      </c>
      <c r="D1063" s="4">
        <v>9065.0748473109506</v>
      </c>
      <c r="E1063" s="4">
        <v>8891.2240968145707</v>
      </c>
      <c r="F1063" s="4">
        <v>8990.5673828125</v>
      </c>
      <c r="G1063" s="1">
        <v>128318100</v>
      </c>
      <c r="H1063" s="2" t="str">
        <f t="shared" si="16"/>
        <v>Turun</v>
      </c>
    </row>
    <row r="1064" spans="1:8" x14ac:dyDescent="0.2">
      <c r="A1064" s="1">
        <v>1063</v>
      </c>
      <c r="B1064" s="3">
        <v>45812</v>
      </c>
      <c r="C1064" s="4">
        <v>9040.2386729630907</v>
      </c>
      <c r="D1064" s="4">
        <v>9065.07449349321</v>
      </c>
      <c r="E1064" s="4">
        <v>8891.2237497823808</v>
      </c>
      <c r="F1064" s="4">
        <v>8916.0595703125</v>
      </c>
      <c r="G1064" s="1">
        <v>93357200</v>
      </c>
      <c r="H1064" s="2" t="str">
        <f t="shared" si="16"/>
        <v>Turun</v>
      </c>
    </row>
    <row r="1065" spans="1:8" x14ac:dyDescent="0.2">
      <c r="A1065" s="1">
        <v>1064</v>
      </c>
      <c r="B1065" s="3">
        <v>45813</v>
      </c>
      <c r="C1065" s="4">
        <v>8940.8951549369704</v>
      </c>
      <c r="D1065" s="4">
        <v>8990.5667946866306</v>
      </c>
      <c r="E1065" s="4">
        <v>8841.5518754376808</v>
      </c>
      <c r="F1065" s="4">
        <v>8866.3876953125</v>
      </c>
      <c r="G1065" s="1">
        <v>95529000</v>
      </c>
      <c r="H1065" s="2" t="str">
        <f t="shared" si="16"/>
        <v>Turun</v>
      </c>
    </row>
    <row r="1066" spans="1:8" x14ac:dyDescent="0.2">
      <c r="A1066" s="1">
        <v>1065</v>
      </c>
      <c r="B1066" s="3">
        <v>45818</v>
      </c>
      <c r="C1066" s="4">
        <v>8916.05918398008</v>
      </c>
      <c r="D1066" s="4">
        <v>9040.23828125</v>
      </c>
      <c r="E1066" s="4">
        <v>8891.2233645261003</v>
      </c>
      <c r="F1066" s="4">
        <v>9040.23828125</v>
      </c>
      <c r="G1066" s="1">
        <v>80406400</v>
      </c>
      <c r="H1066" s="2" t="str">
        <f t="shared" si="16"/>
        <v>Naik</v>
      </c>
    </row>
    <row r="1067" spans="1:8" x14ac:dyDescent="0.2">
      <c r="A1067" s="1">
        <v>1066</v>
      </c>
      <c r="B1067" s="3">
        <v>45819</v>
      </c>
      <c r="C1067" s="4">
        <v>9040.2390258114701</v>
      </c>
      <c r="D1067" s="4">
        <v>9065.0748473109506</v>
      </c>
      <c r="E1067" s="4">
        <v>8990.5673828125</v>
      </c>
      <c r="F1067" s="4">
        <v>8990.5673828125</v>
      </c>
      <c r="G1067" s="1">
        <v>56632600</v>
      </c>
      <c r="H1067" s="2" t="str">
        <f t="shared" si="16"/>
        <v>Turun</v>
      </c>
    </row>
    <row r="1068" spans="1:8" x14ac:dyDescent="0.2">
      <c r="A1068" s="1">
        <v>1067</v>
      </c>
      <c r="B1068" s="3">
        <v>45820</v>
      </c>
      <c r="C1068" s="4">
        <v>8940.8951198630202</v>
      </c>
      <c r="D1068" s="4">
        <v>9065.07421875</v>
      </c>
      <c r="E1068" s="4">
        <v>8940.8951198630202</v>
      </c>
      <c r="F1068" s="4">
        <v>9065.07421875</v>
      </c>
      <c r="G1068" s="1">
        <v>41337300</v>
      </c>
      <c r="H1068" s="2" t="str">
        <f t="shared" si="16"/>
        <v>Naik</v>
      </c>
    </row>
    <row r="1069" spans="1:8" x14ac:dyDescent="0.2">
      <c r="A1069" s="1">
        <v>1068</v>
      </c>
      <c r="B1069" s="3">
        <v>45821</v>
      </c>
      <c r="C1069" s="4">
        <v>9040.2389088469499</v>
      </c>
      <c r="D1069" s="4">
        <v>9065.0747300251005</v>
      </c>
      <c r="E1069" s="4">
        <v>8916.0598029562007</v>
      </c>
      <c r="F1069" s="4">
        <v>8965.7314453125</v>
      </c>
      <c r="G1069" s="1">
        <v>83318000</v>
      </c>
      <c r="H1069" s="2" t="str">
        <f t="shared" si="16"/>
        <v>Turun</v>
      </c>
    </row>
    <row r="1070" spans="1:8" x14ac:dyDescent="0.2">
      <c r="A1070" s="1">
        <v>1069</v>
      </c>
      <c r="B1070" s="3">
        <v>45824</v>
      </c>
      <c r="C1070" s="4">
        <v>8866.3876953125</v>
      </c>
      <c r="D1070" s="4">
        <v>8940.8951549369704</v>
      </c>
      <c r="E1070" s="4">
        <v>8841.5518754376808</v>
      </c>
      <c r="F1070" s="4">
        <v>8866.3876953125</v>
      </c>
      <c r="G1070" s="1">
        <v>57825000</v>
      </c>
      <c r="H1070" s="2" t="str">
        <f t="shared" si="16"/>
        <v>Turun</v>
      </c>
    </row>
    <row r="1071" spans="1:8" x14ac:dyDescent="0.2">
      <c r="A1071" s="1">
        <v>1070</v>
      </c>
      <c r="B1071" s="3">
        <v>45825</v>
      </c>
      <c r="C1071" s="4">
        <v>8916.0600330363304</v>
      </c>
      <c r="D1071" s="4">
        <v>9040.2391421315406</v>
      </c>
      <c r="E1071" s="4">
        <v>8916.0600330363304</v>
      </c>
      <c r="F1071" s="4">
        <v>9015.4033203125</v>
      </c>
      <c r="G1071" s="1">
        <v>54927900</v>
      </c>
      <c r="H1071" s="2" t="str">
        <f t="shared" si="16"/>
        <v>Naik</v>
      </c>
    </row>
    <row r="1072" spans="1:8" x14ac:dyDescent="0.2">
      <c r="A1072" s="1">
        <v>1071</v>
      </c>
      <c r="B1072" s="3">
        <v>45826</v>
      </c>
      <c r="C1072" s="4">
        <v>8891.2233969013305</v>
      </c>
      <c r="D1072" s="4">
        <v>8965.7308555345899</v>
      </c>
      <c r="E1072" s="4">
        <v>8841.5517578125</v>
      </c>
      <c r="F1072" s="4">
        <v>8841.5517578125</v>
      </c>
      <c r="G1072" s="1">
        <v>86270200</v>
      </c>
      <c r="H1072" s="2" t="str">
        <f t="shared" si="16"/>
        <v>Turun</v>
      </c>
    </row>
    <row r="1073" spans="1:8" x14ac:dyDescent="0.2">
      <c r="A1073" s="1">
        <v>1072</v>
      </c>
      <c r="B1073" s="3">
        <v>45827</v>
      </c>
      <c r="C1073" s="4">
        <v>8841.5521501068397</v>
      </c>
      <c r="D1073" s="4">
        <v>8866.3879707532105</v>
      </c>
      <c r="E1073" s="4">
        <v>8692.5372262286292</v>
      </c>
      <c r="F1073" s="4">
        <v>8717.373046875</v>
      </c>
      <c r="G1073" s="1">
        <v>78879500</v>
      </c>
      <c r="H1073" s="2" t="str">
        <f t="shared" si="16"/>
        <v>Turun</v>
      </c>
    </row>
    <row r="1074" spans="1:8" x14ac:dyDescent="0.2">
      <c r="A1074" s="1">
        <v>1073</v>
      </c>
      <c r="B1074" s="3">
        <v>45828</v>
      </c>
      <c r="C1074" s="4">
        <v>8642.865234375</v>
      </c>
      <c r="D1074" s="4">
        <v>8816.7159718480598</v>
      </c>
      <c r="E1074" s="4">
        <v>8568.3577754579801</v>
      </c>
      <c r="F1074" s="4">
        <v>8642.865234375</v>
      </c>
      <c r="G1074" s="1">
        <v>445915100</v>
      </c>
      <c r="H1074" s="2" t="str">
        <f t="shared" si="16"/>
        <v>Turun</v>
      </c>
    </row>
    <row r="1075" spans="1:8" x14ac:dyDescent="0.2">
      <c r="A1075" s="1">
        <v>1074</v>
      </c>
      <c r="B1075" s="3">
        <v>45831</v>
      </c>
      <c r="C1075" s="4">
        <v>8518.6867555480094</v>
      </c>
      <c r="D1075" s="4">
        <v>8642.8658627717396</v>
      </c>
      <c r="E1075" s="4">
        <v>8444.1792912137698</v>
      </c>
      <c r="F1075" s="4">
        <v>8568.3583984375</v>
      </c>
      <c r="G1075" s="1">
        <v>87324500</v>
      </c>
      <c r="H1075" s="2" t="str">
        <f t="shared" si="16"/>
        <v>Turun</v>
      </c>
    </row>
    <row r="1076" spans="1:8" x14ac:dyDescent="0.2">
      <c r="A1076" s="1">
        <v>1075</v>
      </c>
      <c r="B1076" s="3">
        <v>45832</v>
      </c>
      <c r="C1076" s="4">
        <v>8667.7014055822692</v>
      </c>
      <c r="D1076" s="4">
        <v>8791.8805088140998</v>
      </c>
      <c r="E1076" s="4">
        <v>8642.8655849359002</v>
      </c>
      <c r="F1076" s="4">
        <v>8717.373046875</v>
      </c>
      <c r="G1076" s="1">
        <v>110158900</v>
      </c>
      <c r="H1076" s="2" t="str">
        <f t="shared" si="16"/>
        <v>Naik</v>
      </c>
    </row>
    <row r="1077" spans="1:8" x14ac:dyDescent="0.2">
      <c r="A1077" s="1">
        <v>1076</v>
      </c>
      <c r="B1077" s="3">
        <v>45833</v>
      </c>
      <c r="C1077" s="4">
        <v>8667.7015664743794</v>
      </c>
      <c r="D1077" s="4">
        <v>8717.3732086891396</v>
      </c>
      <c r="E1077" s="4">
        <v>8419.3433554006206</v>
      </c>
      <c r="F1077" s="4">
        <v>8543.5224609375</v>
      </c>
      <c r="G1077" s="1">
        <v>117561000</v>
      </c>
      <c r="H1077" s="2" t="str">
        <f t="shared" si="16"/>
        <v>Turun</v>
      </c>
    </row>
    <row r="1078" spans="1:8" x14ac:dyDescent="0.2">
      <c r="A1078" s="1">
        <v>1077</v>
      </c>
      <c r="B1078" s="3">
        <v>45834</v>
      </c>
      <c r="C1078" s="4">
        <v>8469.0152270366707</v>
      </c>
      <c r="D1078" s="4">
        <v>8593.1943359375</v>
      </c>
      <c r="E1078" s="4">
        <v>8469.0152270366707</v>
      </c>
      <c r="F1078" s="4">
        <v>8593.1943359375</v>
      </c>
      <c r="G1078" s="1">
        <v>117281700</v>
      </c>
      <c r="H1078" s="2" t="str">
        <f t="shared" si="16"/>
        <v>Naik</v>
      </c>
    </row>
    <row r="1079" spans="1:8" x14ac:dyDescent="0.2">
      <c r="A1079" s="1">
        <v>1078</v>
      </c>
      <c r="B1079" s="3">
        <v>45838</v>
      </c>
      <c r="C1079" s="4">
        <v>8518.6860196775906</v>
      </c>
      <c r="D1079" s="4">
        <v>8767.0442126711096</v>
      </c>
      <c r="E1079" s="4">
        <v>8493.8502003782396</v>
      </c>
      <c r="F1079" s="4">
        <v>8618.029296875</v>
      </c>
      <c r="G1079" s="1">
        <v>185441800</v>
      </c>
      <c r="H1079" s="2" t="str">
        <f t="shared" si="16"/>
        <v>Naik</v>
      </c>
    </row>
    <row r="1080" spans="1:8" x14ac:dyDescent="0.2">
      <c r="A1080" s="1">
        <v>1079</v>
      </c>
      <c r="B1080" s="3">
        <v>45839</v>
      </c>
      <c r="C1080" s="4">
        <v>8692.5368736530199</v>
      </c>
      <c r="D1080" s="4">
        <v>8717.3726932920308</v>
      </c>
      <c r="E1080" s="4">
        <v>8543.5219558189692</v>
      </c>
      <c r="F1080" s="4">
        <v>8642.865234375</v>
      </c>
      <c r="G1080" s="1">
        <v>82364500</v>
      </c>
      <c r="H1080" s="2" t="str">
        <f t="shared" si="16"/>
        <v>Naik</v>
      </c>
    </row>
    <row r="1081" spans="1:8" x14ac:dyDescent="0.2">
      <c r="A1081" s="1">
        <v>1080</v>
      </c>
      <c r="B1081" s="3">
        <v>45840</v>
      </c>
      <c r="C1081" s="4">
        <v>8518.6860196775906</v>
      </c>
      <c r="D1081" s="4">
        <v>8618.029296875</v>
      </c>
      <c r="E1081" s="4">
        <v>8518.6860196775906</v>
      </c>
      <c r="F1081" s="4">
        <v>8618.029296875</v>
      </c>
      <c r="G1081" s="1">
        <v>68545100</v>
      </c>
      <c r="H1081" s="2" t="str">
        <f t="shared" si="16"/>
        <v>Turun</v>
      </c>
    </row>
    <row r="1082" spans="1:8" x14ac:dyDescent="0.2">
      <c r="A1082" s="1">
        <v>1081</v>
      </c>
      <c r="B1082" s="3">
        <v>45841</v>
      </c>
      <c r="C1082" s="4">
        <v>8642.8657453670094</v>
      </c>
      <c r="D1082" s="4">
        <v>8692.5373875817604</v>
      </c>
      <c r="E1082" s="4">
        <v>8543.5224609375</v>
      </c>
      <c r="F1082" s="4">
        <v>8543.5224609375</v>
      </c>
      <c r="G1082" s="1">
        <v>50370800</v>
      </c>
      <c r="H1082" s="2" t="str">
        <f t="shared" si="16"/>
        <v>Turun</v>
      </c>
    </row>
    <row r="1083" spans="1:8" x14ac:dyDescent="0.2">
      <c r="A1083" s="1">
        <v>1082</v>
      </c>
      <c r="B1083" s="3">
        <v>45842</v>
      </c>
      <c r="C1083" s="4">
        <v>8593.1943359375</v>
      </c>
      <c r="D1083" s="4">
        <v>8642.8659794978303</v>
      </c>
      <c r="E1083" s="4">
        <v>8493.8510488168395</v>
      </c>
      <c r="F1083" s="4">
        <v>8593.1943359375</v>
      </c>
      <c r="G1083" s="1">
        <v>43593300</v>
      </c>
      <c r="H1083" s="2" t="str">
        <f t="shared" si="16"/>
        <v>Naik</v>
      </c>
    </row>
    <row r="1084" spans="1:8" x14ac:dyDescent="0.2">
      <c r="A1084" s="1">
        <v>1083</v>
      </c>
      <c r="B1084" s="3">
        <v>45845</v>
      </c>
      <c r="C1084" s="4">
        <v>8568.3583984375</v>
      </c>
      <c r="D1084" s="4">
        <v>8593.1942198822508</v>
      </c>
      <c r="E1084" s="4">
        <v>8493.8509341032604</v>
      </c>
      <c r="F1084" s="4">
        <v>8568.3583984375</v>
      </c>
      <c r="G1084" s="1">
        <v>49936900</v>
      </c>
      <c r="H1084" s="2" t="str">
        <f t="shared" si="16"/>
        <v>Turun</v>
      </c>
    </row>
    <row r="1085" spans="1:8" x14ac:dyDescent="0.2">
      <c r="A1085" s="1">
        <v>1084</v>
      </c>
      <c r="B1085" s="3">
        <v>45846</v>
      </c>
      <c r="C1085" s="4">
        <v>8493.8503504136006</v>
      </c>
      <c r="D1085" s="4">
        <v>8543.5219898897103</v>
      </c>
      <c r="E1085" s="4">
        <v>8369.67125172335</v>
      </c>
      <c r="F1085" s="4">
        <v>8444.1787109375</v>
      </c>
      <c r="G1085" s="1">
        <v>215611000</v>
      </c>
      <c r="H1085" s="2" t="str">
        <f t="shared" si="16"/>
        <v>Turun</v>
      </c>
    </row>
    <row r="1086" spans="1:8" x14ac:dyDescent="0.2">
      <c r="A1086" s="1">
        <v>1085</v>
      </c>
      <c r="B1086" s="3">
        <v>45847</v>
      </c>
      <c r="C1086" s="4">
        <v>8444.1787109375</v>
      </c>
      <c r="D1086" s="4">
        <v>8493.8503504136006</v>
      </c>
      <c r="E1086" s="4">
        <v>8394.5070714613994</v>
      </c>
      <c r="F1086" s="4">
        <v>8444.1787109375</v>
      </c>
      <c r="G1086" s="1">
        <v>94459300</v>
      </c>
      <c r="H1086" s="2" t="str">
        <f t="shared" si="16"/>
        <v>Stabil</v>
      </c>
    </row>
    <row r="1087" spans="1:8" x14ac:dyDescent="0.2">
      <c r="A1087" s="1">
        <v>1086</v>
      </c>
      <c r="B1087" s="3">
        <v>45848</v>
      </c>
      <c r="C1087" s="4">
        <v>8469.0149976153698</v>
      </c>
      <c r="D1087" s="4">
        <v>8593.1941031522492</v>
      </c>
      <c r="E1087" s="4">
        <v>8444.1791765079906</v>
      </c>
      <c r="F1087" s="4">
        <v>8543.5224609375</v>
      </c>
      <c r="G1087" s="1">
        <v>111769400</v>
      </c>
      <c r="H1087" s="2" t="str">
        <f t="shared" si="16"/>
        <v>Naik</v>
      </c>
    </row>
    <row r="1088" spans="1:8" x14ac:dyDescent="0.2">
      <c r="A1088" s="1">
        <v>1087</v>
      </c>
      <c r="B1088" s="3">
        <v>45849</v>
      </c>
      <c r="C1088" s="4">
        <v>8518.6867555480094</v>
      </c>
      <c r="D1088" s="4">
        <v>8618.0300413269906</v>
      </c>
      <c r="E1088" s="4">
        <v>8518.6867555480094</v>
      </c>
      <c r="F1088" s="4">
        <v>8568.3583984375</v>
      </c>
      <c r="G1088" s="1">
        <v>135986500</v>
      </c>
      <c r="H1088" s="2" t="str">
        <f t="shared" si="16"/>
        <v>Naik</v>
      </c>
    </row>
    <row r="1089" spans="1:8" x14ac:dyDescent="0.2">
      <c r="A1089" s="1">
        <v>1088</v>
      </c>
      <c r="B1089" s="3">
        <v>45852</v>
      </c>
      <c r="C1089" s="4">
        <v>8593.19374885447</v>
      </c>
      <c r="D1089" s="4">
        <v>8618.0295689378709</v>
      </c>
      <c r="E1089" s="4">
        <v>8394.5071881873191</v>
      </c>
      <c r="F1089" s="4">
        <v>8469.0146484375</v>
      </c>
      <c r="G1089" s="1">
        <v>125196000</v>
      </c>
      <c r="H1089" s="2" t="str">
        <f t="shared" si="16"/>
        <v>Turun</v>
      </c>
    </row>
    <row r="1090" spans="1:8" x14ac:dyDescent="0.2">
      <c r="A1090" s="1">
        <v>1089</v>
      </c>
      <c r="B1090" s="3">
        <v>45853</v>
      </c>
      <c r="C1090" s="4">
        <v>8543.5222267909394</v>
      </c>
      <c r="D1090" s="4">
        <v>8543.5222267909394</v>
      </c>
      <c r="E1090" s="4">
        <v>8419.3431246573491</v>
      </c>
      <c r="F1090" s="4">
        <v>8493.8505859375</v>
      </c>
      <c r="G1090" s="1">
        <v>77219300</v>
      </c>
      <c r="H1090" s="2" t="str">
        <f t="shared" si="16"/>
        <v>Naik</v>
      </c>
    </row>
    <row r="1091" spans="1:8" x14ac:dyDescent="0.2">
      <c r="A1091" s="1">
        <v>1090</v>
      </c>
      <c r="B1091" s="3">
        <v>45854</v>
      </c>
      <c r="C1091" s="4">
        <v>8493.85046852089</v>
      </c>
      <c r="D1091" s="4">
        <v>8543.5221086876809</v>
      </c>
      <c r="E1091" s="4">
        <v>8444.17882835411</v>
      </c>
      <c r="F1091" s="4">
        <v>8469.0146484375</v>
      </c>
      <c r="G1091" s="1">
        <v>97475300</v>
      </c>
      <c r="H1091" s="2" t="str">
        <f t="shared" si="16"/>
        <v>Turun</v>
      </c>
    </row>
    <row r="1092" spans="1:8" x14ac:dyDescent="0.2">
      <c r="A1092" s="1">
        <v>1091</v>
      </c>
      <c r="B1092" s="3">
        <v>45855</v>
      </c>
      <c r="C1092" s="4">
        <v>8444.17882835411</v>
      </c>
      <c r="D1092" s="4">
        <v>8493.85046852089</v>
      </c>
      <c r="E1092" s="4">
        <v>8444.17882835411</v>
      </c>
      <c r="F1092" s="4">
        <v>8469.0146484375</v>
      </c>
      <c r="G1092" s="1">
        <v>86016400</v>
      </c>
      <c r="H1092" s="2" t="str">
        <f t="shared" ref="H1092:H1155" si="17">IF(F1092&gt;F1091,"Naik",IF(F1092&lt;F1091,"Turun","Stabil"))</f>
        <v>Stabil</v>
      </c>
    </row>
    <row r="1093" spans="1:8" x14ac:dyDescent="0.2">
      <c r="A1093" s="1">
        <v>1092</v>
      </c>
      <c r="B1093" s="3">
        <v>45856</v>
      </c>
      <c r="C1093" s="4">
        <v>8493.8509829376908</v>
      </c>
      <c r="D1093" s="4">
        <v>8518.6868045252195</v>
      </c>
      <c r="E1093" s="4">
        <v>8369.671875</v>
      </c>
      <c r="F1093" s="4">
        <v>8369.671875</v>
      </c>
      <c r="G1093" s="1">
        <v>80432200</v>
      </c>
      <c r="H1093" s="2" t="str">
        <f t="shared" si="17"/>
        <v>Turun</v>
      </c>
    </row>
    <row r="1094" spans="1:8" x14ac:dyDescent="0.2">
      <c r="A1094" s="1">
        <v>1093</v>
      </c>
      <c r="B1094" s="3">
        <v>45859</v>
      </c>
      <c r="C1094" s="4">
        <v>8394.5078125</v>
      </c>
      <c r="D1094" s="4">
        <v>8444.1794563609492</v>
      </c>
      <c r="E1094" s="4">
        <v>8320.0003467085808</v>
      </c>
      <c r="F1094" s="4">
        <v>8394.5078125</v>
      </c>
      <c r="G1094" s="1">
        <v>95383500</v>
      </c>
      <c r="H1094" s="2" t="str">
        <f t="shared" si="17"/>
        <v>Naik</v>
      </c>
    </row>
    <row r="1095" spans="1:8" x14ac:dyDescent="0.2">
      <c r="A1095" s="1">
        <v>1094</v>
      </c>
      <c r="B1095" s="3">
        <v>45860</v>
      </c>
      <c r="C1095" s="4">
        <v>8394.5075799851202</v>
      </c>
      <c r="D1095" s="4">
        <v>8419.3434012276794</v>
      </c>
      <c r="E1095" s="4">
        <v>8344.8359375</v>
      </c>
      <c r="F1095" s="4">
        <v>8344.8359375</v>
      </c>
      <c r="G1095" s="1">
        <v>77981700</v>
      </c>
      <c r="H1095" s="2" t="str">
        <f t="shared" si="17"/>
        <v>Turun</v>
      </c>
    </row>
    <row r="1096" spans="1:8" x14ac:dyDescent="0.2">
      <c r="A1096" s="1">
        <v>1095</v>
      </c>
      <c r="B1096" s="3">
        <v>45861</v>
      </c>
      <c r="C1096" s="4">
        <v>8394.5076965875396</v>
      </c>
      <c r="D1096" s="4">
        <v>8444.1793397626097</v>
      </c>
      <c r="E1096" s="4">
        <v>8344.8360534124604</v>
      </c>
      <c r="F1096" s="4">
        <v>8369.671875</v>
      </c>
      <c r="G1096" s="1">
        <v>70969500</v>
      </c>
      <c r="H1096" s="2" t="str">
        <f t="shared" si="17"/>
        <v>Naik</v>
      </c>
    </row>
    <row r="1097" spans="1:8" x14ac:dyDescent="0.2">
      <c r="A1097" s="1">
        <v>1096</v>
      </c>
      <c r="B1097" s="3">
        <v>45862</v>
      </c>
      <c r="C1097" s="4">
        <v>8419.3428911994506</v>
      </c>
      <c r="D1097" s="4">
        <v>8493.8503504136006</v>
      </c>
      <c r="E1097" s="4">
        <v>8394.5070714613994</v>
      </c>
      <c r="F1097" s="4">
        <v>8444.1787109375</v>
      </c>
      <c r="G1097" s="1">
        <v>138256800</v>
      </c>
      <c r="H1097" s="2" t="str">
        <f t="shared" si="17"/>
        <v>Naik</v>
      </c>
    </row>
    <row r="1098" spans="1:8" x14ac:dyDescent="0.2">
      <c r="A1098" s="1">
        <v>1097</v>
      </c>
      <c r="B1098" s="3">
        <v>45863</v>
      </c>
      <c r="C1098" s="4">
        <v>8444.1794563609492</v>
      </c>
      <c r="D1098" s="4">
        <v>8469.0152782914192</v>
      </c>
      <c r="E1098" s="4">
        <v>8394.5078125</v>
      </c>
      <c r="F1098" s="4">
        <v>8394.5078125</v>
      </c>
      <c r="G1098" s="1">
        <v>58682800</v>
      </c>
      <c r="H1098" s="2" t="str">
        <f t="shared" si="17"/>
        <v>Turun</v>
      </c>
    </row>
    <row r="1099" spans="1:8" x14ac:dyDescent="0.2">
      <c r="A1099" s="1">
        <v>1098</v>
      </c>
      <c r="B1099" s="3">
        <v>45866</v>
      </c>
      <c r="C1099" s="4">
        <v>8568.3578096277597</v>
      </c>
      <c r="D1099" s="4">
        <v>8568.3578096277597</v>
      </c>
      <c r="E1099" s="4">
        <v>8419.3428911994506</v>
      </c>
      <c r="F1099" s="4">
        <v>8444.1787109375</v>
      </c>
      <c r="G1099" s="1">
        <v>99484300</v>
      </c>
      <c r="H1099" s="2" t="str">
        <f t="shared" si="17"/>
        <v>Naik</v>
      </c>
    </row>
    <row r="1100" spans="1:8" x14ac:dyDescent="0.2">
      <c r="A1100" s="1">
        <v>1099</v>
      </c>
      <c r="B1100" s="3">
        <v>45867</v>
      </c>
      <c r="C1100" s="4">
        <v>8444.1792224702403</v>
      </c>
      <c r="D1100" s="4">
        <v>8444.1792224702403</v>
      </c>
      <c r="E1100" s="4">
        <v>8320.0001162574408</v>
      </c>
      <c r="F1100" s="4">
        <v>8344.8359375</v>
      </c>
      <c r="G1100" s="1">
        <v>104240300</v>
      </c>
      <c r="H1100" s="2" t="str">
        <f t="shared" si="17"/>
        <v>Turun</v>
      </c>
    </row>
    <row r="1101" spans="1:8" x14ac:dyDescent="0.2">
      <c r="A1101" s="1">
        <v>1100</v>
      </c>
      <c r="B1101" s="3">
        <v>45868</v>
      </c>
      <c r="C1101" s="4">
        <v>8419.3432835820895</v>
      </c>
      <c r="D1101" s="4">
        <v>8419.3432835820895</v>
      </c>
      <c r="E1101" s="4">
        <v>8270.3283582089607</v>
      </c>
      <c r="F1101" s="4">
        <v>8320</v>
      </c>
      <c r="G1101" s="1">
        <v>98098100</v>
      </c>
      <c r="H1101" s="2" t="str">
        <f t="shared" si="17"/>
        <v>Turun</v>
      </c>
    </row>
    <row r="1102" spans="1:8" x14ac:dyDescent="0.2">
      <c r="A1102" s="1">
        <v>1101</v>
      </c>
      <c r="B1102" s="3">
        <v>45869</v>
      </c>
      <c r="C1102" s="4">
        <v>8295.1637084592203</v>
      </c>
      <c r="D1102" s="4">
        <v>8319.9995279456198</v>
      </c>
      <c r="E1102" s="4">
        <v>8195.8204305136005</v>
      </c>
      <c r="F1102" s="4">
        <v>8220.65625</v>
      </c>
      <c r="G1102" s="1">
        <v>206006300</v>
      </c>
      <c r="H1102" s="2" t="str">
        <f t="shared" si="17"/>
        <v>Turun</v>
      </c>
    </row>
    <row r="1103" spans="1:8" x14ac:dyDescent="0.2">
      <c r="A1103" s="1">
        <v>1102</v>
      </c>
      <c r="B1103" s="3">
        <v>45870</v>
      </c>
      <c r="C1103" s="4">
        <v>8344.8354668674692</v>
      </c>
      <c r="D1103" s="4">
        <v>8369.6712867093393</v>
      </c>
      <c r="E1103" s="4">
        <v>8245.4921875</v>
      </c>
      <c r="F1103" s="4">
        <v>8245.4921875</v>
      </c>
      <c r="G1103" s="1">
        <v>86196100</v>
      </c>
      <c r="H1103" s="2" t="str">
        <f t="shared" si="17"/>
        <v>Naik</v>
      </c>
    </row>
    <row r="1104" spans="1:8" x14ac:dyDescent="0.2">
      <c r="A1104" s="1">
        <v>1103</v>
      </c>
      <c r="B1104" s="3">
        <v>45873</v>
      </c>
      <c r="C1104" s="4">
        <v>8270.3278889728099</v>
      </c>
      <c r="D1104" s="4">
        <v>8295.1637084592203</v>
      </c>
      <c r="E1104" s="4">
        <v>8220.65625</v>
      </c>
      <c r="F1104" s="4">
        <v>8220.65625</v>
      </c>
      <c r="G1104" s="1">
        <v>49054500</v>
      </c>
      <c r="H1104" s="2" t="str">
        <f t="shared" si="17"/>
        <v>Turun</v>
      </c>
    </row>
    <row r="1105" spans="1:8" x14ac:dyDescent="0.2">
      <c r="A1105" s="1">
        <v>1104</v>
      </c>
      <c r="B1105" s="3">
        <v>45874</v>
      </c>
      <c r="C1105" s="4">
        <v>8295.1644102373903</v>
      </c>
      <c r="D1105" s="4">
        <v>8394.5076965875396</v>
      </c>
      <c r="E1105" s="4">
        <v>8270.3285886498506</v>
      </c>
      <c r="F1105" s="4">
        <v>8369.671875</v>
      </c>
      <c r="G1105" s="1">
        <v>69475900</v>
      </c>
      <c r="H1105" s="2" t="str">
        <f t="shared" si="17"/>
        <v>Naik</v>
      </c>
    </row>
    <row r="1106" spans="1:8" x14ac:dyDescent="0.2">
      <c r="A1106" s="1">
        <v>1105</v>
      </c>
      <c r="B1106" s="3">
        <v>45875</v>
      </c>
      <c r="C1106" s="4">
        <v>8369.6712867093393</v>
      </c>
      <c r="D1106" s="4">
        <v>8369.6712867093393</v>
      </c>
      <c r="E1106" s="4">
        <v>8245.4921875</v>
      </c>
      <c r="F1106" s="4">
        <v>8245.4921875</v>
      </c>
      <c r="G1106" s="1">
        <v>56325400</v>
      </c>
      <c r="H1106" s="2" t="str">
        <f t="shared" si="17"/>
        <v>Turun</v>
      </c>
    </row>
    <row r="1107" spans="1:8" x14ac:dyDescent="0.2">
      <c r="A1107" s="1">
        <v>1106</v>
      </c>
      <c r="B1107" s="3">
        <v>45876</v>
      </c>
      <c r="C1107" s="4">
        <v>8270.32800734187</v>
      </c>
      <c r="D1107" s="4">
        <v>8295.1638271837401</v>
      </c>
      <c r="E1107" s="4">
        <v>8245.4921875</v>
      </c>
      <c r="F1107" s="4">
        <v>8245.4921875</v>
      </c>
      <c r="G1107" s="1">
        <v>43621300</v>
      </c>
      <c r="H1107" s="2" t="str">
        <f t="shared" si="17"/>
        <v>Stabil</v>
      </c>
    </row>
    <row r="1108" spans="1:8" x14ac:dyDescent="0.2">
      <c r="A1108" s="1">
        <v>1107</v>
      </c>
      <c r="B1108" s="3">
        <v>45877</v>
      </c>
      <c r="C1108" s="4">
        <v>8270.32800734187</v>
      </c>
      <c r="D1108" s="4">
        <v>8344.8354668674692</v>
      </c>
      <c r="E1108" s="4">
        <v>8245.4921875</v>
      </c>
      <c r="F1108" s="4">
        <v>8245.4921875</v>
      </c>
      <c r="G1108" s="1">
        <v>68378700</v>
      </c>
      <c r="H1108" s="2" t="str">
        <f t="shared" si="17"/>
        <v>Stabil</v>
      </c>
    </row>
    <row r="1109" spans="1:8" x14ac:dyDescent="0.2">
      <c r="A1109" s="1">
        <v>1108</v>
      </c>
      <c r="B1109" s="3">
        <v>45880</v>
      </c>
      <c r="C1109" s="4">
        <v>8444.1789450840606</v>
      </c>
      <c r="D1109" s="4">
        <v>8493.8505859375</v>
      </c>
      <c r="E1109" s="4">
        <v>8369.6714838039097</v>
      </c>
      <c r="F1109" s="4">
        <v>8493.8505859375</v>
      </c>
      <c r="G1109" s="1">
        <v>128561300</v>
      </c>
      <c r="H1109" s="2" t="str">
        <f t="shared" si="17"/>
        <v>Naik</v>
      </c>
    </row>
    <row r="1110" spans="1:8" x14ac:dyDescent="0.2">
      <c r="A1110" s="1">
        <v>1109</v>
      </c>
      <c r="B1110" s="3">
        <v>45881</v>
      </c>
      <c r="C1110" s="4">
        <v>8568.3584646451309</v>
      </c>
      <c r="D1110" s="4">
        <v>8816.7166810116505</v>
      </c>
      <c r="E1110" s="4">
        <v>8518.6868213718208</v>
      </c>
      <c r="F1110" s="4">
        <v>8791.880859375</v>
      </c>
      <c r="G1110" s="1">
        <v>171015700</v>
      </c>
      <c r="H1110" s="2" t="str">
        <f t="shared" si="17"/>
        <v>Naik</v>
      </c>
    </row>
    <row r="1111" spans="1:8" x14ac:dyDescent="0.2">
      <c r="A1111" s="1">
        <v>1110</v>
      </c>
      <c r="B1111" s="3">
        <v>45882</v>
      </c>
      <c r="C1111" s="4">
        <v>8916.0593350621493</v>
      </c>
      <c r="D1111" s="4">
        <v>8916.0593350621493</v>
      </c>
      <c r="E1111" s="4">
        <v>8667.7011363139009</v>
      </c>
      <c r="F1111" s="4">
        <v>8866.3876953125</v>
      </c>
      <c r="G1111" s="1">
        <v>129083900</v>
      </c>
      <c r="H1111" s="2" t="str">
        <f t="shared" si="17"/>
        <v>Naik</v>
      </c>
    </row>
    <row r="1112" spans="1:8" x14ac:dyDescent="0.2">
      <c r="A1112" s="1">
        <v>1111</v>
      </c>
      <c r="B1112" s="3">
        <v>45883</v>
      </c>
      <c r="C1112" s="4">
        <v>8866.3879707532105</v>
      </c>
      <c r="D1112" s="4">
        <v>8891.2237913995705</v>
      </c>
      <c r="E1112" s="4">
        <v>8692.5372262286292</v>
      </c>
      <c r="F1112" s="4">
        <v>8717.373046875</v>
      </c>
      <c r="G1112" s="1">
        <v>122930900</v>
      </c>
      <c r="H1112" s="2" t="str">
        <f t="shared" si="17"/>
        <v>Turun</v>
      </c>
    </row>
    <row r="1113" spans="1:8" x14ac:dyDescent="0.2">
      <c r="A1113" s="1">
        <v>1112</v>
      </c>
      <c r="B1113" s="3">
        <v>45884</v>
      </c>
      <c r="C1113" s="4">
        <v>8767.0443325700398</v>
      </c>
      <c r="D1113" s="4">
        <v>8791.8801522090507</v>
      </c>
      <c r="E1113" s="4">
        <v>8642.865234375</v>
      </c>
      <c r="F1113" s="4">
        <v>8642.865234375</v>
      </c>
      <c r="G1113" s="1">
        <v>68754200</v>
      </c>
      <c r="H1113" s="2" t="str">
        <f t="shared" si="17"/>
        <v>Turun</v>
      </c>
    </row>
    <row r="1114" spans="1:8" x14ac:dyDescent="0.2">
      <c r="A1114" s="1">
        <v>1113</v>
      </c>
      <c r="B1114" s="3">
        <v>45888</v>
      </c>
      <c r="C1114" s="4">
        <v>8543.5219898897103</v>
      </c>
      <c r="D1114" s="4">
        <v>8543.5219898897103</v>
      </c>
      <c r="E1114" s="4">
        <v>8394.5070714613994</v>
      </c>
      <c r="F1114" s="4">
        <v>8444.1787109375</v>
      </c>
      <c r="G1114" s="1">
        <v>128591700</v>
      </c>
      <c r="H1114" s="2" t="str">
        <f t="shared" si="17"/>
        <v>Turun</v>
      </c>
    </row>
    <row r="1115" spans="1:8" x14ac:dyDescent="0.2">
      <c r="A1115" s="1">
        <v>1114</v>
      </c>
      <c r="B1115" s="3">
        <v>45889</v>
      </c>
      <c r="C1115" s="4">
        <v>8319.9997279371291</v>
      </c>
      <c r="D1115" s="4">
        <v>8543.5221086876809</v>
      </c>
      <c r="E1115" s="4">
        <v>8295.1639078537391</v>
      </c>
      <c r="F1115" s="4">
        <v>8469.0146484375</v>
      </c>
      <c r="G1115" s="1">
        <v>202260200</v>
      </c>
      <c r="H1115" s="2" t="str">
        <f t="shared" si="17"/>
        <v>Naik</v>
      </c>
    </row>
    <row r="1116" spans="1:8" x14ac:dyDescent="0.2">
      <c r="A1116" s="1">
        <v>1115</v>
      </c>
      <c r="B1116" s="3">
        <v>45890</v>
      </c>
      <c r="C1116" s="4">
        <v>8493.8505859375</v>
      </c>
      <c r="D1116" s="4">
        <v>8518.6864063642206</v>
      </c>
      <c r="E1116" s="4">
        <v>8444.1789450840606</v>
      </c>
      <c r="F1116" s="4">
        <v>8493.8505859375</v>
      </c>
      <c r="G1116" s="1">
        <v>69470200</v>
      </c>
      <c r="H1116" s="2" t="str">
        <f t="shared" si="17"/>
        <v>Naik</v>
      </c>
    </row>
    <row r="1117" spans="1:8" x14ac:dyDescent="0.2">
      <c r="A1117" s="1">
        <v>1116</v>
      </c>
      <c r="B1117" s="3">
        <v>45891</v>
      </c>
      <c r="C1117" s="4">
        <v>8518.6869221523702</v>
      </c>
      <c r="D1117" s="4">
        <v>8518.6869221523702</v>
      </c>
      <c r="E1117" s="4">
        <v>8394.5078125</v>
      </c>
      <c r="F1117" s="4">
        <v>8394.5078125</v>
      </c>
      <c r="G1117" s="1">
        <v>66394100</v>
      </c>
      <c r="H1117" s="2" t="str">
        <f t="shared" si="17"/>
        <v>Turun</v>
      </c>
    </row>
    <row r="1118" spans="1:8" x14ac:dyDescent="0.2">
      <c r="A1118" s="1">
        <v>1117</v>
      </c>
      <c r="B1118" s="3">
        <v>45894</v>
      </c>
      <c r="C1118" s="4">
        <v>8469.0144122188394</v>
      </c>
      <c r="D1118" s="4">
        <v>8493.8502316095091</v>
      </c>
      <c r="E1118" s="4">
        <v>8419.3427734375</v>
      </c>
      <c r="F1118" s="4">
        <v>8419.3427734375</v>
      </c>
      <c r="G1118" s="1">
        <v>64052700</v>
      </c>
      <c r="H1118" s="2" t="str">
        <f t="shared" si="17"/>
        <v>Naik</v>
      </c>
    </row>
    <row r="1119" spans="1:8" x14ac:dyDescent="0.2">
      <c r="A1119" s="1">
        <v>1118</v>
      </c>
      <c r="B1119" s="3">
        <v>45895</v>
      </c>
      <c r="C1119" s="4">
        <v>8394.5068655303003</v>
      </c>
      <c r="D1119" s="4">
        <v>8419.3426846590901</v>
      </c>
      <c r="E1119" s="4">
        <v>8195.8203125</v>
      </c>
      <c r="F1119" s="4">
        <v>8195.8203125</v>
      </c>
      <c r="G1119" s="1">
        <v>326794200</v>
      </c>
      <c r="H1119" s="2" t="str">
        <f t="shared" si="17"/>
        <v>Turun</v>
      </c>
    </row>
    <row r="1120" spans="1:8" x14ac:dyDescent="0.2">
      <c r="A1120" s="1">
        <v>1119</v>
      </c>
      <c r="B1120" s="3">
        <v>45896</v>
      </c>
      <c r="C1120" s="4">
        <v>8195.8205478162708</v>
      </c>
      <c r="D1120" s="4">
        <v>8295.1638271837401</v>
      </c>
      <c r="E1120" s="4">
        <v>8146.1489081325299</v>
      </c>
      <c r="F1120" s="4">
        <v>8245.4921875</v>
      </c>
      <c r="G1120" s="1">
        <v>111915700</v>
      </c>
      <c r="H1120" s="2" t="str">
        <f t="shared" si="17"/>
        <v>Naik</v>
      </c>
    </row>
    <row r="1121" spans="1:8" x14ac:dyDescent="0.2">
      <c r="A1121" s="1">
        <v>1120</v>
      </c>
      <c r="B1121" s="3">
        <v>45897</v>
      </c>
      <c r="C1121" s="4">
        <v>8295.1639451951996</v>
      </c>
      <c r="D1121" s="4">
        <v>8319.9997653903902</v>
      </c>
      <c r="E1121" s="4">
        <v>8220.6564846096098</v>
      </c>
      <c r="F1121" s="4">
        <v>8270.328125</v>
      </c>
      <c r="G1121" s="1">
        <v>81281400</v>
      </c>
      <c r="H1121" s="2" t="str">
        <f t="shared" si="17"/>
        <v>Naik</v>
      </c>
    </row>
    <row r="1122" spans="1:8" x14ac:dyDescent="0.2">
      <c r="A1122" s="1">
        <v>1121</v>
      </c>
      <c r="B1122" s="3">
        <v>45898</v>
      </c>
      <c r="C1122" s="4">
        <v>8195.8209625338604</v>
      </c>
      <c r="D1122" s="4">
        <v>8220.6567836324502</v>
      </c>
      <c r="E1122" s="4">
        <v>8021.97021484375</v>
      </c>
      <c r="F1122" s="4">
        <v>8021.97021484375</v>
      </c>
      <c r="G1122" s="1">
        <v>236499300</v>
      </c>
      <c r="H1122" s="2" t="str">
        <f t="shared" si="17"/>
        <v>Turun</v>
      </c>
    </row>
    <row r="1123" spans="1:8" x14ac:dyDescent="0.2">
      <c r="A1123" s="1">
        <v>1122</v>
      </c>
      <c r="B1123" s="3">
        <v>45901</v>
      </c>
      <c r="C1123" s="4">
        <v>7599.7609222412102</v>
      </c>
      <c r="D1123" s="4">
        <v>7997.1340423583997</v>
      </c>
      <c r="E1123" s="4">
        <v>7550.0892822265596</v>
      </c>
      <c r="F1123" s="4">
        <v>7947.46240234375</v>
      </c>
      <c r="G1123" s="1">
        <v>421127500</v>
      </c>
      <c r="H1123" s="2" t="str">
        <f t="shared" si="17"/>
        <v>Turun</v>
      </c>
    </row>
    <row r="1124" spans="1:8" x14ac:dyDescent="0.2">
      <c r="A1124" s="1">
        <v>1123</v>
      </c>
      <c r="B1124" s="3">
        <v>45902</v>
      </c>
      <c r="C1124" s="4">
        <v>7947.46240234375</v>
      </c>
      <c r="D1124" s="4">
        <v>8121.3131423950199</v>
      </c>
      <c r="E1124" s="4">
        <v>7947.46240234375</v>
      </c>
      <c r="F1124" s="4">
        <v>7947.46240234375</v>
      </c>
      <c r="G1124" s="1">
        <v>155531500</v>
      </c>
      <c r="H1124" s="2" t="str">
        <f t="shared" si="17"/>
        <v>Stabil</v>
      </c>
    </row>
    <row r="1125" spans="1:8" x14ac:dyDescent="0.2">
      <c r="A1125" s="1">
        <v>1124</v>
      </c>
      <c r="B1125" s="3">
        <v>45903</v>
      </c>
      <c r="C1125" s="4">
        <v>7848.1194896159896</v>
      </c>
      <c r="D1125" s="4">
        <v>7947.4627742946705</v>
      </c>
      <c r="E1125" s="4">
        <v>7848.1194896159896</v>
      </c>
      <c r="F1125" s="4">
        <v>7922.626953125</v>
      </c>
      <c r="G1125" s="1">
        <v>212372700</v>
      </c>
      <c r="H1125" s="2" t="str">
        <f t="shared" si="17"/>
        <v>Turun</v>
      </c>
    </row>
    <row r="1126" spans="1:8" x14ac:dyDescent="0.2">
      <c r="A1126" s="1">
        <v>1125</v>
      </c>
      <c r="B1126" s="3">
        <v>45904</v>
      </c>
      <c r="C1126" s="4">
        <v>7922.6265823364301</v>
      </c>
      <c r="D1126" s="4">
        <v>7947.46240234375</v>
      </c>
      <c r="E1126" s="4">
        <v>7872.9549423217804</v>
      </c>
      <c r="F1126" s="4">
        <v>7947.46240234375</v>
      </c>
      <c r="G1126" s="1">
        <v>103534800</v>
      </c>
      <c r="H1126" s="2" t="str">
        <f t="shared" si="17"/>
        <v>Naik</v>
      </c>
    </row>
    <row r="1127" spans="1:8" x14ac:dyDescent="0.2">
      <c r="A1127" s="1">
        <v>1126</v>
      </c>
      <c r="B1127" s="3">
        <v>45908</v>
      </c>
      <c r="C1127" s="4">
        <v>7972.2982796012602</v>
      </c>
      <c r="D1127" s="4">
        <v>7972.2982796012602</v>
      </c>
      <c r="E1127" s="4">
        <v>7649.4326171875</v>
      </c>
      <c r="F1127" s="4">
        <v>7649.4326171875</v>
      </c>
      <c r="G1127" s="1">
        <v>321191900</v>
      </c>
      <c r="H1127" s="2" t="str">
        <f t="shared" si="17"/>
        <v>Turun</v>
      </c>
    </row>
    <row r="1128" spans="1:8" x14ac:dyDescent="0.2">
      <c r="A1128" s="1">
        <v>1127</v>
      </c>
      <c r="B1128" s="3">
        <v>45909</v>
      </c>
      <c r="C1128" s="4">
        <v>7574.9253140573101</v>
      </c>
      <c r="D1128" s="4">
        <v>7674.2685968646201</v>
      </c>
      <c r="E1128" s="4">
        <v>7425.91038984635</v>
      </c>
      <c r="F1128" s="4">
        <v>7475.58203125</v>
      </c>
      <c r="G1128" s="1">
        <v>595368700</v>
      </c>
      <c r="H1128" s="2" t="str">
        <f t="shared" si="17"/>
        <v>Turun</v>
      </c>
    </row>
    <row r="1129" spans="1:8" x14ac:dyDescent="0.2">
      <c r="A1129" s="1">
        <v>1128</v>
      </c>
      <c r="B1129" s="3">
        <v>45910</v>
      </c>
      <c r="C1129" s="4">
        <v>7500.4176776592603</v>
      </c>
      <c r="D1129" s="4">
        <v>7748.77587890625</v>
      </c>
      <c r="E1129" s="4">
        <v>7500.4176776592603</v>
      </c>
      <c r="F1129" s="4">
        <v>7748.77587890625</v>
      </c>
      <c r="G1129" s="1">
        <v>246849600</v>
      </c>
      <c r="H1129" s="2" t="str">
        <f t="shared" si="17"/>
        <v>Naik</v>
      </c>
    </row>
    <row r="1130" spans="1:8" x14ac:dyDescent="0.2">
      <c r="A1130" s="1">
        <v>1129</v>
      </c>
      <c r="B1130" s="3">
        <v>45911</v>
      </c>
      <c r="C1130" s="4">
        <v>7848.1193956508796</v>
      </c>
      <c r="D1130" s="4">
        <v>7922.6268582678103</v>
      </c>
      <c r="E1130" s="4">
        <v>7798.44775390625</v>
      </c>
      <c r="F1130" s="4">
        <v>7798.44775390625</v>
      </c>
      <c r="G1130" s="1">
        <v>235173400</v>
      </c>
      <c r="H1130" s="2" t="str">
        <f t="shared" si="17"/>
        <v>Naik</v>
      </c>
    </row>
    <row r="1131" spans="1:8" x14ac:dyDescent="0.2">
      <c r="A1131" s="1">
        <v>1130</v>
      </c>
      <c r="B1131" s="3">
        <v>45912</v>
      </c>
      <c r="C1131" s="4">
        <v>7922.6267189964501</v>
      </c>
      <c r="D1131" s="4">
        <v>7922.6267189964501</v>
      </c>
      <c r="E1131" s="4">
        <v>7798.4476168178198</v>
      </c>
      <c r="F1131" s="4">
        <v>7872.955078125</v>
      </c>
      <c r="G1131" s="1">
        <v>156084700</v>
      </c>
      <c r="H1131" s="2" t="str">
        <f t="shared" si="17"/>
        <v>Naik</v>
      </c>
    </row>
    <row r="1132" spans="1:8" x14ac:dyDescent="0.2">
      <c r="A1132" s="1">
        <v>1131</v>
      </c>
      <c r="B1132" s="3">
        <v>45915</v>
      </c>
      <c r="C1132" s="4">
        <v>7947.4625194704104</v>
      </c>
      <c r="D1132" s="4">
        <v>8046.8058009637898</v>
      </c>
      <c r="E1132" s="4">
        <v>7922.6266990970598</v>
      </c>
      <c r="F1132" s="4">
        <v>7972.29833984375</v>
      </c>
      <c r="G1132" s="1">
        <v>142567700</v>
      </c>
      <c r="H1132" s="2" t="str">
        <f t="shared" si="17"/>
        <v>Naik</v>
      </c>
    </row>
    <row r="1133" spans="1:8" x14ac:dyDescent="0.2">
      <c r="A1133" s="1">
        <v>1132</v>
      </c>
      <c r="B1133" s="3">
        <v>45916</v>
      </c>
      <c r="C1133" s="4">
        <v>7997.1341803036303</v>
      </c>
      <c r="D1133" s="4">
        <v>8021.9700007393503</v>
      </c>
      <c r="E1133" s="4">
        <v>7848.1192576892699</v>
      </c>
      <c r="F1133" s="4">
        <v>7872.955078125</v>
      </c>
      <c r="G1133" s="1">
        <v>129312900</v>
      </c>
      <c r="H1133" s="2" t="str">
        <f t="shared" si="17"/>
        <v>Turun</v>
      </c>
    </row>
    <row r="1134" spans="1:8" x14ac:dyDescent="0.2">
      <c r="A1134" s="1">
        <v>1133</v>
      </c>
      <c r="B1134" s="3">
        <v>45917</v>
      </c>
      <c r="C1134" s="4">
        <v>7798.44775390625</v>
      </c>
      <c r="D1134" s="4">
        <v>7848.1193956508796</v>
      </c>
      <c r="E1134" s="4">
        <v>7748.7761121616204</v>
      </c>
      <c r="F1134" s="4">
        <v>7798.44775390625</v>
      </c>
      <c r="G1134" s="1">
        <v>183725900</v>
      </c>
      <c r="H1134" s="2" t="str">
        <f t="shared" si="17"/>
        <v>Turun</v>
      </c>
    </row>
    <row r="1135" spans="1:8" x14ac:dyDescent="0.2">
      <c r="A1135" s="1">
        <v>1134</v>
      </c>
      <c r="B1135" s="3">
        <v>45918</v>
      </c>
      <c r="C1135" s="4">
        <v>7798.4475383015397</v>
      </c>
      <c r="D1135" s="4">
        <v>7848.1191786728896</v>
      </c>
      <c r="E1135" s="4">
        <v>7599.7609768161501</v>
      </c>
      <c r="F1135" s="4">
        <v>7649.4326171875</v>
      </c>
      <c r="G1135" s="1">
        <v>275378700</v>
      </c>
      <c r="H1135" s="2" t="str">
        <f t="shared" si="17"/>
        <v>Turun</v>
      </c>
    </row>
    <row r="1136" spans="1:8" x14ac:dyDescent="0.2">
      <c r="A1136" s="1">
        <v>1135</v>
      </c>
      <c r="B1136" s="3">
        <v>45919</v>
      </c>
      <c r="C1136" s="4">
        <v>7599.76095815805</v>
      </c>
      <c r="D1136" s="4">
        <v>7773.6116990309501</v>
      </c>
      <c r="E1136" s="4">
        <v>7599.76095815805</v>
      </c>
      <c r="F1136" s="4">
        <v>7748.77587890625</v>
      </c>
      <c r="G1136" s="1">
        <v>149025300</v>
      </c>
      <c r="H1136" s="2" t="str">
        <f t="shared" si="17"/>
        <v>Naik</v>
      </c>
    </row>
    <row r="1137" spans="1:8" x14ac:dyDescent="0.2">
      <c r="A1137" s="1">
        <v>1136</v>
      </c>
      <c r="B1137" s="3">
        <v>45922</v>
      </c>
      <c r="C1137" s="4">
        <v>7748.7760163835001</v>
      </c>
      <c r="D1137" s="4">
        <v>7773.6118369488304</v>
      </c>
      <c r="E1137" s="4">
        <v>7674.2685546875</v>
      </c>
      <c r="F1137" s="4">
        <v>7674.2685546875</v>
      </c>
      <c r="G1137" s="1">
        <v>92588800</v>
      </c>
      <c r="H1137" s="2" t="str">
        <f t="shared" si="17"/>
        <v>Turun</v>
      </c>
    </row>
    <row r="1138" spans="1:8" x14ac:dyDescent="0.2">
      <c r="A1138" s="1">
        <v>1137</v>
      </c>
      <c r="B1138" s="3">
        <v>45923</v>
      </c>
      <c r="C1138" s="4">
        <v>7699.1045851934496</v>
      </c>
      <c r="D1138" s="4">
        <v>7848.1195126488101</v>
      </c>
      <c r="E1138" s="4">
        <v>7699.1045851934496</v>
      </c>
      <c r="F1138" s="4">
        <v>7823.28369140625</v>
      </c>
      <c r="G1138" s="1">
        <v>102606200</v>
      </c>
      <c r="H1138" s="2" t="str">
        <f t="shared" si="17"/>
        <v>Naik</v>
      </c>
    </row>
    <row r="1139" spans="1:8" x14ac:dyDescent="0.2">
      <c r="A1139" s="1">
        <v>1138</v>
      </c>
      <c r="B1139" s="3">
        <v>45924</v>
      </c>
      <c r="C1139" s="4">
        <v>7897.7906796372599</v>
      </c>
      <c r="D1139" s="4">
        <v>7897.7906796372599</v>
      </c>
      <c r="E1139" s="4">
        <v>7674.2683019116803</v>
      </c>
      <c r="F1139" s="4">
        <v>7723.93994140625</v>
      </c>
      <c r="G1139" s="1">
        <v>150428400</v>
      </c>
      <c r="H1139" s="2" t="str">
        <f t="shared" si="17"/>
        <v>Turun</v>
      </c>
    </row>
    <row r="1140" spans="1:8" x14ac:dyDescent="0.2">
      <c r="A1140" s="1">
        <v>1139</v>
      </c>
      <c r="B1140" s="3">
        <v>45925</v>
      </c>
      <c r="C1140" s="4">
        <v>7674.2684373731699</v>
      </c>
      <c r="D1140" s="4">
        <v>7723.9400777445198</v>
      </c>
      <c r="E1140" s="4">
        <v>7649.4326171875</v>
      </c>
      <c r="F1140" s="4">
        <v>7649.4326171875</v>
      </c>
      <c r="G1140" s="1">
        <v>147986600</v>
      </c>
      <c r="H1140" s="2" t="str">
        <f t="shared" si="17"/>
        <v>Turun</v>
      </c>
    </row>
    <row r="1141" spans="1:8" x14ac:dyDescent="0.2">
      <c r="A1141" s="1">
        <v>1140</v>
      </c>
      <c r="B1141" s="3">
        <v>45926</v>
      </c>
      <c r="C1141" s="4">
        <v>7525.2536517033795</v>
      </c>
      <c r="D1141" s="4">
        <v>7649.4327548667998</v>
      </c>
      <c r="E1141" s="4">
        <v>7525.2536517033795</v>
      </c>
      <c r="F1141" s="4">
        <v>7574.92529296875</v>
      </c>
      <c r="G1141" s="1">
        <v>121657700</v>
      </c>
      <c r="H1141" s="2" t="str">
        <f t="shared" si="17"/>
        <v>Turun</v>
      </c>
    </row>
    <row r="1142" spans="1:8" x14ac:dyDescent="0.2">
      <c r="A1142" s="1">
        <v>1141</v>
      </c>
      <c r="B1142" s="3">
        <v>45929</v>
      </c>
      <c r="C1142" s="4">
        <v>7699.1041216589601</v>
      </c>
      <c r="D1142" s="4">
        <v>7748.7757611535399</v>
      </c>
      <c r="E1142" s="4">
        <v>7649.4324821643904</v>
      </c>
      <c r="F1142" s="4">
        <v>7723.93994140625</v>
      </c>
      <c r="G1142" s="1">
        <v>116454700</v>
      </c>
      <c r="H1142" s="2" t="str">
        <f t="shared" si="17"/>
        <v>Naik</v>
      </c>
    </row>
    <row r="1143" spans="1:8" x14ac:dyDescent="0.2">
      <c r="A1143" s="1">
        <v>1142</v>
      </c>
      <c r="B1143" s="3">
        <v>45930</v>
      </c>
      <c r="C1143" s="4">
        <v>7649.4327548667998</v>
      </c>
      <c r="D1143" s="4">
        <v>7723.9402167648605</v>
      </c>
      <c r="E1143" s="4">
        <v>7574.92529296875</v>
      </c>
      <c r="F1143" s="4">
        <v>7574.92529296875</v>
      </c>
      <c r="G1143" s="1">
        <v>170666700</v>
      </c>
      <c r="H1143" s="2" t="str">
        <f t="shared" si="17"/>
        <v>Turun</v>
      </c>
    </row>
    <row r="1144" spans="1:8" x14ac:dyDescent="0.2">
      <c r="A1144" s="1">
        <v>1143</v>
      </c>
      <c r="B1144" s="3">
        <v>45931</v>
      </c>
      <c r="C1144" s="4">
        <v>7550.0893749999996</v>
      </c>
      <c r="D1144" s="4">
        <v>7624.5968359375001</v>
      </c>
      <c r="E1144" s="4">
        <v>7450.74609375</v>
      </c>
      <c r="F1144" s="4">
        <v>7450.74609375</v>
      </c>
      <c r="G1144" s="1">
        <v>202433400</v>
      </c>
      <c r="H1144" s="2" t="str">
        <f t="shared" si="17"/>
        <v>Turun</v>
      </c>
    </row>
    <row r="1145" spans="1:8" x14ac:dyDescent="0.2">
      <c r="A1145" s="1">
        <v>1144</v>
      </c>
      <c r="B1145" s="3">
        <v>45932</v>
      </c>
      <c r="C1145" s="4">
        <v>7450.74609375</v>
      </c>
      <c r="D1145" s="4">
        <v>7550.0893749999996</v>
      </c>
      <c r="E1145" s="4">
        <v>7450.74609375</v>
      </c>
      <c r="F1145" s="4">
        <v>7450.74609375</v>
      </c>
      <c r="G1145" s="1">
        <v>126952400</v>
      </c>
      <c r="H1145" s="2" t="str">
        <f t="shared" si="17"/>
        <v>Stabil</v>
      </c>
    </row>
    <row r="1146" spans="1:8" x14ac:dyDescent="0.2">
      <c r="A1146" s="1">
        <v>1145</v>
      </c>
      <c r="B1146" s="3">
        <v>45933</v>
      </c>
      <c r="C1146" s="4">
        <v>7475.58203125</v>
      </c>
      <c r="D1146" s="4">
        <v>7500.41785195183</v>
      </c>
      <c r="E1146" s="4">
        <v>7450.74621054817</v>
      </c>
      <c r="F1146" s="4">
        <v>7475.58203125</v>
      </c>
      <c r="G1146" s="1">
        <v>76787500</v>
      </c>
      <c r="H1146" s="2" t="str">
        <f t="shared" si="17"/>
        <v>Naik</v>
      </c>
    </row>
    <row r="1147" spans="1:8" x14ac:dyDescent="0.2">
      <c r="A1147" s="1">
        <v>1146</v>
      </c>
      <c r="B1147" s="3">
        <v>45936</v>
      </c>
      <c r="C1147" s="4">
        <v>7450.74609375</v>
      </c>
      <c r="D1147" s="4">
        <v>7500.4177343749998</v>
      </c>
      <c r="E1147" s="4">
        <v>7401.0744531250002</v>
      </c>
      <c r="F1147" s="4">
        <v>7450.74609375</v>
      </c>
      <c r="G1147" s="1">
        <v>104032400</v>
      </c>
      <c r="H1147" s="2" t="str">
        <f t="shared" si="17"/>
        <v>Turun</v>
      </c>
    </row>
    <row r="1148" spans="1:8" x14ac:dyDescent="0.2">
      <c r="A1148" s="1">
        <v>1147</v>
      </c>
      <c r="B1148" s="3">
        <v>45937</v>
      </c>
      <c r="C1148" s="4">
        <v>7500.4175981074704</v>
      </c>
      <c r="D1148" s="4">
        <v>7550.0892378300296</v>
      </c>
      <c r="E1148" s="4">
        <v>7450.7459583849004</v>
      </c>
      <c r="F1148" s="4">
        <v>7525.25341796875</v>
      </c>
      <c r="G1148" s="1">
        <v>74282600</v>
      </c>
      <c r="H1148" s="2" t="str">
        <f t="shared" si="17"/>
        <v>Naik</v>
      </c>
    </row>
    <row r="1149" spans="1:8" x14ac:dyDescent="0.2">
      <c r="A1149" s="1">
        <v>1148</v>
      </c>
      <c r="B1149" s="3">
        <v>45938</v>
      </c>
      <c r="C1149" s="4">
        <v>7450.74599443856</v>
      </c>
      <c r="D1149" s="4">
        <v>7475.5818144200202</v>
      </c>
      <c r="E1149" s="4">
        <v>7326.56689453125</v>
      </c>
      <c r="F1149" s="4">
        <v>7326.56689453125</v>
      </c>
      <c r="G1149" s="1">
        <v>168080800</v>
      </c>
      <c r="H1149" s="2" t="str">
        <f t="shared" si="17"/>
        <v>Turun</v>
      </c>
    </row>
    <row r="1150" spans="1:8" x14ac:dyDescent="0.2">
      <c r="A1150" s="1">
        <v>1149</v>
      </c>
      <c r="B1150" s="3">
        <v>45939</v>
      </c>
      <c r="C1150" s="4">
        <v>7326.5672211299698</v>
      </c>
      <c r="D1150" s="4">
        <v>7649.4328952814603</v>
      </c>
      <c r="E1150" s="4">
        <v>7252.0597578642401</v>
      </c>
      <c r="F1150" s="4">
        <v>7500.41796875</v>
      </c>
      <c r="G1150" s="1">
        <v>293567400</v>
      </c>
      <c r="H1150" s="2" t="str">
        <f t="shared" si="17"/>
        <v>Naik</v>
      </c>
    </row>
    <row r="1151" spans="1:8" x14ac:dyDescent="0.2">
      <c r="A1151" s="1">
        <v>1150</v>
      </c>
      <c r="B1151" s="3">
        <v>45940</v>
      </c>
      <c r="C1151" s="4">
        <v>7401.0744727882202</v>
      </c>
      <c r="D1151" s="4">
        <v>7401.0744727882202</v>
      </c>
      <c r="E1151" s="4">
        <v>7301.7311912742798</v>
      </c>
      <c r="F1151" s="4">
        <v>7351.40283203125</v>
      </c>
      <c r="G1151" s="1">
        <v>107426000</v>
      </c>
      <c r="H1151" s="2" t="str">
        <f t="shared" si="17"/>
        <v>Turun</v>
      </c>
    </row>
    <row r="1152" spans="1:8" x14ac:dyDescent="0.2">
      <c r="A1152" s="1">
        <v>1151</v>
      </c>
      <c r="B1152" s="3">
        <v>45943</v>
      </c>
      <c r="C1152" s="4">
        <v>7252.0596869667197</v>
      </c>
      <c r="D1152" s="4">
        <v>7326.5671495040497</v>
      </c>
      <c r="E1152" s="4">
        <v>7252.0596869667197</v>
      </c>
      <c r="F1152" s="4">
        <v>7276.8955078125</v>
      </c>
      <c r="G1152" s="1">
        <v>101847900</v>
      </c>
      <c r="H1152" s="2" t="str">
        <f t="shared" si="17"/>
        <v>Turun</v>
      </c>
    </row>
    <row r="1153" spans="1:8" x14ac:dyDescent="0.2">
      <c r="A1153" s="1">
        <v>1152</v>
      </c>
      <c r="B1153" s="3">
        <v>45944</v>
      </c>
      <c r="C1153" s="4">
        <v>7227.2240049164902</v>
      </c>
      <c r="D1153" s="4">
        <v>7301.7314688847</v>
      </c>
      <c r="E1153" s="4">
        <v>7202.38818359375</v>
      </c>
      <c r="F1153" s="4">
        <v>7202.38818359375</v>
      </c>
      <c r="G1153" s="1">
        <v>151862300</v>
      </c>
      <c r="H1153" s="2" t="str">
        <f t="shared" si="17"/>
        <v>Turun</v>
      </c>
    </row>
    <row r="1154" spans="1:8" x14ac:dyDescent="0.2">
      <c r="A1154" s="1">
        <v>1153</v>
      </c>
      <c r="B1154" s="3">
        <v>45945</v>
      </c>
      <c r="C1154" s="4">
        <v>7202.38818359375</v>
      </c>
      <c r="D1154" s="4">
        <v>7301.7314688847</v>
      </c>
      <c r="E1154" s="4">
        <v>7177.5523622710098</v>
      </c>
      <c r="F1154" s="4">
        <v>7202.38818359375</v>
      </c>
      <c r="G1154" s="1">
        <v>133206400</v>
      </c>
      <c r="H1154" s="2" t="str">
        <f t="shared" si="17"/>
        <v>Stabil</v>
      </c>
    </row>
    <row r="1155" spans="1:8" x14ac:dyDescent="0.2">
      <c r="A1155" s="1">
        <v>1154</v>
      </c>
      <c r="B1155" s="3">
        <v>45946</v>
      </c>
      <c r="C1155" s="4">
        <v>7202.3879294199496</v>
      </c>
      <c r="D1155" s="4">
        <v>7276.8953907587802</v>
      </c>
      <c r="E1155" s="4">
        <v>7177.5521089736703</v>
      </c>
      <c r="F1155" s="4">
        <v>7252.0595703125</v>
      </c>
      <c r="G1155" s="1">
        <v>120611200</v>
      </c>
      <c r="H1155" s="2" t="str">
        <f t="shared" si="17"/>
        <v>Naik</v>
      </c>
    </row>
    <row r="1156" spans="1:8" x14ac:dyDescent="0.2">
      <c r="A1156" s="1">
        <v>1155</v>
      </c>
      <c r="B1156" s="3">
        <v>45947</v>
      </c>
      <c r="C1156" s="4">
        <v>7252.05953125</v>
      </c>
      <c r="D1156" s="4">
        <v>7475.5819140624999</v>
      </c>
      <c r="E1156" s="4">
        <v>7227.2237109375001</v>
      </c>
      <c r="F1156" s="4">
        <v>7450.74609375</v>
      </c>
      <c r="G1156" s="1">
        <v>157334400</v>
      </c>
      <c r="H1156" s="2" t="str">
        <f t="shared" ref="H1156:H1206" si="18">IF(F1156&gt;F1155,"Naik",IF(F1156&lt;F1155,"Turun","Stabil"))</f>
        <v>Naik</v>
      </c>
    </row>
    <row r="1157" spans="1:8" x14ac:dyDescent="0.2">
      <c r="A1157" s="1">
        <v>1156</v>
      </c>
      <c r="B1157" s="3">
        <v>45950</v>
      </c>
      <c r="C1157" s="4">
        <v>7649.4329427083303</v>
      </c>
      <c r="D1157" s="4">
        <v>7947.4627976190504</v>
      </c>
      <c r="E1157" s="4">
        <v>7574.92547898066</v>
      </c>
      <c r="F1157" s="4">
        <v>7823.28369140625</v>
      </c>
      <c r="G1157" s="1">
        <v>393421800</v>
      </c>
      <c r="H1157" s="2" t="str">
        <f t="shared" si="18"/>
        <v>Naik</v>
      </c>
    </row>
    <row r="1158" spans="1:8" x14ac:dyDescent="0.2">
      <c r="A1158" s="1">
        <v>1157</v>
      </c>
      <c r="B1158" s="3">
        <v>45951</v>
      </c>
      <c r="C1158" s="4">
        <v>8046.8054825774298</v>
      </c>
      <c r="D1158" s="4">
        <v>8419.3427734375</v>
      </c>
      <c r="E1158" s="4">
        <v>8046.8054825774298</v>
      </c>
      <c r="F1158" s="4">
        <v>8419.3427734375</v>
      </c>
      <c r="G1158" s="1">
        <v>529802600</v>
      </c>
      <c r="H1158" s="2" t="str">
        <f t="shared" si="18"/>
        <v>Naik</v>
      </c>
    </row>
    <row r="1159" spans="1:8" x14ac:dyDescent="0.2">
      <c r="A1159" s="1">
        <v>1158</v>
      </c>
      <c r="B1159" s="3">
        <v>45952</v>
      </c>
      <c r="C1159" s="4">
        <v>8642.8653236947393</v>
      </c>
      <c r="D1159" s="4">
        <v>8642.8653236947393</v>
      </c>
      <c r="E1159" s="4">
        <v>8146.14892578125</v>
      </c>
      <c r="F1159" s="4">
        <v>8146.14892578125</v>
      </c>
      <c r="G1159" s="1">
        <v>392957200</v>
      </c>
      <c r="H1159" s="2" t="str">
        <f t="shared" si="18"/>
        <v>Turun</v>
      </c>
    </row>
    <row r="1160" spans="1:8" x14ac:dyDescent="0.2">
      <c r="A1160" s="1">
        <v>1159</v>
      </c>
      <c r="B1160" s="3">
        <v>45953</v>
      </c>
      <c r="C1160" s="4">
        <v>8146.14902402403</v>
      </c>
      <c r="D1160" s="4">
        <v>8295.1639451951996</v>
      </c>
      <c r="E1160" s="4">
        <v>8096.4773836336299</v>
      </c>
      <c r="F1160" s="4">
        <v>8270.328125</v>
      </c>
      <c r="G1160" s="1">
        <v>187003900</v>
      </c>
      <c r="H1160" s="2" t="str">
        <f t="shared" si="18"/>
        <v>Naik</v>
      </c>
    </row>
    <row r="1161" spans="1:8" x14ac:dyDescent="0.2">
      <c r="A1161" s="1">
        <v>1160</v>
      </c>
      <c r="B1161" s="3">
        <v>45954</v>
      </c>
      <c r="C1161" s="4">
        <v>8245.4920694864104</v>
      </c>
      <c r="D1161" s="4">
        <v>8319.9995279456198</v>
      </c>
      <c r="E1161" s="4">
        <v>8220.65625</v>
      </c>
      <c r="F1161" s="4">
        <v>8220.65625</v>
      </c>
      <c r="G1161" s="1">
        <v>133355100</v>
      </c>
      <c r="H1161" s="2" t="str">
        <f t="shared" si="18"/>
        <v>Turun</v>
      </c>
    </row>
    <row r="1162" spans="1:8" x14ac:dyDescent="0.2">
      <c r="A1162" s="1">
        <v>1161</v>
      </c>
      <c r="B1162" s="3">
        <v>45957</v>
      </c>
      <c r="C1162" s="4">
        <v>8270.3282419535899</v>
      </c>
      <c r="D1162" s="4">
        <v>8369.6715241392194</v>
      </c>
      <c r="E1162" s="4">
        <v>8146.1491392215603</v>
      </c>
      <c r="F1162" s="4">
        <v>8295.1640625</v>
      </c>
      <c r="G1162" s="1">
        <v>182275600</v>
      </c>
      <c r="H1162" s="2" t="str">
        <f t="shared" si="18"/>
        <v>Naik</v>
      </c>
    </row>
    <row r="1163" spans="1:8" x14ac:dyDescent="0.2">
      <c r="A1163" s="1">
        <v>1162</v>
      </c>
      <c r="B1163" s="3">
        <v>45958</v>
      </c>
      <c r="C1163" s="4">
        <v>8295.1637084592203</v>
      </c>
      <c r="D1163" s="4">
        <v>8344.8353474320302</v>
      </c>
      <c r="E1163" s="4">
        <v>8195.8204305136005</v>
      </c>
      <c r="F1163" s="4">
        <v>8220.65625</v>
      </c>
      <c r="G1163" s="1">
        <v>180270000</v>
      </c>
      <c r="H1163" s="2" t="str">
        <f t="shared" si="18"/>
        <v>Turun</v>
      </c>
    </row>
    <row r="1164" spans="1:8" x14ac:dyDescent="0.2">
      <c r="A1164" s="1">
        <v>1163</v>
      </c>
      <c r="B1164" s="3">
        <v>45959</v>
      </c>
      <c r="C1164" s="4">
        <v>8245.4926076489792</v>
      </c>
      <c r="D1164" s="4">
        <v>8543.5224609375</v>
      </c>
      <c r="E1164" s="4">
        <v>8220.6567865416091</v>
      </c>
      <c r="F1164" s="4">
        <v>8543.5224609375</v>
      </c>
      <c r="G1164" s="1">
        <v>239156800</v>
      </c>
      <c r="H1164" s="2" t="str">
        <f t="shared" si="18"/>
        <v>Naik</v>
      </c>
    </row>
    <row r="1165" spans="1:8" x14ac:dyDescent="0.2">
      <c r="A1165" s="1">
        <v>1164</v>
      </c>
      <c r="B1165" s="3">
        <v>45960</v>
      </c>
      <c r="C1165" s="4">
        <v>8518.6862886042909</v>
      </c>
      <c r="D1165" s="4">
        <v>8692.5370291880499</v>
      </c>
      <c r="E1165" s="4">
        <v>8419.3430082707091</v>
      </c>
      <c r="F1165" s="4">
        <v>8469.0146484375</v>
      </c>
      <c r="G1165" s="1">
        <v>259009800</v>
      </c>
      <c r="H1165" s="2" t="str">
        <f t="shared" si="18"/>
        <v>Turun</v>
      </c>
    </row>
    <row r="1166" spans="1:8" x14ac:dyDescent="0.2">
      <c r="A1166" s="1">
        <v>1165</v>
      </c>
      <c r="B1166" s="3">
        <v>45961</v>
      </c>
      <c r="C1166" s="4">
        <v>8493.85046852089</v>
      </c>
      <c r="D1166" s="4">
        <v>8593.19374885447</v>
      </c>
      <c r="E1166" s="4">
        <v>8469.0146484375</v>
      </c>
      <c r="F1166" s="4">
        <v>8469.0146484375</v>
      </c>
      <c r="G1166" s="1">
        <v>177088000</v>
      </c>
      <c r="H1166" s="2" t="str">
        <f t="shared" si="18"/>
        <v>Stabil</v>
      </c>
    </row>
    <row r="1167" spans="1:8" x14ac:dyDescent="0.2">
      <c r="A1167" s="1">
        <v>1166</v>
      </c>
      <c r="B1167" s="3">
        <v>45964</v>
      </c>
      <c r="C1167" s="4">
        <v>8593.1943359375</v>
      </c>
      <c r="D1167" s="4">
        <v>8593.1943359375</v>
      </c>
      <c r="E1167" s="4">
        <v>8469.0152270366707</v>
      </c>
      <c r="F1167" s="4">
        <v>8593.1943359375</v>
      </c>
      <c r="G1167" s="1">
        <v>115007100</v>
      </c>
      <c r="H1167" s="2" t="str">
        <f t="shared" si="18"/>
        <v>Naik</v>
      </c>
    </row>
    <row r="1168" spans="1:8" x14ac:dyDescent="0.2">
      <c r="A1168" s="1">
        <v>1167</v>
      </c>
      <c r="B1168" s="3">
        <v>45965</v>
      </c>
      <c r="C1168" s="4">
        <v>8593.1943359375</v>
      </c>
      <c r="D1168" s="4">
        <v>8642.8659794978303</v>
      </c>
      <c r="E1168" s="4">
        <v>8568.3585141573294</v>
      </c>
      <c r="F1168" s="4">
        <v>8593.1943359375</v>
      </c>
      <c r="G1168" s="1">
        <v>155231500</v>
      </c>
      <c r="H1168" s="2" t="str">
        <f t="shared" si="18"/>
        <v>Stabil</v>
      </c>
    </row>
    <row r="1169" spans="1:8" x14ac:dyDescent="0.2">
      <c r="A1169" s="1">
        <v>1168</v>
      </c>
      <c r="B1169" s="3">
        <v>45966</v>
      </c>
      <c r="C1169" s="4">
        <v>8568.3577754579801</v>
      </c>
      <c r="D1169" s="4">
        <v>8642.865234375</v>
      </c>
      <c r="E1169" s="4">
        <v>8543.5219558189692</v>
      </c>
      <c r="F1169" s="4">
        <v>8642.865234375</v>
      </c>
      <c r="G1169" s="1">
        <v>125731500</v>
      </c>
      <c r="H1169" s="2" t="str">
        <f t="shared" si="18"/>
        <v>Naik</v>
      </c>
    </row>
    <row r="1170" spans="1:8" x14ac:dyDescent="0.2">
      <c r="A1170" s="1">
        <v>1169</v>
      </c>
      <c r="B1170" s="3">
        <v>45967</v>
      </c>
      <c r="C1170" s="4">
        <v>8568.3580472176509</v>
      </c>
      <c r="D1170" s="4">
        <v>8618.0296880710903</v>
      </c>
      <c r="E1170" s="4">
        <v>8493.8505859375</v>
      </c>
      <c r="F1170" s="4">
        <v>8493.8505859375</v>
      </c>
      <c r="G1170" s="1">
        <v>89756900</v>
      </c>
      <c r="H1170" s="2" t="str">
        <f t="shared" si="18"/>
        <v>Turun</v>
      </c>
    </row>
    <row r="1171" spans="1:8" x14ac:dyDescent="0.2">
      <c r="A1171" s="1">
        <v>1170</v>
      </c>
      <c r="B1171" s="3">
        <v>45968</v>
      </c>
      <c r="C1171" s="4">
        <v>8493.8502003782396</v>
      </c>
      <c r="D1171" s="4">
        <v>8618.029296875</v>
      </c>
      <c r="E1171" s="4">
        <v>8493.8502003782396</v>
      </c>
      <c r="F1171" s="4">
        <v>8618.029296875</v>
      </c>
      <c r="G1171" s="1">
        <v>75241900</v>
      </c>
      <c r="H1171" s="2" t="str">
        <f t="shared" si="18"/>
        <v>Naik</v>
      </c>
    </row>
    <row r="1172" spans="1:8" x14ac:dyDescent="0.2">
      <c r="A1172" s="1">
        <v>1171</v>
      </c>
      <c r="B1172" s="3">
        <v>45971</v>
      </c>
      <c r="C1172" s="4">
        <v>8618.0298065096595</v>
      </c>
      <c r="D1172" s="4">
        <v>8618.0298065096595</v>
      </c>
      <c r="E1172" s="4">
        <v>8518.6865234375</v>
      </c>
      <c r="F1172" s="4">
        <v>8518.6865234375</v>
      </c>
      <c r="G1172" s="1">
        <v>79897700</v>
      </c>
      <c r="H1172" s="2" t="str">
        <f t="shared" si="18"/>
        <v>Turun</v>
      </c>
    </row>
    <row r="1173" spans="1:8" x14ac:dyDescent="0.2">
      <c r="A1173" s="1">
        <v>1172</v>
      </c>
      <c r="B1173" s="3">
        <v>45972</v>
      </c>
      <c r="C1173" s="4">
        <v>8518.6866861979197</v>
      </c>
      <c r="D1173" s="4">
        <v>8543.5225074404807</v>
      </c>
      <c r="E1173" s="4">
        <v>8344.8359375</v>
      </c>
      <c r="F1173" s="4">
        <v>8344.8359375</v>
      </c>
      <c r="G1173" s="1">
        <v>130897600</v>
      </c>
      <c r="H1173" s="2" t="str">
        <f t="shared" si="18"/>
        <v>Turun</v>
      </c>
    </row>
    <row r="1174" spans="1:8" x14ac:dyDescent="0.2">
      <c r="A1174" s="1">
        <v>1173</v>
      </c>
      <c r="B1174" s="3">
        <v>45973</v>
      </c>
      <c r="C1174" s="4">
        <v>8369.67125172335</v>
      </c>
      <c r="D1174" s="4">
        <v>8493.8503504136006</v>
      </c>
      <c r="E1174" s="4">
        <v>8344.8354319852897</v>
      </c>
      <c r="F1174" s="4">
        <v>8444.1787109375</v>
      </c>
      <c r="G1174" s="1">
        <v>85415600</v>
      </c>
      <c r="H1174" s="2" t="str">
        <f t="shared" si="18"/>
        <v>Naik</v>
      </c>
    </row>
    <row r="1175" spans="1:8" x14ac:dyDescent="0.2">
      <c r="A1175" s="1">
        <v>1174</v>
      </c>
      <c r="B1175" s="3">
        <v>45974</v>
      </c>
      <c r="C1175" s="4">
        <v>8344.8358208955196</v>
      </c>
      <c r="D1175" s="4">
        <v>8419.3432835820895</v>
      </c>
      <c r="E1175" s="4">
        <v>8320</v>
      </c>
      <c r="F1175" s="4">
        <v>8320</v>
      </c>
      <c r="G1175" s="1">
        <v>104113800</v>
      </c>
      <c r="H1175" s="2" t="str">
        <f t="shared" si="18"/>
        <v>Turun</v>
      </c>
    </row>
    <row r="1176" spans="1:8" x14ac:dyDescent="0.2">
      <c r="A1176" s="1">
        <v>1175</v>
      </c>
      <c r="B1176" s="3">
        <v>45975</v>
      </c>
      <c r="C1176" s="4">
        <v>8320.0002318249299</v>
      </c>
      <c r="D1176" s="4">
        <v>8444.1793397626097</v>
      </c>
      <c r="E1176" s="4">
        <v>8320.0002318249299</v>
      </c>
      <c r="F1176" s="4">
        <v>8369.671875</v>
      </c>
      <c r="G1176" s="1">
        <v>89815300</v>
      </c>
      <c r="H1176" s="2" t="str">
        <f t="shared" si="18"/>
        <v>Naik</v>
      </c>
    </row>
    <row r="1177" spans="1:8" x14ac:dyDescent="0.2">
      <c r="A1177" s="1">
        <v>1176</v>
      </c>
      <c r="B1177" s="3">
        <v>45978</v>
      </c>
      <c r="C1177" s="4">
        <v>8444.1790611333799</v>
      </c>
      <c r="D1177" s="4">
        <v>8518.6865234375</v>
      </c>
      <c r="E1177" s="4">
        <v>8419.3432403653405</v>
      </c>
      <c r="F1177" s="4">
        <v>8518.6865234375</v>
      </c>
      <c r="G1177" s="1">
        <v>129411100</v>
      </c>
      <c r="H1177" s="2" t="str">
        <f t="shared" si="18"/>
        <v>Naik</v>
      </c>
    </row>
    <row r="1178" spans="1:8" x14ac:dyDescent="0.2">
      <c r="A1178" s="1">
        <v>1177</v>
      </c>
      <c r="B1178" s="3">
        <v>45979</v>
      </c>
      <c r="C1178" s="4">
        <v>8493.8508649553605</v>
      </c>
      <c r="D1178" s="4">
        <v>8518.6866861979197</v>
      </c>
      <c r="E1178" s="4">
        <v>8344.8359375</v>
      </c>
      <c r="F1178" s="4">
        <v>8344.8359375</v>
      </c>
      <c r="G1178" s="1">
        <v>119377900</v>
      </c>
      <c r="H1178" s="2" t="str">
        <f t="shared" si="18"/>
        <v>Turun</v>
      </c>
    </row>
    <row r="1179" spans="1:8" x14ac:dyDescent="0.2">
      <c r="A1179" s="1">
        <v>1178</v>
      </c>
      <c r="B1179" s="3">
        <v>45980</v>
      </c>
      <c r="C1179" s="4">
        <v>8295.1636764841405</v>
      </c>
      <c r="D1179" s="4">
        <v>8444.1785928281697</v>
      </c>
      <c r="E1179" s="4">
        <v>8270.3278570934708</v>
      </c>
      <c r="F1179" s="4">
        <v>8419.3427734375</v>
      </c>
      <c r="G1179" s="1">
        <v>114209700</v>
      </c>
      <c r="H1179" s="2" t="str">
        <f t="shared" si="18"/>
        <v>Naik</v>
      </c>
    </row>
    <row r="1180" spans="1:8" x14ac:dyDescent="0.2">
      <c r="A1180" s="1">
        <v>1179</v>
      </c>
      <c r="B1180" s="3">
        <v>45981</v>
      </c>
      <c r="C1180" s="4">
        <v>8419.3435181750701</v>
      </c>
      <c r="D1180" s="4">
        <v>8543.5226261127591</v>
      </c>
      <c r="E1180" s="4">
        <v>8344.8360534124604</v>
      </c>
      <c r="F1180" s="4">
        <v>8369.671875</v>
      </c>
      <c r="G1180" s="1">
        <v>124087400</v>
      </c>
      <c r="H1180" s="2" t="str">
        <f t="shared" si="18"/>
        <v>Turun</v>
      </c>
    </row>
    <row r="1181" spans="1:8" x14ac:dyDescent="0.2">
      <c r="A1181" s="1">
        <v>1180</v>
      </c>
      <c r="B1181" s="3">
        <v>45982</v>
      </c>
      <c r="C1181" s="4">
        <v>8320.0001162574408</v>
      </c>
      <c r="D1181" s="4">
        <v>8369.6717587425592</v>
      </c>
      <c r="E1181" s="4">
        <v>8295.1642950148798</v>
      </c>
      <c r="F1181" s="4">
        <v>8344.8359375</v>
      </c>
      <c r="G1181" s="1">
        <v>103917100</v>
      </c>
      <c r="H1181" s="2" t="str">
        <f t="shared" si="18"/>
        <v>Turun</v>
      </c>
    </row>
    <row r="1182" spans="1:8" x14ac:dyDescent="0.2">
      <c r="A1182" s="1">
        <v>1181</v>
      </c>
      <c r="B1182" s="3">
        <v>45985</v>
      </c>
      <c r="C1182" s="4">
        <v>8344.8353152654909</v>
      </c>
      <c r="D1182" s="4">
        <v>8419.3427734375</v>
      </c>
      <c r="E1182" s="4">
        <v>8295.1636764841405</v>
      </c>
      <c r="F1182" s="4">
        <v>8419.3427734375</v>
      </c>
      <c r="G1182" s="1">
        <v>279590600</v>
      </c>
      <c r="H1182" s="2" t="str">
        <f t="shared" si="18"/>
        <v>Naik</v>
      </c>
    </row>
    <row r="1183" spans="1:8" x14ac:dyDescent="0.2">
      <c r="A1183" s="1">
        <v>1182</v>
      </c>
      <c r="B1183" s="3">
        <v>45986</v>
      </c>
      <c r="C1183" s="4">
        <v>8419.3428911994506</v>
      </c>
      <c r="D1183" s="4">
        <v>8444.1787109375</v>
      </c>
      <c r="E1183" s="4">
        <v>8319.9996122472403</v>
      </c>
      <c r="F1183" s="4">
        <v>8444.1787109375</v>
      </c>
      <c r="G1183" s="1">
        <v>98807700</v>
      </c>
      <c r="H1183" s="2" t="str">
        <f t="shared" si="18"/>
        <v>Naik</v>
      </c>
    </row>
    <row r="1184" spans="1:8" x14ac:dyDescent="0.2">
      <c r="A1184" s="1">
        <v>1183</v>
      </c>
      <c r="B1184" s="3">
        <v>45987</v>
      </c>
      <c r="C1184" s="4">
        <v>8344.8360534124604</v>
      </c>
      <c r="D1184" s="4">
        <v>8394.5076965875396</v>
      </c>
      <c r="E1184" s="4">
        <v>8320.0002318249299</v>
      </c>
      <c r="F1184" s="4">
        <v>8369.671875</v>
      </c>
      <c r="G1184" s="1">
        <v>77094400</v>
      </c>
      <c r="H1184" s="2" t="str">
        <f t="shared" si="18"/>
        <v>Turun</v>
      </c>
    </row>
    <row r="1185" spans="1:8" x14ac:dyDescent="0.2">
      <c r="A1185" s="1">
        <v>1184</v>
      </c>
      <c r="B1185" s="3">
        <v>45988</v>
      </c>
      <c r="C1185" s="4">
        <v>8369.6714057807803</v>
      </c>
      <c r="D1185" s="4">
        <v>8394.50722597598</v>
      </c>
      <c r="E1185" s="4">
        <v>8270.328125</v>
      </c>
      <c r="F1185" s="4">
        <v>8270.328125</v>
      </c>
      <c r="G1185" s="1">
        <v>71051300</v>
      </c>
      <c r="H1185" s="2" t="str">
        <f t="shared" si="18"/>
        <v>Turun</v>
      </c>
    </row>
    <row r="1186" spans="1:8" x14ac:dyDescent="0.2">
      <c r="A1186" s="1">
        <v>1185</v>
      </c>
      <c r="B1186" s="3">
        <v>45989</v>
      </c>
      <c r="C1186" s="4">
        <v>8270.3278889728099</v>
      </c>
      <c r="D1186" s="4">
        <v>8295.1637084592203</v>
      </c>
      <c r="E1186" s="4">
        <v>8220.65625</v>
      </c>
      <c r="F1186" s="4">
        <v>8220.65625</v>
      </c>
      <c r="G1186" s="1">
        <v>67559300</v>
      </c>
      <c r="H1186" s="2" t="str">
        <f t="shared" si="18"/>
        <v>Turun</v>
      </c>
    </row>
    <row r="1187" spans="1:8" x14ac:dyDescent="0.2">
      <c r="A1187" s="1">
        <v>1186</v>
      </c>
      <c r="B1187" s="3">
        <v>45992</v>
      </c>
      <c r="C1187" s="4">
        <v>8394.5075799851202</v>
      </c>
      <c r="D1187" s="4">
        <v>8394.5075799851202</v>
      </c>
      <c r="E1187" s="4">
        <v>8295.1642950148798</v>
      </c>
      <c r="F1187" s="4">
        <v>8344.8359375</v>
      </c>
      <c r="G1187" s="1">
        <v>76359200</v>
      </c>
      <c r="H1187" s="2" t="str">
        <f t="shared" si="18"/>
        <v>Naik</v>
      </c>
    </row>
    <row r="1188" spans="1:8" x14ac:dyDescent="0.2">
      <c r="A1188" s="1">
        <v>1187</v>
      </c>
      <c r="B1188" s="3">
        <v>45993</v>
      </c>
      <c r="C1188" s="4">
        <v>8295.1641791044804</v>
      </c>
      <c r="D1188" s="4">
        <v>8369.6716417910502</v>
      </c>
      <c r="E1188" s="4">
        <v>8295.1641791044804</v>
      </c>
      <c r="F1188" s="4">
        <v>8320</v>
      </c>
      <c r="G1188" s="1">
        <v>97044000</v>
      </c>
      <c r="H1188" s="2" t="str">
        <f t="shared" si="18"/>
        <v>Turun</v>
      </c>
    </row>
    <row r="1189" spans="1:8" x14ac:dyDescent="0.2">
      <c r="A1189" s="1">
        <v>1188</v>
      </c>
      <c r="B1189" s="3">
        <v>45994</v>
      </c>
      <c r="C1189" s="4">
        <v>8350</v>
      </c>
      <c r="D1189" s="4">
        <v>8400</v>
      </c>
      <c r="E1189" s="4">
        <v>8300</v>
      </c>
      <c r="F1189" s="4">
        <v>8300</v>
      </c>
      <c r="G1189" s="1">
        <v>103550900</v>
      </c>
      <c r="H1189" s="2" t="str">
        <f t="shared" si="18"/>
        <v>Turun</v>
      </c>
    </row>
    <row r="1190" spans="1:8" x14ac:dyDescent="0.2">
      <c r="A1190" s="1">
        <v>1189</v>
      </c>
      <c r="B1190" s="3">
        <v>45995</v>
      </c>
      <c r="C1190" s="4">
        <v>8325</v>
      </c>
      <c r="D1190" s="4">
        <v>8350</v>
      </c>
      <c r="E1190" s="4">
        <v>8225</v>
      </c>
      <c r="F1190" s="4">
        <v>8225</v>
      </c>
      <c r="G1190" s="1">
        <v>71410400</v>
      </c>
      <c r="H1190" s="2" t="str">
        <f t="shared" si="18"/>
        <v>Turun</v>
      </c>
    </row>
    <row r="1191" spans="1:8" x14ac:dyDescent="0.2">
      <c r="A1191" s="1">
        <v>1190</v>
      </c>
      <c r="B1191" s="3">
        <v>45996</v>
      </c>
      <c r="C1191" s="4">
        <v>8200</v>
      </c>
      <c r="D1191" s="4">
        <v>8300</v>
      </c>
      <c r="E1191" s="4">
        <v>8200</v>
      </c>
      <c r="F1191" s="4">
        <v>8300</v>
      </c>
      <c r="G1191" s="1">
        <v>71162300</v>
      </c>
      <c r="H1191" s="2" t="str">
        <f t="shared" si="18"/>
        <v>Naik</v>
      </c>
    </row>
    <row r="1192" spans="1:8" x14ac:dyDescent="0.2">
      <c r="A1192" s="1">
        <v>1191</v>
      </c>
      <c r="B1192" s="3">
        <v>45999</v>
      </c>
      <c r="C1192" s="4">
        <v>8350</v>
      </c>
      <c r="D1192" s="4">
        <v>8350</v>
      </c>
      <c r="E1192" s="4">
        <v>8250</v>
      </c>
      <c r="F1192" s="4">
        <v>8300</v>
      </c>
      <c r="G1192" s="1">
        <v>61745200</v>
      </c>
      <c r="H1192" s="2" t="str">
        <f t="shared" si="18"/>
        <v>Stabil</v>
      </c>
    </row>
    <row r="1193" spans="1:8" x14ac:dyDescent="0.2">
      <c r="A1193" s="1">
        <v>1192</v>
      </c>
      <c r="B1193" s="3">
        <v>46000</v>
      </c>
      <c r="C1193" s="4">
        <v>8300</v>
      </c>
      <c r="D1193" s="4">
        <v>8300</v>
      </c>
      <c r="E1193" s="4">
        <v>8100</v>
      </c>
      <c r="F1193" s="4">
        <v>8100</v>
      </c>
      <c r="G1193" s="1">
        <v>113057200</v>
      </c>
      <c r="H1193" s="2" t="str">
        <f t="shared" si="18"/>
        <v>Turun</v>
      </c>
    </row>
    <row r="1194" spans="1:8" x14ac:dyDescent="0.2">
      <c r="A1194" s="1">
        <v>1193</v>
      </c>
      <c r="B1194" s="3">
        <v>46001</v>
      </c>
      <c r="C1194" s="4">
        <v>8100</v>
      </c>
      <c r="D1194" s="4">
        <v>8175</v>
      </c>
      <c r="E1194" s="4">
        <v>8025</v>
      </c>
      <c r="F1194" s="4">
        <v>8075</v>
      </c>
      <c r="G1194" s="1">
        <v>143418300</v>
      </c>
      <c r="H1194" s="2" t="str">
        <f t="shared" si="18"/>
        <v>Turun</v>
      </c>
    </row>
    <row r="1195" spans="1:8" x14ac:dyDescent="0.2">
      <c r="A1195" s="1">
        <v>1194</v>
      </c>
      <c r="B1195" s="3">
        <v>46002</v>
      </c>
      <c r="C1195" s="4">
        <v>8175</v>
      </c>
      <c r="D1195" s="4">
        <v>8200</v>
      </c>
      <c r="E1195" s="4">
        <v>7900</v>
      </c>
      <c r="F1195" s="4">
        <v>8000</v>
      </c>
      <c r="G1195" s="1">
        <v>140766000</v>
      </c>
      <c r="H1195" s="2" t="str">
        <f t="shared" si="18"/>
        <v>Turun</v>
      </c>
    </row>
    <row r="1196" spans="1:8" x14ac:dyDescent="0.2">
      <c r="A1196" s="1">
        <v>1195</v>
      </c>
      <c r="B1196" s="3">
        <v>46003</v>
      </c>
      <c r="C1196" s="4">
        <v>7900</v>
      </c>
      <c r="D1196" s="4">
        <v>8000</v>
      </c>
      <c r="E1196" s="4">
        <v>7850</v>
      </c>
      <c r="F1196" s="4">
        <v>8000</v>
      </c>
      <c r="G1196" s="1">
        <v>100006800</v>
      </c>
      <c r="H1196" s="2" t="str">
        <f t="shared" si="18"/>
        <v>Stabil</v>
      </c>
    </row>
    <row r="1197" spans="1:8" x14ac:dyDescent="0.2">
      <c r="A1197" s="1">
        <v>1196</v>
      </c>
      <c r="B1197" s="3">
        <v>46006</v>
      </c>
      <c r="C1197" s="4">
        <v>7925</v>
      </c>
      <c r="D1197" s="4">
        <v>8300</v>
      </c>
      <c r="E1197" s="4">
        <v>7925</v>
      </c>
      <c r="F1197" s="4">
        <v>8300</v>
      </c>
      <c r="G1197" s="1">
        <v>143105700</v>
      </c>
      <c r="H1197" s="2" t="str">
        <f t="shared" si="18"/>
        <v>Naik</v>
      </c>
    </row>
    <row r="1198" spans="1:8" x14ac:dyDescent="0.2">
      <c r="A1198" s="1">
        <v>1197</v>
      </c>
      <c r="B1198" s="3">
        <v>46007</v>
      </c>
      <c r="C1198" s="4">
        <v>8375</v>
      </c>
      <c r="D1198" s="4">
        <v>8375</v>
      </c>
      <c r="E1198" s="4">
        <v>8025</v>
      </c>
      <c r="F1198" s="4">
        <v>8075</v>
      </c>
      <c r="G1198" s="1">
        <v>122332000</v>
      </c>
      <c r="H1198" s="2" t="str">
        <f t="shared" si="18"/>
        <v>Turun</v>
      </c>
    </row>
    <row r="1199" spans="1:8" x14ac:dyDescent="0.2">
      <c r="A1199" s="1">
        <v>1198</v>
      </c>
      <c r="B1199" s="3">
        <v>46008</v>
      </c>
      <c r="C1199" s="4">
        <v>8000</v>
      </c>
      <c r="D1199" s="4">
        <v>8125</v>
      </c>
      <c r="E1199" s="4">
        <v>7975</v>
      </c>
      <c r="F1199" s="4">
        <v>8025</v>
      </c>
      <c r="G1199" s="1">
        <v>89802700</v>
      </c>
      <c r="H1199" s="2" t="str">
        <f t="shared" si="18"/>
        <v>Turun</v>
      </c>
    </row>
    <row r="1200" spans="1:8" x14ac:dyDescent="0.2">
      <c r="A1200" s="1">
        <v>1199</v>
      </c>
      <c r="B1200" s="3">
        <v>46009</v>
      </c>
      <c r="C1200" s="4">
        <v>8025</v>
      </c>
      <c r="D1200" s="4">
        <v>8250</v>
      </c>
      <c r="E1200" s="4">
        <v>8025</v>
      </c>
      <c r="F1200" s="4">
        <v>8175</v>
      </c>
      <c r="G1200" s="1">
        <v>88497200</v>
      </c>
      <c r="H1200" s="2" t="str">
        <f t="shared" si="18"/>
        <v>Naik</v>
      </c>
    </row>
    <row r="1201" spans="1:8" x14ac:dyDescent="0.2">
      <c r="A1201" s="1">
        <v>1200</v>
      </c>
      <c r="B1201" s="3">
        <v>46010</v>
      </c>
      <c r="C1201" s="4">
        <v>8200</v>
      </c>
      <c r="D1201" s="4">
        <v>8225</v>
      </c>
      <c r="E1201" s="4">
        <v>8050</v>
      </c>
      <c r="F1201" s="4">
        <v>8050</v>
      </c>
      <c r="G1201" s="1">
        <v>131069800</v>
      </c>
      <c r="H1201" s="2" t="str">
        <f t="shared" si="18"/>
        <v>Turun</v>
      </c>
    </row>
    <row r="1202" spans="1:8" x14ac:dyDescent="0.2">
      <c r="A1202" s="1">
        <v>1201</v>
      </c>
      <c r="B1202" s="3">
        <v>46013</v>
      </c>
      <c r="C1202" s="4">
        <v>8050</v>
      </c>
      <c r="D1202" s="4">
        <v>8175</v>
      </c>
      <c r="E1202" s="4">
        <v>8025</v>
      </c>
      <c r="F1202" s="4">
        <v>8175</v>
      </c>
      <c r="G1202" s="1">
        <v>72424200</v>
      </c>
      <c r="H1202" s="2" t="str">
        <f t="shared" si="18"/>
        <v>Naik</v>
      </c>
    </row>
    <row r="1203" spans="1:8" x14ac:dyDescent="0.2">
      <c r="A1203" s="1">
        <v>1202</v>
      </c>
      <c r="B1203" s="3">
        <v>46014</v>
      </c>
      <c r="C1203" s="4">
        <v>8100</v>
      </c>
      <c r="D1203" s="4">
        <v>8125</v>
      </c>
      <c r="E1203" s="4">
        <v>7975</v>
      </c>
      <c r="F1203" s="4">
        <v>8025</v>
      </c>
      <c r="G1203" s="1">
        <v>85044100</v>
      </c>
      <c r="H1203" s="2" t="str">
        <f t="shared" si="18"/>
        <v>Turun</v>
      </c>
    </row>
    <row r="1204" spans="1:8" x14ac:dyDescent="0.2">
      <c r="A1204" s="1">
        <v>1203</v>
      </c>
      <c r="B1204" s="3">
        <v>46015</v>
      </c>
      <c r="C1204" s="4">
        <v>8025</v>
      </c>
      <c r="D1204" s="4">
        <v>8075</v>
      </c>
      <c r="E1204" s="4">
        <v>8000</v>
      </c>
      <c r="F1204" s="4">
        <v>8025</v>
      </c>
      <c r="G1204" s="1">
        <v>71260500</v>
      </c>
      <c r="H1204" s="2" t="str">
        <f t="shared" si="18"/>
        <v>Stabil</v>
      </c>
    </row>
    <row r="1205" spans="1:8" x14ac:dyDescent="0.2">
      <c r="A1205" s="1">
        <v>1204</v>
      </c>
      <c r="B1205" s="3">
        <v>46020</v>
      </c>
      <c r="C1205" s="4">
        <v>8025</v>
      </c>
      <c r="D1205" s="4">
        <v>8025</v>
      </c>
      <c r="E1205" s="4">
        <v>7950</v>
      </c>
      <c r="F1205" s="4">
        <v>8025</v>
      </c>
      <c r="G1205" s="1">
        <v>78399400</v>
      </c>
      <c r="H1205" s="2" t="str">
        <f t="shared" si="18"/>
        <v>Stabil</v>
      </c>
    </row>
    <row r="1206" spans="1:8" x14ac:dyDescent="0.2">
      <c r="A1206" s="1">
        <v>1205</v>
      </c>
      <c r="B1206" s="3">
        <v>46021</v>
      </c>
      <c r="C1206" s="4">
        <v>7950</v>
      </c>
      <c r="D1206" s="4">
        <v>8175</v>
      </c>
      <c r="E1206" s="4">
        <v>7950</v>
      </c>
      <c r="F1206" s="4">
        <v>8075</v>
      </c>
      <c r="G1206" s="1">
        <v>101995600</v>
      </c>
      <c r="H1206" s="2" t="str">
        <f t="shared" si="18"/>
        <v>Naik</v>
      </c>
    </row>
  </sheetData>
  <mergeCells count="2">
    <mergeCell ref="J3:J14"/>
    <mergeCell ref="J15:J24"/>
  </mergeCells>
  <phoneticPr fontId="3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agu_21</vt:lpstr>
      <vt:lpstr>agu_22</vt:lpstr>
      <vt:lpstr>apr_21</vt:lpstr>
      <vt:lpstr>apr_22</vt:lpstr>
      <vt:lpstr>des_21</vt:lpstr>
      <vt:lpstr>des_22</vt:lpstr>
      <vt:lpstr>feb_21</vt:lpstr>
      <vt:lpstr>feb_22</vt:lpstr>
      <vt:lpstr>jan_21</vt:lpstr>
      <vt:lpstr>jan_22</vt:lpstr>
      <vt:lpstr>jul_21</vt:lpstr>
      <vt:lpstr>jul_22</vt:lpstr>
      <vt:lpstr>jun_21</vt:lpstr>
      <vt:lpstr>jun_22</vt:lpstr>
      <vt:lpstr>mar_21</vt:lpstr>
      <vt:lpstr>mar_22</vt:lpstr>
      <vt:lpstr>mei_21</vt:lpstr>
      <vt:lpstr>mei_22</vt:lpstr>
      <vt:lpstr>nov_21</vt:lpstr>
      <vt:lpstr>nov_22</vt:lpstr>
      <vt:lpstr>okt_21</vt:lpstr>
      <vt:lpstr>okt_22</vt:lpstr>
      <vt:lpstr>sep_21</vt:lpstr>
      <vt:lpstr>sep_22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adi</cp:lastModifiedBy>
  <cp:revision>0</cp:revision>
  <dcterms:modified xsi:type="dcterms:W3CDTF">2026-03-04T02:51:44Z</dcterms:modified>
  <dc:language>en-US</dc:language>
</cp:coreProperties>
</file>