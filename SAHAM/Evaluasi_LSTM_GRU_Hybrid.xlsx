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STM" sheetId="1" state="visible" r:id="rId1"/>
    <sheet xmlns:r="http://schemas.openxmlformats.org/officeDocument/2006/relationships" name="GRU" sheetId="2" state="visible" r:id="rId2"/>
    <sheet xmlns:r="http://schemas.openxmlformats.org/officeDocument/2006/relationships" name="Hybrid LSTM-GRU" sheetId="3" state="visible" r:id="rId3"/>
    <sheet xmlns:r="http://schemas.openxmlformats.org/officeDocument/2006/relationships" name="Perbandingan 3 Mode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[Red](#,##0)"/>
    <numFmt numFmtId="165" formatCode="0.0000"/>
    <numFmt numFmtId="166" formatCode="0.00&quot;%&quot;"/>
  </numFmts>
  <fonts count="24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b val="1"/>
      <sz val="10"/>
    </font>
    <font>
      <name val="Arial"/>
      <b val="1"/>
      <color rgb="001F4E79"/>
      <sz val="10"/>
    </font>
    <font>
      <name val="Arial"/>
      <i val="1"/>
      <color rgb="00808080"/>
      <sz val="9"/>
    </font>
    <font>
      <name val="Arial"/>
      <color rgb="00000000"/>
      <sz val="10"/>
    </font>
    <font>
      <name val="Arial"/>
      <b val="1"/>
      <color rgb="0000008B"/>
      <sz val="10"/>
    </font>
    <font>
      <name val="Arial"/>
      <b val="1"/>
      <color rgb="00000000"/>
      <sz val="10"/>
    </font>
    <font>
      <name val="Arial"/>
      <sz val="10"/>
    </font>
    <font>
      <name val="Arial"/>
      <sz val="9"/>
    </font>
    <font>
      <name val="Arial"/>
      <b val="1"/>
      <color rgb="00FFFFFF"/>
      <sz val="11"/>
    </font>
    <font>
      <name val="Arial"/>
      <b val="1"/>
      <color rgb="00375623"/>
      <sz val="10"/>
    </font>
    <font>
      <name val="Arial"/>
      <b val="1"/>
      <color rgb="00FFFFFF"/>
      <sz val="13"/>
    </font>
    <font>
      <name val="Arial"/>
      <b val="1"/>
      <color rgb="00006400"/>
      <sz val="10"/>
    </font>
    <font>
      <name val="Arial"/>
      <color rgb="00006400"/>
      <sz val="10"/>
    </font>
    <font>
      <name val="Arial"/>
      <b val="1"/>
      <color rgb="007D6608"/>
      <sz val="10"/>
    </font>
    <font>
      <name val="Arial"/>
      <color rgb="007D6608"/>
      <sz val="10"/>
    </font>
    <font>
      <name val="Arial"/>
      <b val="1"/>
      <color rgb="00BF360C"/>
      <sz val="10"/>
    </font>
    <font>
      <name val="Arial"/>
      <color rgb="00BF360C"/>
      <sz val="10"/>
    </font>
    <font>
      <name val="Arial"/>
      <b val="1"/>
      <color rgb="00B71C1C"/>
      <sz val="10"/>
    </font>
    <font>
      <name val="Arial"/>
      <color rgb="00B71C1C"/>
      <sz val="10"/>
    </font>
    <font>
      <name val="Arial"/>
      <b val="1"/>
      <color rgb="007B3F00"/>
      <sz val="10"/>
    </font>
    <font>
      <name val="Arial"/>
      <i val="1"/>
      <color rgb="00000000"/>
      <sz val="9"/>
    </font>
  </fonts>
  <fills count="21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FFFACD"/>
      </patternFill>
    </fill>
    <fill>
      <patternFill patternType="solid">
        <fgColor rgb="00F2F2F2"/>
      </patternFill>
    </fill>
    <fill>
      <patternFill patternType="solid">
        <fgColor rgb="00FFC000"/>
      </patternFill>
    </fill>
    <fill>
      <patternFill patternType="solid">
        <fgColor rgb="00DDEEFF"/>
      </patternFill>
    </fill>
    <fill>
      <patternFill patternType="solid">
        <fgColor rgb="00006400"/>
      </patternFill>
    </fill>
    <fill>
      <patternFill patternType="solid">
        <fgColor rgb="000070C0"/>
      </patternFill>
    </fill>
    <fill>
      <patternFill patternType="solid">
        <fgColor rgb="00D04A00"/>
      </patternFill>
    </fill>
    <fill>
      <patternFill patternType="solid">
        <fgColor rgb="00FFF2CC"/>
      </patternFill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44546A"/>
      </patternFill>
    </fill>
    <fill>
      <patternFill patternType="solid">
        <fgColor rgb="00FFF9C4"/>
      </patternFill>
    </fill>
    <fill>
      <patternFill patternType="solid">
        <fgColor rgb="00FFE0CC"/>
      </patternFill>
    </fill>
    <fill>
      <patternFill patternType="solid">
        <fgColor rgb="00FFCCCC"/>
      </patternFill>
    </fill>
    <fill>
      <patternFill patternType="solid">
        <fgColor rgb="007B3F00"/>
      </patternFill>
    </fill>
    <fill>
      <patternFill patternType="solid">
        <fgColor rgb="00F5E6D3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8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3" fontId="7" fillId="4" borderId="1" applyAlignment="1" pivotButton="0" quotePrefix="0" xfId="0">
      <alignment horizontal="right" vertical="center" wrapText="1"/>
    </xf>
    <xf numFmtId="3" fontId="8" fillId="5" borderId="1" applyAlignment="1" pivotButton="0" quotePrefix="0" xfId="0">
      <alignment horizontal="right" vertical="center"/>
    </xf>
    <xf numFmtId="164" fontId="9" fillId="4" borderId="1" applyAlignment="1" pivotButton="0" quotePrefix="0" xfId="0">
      <alignment horizontal="right" vertical="center"/>
    </xf>
    <xf numFmtId="3" fontId="9" fillId="4" borderId="1" applyAlignment="1" pivotButton="0" quotePrefix="0" xfId="0">
      <alignment horizontal="right" vertical="center"/>
    </xf>
    <xf numFmtId="165" fontId="9" fillId="4" borderId="1" applyAlignment="1" pivotButton="0" quotePrefix="0" xfId="0">
      <alignment horizontal="right" vertical="center"/>
    </xf>
    <xf numFmtId="166" fontId="9" fillId="4" borderId="1" applyAlignment="1" pivotButton="0" quotePrefix="0" xfId="0">
      <alignment horizontal="right" vertical="center"/>
    </xf>
    <xf numFmtId="0" fontId="10" fillId="4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right" vertical="center" wrapText="1"/>
    </xf>
    <xf numFmtId="164" fontId="9" fillId="6" borderId="1" applyAlignment="1" pivotButton="0" quotePrefix="0" xfId="0">
      <alignment horizontal="right" vertical="center"/>
    </xf>
    <xf numFmtId="3" fontId="9" fillId="6" borderId="1" applyAlignment="1" pivotButton="0" quotePrefix="0" xfId="0">
      <alignment horizontal="right" vertical="center"/>
    </xf>
    <xf numFmtId="165" fontId="9" fillId="6" borderId="1" applyAlignment="1" pivotButton="0" quotePrefix="0" xfId="0">
      <alignment horizontal="right" vertical="center"/>
    </xf>
    <xf numFmtId="166" fontId="9" fillId="6" borderId="1" applyAlignment="1" pivotButton="0" quotePrefix="0" xfId="0">
      <alignment horizontal="right" vertical="center"/>
    </xf>
    <xf numFmtId="0" fontId="10" fillId="6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right" vertical="center" wrapText="1"/>
    </xf>
    <xf numFmtId="0" fontId="0" fillId="0" borderId="1" pivotButton="0" quotePrefix="0" xfId="0"/>
    <xf numFmtId="4" fontId="3" fillId="7" borderId="1" applyAlignment="1" pivotButton="0" quotePrefix="0" xfId="0">
      <alignment horizontal="right" vertical="center"/>
    </xf>
    <xf numFmtId="0" fontId="11" fillId="2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1" fontId="3" fillId="8" borderId="1" applyAlignment="1" pivotButton="0" quotePrefix="0" xfId="0">
      <alignment horizontal="center"/>
    </xf>
    <xf numFmtId="0" fontId="11" fillId="9" borderId="1" applyAlignment="1" pivotButton="0" quotePrefix="0" xfId="0">
      <alignment horizontal="right" vertical="center" wrapText="1"/>
    </xf>
    <xf numFmtId="4" fontId="1" fillId="9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right" vertical="center" wrapText="1"/>
    </xf>
    <xf numFmtId="4" fontId="1" fillId="10" borderId="1" applyAlignment="1" pivotButton="0" quotePrefix="0" xfId="0">
      <alignment horizontal="center" vertical="center"/>
    </xf>
    <xf numFmtId="0" fontId="11" fillId="11" borderId="1" applyAlignment="1" pivotButton="0" quotePrefix="0" xfId="0">
      <alignment horizontal="right" vertical="center" wrapText="1"/>
    </xf>
    <xf numFmtId="166" fontId="1" fillId="11" borderId="1" applyAlignment="1" pivotButton="0" quotePrefix="0" xfId="0">
      <alignment horizontal="center" vertical="center"/>
    </xf>
    <xf numFmtId="0" fontId="8" fillId="12" borderId="1" applyAlignment="1" pivotButton="0" quotePrefix="0" xfId="0">
      <alignment horizontal="center" vertical="center"/>
    </xf>
    <xf numFmtId="0" fontId="2" fillId="13" borderId="0" applyAlignment="1" pivotButton="0" quotePrefix="0" xfId="0">
      <alignment horizontal="center" vertical="center" wrapText="1"/>
    </xf>
    <xf numFmtId="0" fontId="12" fillId="0" borderId="0" pivotButton="0" quotePrefix="0" xfId="0"/>
    <xf numFmtId="0" fontId="2" fillId="13" borderId="1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left" vertical="center" wrapText="1"/>
    </xf>
    <xf numFmtId="1" fontId="3" fillId="14" borderId="1" applyAlignment="1" pivotButton="0" quotePrefix="0" xfId="0">
      <alignment horizontal="center"/>
    </xf>
    <xf numFmtId="0" fontId="13" fillId="2" borderId="0" applyAlignment="1" pivotButton="0" quotePrefix="0" xfId="0">
      <alignment horizontal="center" vertical="center" wrapText="1"/>
    </xf>
    <xf numFmtId="0" fontId="2" fillId="15" borderId="0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1" fontId="6" fillId="8" borderId="1" applyAlignment="1" pivotButton="0" quotePrefix="0" xfId="0">
      <alignment horizontal="center" vertical="center" wrapText="1"/>
    </xf>
    <xf numFmtId="4" fontId="6" fillId="8" borderId="1" applyAlignment="1" pivotButton="0" quotePrefix="0" xfId="0">
      <alignment horizontal="center" vertical="center" wrapText="1"/>
    </xf>
    <xf numFmtId="166" fontId="6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8" fillId="14" borderId="1" applyAlignment="1" pivotButton="0" quotePrefix="0" xfId="0">
      <alignment horizontal="center" vertical="center" wrapText="1"/>
    </xf>
    <xf numFmtId="1" fontId="6" fillId="14" borderId="1" applyAlignment="1" pivotButton="0" quotePrefix="0" xfId="0">
      <alignment horizontal="center" vertical="center" wrapText="1"/>
    </xf>
    <xf numFmtId="4" fontId="6" fillId="14" borderId="1" applyAlignment="1" pivotButton="0" quotePrefix="0" xfId="0">
      <alignment horizontal="center" vertical="center" wrapText="1"/>
    </xf>
    <xf numFmtId="166" fontId="6" fillId="14" borderId="1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center" vertical="center" wrapText="1"/>
    </xf>
    <xf numFmtId="0" fontId="2" fillId="15" borderId="1" applyAlignment="1" pivotButton="0" quotePrefix="0" xfId="0">
      <alignment horizontal="center" vertical="center" wrapText="1"/>
    </xf>
    <xf numFmtId="0" fontId="14" fillId="14" borderId="1" applyAlignment="1" pivotButton="0" quotePrefix="0" xfId="0">
      <alignment horizontal="center" vertical="center" wrapText="1"/>
    </xf>
    <xf numFmtId="0" fontId="15" fillId="14" borderId="1" applyAlignment="1" pivotButton="0" quotePrefix="0" xfId="0">
      <alignment horizontal="left" vertical="center" wrapText="1"/>
    </xf>
    <xf numFmtId="0" fontId="16" fillId="16" borderId="1" applyAlignment="1" pivotButton="0" quotePrefix="0" xfId="0">
      <alignment horizontal="center" vertical="center" wrapText="1"/>
    </xf>
    <xf numFmtId="0" fontId="17" fillId="16" borderId="1" applyAlignment="1" pivotButton="0" quotePrefix="0" xfId="0">
      <alignment horizontal="left" vertical="center" wrapText="1"/>
    </xf>
    <xf numFmtId="0" fontId="18" fillId="17" borderId="1" applyAlignment="1" pivotButton="0" quotePrefix="0" xfId="0">
      <alignment horizontal="center" vertical="center" wrapText="1"/>
    </xf>
    <xf numFmtId="0" fontId="19" fillId="17" borderId="1" applyAlignment="1" pivotButton="0" quotePrefix="0" xfId="0">
      <alignment horizontal="left" vertical="center" wrapText="1"/>
    </xf>
    <xf numFmtId="0" fontId="20" fillId="18" borderId="1" applyAlignment="1" pivotButton="0" quotePrefix="0" xfId="0">
      <alignment horizontal="center" vertical="center" wrapText="1"/>
    </xf>
    <xf numFmtId="0" fontId="21" fillId="18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19" borderId="0" applyAlignment="1" pivotButton="0" quotePrefix="0" xfId="0">
      <alignment horizontal="center" vertical="center" wrapText="1"/>
    </xf>
    <xf numFmtId="0" fontId="22" fillId="0" borderId="0" pivotButton="0" quotePrefix="0" xfId="0"/>
    <xf numFmtId="0" fontId="23" fillId="20" borderId="0" applyAlignment="1" pivotButton="0" quotePrefix="0" xfId="0">
      <alignment horizontal="left" vertical="center" wrapText="1"/>
    </xf>
    <xf numFmtId="0" fontId="2" fillId="19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/>
    </xf>
    <xf numFmtId="3" fontId="7" fillId="4" borderId="1" applyAlignment="1" pivotButton="0" quotePrefix="0" xfId="0">
      <alignment horizontal="right" vertical="center"/>
    </xf>
    <xf numFmtId="3" fontId="3" fillId="5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center" vertical="center"/>
    </xf>
    <xf numFmtId="3" fontId="7" fillId="6" borderId="1" applyAlignment="1" pivotButton="0" quotePrefix="0" xfId="0">
      <alignment horizontal="right" vertical="center"/>
    </xf>
    <xf numFmtId="0" fontId="6" fillId="20" borderId="1" applyAlignment="1" pivotButton="0" quotePrefix="0" xfId="0">
      <alignment horizontal="left" vertical="center" wrapText="1"/>
    </xf>
    <xf numFmtId="1" fontId="3" fillId="20" borderId="1" applyAlignment="1" pivotButton="0" quotePrefix="0" xfId="0">
      <alignment horizontal="center"/>
    </xf>
    <xf numFmtId="0" fontId="8" fillId="20" borderId="1" applyAlignment="1" pivotButton="0" quotePrefix="0" xfId="0">
      <alignment horizontal="center" vertical="center" wrapText="1"/>
    </xf>
    <xf numFmtId="1" fontId="6" fillId="20" borderId="1" applyAlignment="1" pivotButton="0" quotePrefix="0" xfId="0">
      <alignment horizontal="center" vertical="center" wrapText="1"/>
    </xf>
    <xf numFmtId="4" fontId="6" fillId="20" borderId="1" applyAlignment="1" pivotButton="0" quotePrefix="0" xfId="0">
      <alignment horizontal="center" vertical="center" wrapText="1"/>
    </xf>
    <xf numFmtId="166" fontId="6" fillId="20" borderId="1" applyAlignment="1" pivotButton="0" quotePrefix="0" xfId="0">
      <alignment horizontal="center" vertical="center" wrapText="1"/>
    </xf>
    <xf numFmtId="0" fontId="6" fillId="2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18" customWidth="1" min="3" max="3"/>
    <col width="20" customWidth="1" min="4" max="4"/>
    <col width="18" customWidth="1" min="5" max="5"/>
    <col width="22" customWidth="1" min="6" max="6"/>
    <col width="16" customWidth="1" min="7" max="7"/>
    <col width="16" customWidth="1" min="8" max="8"/>
    <col width="18" customWidth="1" min="9" max="9"/>
    <col width="28" customWidth="1" min="10" max="10"/>
  </cols>
  <sheetData>
    <row r="1" ht="28" customHeight="1">
      <c r="A1" s="1" t="inlineStr">
        <is>
          <t>PERHITUNGAN MSE &amp; MAPE — MODEL LSTM — PREDIKSI HARGA SAHAM</t>
        </is>
      </c>
    </row>
    <row r="2" ht="20" customHeight="1">
      <c r="A2" s="2" t="inlineStr">
        <is>
          <t>MSE = Σ(Aktual−Prediksi)² / n     |     MAPE = (1/n) × Σ|Aktual−Prediksi|/Aktual × 100%</t>
        </is>
      </c>
    </row>
    <row r="4" ht="18" customHeight="1">
      <c r="A4" s="3" t="inlineStr">
        <is>
          <t>Model:</t>
        </is>
      </c>
      <c r="B4" s="4" t="inlineStr">
        <is>
          <t>LSTM</t>
        </is>
      </c>
      <c r="C4" s="5" t="inlineStr">
        <is>
          <t>| Isi kolom prediksi (D) dengan output hasil model kamu</t>
        </is>
      </c>
    </row>
    <row r="6" ht="40" customHeight="1">
      <c r="A6" s="6" t="inlineStr">
        <is>
          <t>No</t>
        </is>
      </c>
      <c r="B6" s="6" t="inlineStr">
        <is>
          <t>Tanggal</t>
        </is>
      </c>
      <c r="C6" s="6" t="inlineStr">
        <is>
          <t>Harga Aktual
(Rp)</t>
        </is>
      </c>
      <c r="D6" s="6" t="inlineStr">
        <is>
          <t>Prediksi LSTM
(Rp) ← Input</t>
        </is>
      </c>
      <c r="E6" s="6" t="inlineStr">
        <is>
          <t>Error
(Aktual−Prediksi)</t>
        </is>
      </c>
      <c r="F6" s="6" t="inlineStr">
        <is>
          <t>Error²
(Aktual−Prediksi)²</t>
        </is>
      </c>
      <c r="G6" s="6" t="inlineStr">
        <is>
          <t>|Error|
(Absolut)</t>
        </is>
      </c>
      <c r="H6" s="6" t="inlineStr">
        <is>
          <t>|Error|/Aktual</t>
        </is>
      </c>
      <c r="I6" s="6" t="inlineStr">
        <is>
          <t>MAPE
Kontribusi (%)</t>
        </is>
      </c>
      <c r="J6" s="6" t="inlineStr">
        <is>
          <t>Keterangan</t>
        </is>
      </c>
    </row>
    <row r="7">
      <c r="A7" s="7" t="n">
        <v>1</v>
      </c>
      <c r="B7" s="7" t="inlineStr">
        <is>
          <t>01 Jan 2024</t>
        </is>
      </c>
      <c r="C7" s="8" t="n">
        <v>7200</v>
      </c>
      <c r="D7" s="9" t="n">
        <v>7180</v>
      </c>
      <c r="E7" s="10">
        <f>C7-D7</f>
        <v/>
      </c>
      <c r="F7" s="11">
        <f>(C7-D7)^2</f>
        <v/>
      </c>
      <c r="G7" s="11">
        <f>ABS(C7-D7)</f>
        <v/>
      </c>
      <c r="H7" s="12">
        <f>ABS(C7-D7)/C7</f>
        <v/>
      </c>
      <c r="I7" s="13">
        <f>ABS(C7-D7)/C7*100</f>
        <v/>
      </c>
      <c r="J7" s="14">
        <f>IF(C7&gt;D7,"↑ Underestimasi (Aktual &gt; Prediksi)",IF(C7&lt;D7,"↓ Overestimasi (Aktual &lt; Prediksi)","✓ Tepat"))</f>
        <v/>
      </c>
    </row>
    <row r="8">
      <c r="A8" s="15" t="n">
        <v>2</v>
      </c>
      <c r="B8" s="15" t="inlineStr">
        <is>
          <t>02 Jan 2024</t>
        </is>
      </c>
      <c r="C8" s="16" t="n">
        <v>7350</v>
      </c>
      <c r="D8" s="9" t="n">
        <v>7320</v>
      </c>
      <c r="E8" s="17">
        <f>C8-D8</f>
        <v/>
      </c>
      <c r="F8" s="18">
        <f>(C8-D8)^2</f>
        <v/>
      </c>
      <c r="G8" s="18">
        <f>ABS(C8-D8)</f>
        <v/>
      </c>
      <c r="H8" s="19">
        <f>ABS(C8-D8)/C8</f>
        <v/>
      </c>
      <c r="I8" s="20">
        <f>ABS(C8-D8)/C8*100</f>
        <v/>
      </c>
      <c r="J8" s="21">
        <f>IF(C8&gt;D8,"↑ Underestimasi (Aktual &gt; Prediksi)",IF(C8&lt;D8,"↓ Overestimasi (Aktual &lt; Prediksi)","✓ Tepat"))</f>
        <v/>
      </c>
    </row>
    <row r="9">
      <c r="A9" s="7" t="n">
        <v>3</v>
      </c>
      <c r="B9" s="7" t="inlineStr">
        <is>
          <t>03 Jan 2024</t>
        </is>
      </c>
      <c r="C9" s="8" t="n">
        <v>7100</v>
      </c>
      <c r="D9" s="9" t="n">
        <v>7130</v>
      </c>
      <c r="E9" s="10">
        <f>C9-D9</f>
        <v/>
      </c>
      <c r="F9" s="11">
        <f>(C9-D9)^2</f>
        <v/>
      </c>
      <c r="G9" s="11">
        <f>ABS(C9-D9)</f>
        <v/>
      </c>
      <c r="H9" s="12">
        <f>ABS(C9-D9)/C9</f>
        <v/>
      </c>
      <c r="I9" s="13">
        <f>ABS(C9-D9)/C9*100</f>
        <v/>
      </c>
      <c r="J9" s="14">
        <f>IF(C9&gt;D9,"↑ Underestimasi (Aktual &gt; Prediksi)",IF(C9&lt;D9,"↓ Overestimasi (Aktual &lt; Prediksi)","✓ Tepat"))</f>
        <v/>
      </c>
    </row>
    <row r="10">
      <c r="A10" s="15" t="n">
        <v>4</v>
      </c>
      <c r="B10" s="15" t="inlineStr">
        <is>
          <t>04 Jan 2024</t>
        </is>
      </c>
      <c r="C10" s="16" t="n">
        <v>7450</v>
      </c>
      <c r="D10" s="9" t="n">
        <v>7410</v>
      </c>
      <c r="E10" s="17">
        <f>C10-D10</f>
        <v/>
      </c>
      <c r="F10" s="18">
        <f>(C10-D10)^2</f>
        <v/>
      </c>
      <c r="G10" s="18">
        <f>ABS(C10-D10)</f>
        <v/>
      </c>
      <c r="H10" s="19">
        <f>ABS(C10-D10)/C10</f>
        <v/>
      </c>
      <c r="I10" s="20">
        <f>ABS(C10-D10)/C10*100</f>
        <v/>
      </c>
      <c r="J10" s="21">
        <f>IF(C10&gt;D10,"↑ Underestimasi (Aktual &gt; Prediksi)",IF(C10&lt;D10,"↓ Overestimasi (Aktual &lt; Prediksi)","✓ Tepat"))</f>
        <v/>
      </c>
    </row>
    <row r="11">
      <c r="A11" s="7" t="n">
        <v>5</v>
      </c>
      <c r="B11" s="7" t="inlineStr">
        <is>
          <t>05 Jan 2024</t>
        </is>
      </c>
      <c r="C11" s="8" t="n">
        <v>7600</v>
      </c>
      <c r="D11" s="9" t="n">
        <v>7570</v>
      </c>
      <c r="E11" s="10">
        <f>C11-D11</f>
        <v/>
      </c>
      <c r="F11" s="11">
        <f>(C11-D11)^2</f>
        <v/>
      </c>
      <c r="G11" s="11">
        <f>ABS(C11-D11)</f>
        <v/>
      </c>
      <c r="H11" s="12">
        <f>ABS(C11-D11)/C11</f>
        <v/>
      </c>
      <c r="I11" s="13">
        <f>ABS(C11-D11)/C11*100</f>
        <v/>
      </c>
      <c r="J11" s="14">
        <f>IF(C11&gt;D11,"↑ Underestimasi (Aktual &gt; Prediksi)",IF(C11&lt;D11,"↓ Overestimasi (Aktual &lt; Prediksi)","✓ Tepat"))</f>
        <v/>
      </c>
    </row>
    <row r="12">
      <c r="A12" s="15" t="n">
        <v>6</v>
      </c>
      <c r="B12" s="15" t="inlineStr">
        <is>
          <t>06 Jan 2024</t>
        </is>
      </c>
      <c r="C12" s="16" t="n">
        <v>7300</v>
      </c>
      <c r="D12" s="9" t="n">
        <v>7330</v>
      </c>
      <c r="E12" s="17">
        <f>C12-D12</f>
        <v/>
      </c>
      <c r="F12" s="18">
        <f>(C12-D12)^2</f>
        <v/>
      </c>
      <c r="G12" s="18">
        <f>ABS(C12-D12)</f>
        <v/>
      </c>
      <c r="H12" s="19">
        <f>ABS(C12-D12)/C12</f>
        <v/>
      </c>
      <c r="I12" s="20">
        <f>ABS(C12-D12)/C12*100</f>
        <v/>
      </c>
      <c r="J12" s="21">
        <f>IF(C12&gt;D12,"↑ Underestimasi (Aktual &gt; Prediksi)",IF(C12&lt;D12,"↓ Overestimasi (Aktual &lt; Prediksi)","✓ Tepat"))</f>
        <v/>
      </c>
    </row>
    <row r="13">
      <c r="A13" s="7" t="n">
        <v>7</v>
      </c>
      <c r="B13" s="7" t="inlineStr">
        <is>
          <t>07 Jan 2024</t>
        </is>
      </c>
      <c r="C13" s="8" t="n">
        <v>7500</v>
      </c>
      <c r="D13" s="9" t="n">
        <v>7460</v>
      </c>
      <c r="E13" s="10">
        <f>C13-D13</f>
        <v/>
      </c>
      <c r="F13" s="11">
        <f>(C13-D13)^2</f>
        <v/>
      </c>
      <c r="G13" s="11">
        <f>ABS(C13-D13)</f>
        <v/>
      </c>
      <c r="H13" s="12">
        <f>ABS(C13-D13)/C13</f>
        <v/>
      </c>
      <c r="I13" s="13">
        <f>ABS(C13-D13)/C13*100</f>
        <v/>
      </c>
      <c r="J13" s="14">
        <f>IF(C13&gt;D13,"↑ Underestimasi (Aktual &gt; Prediksi)",IF(C13&lt;D13,"↓ Overestimasi (Aktual &lt; Prediksi)","✓ Tepat"))</f>
        <v/>
      </c>
    </row>
    <row r="14">
      <c r="A14" s="15" t="n">
        <v>8</v>
      </c>
      <c r="B14" s="15" t="inlineStr">
        <is>
          <t>08 Jan 2024</t>
        </is>
      </c>
      <c r="C14" s="16" t="n">
        <v>7250</v>
      </c>
      <c r="D14" s="9" t="n">
        <v>7290</v>
      </c>
      <c r="E14" s="17">
        <f>C14-D14</f>
        <v/>
      </c>
      <c r="F14" s="18">
        <f>(C14-D14)^2</f>
        <v/>
      </c>
      <c r="G14" s="18">
        <f>ABS(C14-D14)</f>
        <v/>
      </c>
      <c r="H14" s="19">
        <f>ABS(C14-D14)/C14</f>
        <v/>
      </c>
      <c r="I14" s="20">
        <f>ABS(C14-D14)/C14*100</f>
        <v/>
      </c>
      <c r="J14" s="21">
        <f>IF(C14&gt;D14,"↑ Underestimasi (Aktual &gt; Prediksi)",IF(C14&lt;D14,"↓ Overestimasi (Aktual &lt; Prediksi)","✓ Tepat"))</f>
        <v/>
      </c>
    </row>
    <row r="15">
      <c r="A15" s="7" t="n">
        <v>9</v>
      </c>
      <c r="B15" s="7" t="inlineStr">
        <is>
          <t>09 Jan 2024</t>
        </is>
      </c>
      <c r="C15" s="8" t="n">
        <v>7700</v>
      </c>
      <c r="D15" s="9" t="n">
        <v>7660</v>
      </c>
      <c r="E15" s="10">
        <f>C15-D15</f>
        <v/>
      </c>
      <c r="F15" s="11">
        <f>(C15-D15)^2</f>
        <v/>
      </c>
      <c r="G15" s="11">
        <f>ABS(C15-D15)</f>
        <v/>
      </c>
      <c r="H15" s="12">
        <f>ABS(C15-D15)/C15</f>
        <v/>
      </c>
      <c r="I15" s="13">
        <f>ABS(C15-D15)/C15*100</f>
        <v/>
      </c>
      <c r="J15" s="14">
        <f>IF(C15&gt;D15,"↑ Underestimasi (Aktual &gt; Prediksi)",IF(C15&lt;D15,"↓ Overestimasi (Aktual &lt; Prediksi)","✓ Tepat"))</f>
        <v/>
      </c>
    </row>
    <row r="16">
      <c r="A16" s="15" t="n">
        <v>10</v>
      </c>
      <c r="B16" s="15" t="inlineStr">
        <is>
          <t>10 Jan 2024</t>
        </is>
      </c>
      <c r="C16" s="16" t="n">
        <v>7800</v>
      </c>
      <c r="D16" s="9" t="n">
        <v>7770</v>
      </c>
      <c r="E16" s="17">
        <f>C16-D16</f>
        <v/>
      </c>
      <c r="F16" s="18">
        <f>(C16-D16)^2</f>
        <v/>
      </c>
      <c r="G16" s="18">
        <f>ABS(C16-D16)</f>
        <v/>
      </c>
      <c r="H16" s="19">
        <f>ABS(C16-D16)/C16</f>
        <v/>
      </c>
      <c r="I16" s="20">
        <f>ABS(C16-D16)/C16*100</f>
        <v/>
      </c>
      <c r="J16" s="21">
        <f>IF(C16&gt;D16,"↑ Underestimasi (Aktual &gt; Prediksi)",IF(C16&lt;D16,"↓ Overestimasi (Aktual &lt; Prediksi)","✓ Tepat"))</f>
        <v/>
      </c>
    </row>
    <row r="17">
      <c r="A17" s="7" t="n">
        <v>11</v>
      </c>
      <c r="B17" s="7" t="inlineStr">
        <is>
          <t>11 Jan 2024</t>
        </is>
      </c>
      <c r="C17" s="8" t="n">
        <v>7650</v>
      </c>
      <c r="D17" s="9" t="n">
        <v>7680</v>
      </c>
      <c r="E17" s="10">
        <f>C17-D17</f>
        <v/>
      </c>
      <c r="F17" s="11">
        <f>(C17-D17)^2</f>
        <v/>
      </c>
      <c r="G17" s="11">
        <f>ABS(C17-D17)</f>
        <v/>
      </c>
      <c r="H17" s="12">
        <f>ABS(C17-D17)/C17</f>
        <v/>
      </c>
      <c r="I17" s="13">
        <f>ABS(C17-D17)/C17*100</f>
        <v/>
      </c>
      <c r="J17" s="14">
        <f>IF(C17&gt;D17,"↑ Underestimasi (Aktual &gt; Prediksi)",IF(C17&lt;D17,"↓ Overestimasi (Aktual &lt; Prediksi)","✓ Tepat"))</f>
        <v/>
      </c>
    </row>
    <row r="18">
      <c r="A18" s="15" t="n">
        <v>12</v>
      </c>
      <c r="B18" s="15" t="inlineStr">
        <is>
          <t>12 Jan 2024</t>
        </is>
      </c>
      <c r="C18" s="16" t="n">
        <v>7400</v>
      </c>
      <c r="D18" s="9" t="n">
        <v>7430</v>
      </c>
      <c r="E18" s="17">
        <f>C18-D18</f>
        <v/>
      </c>
      <c r="F18" s="18">
        <f>(C18-D18)^2</f>
        <v/>
      </c>
      <c r="G18" s="18">
        <f>ABS(C18-D18)</f>
        <v/>
      </c>
      <c r="H18" s="19">
        <f>ABS(C18-D18)/C18</f>
        <v/>
      </c>
      <c r="I18" s="20">
        <f>ABS(C18-D18)/C18*100</f>
        <v/>
      </c>
      <c r="J18" s="21">
        <f>IF(C18&gt;D18,"↑ Underestimasi (Aktual &gt; Prediksi)",IF(C18&lt;D18,"↓ Overestimasi (Aktual &lt; Prediksi)","✓ Tepat"))</f>
        <v/>
      </c>
    </row>
    <row r="19">
      <c r="A19" s="7" t="n">
        <v>13</v>
      </c>
      <c r="B19" s="7" t="inlineStr">
        <is>
          <t>13 Jan 2024</t>
        </is>
      </c>
      <c r="C19" s="8" t="n">
        <v>7550</v>
      </c>
      <c r="D19" s="9" t="n">
        <v>7510</v>
      </c>
      <c r="E19" s="10">
        <f>C19-D19</f>
        <v/>
      </c>
      <c r="F19" s="11">
        <f>(C19-D19)^2</f>
        <v/>
      </c>
      <c r="G19" s="11">
        <f>ABS(C19-D19)</f>
        <v/>
      </c>
      <c r="H19" s="12">
        <f>ABS(C19-D19)/C19</f>
        <v/>
      </c>
      <c r="I19" s="13">
        <f>ABS(C19-D19)/C19*100</f>
        <v/>
      </c>
      <c r="J19" s="14">
        <f>IF(C19&gt;D19,"↑ Underestimasi (Aktual &gt; Prediksi)",IF(C19&lt;D19,"↓ Overestimasi (Aktual &lt; Prediksi)","✓ Tepat"))</f>
        <v/>
      </c>
    </row>
    <row r="20">
      <c r="A20" s="15" t="n">
        <v>14</v>
      </c>
      <c r="B20" s="15" t="inlineStr">
        <is>
          <t>14 Jan 2024</t>
        </is>
      </c>
      <c r="C20" s="16" t="n">
        <v>7900</v>
      </c>
      <c r="D20" s="9" t="n">
        <v>7860</v>
      </c>
      <c r="E20" s="17">
        <f>C20-D20</f>
        <v/>
      </c>
      <c r="F20" s="18">
        <f>(C20-D20)^2</f>
        <v/>
      </c>
      <c r="G20" s="18">
        <f>ABS(C20-D20)</f>
        <v/>
      </c>
      <c r="H20" s="19">
        <f>ABS(C20-D20)/C20</f>
        <v/>
      </c>
      <c r="I20" s="20">
        <f>ABS(C20-D20)/C20*100</f>
        <v/>
      </c>
      <c r="J20" s="21">
        <f>IF(C20&gt;D20,"↑ Underestimasi (Aktual &gt; Prediksi)",IF(C20&lt;D20,"↓ Overestimasi (Aktual &lt; Prediksi)","✓ Tepat"))</f>
        <v/>
      </c>
    </row>
    <row r="21">
      <c r="A21" s="7" t="n">
        <v>15</v>
      </c>
      <c r="B21" s="7" t="inlineStr">
        <is>
          <t>15 Jan 2024</t>
        </is>
      </c>
      <c r="C21" s="8" t="n">
        <v>8000</v>
      </c>
      <c r="D21" s="9" t="n">
        <v>7970</v>
      </c>
      <c r="E21" s="10">
        <f>C21-D21</f>
        <v/>
      </c>
      <c r="F21" s="11">
        <f>(C21-D21)^2</f>
        <v/>
      </c>
      <c r="G21" s="11">
        <f>ABS(C21-D21)</f>
        <v/>
      </c>
      <c r="H21" s="12">
        <f>ABS(C21-D21)/C21</f>
        <v/>
      </c>
      <c r="I21" s="13">
        <f>ABS(C21-D21)/C21*100</f>
        <v/>
      </c>
      <c r="J21" s="14">
        <f>IF(C21&gt;D21,"↑ Underestimasi (Aktual &gt; Prediksi)",IF(C21&lt;D21,"↓ Overestimasi (Aktual &lt; Prediksi)","✓ Tepat"))</f>
        <v/>
      </c>
    </row>
    <row r="22">
      <c r="A22" s="22" t="inlineStr">
        <is>
          <t>Σ  JUMLAH TOTAL</t>
        </is>
      </c>
      <c r="B22" s="63" t="n"/>
      <c r="C22" s="63" t="n"/>
      <c r="D22" s="63" t="n"/>
      <c r="E22" s="64" t="n"/>
      <c r="F22" s="24">
        <f>SUM(F7:F21)</f>
        <v/>
      </c>
      <c r="G22" s="24">
        <f>SUM(G7:G21)</f>
        <v/>
      </c>
      <c r="H22" s="24">
        <f>SUM(H7:H21)</f>
        <v/>
      </c>
      <c r="I22" s="24">
        <f>SUM(I7:I21)</f>
        <v/>
      </c>
      <c r="J22" s="23" t="n"/>
    </row>
    <row r="24" ht="22" customHeight="1">
      <c r="A24" s="25" t="inlineStr">
        <is>
          <t>HASIL EVALUASI MODEL</t>
        </is>
      </c>
      <c r="B24" s="63" t="n"/>
      <c r="C24" s="63" t="n"/>
      <c r="D24" s="63" t="n"/>
      <c r="E24" s="63" t="n"/>
      <c r="F24" s="63" t="n"/>
      <c r="G24" s="63" t="n"/>
      <c r="H24" s="63" t="n"/>
      <c r="I24" s="63" t="n"/>
      <c r="J24" s="64" t="n"/>
    </row>
    <row r="25">
      <c r="A25" s="26" t="inlineStr">
        <is>
          <t>Jumlah Data (n)</t>
        </is>
      </c>
      <c r="B25" s="63" t="n"/>
      <c r="C25" s="63" t="n"/>
      <c r="D25" s="63" t="n"/>
      <c r="E25" s="64" t="n"/>
      <c r="F25" s="27" t="n">
        <v>15</v>
      </c>
      <c r="G25" s="63" t="n"/>
      <c r="H25" s="63" t="n"/>
      <c r="I25" s="63" t="n"/>
      <c r="J25" s="64" t="n"/>
    </row>
    <row r="26" ht="26" customHeight="1">
      <c r="A26" s="28" t="inlineStr">
        <is>
          <t>MSE  =  Σ(Aktual−Prediksi)² / n  =</t>
        </is>
      </c>
      <c r="B26" s="63" t="n"/>
      <c r="C26" s="63" t="n"/>
      <c r="D26" s="63" t="n"/>
      <c r="E26" s="64" t="n"/>
      <c r="F26" s="29">
        <f>F22/F25</f>
        <v/>
      </c>
      <c r="G26" s="63" t="n"/>
      <c r="H26" s="63" t="n"/>
      <c r="I26" s="63" t="n"/>
      <c r="J26" s="64" t="n"/>
    </row>
    <row r="27" ht="26" customHeight="1">
      <c r="A27" s="30" t="inlineStr">
        <is>
          <t>RMSE  =  √MSE  =</t>
        </is>
      </c>
      <c r="B27" s="63" t="n"/>
      <c r="C27" s="63" t="n"/>
      <c r="D27" s="63" t="n"/>
      <c r="E27" s="64" t="n"/>
      <c r="F27" s="31">
        <f>SQRT(F26)</f>
        <v/>
      </c>
      <c r="G27" s="63" t="n"/>
      <c r="H27" s="63" t="n"/>
      <c r="I27" s="63" t="n"/>
      <c r="J27" s="64" t="n"/>
    </row>
    <row r="28" ht="26" customHeight="1">
      <c r="A28" s="32" t="inlineStr">
        <is>
          <t>MAPE  =  (Σ|Error|/Aktual) / n × 100%  =</t>
        </is>
      </c>
      <c r="B28" s="63" t="n"/>
      <c r="C28" s="63" t="n"/>
      <c r="D28" s="63" t="n"/>
      <c r="E28" s="64" t="n"/>
      <c r="F28" s="33">
        <f>I22/F25</f>
        <v/>
      </c>
      <c r="G28" s="63" t="n"/>
      <c r="H28" s="63" t="n"/>
      <c r="I28" s="63" t="n"/>
      <c r="J28" s="64" t="n"/>
    </row>
    <row r="29" ht="22" customHeight="1">
      <c r="A29" s="34">
        <f>IF(F28&lt;10,"✅ Akurasi SANGAT BAIK — MAPE &lt; 10%",IF(F28&lt;20,"🟡 Akurasi BAIK — MAPE 10% s.d. 20%",IF(F28&lt;50,"🟠 Akurasi CUKUP — MAPE 20% s.d. 50%","🔴 Akurasi KURANG — MAPE &gt; 50%")))</f>
        <v/>
      </c>
      <c r="B29" s="63" t="n"/>
      <c r="C29" s="63" t="n"/>
      <c r="D29" s="63" t="n"/>
      <c r="E29" s="63" t="n"/>
      <c r="F29" s="63" t="n"/>
      <c r="G29" s="63" t="n"/>
      <c r="H29" s="63" t="n"/>
      <c r="I29" s="63" t="n"/>
      <c r="J29" s="64" t="n"/>
    </row>
  </sheetData>
  <mergeCells count="14">
    <mergeCell ref="J22"/>
    <mergeCell ref="A1:J1"/>
    <mergeCell ref="A26:E26"/>
    <mergeCell ref="A28:E28"/>
    <mergeCell ref="A25:E25"/>
    <mergeCell ref="F25:J25"/>
    <mergeCell ref="F28:J28"/>
    <mergeCell ref="A29:J29"/>
    <mergeCell ref="A24:J24"/>
    <mergeCell ref="A2:J2"/>
    <mergeCell ref="A22:E22"/>
    <mergeCell ref="F26:J26"/>
    <mergeCell ref="F27:J27"/>
    <mergeCell ref="A27:E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18" customWidth="1" min="3" max="3"/>
    <col width="20" customWidth="1" min="4" max="4"/>
    <col width="18" customWidth="1" min="5" max="5"/>
    <col width="22" customWidth="1" min="6" max="6"/>
    <col width="16" customWidth="1" min="7" max="7"/>
    <col width="16" customWidth="1" min="8" max="8"/>
    <col width="18" customWidth="1" min="9" max="9"/>
    <col width="28" customWidth="1" min="10" max="10"/>
  </cols>
  <sheetData>
    <row r="1" ht="28" customHeight="1">
      <c r="A1" s="1" t="inlineStr">
        <is>
          <t>PERHITUNGAN MSE &amp; MAPE — MODEL GRU — PREDIKSI HARGA SAHAM</t>
        </is>
      </c>
    </row>
    <row r="2" ht="20" customHeight="1">
      <c r="A2" s="35" t="inlineStr">
        <is>
          <t>MSE = Σ(Aktual−Prediksi)² / n     |     MAPE = (1/n) × Σ|Aktual−Prediksi|/Aktual × 100%</t>
        </is>
      </c>
    </row>
    <row r="4" ht="18" customHeight="1">
      <c r="A4" s="3" t="inlineStr">
        <is>
          <t>Model:</t>
        </is>
      </c>
      <c r="B4" s="36" t="inlineStr">
        <is>
          <t>GRU</t>
        </is>
      </c>
      <c r="C4" s="5" t="inlineStr">
        <is>
          <t>| Isi kolom prediksi (D) dengan output hasil model kamu</t>
        </is>
      </c>
    </row>
    <row r="6" ht="40" customHeight="1">
      <c r="A6" s="37" t="inlineStr">
        <is>
          <t>No</t>
        </is>
      </c>
      <c r="B6" s="37" t="inlineStr">
        <is>
          <t>Tanggal</t>
        </is>
      </c>
      <c r="C6" s="37" t="inlineStr">
        <is>
          <t>Harga Aktual
(Rp)</t>
        </is>
      </c>
      <c r="D6" s="37" t="inlineStr">
        <is>
          <t>Prediksi GRU
(Rp) ← Input</t>
        </is>
      </c>
      <c r="E6" s="37" t="inlineStr">
        <is>
          <t>Error
(Aktual−Prediksi)</t>
        </is>
      </c>
      <c r="F6" s="37" t="inlineStr">
        <is>
          <t>Error²
(Aktual−Prediksi)²</t>
        </is>
      </c>
      <c r="G6" s="37" t="inlineStr">
        <is>
          <t>|Error|
(Absolut)</t>
        </is>
      </c>
      <c r="H6" s="37" t="inlineStr">
        <is>
          <t>|Error|/Aktual</t>
        </is>
      </c>
      <c r="I6" s="37" t="inlineStr">
        <is>
          <t>MAPE
Kontribusi (%)</t>
        </is>
      </c>
      <c r="J6" s="37" t="inlineStr">
        <is>
          <t>Keterangan</t>
        </is>
      </c>
    </row>
    <row r="7">
      <c r="A7" s="7" t="n">
        <v>1</v>
      </c>
      <c r="B7" s="7" t="inlineStr">
        <is>
          <t>01 Jan 2024</t>
        </is>
      </c>
      <c r="C7" s="8" t="n">
        <v>7200</v>
      </c>
      <c r="D7" s="9" t="n">
        <v>7190</v>
      </c>
      <c r="E7" s="10">
        <f>C7-D7</f>
        <v/>
      </c>
      <c r="F7" s="11">
        <f>(C7-D7)^2</f>
        <v/>
      </c>
      <c r="G7" s="11">
        <f>ABS(C7-D7)</f>
        <v/>
      </c>
      <c r="H7" s="12">
        <f>ABS(C7-D7)/C7</f>
        <v/>
      </c>
      <c r="I7" s="13">
        <f>ABS(C7-D7)/C7*100</f>
        <v/>
      </c>
      <c r="J7" s="14">
        <f>IF(C7&gt;D7,"↑ Underestimasi (Aktual &gt; Prediksi)",IF(C7&lt;D7,"↓ Overestimasi (Aktual &lt; Prediksi)","✓ Tepat"))</f>
        <v/>
      </c>
    </row>
    <row r="8">
      <c r="A8" s="15" t="n">
        <v>2</v>
      </c>
      <c r="B8" s="15" t="inlineStr">
        <is>
          <t>02 Jan 2024</t>
        </is>
      </c>
      <c r="C8" s="16" t="n">
        <v>7350</v>
      </c>
      <c r="D8" s="9" t="n">
        <v>7340</v>
      </c>
      <c r="E8" s="17">
        <f>C8-D8</f>
        <v/>
      </c>
      <c r="F8" s="18">
        <f>(C8-D8)^2</f>
        <v/>
      </c>
      <c r="G8" s="18">
        <f>ABS(C8-D8)</f>
        <v/>
      </c>
      <c r="H8" s="19">
        <f>ABS(C8-D8)/C8</f>
        <v/>
      </c>
      <c r="I8" s="20">
        <f>ABS(C8-D8)/C8*100</f>
        <v/>
      </c>
      <c r="J8" s="21">
        <f>IF(C8&gt;D8,"↑ Underestimasi (Aktual &gt; Prediksi)",IF(C8&lt;D8,"↓ Overestimasi (Aktual &lt; Prediksi)","✓ Tepat"))</f>
        <v/>
      </c>
    </row>
    <row r="9">
      <c r="A9" s="7" t="n">
        <v>3</v>
      </c>
      <c r="B9" s="7" t="inlineStr">
        <is>
          <t>03 Jan 2024</t>
        </is>
      </c>
      <c r="C9" s="8" t="n">
        <v>7100</v>
      </c>
      <c r="D9" s="9" t="n">
        <v>7120</v>
      </c>
      <c r="E9" s="10">
        <f>C9-D9</f>
        <v/>
      </c>
      <c r="F9" s="11">
        <f>(C9-D9)^2</f>
        <v/>
      </c>
      <c r="G9" s="11">
        <f>ABS(C9-D9)</f>
        <v/>
      </c>
      <c r="H9" s="12">
        <f>ABS(C9-D9)/C9</f>
        <v/>
      </c>
      <c r="I9" s="13">
        <f>ABS(C9-D9)/C9*100</f>
        <v/>
      </c>
      <c r="J9" s="14">
        <f>IF(C9&gt;D9,"↑ Underestimasi (Aktual &gt; Prediksi)",IF(C9&lt;D9,"↓ Overestimasi (Aktual &lt; Prediksi)","✓ Tepat"))</f>
        <v/>
      </c>
    </row>
    <row r="10">
      <c r="A10" s="15" t="n">
        <v>4</v>
      </c>
      <c r="B10" s="15" t="inlineStr">
        <is>
          <t>04 Jan 2024</t>
        </is>
      </c>
      <c r="C10" s="16" t="n">
        <v>7450</v>
      </c>
      <c r="D10" s="9" t="n">
        <v>7430</v>
      </c>
      <c r="E10" s="17">
        <f>C10-D10</f>
        <v/>
      </c>
      <c r="F10" s="18">
        <f>(C10-D10)^2</f>
        <v/>
      </c>
      <c r="G10" s="18">
        <f>ABS(C10-D10)</f>
        <v/>
      </c>
      <c r="H10" s="19">
        <f>ABS(C10-D10)/C10</f>
        <v/>
      </c>
      <c r="I10" s="20">
        <f>ABS(C10-D10)/C10*100</f>
        <v/>
      </c>
      <c r="J10" s="21">
        <f>IF(C10&gt;D10,"↑ Underestimasi (Aktual &gt; Prediksi)",IF(C10&lt;D10,"↓ Overestimasi (Aktual &lt; Prediksi)","✓ Tepat"))</f>
        <v/>
      </c>
    </row>
    <row r="11">
      <c r="A11" s="7" t="n">
        <v>5</v>
      </c>
      <c r="B11" s="7" t="inlineStr">
        <is>
          <t>05 Jan 2024</t>
        </is>
      </c>
      <c r="C11" s="8" t="n">
        <v>7600</v>
      </c>
      <c r="D11" s="9" t="n">
        <v>7580</v>
      </c>
      <c r="E11" s="10">
        <f>C11-D11</f>
        <v/>
      </c>
      <c r="F11" s="11">
        <f>(C11-D11)^2</f>
        <v/>
      </c>
      <c r="G11" s="11">
        <f>ABS(C11-D11)</f>
        <v/>
      </c>
      <c r="H11" s="12">
        <f>ABS(C11-D11)/C11</f>
        <v/>
      </c>
      <c r="I11" s="13">
        <f>ABS(C11-D11)/C11*100</f>
        <v/>
      </c>
      <c r="J11" s="14">
        <f>IF(C11&gt;D11,"↑ Underestimasi (Aktual &gt; Prediksi)",IF(C11&lt;D11,"↓ Overestimasi (Aktual &lt; Prediksi)","✓ Tepat"))</f>
        <v/>
      </c>
    </row>
    <row r="12">
      <c r="A12" s="15" t="n">
        <v>6</v>
      </c>
      <c r="B12" s="15" t="inlineStr">
        <is>
          <t>06 Jan 2024</t>
        </is>
      </c>
      <c r="C12" s="16" t="n">
        <v>7300</v>
      </c>
      <c r="D12" s="9" t="n">
        <v>7310</v>
      </c>
      <c r="E12" s="17">
        <f>C12-D12</f>
        <v/>
      </c>
      <c r="F12" s="18">
        <f>(C12-D12)^2</f>
        <v/>
      </c>
      <c r="G12" s="18">
        <f>ABS(C12-D12)</f>
        <v/>
      </c>
      <c r="H12" s="19">
        <f>ABS(C12-D12)/C12</f>
        <v/>
      </c>
      <c r="I12" s="20">
        <f>ABS(C12-D12)/C12*100</f>
        <v/>
      </c>
      <c r="J12" s="21">
        <f>IF(C12&gt;D12,"↑ Underestimasi (Aktual &gt; Prediksi)",IF(C12&lt;D12,"↓ Overestimasi (Aktual &lt; Prediksi)","✓ Tepat"))</f>
        <v/>
      </c>
    </row>
    <row r="13">
      <c r="A13" s="7" t="n">
        <v>7</v>
      </c>
      <c r="B13" s="7" t="inlineStr">
        <is>
          <t>07 Jan 2024</t>
        </is>
      </c>
      <c r="C13" s="8" t="n">
        <v>7500</v>
      </c>
      <c r="D13" s="9" t="n">
        <v>7480</v>
      </c>
      <c r="E13" s="10">
        <f>C13-D13</f>
        <v/>
      </c>
      <c r="F13" s="11">
        <f>(C13-D13)^2</f>
        <v/>
      </c>
      <c r="G13" s="11">
        <f>ABS(C13-D13)</f>
        <v/>
      </c>
      <c r="H13" s="12">
        <f>ABS(C13-D13)/C13</f>
        <v/>
      </c>
      <c r="I13" s="13">
        <f>ABS(C13-D13)/C13*100</f>
        <v/>
      </c>
      <c r="J13" s="14">
        <f>IF(C13&gt;D13,"↑ Underestimasi (Aktual &gt; Prediksi)",IF(C13&lt;D13,"↓ Overestimasi (Aktual &lt; Prediksi)","✓ Tepat"))</f>
        <v/>
      </c>
    </row>
    <row r="14">
      <c r="A14" s="15" t="n">
        <v>8</v>
      </c>
      <c r="B14" s="15" t="inlineStr">
        <is>
          <t>08 Jan 2024</t>
        </is>
      </c>
      <c r="C14" s="16" t="n">
        <v>7250</v>
      </c>
      <c r="D14" s="9" t="n">
        <v>7270</v>
      </c>
      <c r="E14" s="17">
        <f>C14-D14</f>
        <v/>
      </c>
      <c r="F14" s="18">
        <f>(C14-D14)^2</f>
        <v/>
      </c>
      <c r="G14" s="18">
        <f>ABS(C14-D14)</f>
        <v/>
      </c>
      <c r="H14" s="19">
        <f>ABS(C14-D14)/C14</f>
        <v/>
      </c>
      <c r="I14" s="20">
        <f>ABS(C14-D14)/C14*100</f>
        <v/>
      </c>
      <c r="J14" s="21">
        <f>IF(C14&gt;D14,"↑ Underestimasi (Aktual &gt; Prediksi)",IF(C14&lt;D14,"↓ Overestimasi (Aktual &lt; Prediksi)","✓ Tepat"))</f>
        <v/>
      </c>
    </row>
    <row r="15">
      <c r="A15" s="7" t="n">
        <v>9</v>
      </c>
      <c r="B15" s="7" t="inlineStr">
        <is>
          <t>09 Jan 2024</t>
        </is>
      </c>
      <c r="C15" s="8" t="n">
        <v>7700</v>
      </c>
      <c r="D15" s="9" t="n">
        <v>7680</v>
      </c>
      <c r="E15" s="10">
        <f>C15-D15</f>
        <v/>
      </c>
      <c r="F15" s="11">
        <f>(C15-D15)^2</f>
        <v/>
      </c>
      <c r="G15" s="11">
        <f>ABS(C15-D15)</f>
        <v/>
      </c>
      <c r="H15" s="12">
        <f>ABS(C15-D15)/C15</f>
        <v/>
      </c>
      <c r="I15" s="13">
        <f>ABS(C15-D15)/C15*100</f>
        <v/>
      </c>
      <c r="J15" s="14">
        <f>IF(C15&gt;D15,"↑ Underestimasi (Aktual &gt; Prediksi)",IF(C15&lt;D15,"↓ Overestimasi (Aktual &lt; Prediksi)","✓ Tepat"))</f>
        <v/>
      </c>
    </row>
    <row r="16">
      <c r="A16" s="15" t="n">
        <v>10</v>
      </c>
      <c r="B16" s="15" t="inlineStr">
        <is>
          <t>10 Jan 2024</t>
        </is>
      </c>
      <c r="C16" s="16" t="n">
        <v>7800</v>
      </c>
      <c r="D16" s="9" t="n">
        <v>7790</v>
      </c>
      <c r="E16" s="17">
        <f>C16-D16</f>
        <v/>
      </c>
      <c r="F16" s="18">
        <f>(C16-D16)^2</f>
        <v/>
      </c>
      <c r="G16" s="18">
        <f>ABS(C16-D16)</f>
        <v/>
      </c>
      <c r="H16" s="19">
        <f>ABS(C16-D16)/C16</f>
        <v/>
      </c>
      <c r="I16" s="20">
        <f>ABS(C16-D16)/C16*100</f>
        <v/>
      </c>
      <c r="J16" s="21">
        <f>IF(C16&gt;D16,"↑ Underestimasi (Aktual &gt; Prediksi)",IF(C16&lt;D16,"↓ Overestimasi (Aktual &lt; Prediksi)","✓ Tepat"))</f>
        <v/>
      </c>
    </row>
    <row r="17">
      <c r="A17" s="7" t="n">
        <v>11</v>
      </c>
      <c r="B17" s="7" t="inlineStr">
        <is>
          <t>11 Jan 2024</t>
        </is>
      </c>
      <c r="C17" s="8" t="n">
        <v>7650</v>
      </c>
      <c r="D17" s="9" t="n">
        <v>7660</v>
      </c>
      <c r="E17" s="10">
        <f>C17-D17</f>
        <v/>
      </c>
      <c r="F17" s="11">
        <f>(C17-D17)^2</f>
        <v/>
      </c>
      <c r="G17" s="11">
        <f>ABS(C17-D17)</f>
        <v/>
      </c>
      <c r="H17" s="12">
        <f>ABS(C17-D17)/C17</f>
        <v/>
      </c>
      <c r="I17" s="13">
        <f>ABS(C17-D17)/C17*100</f>
        <v/>
      </c>
      <c r="J17" s="14">
        <f>IF(C17&gt;D17,"↑ Underestimasi (Aktual &gt; Prediksi)",IF(C17&lt;D17,"↓ Overestimasi (Aktual &lt; Prediksi)","✓ Tepat"))</f>
        <v/>
      </c>
    </row>
    <row r="18">
      <c r="A18" s="15" t="n">
        <v>12</v>
      </c>
      <c r="B18" s="15" t="inlineStr">
        <is>
          <t>12 Jan 2024</t>
        </is>
      </c>
      <c r="C18" s="16" t="n">
        <v>7400</v>
      </c>
      <c r="D18" s="9" t="n">
        <v>7420</v>
      </c>
      <c r="E18" s="17">
        <f>C18-D18</f>
        <v/>
      </c>
      <c r="F18" s="18">
        <f>(C18-D18)^2</f>
        <v/>
      </c>
      <c r="G18" s="18">
        <f>ABS(C18-D18)</f>
        <v/>
      </c>
      <c r="H18" s="19">
        <f>ABS(C18-D18)/C18</f>
        <v/>
      </c>
      <c r="I18" s="20">
        <f>ABS(C18-D18)/C18*100</f>
        <v/>
      </c>
      <c r="J18" s="21">
        <f>IF(C18&gt;D18,"↑ Underestimasi (Aktual &gt; Prediksi)",IF(C18&lt;D18,"↓ Overestimasi (Aktual &lt; Prediksi)","✓ Tepat"))</f>
        <v/>
      </c>
    </row>
    <row r="19">
      <c r="A19" s="7" t="n">
        <v>13</v>
      </c>
      <c r="B19" s="7" t="inlineStr">
        <is>
          <t>13 Jan 2024</t>
        </is>
      </c>
      <c r="C19" s="8" t="n">
        <v>7550</v>
      </c>
      <c r="D19" s="9" t="n">
        <v>7530</v>
      </c>
      <c r="E19" s="10">
        <f>C19-D19</f>
        <v/>
      </c>
      <c r="F19" s="11">
        <f>(C19-D19)^2</f>
        <v/>
      </c>
      <c r="G19" s="11">
        <f>ABS(C19-D19)</f>
        <v/>
      </c>
      <c r="H19" s="12">
        <f>ABS(C19-D19)/C19</f>
        <v/>
      </c>
      <c r="I19" s="13">
        <f>ABS(C19-D19)/C19*100</f>
        <v/>
      </c>
      <c r="J19" s="14">
        <f>IF(C19&gt;D19,"↑ Underestimasi (Aktual &gt; Prediksi)",IF(C19&lt;D19,"↓ Overestimasi (Aktual &lt; Prediksi)","✓ Tepat"))</f>
        <v/>
      </c>
    </row>
    <row r="20">
      <c r="A20" s="15" t="n">
        <v>14</v>
      </c>
      <c r="B20" s="15" t="inlineStr">
        <is>
          <t>14 Jan 2024</t>
        </is>
      </c>
      <c r="C20" s="16" t="n">
        <v>7900</v>
      </c>
      <c r="D20" s="9" t="n">
        <v>7880</v>
      </c>
      <c r="E20" s="17">
        <f>C20-D20</f>
        <v/>
      </c>
      <c r="F20" s="18">
        <f>(C20-D20)^2</f>
        <v/>
      </c>
      <c r="G20" s="18">
        <f>ABS(C20-D20)</f>
        <v/>
      </c>
      <c r="H20" s="19">
        <f>ABS(C20-D20)/C20</f>
        <v/>
      </c>
      <c r="I20" s="20">
        <f>ABS(C20-D20)/C20*100</f>
        <v/>
      </c>
      <c r="J20" s="21">
        <f>IF(C20&gt;D20,"↑ Underestimasi (Aktual &gt; Prediksi)",IF(C20&lt;D20,"↓ Overestimasi (Aktual &lt; Prediksi)","✓ Tepat"))</f>
        <v/>
      </c>
    </row>
    <row r="21">
      <c r="A21" s="7" t="n">
        <v>15</v>
      </c>
      <c r="B21" s="7" t="inlineStr">
        <is>
          <t>15 Jan 2024</t>
        </is>
      </c>
      <c r="C21" s="8" t="n">
        <v>8000</v>
      </c>
      <c r="D21" s="9" t="n">
        <v>7990</v>
      </c>
      <c r="E21" s="10">
        <f>C21-D21</f>
        <v/>
      </c>
      <c r="F21" s="11">
        <f>(C21-D21)^2</f>
        <v/>
      </c>
      <c r="G21" s="11">
        <f>ABS(C21-D21)</f>
        <v/>
      </c>
      <c r="H21" s="12">
        <f>ABS(C21-D21)/C21</f>
        <v/>
      </c>
      <c r="I21" s="13">
        <f>ABS(C21-D21)/C21*100</f>
        <v/>
      </c>
      <c r="J21" s="14">
        <f>IF(C21&gt;D21,"↑ Underestimasi (Aktual &gt; Prediksi)",IF(C21&lt;D21,"↓ Overestimasi (Aktual &lt; Prediksi)","✓ Tepat"))</f>
        <v/>
      </c>
    </row>
    <row r="22">
      <c r="A22" s="22" t="inlineStr">
        <is>
          <t>Σ  JUMLAH TOTAL</t>
        </is>
      </c>
      <c r="B22" s="63" t="n"/>
      <c r="C22" s="63" t="n"/>
      <c r="D22" s="63" t="n"/>
      <c r="E22" s="64" t="n"/>
      <c r="F22" s="24">
        <f>SUM(F7:F21)</f>
        <v/>
      </c>
      <c r="G22" s="24">
        <f>SUM(G7:G21)</f>
        <v/>
      </c>
      <c r="H22" s="24">
        <f>SUM(H7:H21)</f>
        <v/>
      </c>
      <c r="I22" s="24">
        <f>SUM(I7:I21)</f>
        <v/>
      </c>
      <c r="J22" s="23" t="n"/>
    </row>
    <row r="24" ht="22" customHeight="1">
      <c r="A24" s="25" t="inlineStr">
        <is>
          <t>HASIL EVALUASI MODEL</t>
        </is>
      </c>
      <c r="B24" s="63" t="n"/>
      <c r="C24" s="63" t="n"/>
      <c r="D24" s="63" t="n"/>
      <c r="E24" s="63" t="n"/>
      <c r="F24" s="63" t="n"/>
      <c r="G24" s="63" t="n"/>
      <c r="H24" s="63" t="n"/>
      <c r="I24" s="63" t="n"/>
      <c r="J24" s="64" t="n"/>
    </row>
    <row r="25">
      <c r="A25" s="38" t="inlineStr">
        <is>
          <t>Jumlah Data (n)</t>
        </is>
      </c>
      <c r="B25" s="63" t="n"/>
      <c r="C25" s="63" t="n"/>
      <c r="D25" s="63" t="n"/>
      <c r="E25" s="64" t="n"/>
      <c r="F25" s="39" t="n">
        <v>15</v>
      </c>
      <c r="G25" s="63" t="n"/>
      <c r="H25" s="63" t="n"/>
      <c r="I25" s="63" t="n"/>
      <c r="J25" s="64" t="n"/>
    </row>
    <row r="26" ht="26" customHeight="1">
      <c r="A26" s="28" t="inlineStr">
        <is>
          <t>MSE  =  Σ(Aktual−Prediksi)² / n  =</t>
        </is>
      </c>
      <c r="B26" s="63" t="n"/>
      <c r="C26" s="63" t="n"/>
      <c r="D26" s="63" t="n"/>
      <c r="E26" s="64" t="n"/>
      <c r="F26" s="29">
        <f>F22/F25</f>
        <v/>
      </c>
      <c r="G26" s="63" t="n"/>
      <c r="H26" s="63" t="n"/>
      <c r="I26" s="63" t="n"/>
      <c r="J26" s="64" t="n"/>
    </row>
    <row r="27" ht="26" customHeight="1">
      <c r="A27" s="30" t="inlineStr">
        <is>
          <t>RMSE  =  √MSE  =</t>
        </is>
      </c>
      <c r="B27" s="63" t="n"/>
      <c r="C27" s="63" t="n"/>
      <c r="D27" s="63" t="n"/>
      <c r="E27" s="64" t="n"/>
      <c r="F27" s="31">
        <f>SQRT(F26)</f>
        <v/>
      </c>
      <c r="G27" s="63" t="n"/>
      <c r="H27" s="63" t="n"/>
      <c r="I27" s="63" t="n"/>
      <c r="J27" s="64" t="n"/>
    </row>
    <row r="28" ht="26" customHeight="1">
      <c r="A28" s="32" t="inlineStr">
        <is>
          <t>MAPE  =  (Σ|Error|/Aktual) / n × 100%  =</t>
        </is>
      </c>
      <c r="B28" s="63" t="n"/>
      <c r="C28" s="63" t="n"/>
      <c r="D28" s="63" t="n"/>
      <c r="E28" s="64" t="n"/>
      <c r="F28" s="33">
        <f>I22/F25</f>
        <v/>
      </c>
      <c r="G28" s="63" t="n"/>
      <c r="H28" s="63" t="n"/>
      <c r="I28" s="63" t="n"/>
      <c r="J28" s="64" t="n"/>
    </row>
    <row r="29" ht="22" customHeight="1">
      <c r="A29" s="34">
        <f>IF(F28&lt;10,"✅ Akurasi SANGAT BAIK — MAPE &lt; 10%",IF(F28&lt;20,"🟡 Akurasi BAIK — MAPE 10% s.d. 20%",IF(F28&lt;50,"🟠 Akurasi CUKUP — MAPE 20% s.d. 50%","🔴 Akurasi KURANG — MAPE &gt; 50%")))</f>
        <v/>
      </c>
      <c r="B29" s="63" t="n"/>
      <c r="C29" s="63" t="n"/>
      <c r="D29" s="63" t="n"/>
      <c r="E29" s="63" t="n"/>
      <c r="F29" s="63" t="n"/>
      <c r="G29" s="63" t="n"/>
      <c r="H29" s="63" t="n"/>
      <c r="I29" s="63" t="n"/>
      <c r="J29" s="64" t="n"/>
    </row>
  </sheetData>
  <mergeCells count="14">
    <mergeCell ref="J22"/>
    <mergeCell ref="A1:J1"/>
    <mergeCell ref="A26:E26"/>
    <mergeCell ref="A28:E28"/>
    <mergeCell ref="A25:E25"/>
    <mergeCell ref="F25:J25"/>
    <mergeCell ref="F28:J28"/>
    <mergeCell ref="A29:J29"/>
    <mergeCell ref="A24:J24"/>
    <mergeCell ref="A2:J2"/>
    <mergeCell ref="A22:E22"/>
    <mergeCell ref="F26:J26"/>
    <mergeCell ref="F27:J27"/>
    <mergeCell ref="A27:E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18" customWidth="1" min="3" max="3"/>
    <col width="22" customWidth="1" min="4" max="4"/>
    <col width="18" customWidth="1" min="5" max="5"/>
    <col width="22" customWidth="1" min="6" max="6"/>
    <col width="16" customWidth="1" min="7" max="7"/>
    <col width="16" customWidth="1" min="8" max="8"/>
    <col width="18" customWidth="1" min="9" max="9"/>
    <col width="28" customWidth="1" min="10" max="10"/>
  </cols>
  <sheetData>
    <row r="1" ht="28" customHeight="1">
      <c r="A1" s="1" t="inlineStr">
        <is>
          <t>PERHITUNGAN MSE &amp; MAPE — MODEL HYBRID LSTM-GRU — PREDIKSI HARGA SAHAM</t>
        </is>
      </c>
    </row>
    <row r="2" ht="20" customHeight="1">
      <c r="A2" s="65" t="inlineStr">
        <is>
          <t>MSE = Σ(Aktual−Prediksi)² / n     |     MAPE = (1/n) × Σ|Aktual−Prediksi|/Aktual × 100%</t>
        </is>
      </c>
    </row>
    <row r="4" ht="18" customHeight="1">
      <c r="A4" s="3" t="inlineStr">
        <is>
          <t>Model:</t>
        </is>
      </c>
      <c r="B4" s="66" t="inlineStr">
        <is>
          <t>Hybrid LSTM-GRU</t>
        </is>
      </c>
      <c r="C4" s="5" t="inlineStr">
        <is>
          <t>| Isi kolom prediksi (D) dengan output hasil model kamu</t>
        </is>
      </c>
    </row>
    <row r="5" ht="28" customHeight="1">
      <c r="A5" s="67" t="inlineStr">
        <is>
          <t>ℹ️  Model Hybrid LSTM-GRU menggabungkan kemampuan LSTM (memori jangka panjang) dan GRU (efisiensi komputasi) secara berurutan untuk meningkatkan akurasi prediksi.</t>
        </is>
      </c>
    </row>
    <row r="7" ht="40" customHeight="1">
      <c r="A7" s="68" t="inlineStr">
        <is>
          <t>No</t>
        </is>
      </c>
      <c r="B7" s="68" t="inlineStr">
        <is>
          <t>Tanggal</t>
        </is>
      </c>
      <c r="C7" s="68" t="inlineStr">
        <is>
          <t>Harga Aktual
(Rp)</t>
        </is>
      </c>
      <c r="D7" s="68" t="inlineStr">
        <is>
          <t>Prediksi Hybrid
LSTM-GRU (Rp) ← Input</t>
        </is>
      </c>
      <c r="E7" s="68" t="inlineStr">
        <is>
          <t>Error
(Aktual−Prediksi)</t>
        </is>
      </c>
      <c r="F7" s="68" t="inlineStr">
        <is>
          <t>Error²
(Aktual−Prediksi)²</t>
        </is>
      </c>
      <c r="G7" s="68" t="inlineStr">
        <is>
          <t>|Error|
(Absolut)</t>
        </is>
      </c>
      <c r="H7" s="68" t="inlineStr">
        <is>
          <t>|Error|/Aktual</t>
        </is>
      </c>
      <c r="I7" s="68" t="inlineStr">
        <is>
          <t>MAPE
Kontribusi (%)</t>
        </is>
      </c>
      <c r="J7" s="68" t="inlineStr">
        <is>
          <t>Keterangan</t>
        </is>
      </c>
    </row>
    <row r="8">
      <c r="A8" s="69" t="n">
        <v>1</v>
      </c>
      <c r="B8" s="69" t="inlineStr">
        <is>
          <t>01 Jan 2024</t>
        </is>
      </c>
      <c r="C8" s="70" t="n">
        <v>7200</v>
      </c>
      <c r="D8" s="71" t="n">
        <v>7195</v>
      </c>
      <c r="E8" s="10">
        <f>C8-D8</f>
        <v/>
      </c>
      <c r="F8" s="11">
        <f>(C8-D8)^2</f>
        <v/>
      </c>
      <c r="G8" s="11">
        <f>ABS(C8-D8)</f>
        <v/>
      </c>
      <c r="H8" s="12">
        <f>ABS(C8-D8)/C8</f>
        <v/>
      </c>
      <c r="I8" s="13">
        <f>ABS(C8-D8)/C8*100</f>
        <v/>
      </c>
      <c r="J8" s="14">
        <f>IF(C8&gt;D8,"↑ Underestimasi (Aktual &gt; Prediksi)",IF(C8&lt;D8,"↓ Overestimasi (Aktual &lt; Prediksi)","✓ Tepat"))</f>
        <v/>
      </c>
    </row>
    <row r="9">
      <c r="A9" s="72" t="n">
        <v>2</v>
      </c>
      <c r="B9" s="72" t="inlineStr">
        <is>
          <t>02 Jan 2024</t>
        </is>
      </c>
      <c r="C9" s="73" t="n">
        <v>7350</v>
      </c>
      <c r="D9" s="71" t="n">
        <v>7340</v>
      </c>
      <c r="E9" s="17">
        <f>C9-D9</f>
        <v/>
      </c>
      <c r="F9" s="18">
        <f>(C9-D9)^2</f>
        <v/>
      </c>
      <c r="G9" s="18">
        <f>ABS(C9-D9)</f>
        <v/>
      </c>
      <c r="H9" s="19">
        <f>ABS(C9-D9)/C9</f>
        <v/>
      </c>
      <c r="I9" s="20">
        <f>ABS(C9-D9)/C9*100</f>
        <v/>
      </c>
      <c r="J9" s="21">
        <f>IF(C9&gt;D9,"↑ Underestimasi (Aktual &gt; Prediksi)",IF(C9&lt;D9,"↓ Overestimasi (Aktual &lt; Prediksi)","✓ Tepat"))</f>
        <v/>
      </c>
    </row>
    <row r="10">
      <c r="A10" s="69" t="n">
        <v>3</v>
      </c>
      <c r="B10" s="69" t="inlineStr">
        <is>
          <t>03 Jan 2024</t>
        </is>
      </c>
      <c r="C10" s="70" t="n">
        <v>7100</v>
      </c>
      <c r="D10" s="71" t="n">
        <v>7115</v>
      </c>
      <c r="E10" s="10">
        <f>C10-D10</f>
        <v/>
      </c>
      <c r="F10" s="11">
        <f>(C10-D10)^2</f>
        <v/>
      </c>
      <c r="G10" s="11">
        <f>ABS(C10-D10)</f>
        <v/>
      </c>
      <c r="H10" s="12">
        <f>ABS(C10-D10)/C10</f>
        <v/>
      </c>
      <c r="I10" s="13">
        <f>ABS(C10-D10)/C10*100</f>
        <v/>
      </c>
      <c r="J10" s="14">
        <f>IF(C10&gt;D10,"↑ Underestimasi (Aktual &gt; Prediksi)",IF(C10&lt;D10,"↓ Overestimasi (Aktual &lt; Prediksi)","✓ Tepat"))</f>
        <v/>
      </c>
    </row>
    <row r="11">
      <c r="A11" s="72" t="n">
        <v>4</v>
      </c>
      <c r="B11" s="72" t="inlineStr">
        <is>
          <t>04 Jan 2024</t>
        </is>
      </c>
      <c r="C11" s="73" t="n">
        <v>7450</v>
      </c>
      <c r="D11" s="71" t="n">
        <v>7440</v>
      </c>
      <c r="E11" s="17">
        <f>C11-D11</f>
        <v/>
      </c>
      <c r="F11" s="18">
        <f>(C11-D11)^2</f>
        <v/>
      </c>
      <c r="G11" s="18">
        <f>ABS(C11-D11)</f>
        <v/>
      </c>
      <c r="H11" s="19">
        <f>ABS(C11-D11)/C11</f>
        <v/>
      </c>
      <c r="I11" s="20">
        <f>ABS(C11-D11)/C11*100</f>
        <v/>
      </c>
      <c r="J11" s="21">
        <f>IF(C11&gt;D11,"↑ Underestimasi (Aktual &gt; Prediksi)",IF(C11&lt;D11,"↓ Overestimasi (Aktual &lt; Prediksi)","✓ Tepat"))</f>
        <v/>
      </c>
    </row>
    <row r="12">
      <c r="A12" s="69" t="n">
        <v>5</v>
      </c>
      <c r="B12" s="69" t="inlineStr">
        <is>
          <t>05 Jan 2024</t>
        </is>
      </c>
      <c r="C12" s="70" t="n">
        <v>7600</v>
      </c>
      <c r="D12" s="71" t="n">
        <v>7590</v>
      </c>
      <c r="E12" s="10">
        <f>C12-D12</f>
        <v/>
      </c>
      <c r="F12" s="11">
        <f>(C12-D12)^2</f>
        <v/>
      </c>
      <c r="G12" s="11">
        <f>ABS(C12-D12)</f>
        <v/>
      </c>
      <c r="H12" s="12">
        <f>ABS(C12-D12)/C12</f>
        <v/>
      </c>
      <c r="I12" s="13">
        <f>ABS(C12-D12)/C12*100</f>
        <v/>
      </c>
      <c r="J12" s="14">
        <f>IF(C12&gt;D12,"↑ Underestimasi (Aktual &gt; Prediksi)",IF(C12&lt;D12,"↓ Overestimasi (Aktual &lt; Prediksi)","✓ Tepat"))</f>
        <v/>
      </c>
    </row>
    <row r="13">
      <c r="A13" s="72" t="n">
        <v>6</v>
      </c>
      <c r="B13" s="72" t="inlineStr">
        <is>
          <t>06 Jan 2024</t>
        </is>
      </c>
      <c r="C13" s="73" t="n">
        <v>7300</v>
      </c>
      <c r="D13" s="71" t="n">
        <v>7315</v>
      </c>
      <c r="E13" s="17">
        <f>C13-D13</f>
        <v/>
      </c>
      <c r="F13" s="18">
        <f>(C13-D13)^2</f>
        <v/>
      </c>
      <c r="G13" s="18">
        <f>ABS(C13-D13)</f>
        <v/>
      </c>
      <c r="H13" s="19">
        <f>ABS(C13-D13)/C13</f>
        <v/>
      </c>
      <c r="I13" s="20">
        <f>ABS(C13-D13)/C13*100</f>
        <v/>
      </c>
      <c r="J13" s="21">
        <f>IF(C13&gt;D13,"↑ Underestimasi (Aktual &gt; Prediksi)",IF(C13&lt;D13,"↓ Overestimasi (Aktual &lt; Prediksi)","✓ Tepat"))</f>
        <v/>
      </c>
    </row>
    <row r="14">
      <c r="A14" s="69" t="n">
        <v>7</v>
      </c>
      <c r="B14" s="69" t="inlineStr">
        <is>
          <t>07 Jan 2024</t>
        </is>
      </c>
      <c r="C14" s="70" t="n">
        <v>7500</v>
      </c>
      <c r="D14" s="71" t="n">
        <v>7490</v>
      </c>
      <c r="E14" s="10">
        <f>C14-D14</f>
        <v/>
      </c>
      <c r="F14" s="11">
        <f>(C14-D14)^2</f>
        <v/>
      </c>
      <c r="G14" s="11">
        <f>ABS(C14-D14)</f>
        <v/>
      </c>
      <c r="H14" s="12">
        <f>ABS(C14-D14)/C14</f>
        <v/>
      </c>
      <c r="I14" s="13">
        <f>ABS(C14-D14)/C14*100</f>
        <v/>
      </c>
      <c r="J14" s="14">
        <f>IF(C14&gt;D14,"↑ Underestimasi (Aktual &gt; Prediksi)",IF(C14&lt;D14,"↓ Overestimasi (Aktual &lt; Prediksi)","✓ Tepat"))</f>
        <v/>
      </c>
    </row>
    <row r="15">
      <c r="A15" s="72" t="n">
        <v>8</v>
      </c>
      <c r="B15" s="72" t="inlineStr">
        <is>
          <t>08 Jan 2024</t>
        </is>
      </c>
      <c r="C15" s="73" t="n">
        <v>7250</v>
      </c>
      <c r="D15" s="71" t="n">
        <v>7260</v>
      </c>
      <c r="E15" s="17">
        <f>C15-D15</f>
        <v/>
      </c>
      <c r="F15" s="18">
        <f>(C15-D15)^2</f>
        <v/>
      </c>
      <c r="G15" s="18">
        <f>ABS(C15-D15)</f>
        <v/>
      </c>
      <c r="H15" s="19">
        <f>ABS(C15-D15)/C15</f>
        <v/>
      </c>
      <c r="I15" s="20">
        <f>ABS(C15-D15)/C15*100</f>
        <v/>
      </c>
      <c r="J15" s="21">
        <f>IF(C15&gt;D15,"↑ Underestimasi (Aktual &gt; Prediksi)",IF(C15&lt;D15,"↓ Overestimasi (Aktual &lt; Prediksi)","✓ Tepat"))</f>
        <v/>
      </c>
    </row>
    <row r="16">
      <c r="A16" s="69" t="n">
        <v>9</v>
      </c>
      <c r="B16" s="69" t="inlineStr">
        <is>
          <t>09 Jan 2024</t>
        </is>
      </c>
      <c r="C16" s="70" t="n">
        <v>7700</v>
      </c>
      <c r="D16" s="71" t="n">
        <v>7690</v>
      </c>
      <c r="E16" s="10">
        <f>C16-D16</f>
        <v/>
      </c>
      <c r="F16" s="11">
        <f>(C16-D16)^2</f>
        <v/>
      </c>
      <c r="G16" s="11">
        <f>ABS(C16-D16)</f>
        <v/>
      </c>
      <c r="H16" s="12">
        <f>ABS(C16-D16)/C16</f>
        <v/>
      </c>
      <c r="I16" s="13">
        <f>ABS(C16-D16)/C16*100</f>
        <v/>
      </c>
      <c r="J16" s="14">
        <f>IF(C16&gt;D16,"↑ Underestimasi (Aktual &gt; Prediksi)",IF(C16&lt;D16,"↓ Overestimasi (Aktual &lt; Prediksi)","✓ Tepat"))</f>
        <v/>
      </c>
    </row>
    <row r="17">
      <c r="A17" s="72" t="n">
        <v>10</v>
      </c>
      <c r="B17" s="72" t="inlineStr">
        <is>
          <t>10 Jan 2024</t>
        </is>
      </c>
      <c r="C17" s="73" t="n">
        <v>7800</v>
      </c>
      <c r="D17" s="71" t="n">
        <v>7795</v>
      </c>
      <c r="E17" s="17">
        <f>C17-D17</f>
        <v/>
      </c>
      <c r="F17" s="18">
        <f>(C17-D17)^2</f>
        <v/>
      </c>
      <c r="G17" s="18">
        <f>ABS(C17-D17)</f>
        <v/>
      </c>
      <c r="H17" s="19">
        <f>ABS(C17-D17)/C17</f>
        <v/>
      </c>
      <c r="I17" s="20">
        <f>ABS(C17-D17)/C17*100</f>
        <v/>
      </c>
      <c r="J17" s="21">
        <f>IF(C17&gt;D17,"↑ Underestimasi (Aktual &gt; Prediksi)",IF(C17&lt;D17,"↓ Overestimasi (Aktual &lt; Prediksi)","✓ Tepat"))</f>
        <v/>
      </c>
    </row>
    <row r="18">
      <c r="A18" s="69" t="n">
        <v>11</v>
      </c>
      <c r="B18" s="69" t="inlineStr">
        <is>
          <t>11 Jan 2024</t>
        </is>
      </c>
      <c r="C18" s="70" t="n">
        <v>7650</v>
      </c>
      <c r="D18" s="71" t="n">
        <v>7660</v>
      </c>
      <c r="E18" s="10">
        <f>C18-D18</f>
        <v/>
      </c>
      <c r="F18" s="11">
        <f>(C18-D18)^2</f>
        <v/>
      </c>
      <c r="G18" s="11">
        <f>ABS(C18-D18)</f>
        <v/>
      </c>
      <c r="H18" s="12">
        <f>ABS(C18-D18)/C18</f>
        <v/>
      </c>
      <c r="I18" s="13">
        <f>ABS(C18-D18)/C18*100</f>
        <v/>
      </c>
      <c r="J18" s="14">
        <f>IF(C18&gt;D18,"↑ Underestimasi (Aktual &gt; Prediksi)",IF(C18&lt;D18,"↓ Overestimasi (Aktual &lt; Prediksi)","✓ Tepat"))</f>
        <v/>
      </c>
    </row>
    <row r="19">
      <c r="A19" s="72" t="n">
        <v>12</v>
      </c>
      <c r="B19" s="72" t="inlineStr">
        <is>
          <t>12 Jan 2024</t>
        </is>
      </c>
      <c r="C19" s="73" t="n">
        <v>7400</v>
      </c>
      <c r="D19" s="71" t="n">
        <v>7410</v>
      </c>
      <c r="E19" s="17">
        <f>C19-D19</f>
        <v/>
      </c>
      <c r="F19" s="18">
        <f>(C19-D19)^2</f>
        <v/>
      </c>
      <c r="G19" s="18">
        <f>ABS(C19-D19)</f>
        <v/>
      </c>
      <c r="H19" s="19">
        <f>ABS(C19-D19)/C19</f>
        <v/>
      </c>
      <c r="I19" s="20">
        <f>ABS(C19-D19)/C19*100</f>
        <v/>
      </c>
      <c r="J19" s="21">
        <f>IF(C19&gt;D19,"↑ Underestimasi (Aktual &gt; Prediksi)",IF(C19&lt;D19,"↓ Overestimasi (Aktual &lt; Prediksi)","✓ Tepat"))</f>
        <v/>
      </c>
    </row>
    <row r="20">
      <c r="A20" s="69" t="n">
        <v>13</v>
      </c>
      <c r="B20" s="69" t="inlineStr">
        <is>
          <t>13 Jan 2024</t>
        </is>
      </c>
      <c r="C20" s="70" t="n">
        <v>7550</v>
      </c>
      <c r="D20" s="71" t="n">
        <v>7545</v>
      </c>
      <c r="E20" s="10">
        <f>C20-D20</f>
        <v/>
      </c>
      <c r="F20" s="11">
        <f>(C20-D20)^2</f>
        <v/>
      </c>
      <c r="G20" s="11">
        <f>ABS(C20-D20)</f>
        <v/>
      </c>
      <c r="H20" s="12">
        <f>ABS(C20-D20)/C20</f>
        <v/>
      </c>
      <c r="I20" s="13">
        <f>ABS(C20-D20)/C20*100</f>
        <v/>
      </c>
      <c r="J20" s="14">
        <f>IF(C20&gt;D20,"↑ Underestimasi (Aktual &gt; Prediksi)",IF(C20&lt;D20,"↓ Overestimasi (Aktual &lt; Prediksi)","✓ Tepat"))</f>
        <v/>
      </c>
    </row>
    <row r="21">
      <c r="A21" s="72" t="n">
        <v>14</v>
      </c>
      <c r="B21" s="72" t="inlineStr">
        <is>
          <t>14 Jan 2024</t>
        </is>
      </c>
      <c r="C21" s="73" t="n">
        <v>7900</v>
      </c>
      <c r="D21" s="71" t="n">
        <v>7890</v>
      </c>
      <c r="E21" s="17">
        <f>C21-D21</f>
        <v/>
      </c>
      <c r="F21" s="18">
        <f>(C21-D21)^2</f>
        <v/>
      </c>
      <c r="G21" s="18">
        <f>ABS(C21-D21)</f>
        <v/>
      </c>
      <c r="H21" s="19">
        <f>ABS(C21-D21)/C21</f>
        <v/>
      </c>
      <c r="I21" s="20">
        <f>ABS(C21-D21)/C21*100</f>
        <v/>
      </c>
      <c r="J21" s="21">
        <f>IF(C21&gt;D21,"↑ Underestimasi (Aktual &gt; Prediksi)",IF(C21&lt;D21,"↓ Overestimasi (Aktual &lt; Prediksi)","✓ Tepat"))</f>
        <v/>
      </c>
    </row>
    <row r="22">
      <c r="A22" s="69" t="n">
        <v>15</v>
      </c>
      <c r="B22" s="69" t="inlineStr">
        <is>
          <t>15 Jan 2024</t>
        </is>
      </c>
      <c r="C22" s="70" t="n">
        <v>8000</v>
      </c>
      <c r="D22" s="71" t="n">
        <v>7995</v>
      </c>
      <c r="E22" s="10">
        <f>C22-D22</f>
        <v/>
      </c>
      <c r="F22" s="11">
        <f>(C22-D22)^2</f>
        <v/>
      </c>
      <c r="G22" s="11">
        <f>ABS(C22-D22)</f>
        <v/>
      </c>
      <c r="H22" s="12">
        <f>ABS(C22-D22)/C22</f>
        <v/>
      </c>
      <c r="I22" s="13">
        <f>ABS(C22-D22)/C22*100</f>
        <v/>
      </c>
      <c r="J22" s="14">
        <f>IF(C22&gt;D22,"↑ Underestimasi (Aktual &gt; Prediksi)",IF(C22&lt;D22,"↓ Overestimasi (Aktual &lt; Prediksi)","✓ Tepat"))</f>
        <v/>
      </c>
    </row>
    <row r="23">
      <c r="A23" s="22" t="inlineStr">
        <is>
          <t>Σ  JUMLAH TOTAL</t>
        </is>
      </c>
      <c r="B23" s="23" t="n"/>
      <c r="C23" s="23" t="n"/>
      <c r="D23" s="23" t="n"/>
      <c r="E23" s="23" t="n"/>
      <c r="F23" s="24">
        <f>SUM(F8:F22)</f>
        <v/>
      </c>
      <c r="G23" s="24">
        <f>SUM(G8:G22)</f>
        <v/>
      </c>
      <c r="H23" s="24">
        <f>SUM(H8:H22)</f>
        <v/>
      </c>
      <c r="I23" s="24">
        <f>SUM(I8:I22)</f>
        <v/>
      </c>
      <c r="J23" s="23" t="n"/>
    </row>
    <row r="25" ht="22" customHeight="1">
      <c r="A25" s="25" t="inlineStr">
        <is>
          <t>HASIL EVALUASI MODEL</t>
        </is>
      </c>
      <c r="B25" s="23" t="n"/>
      <c r="C25" s="23" t="n"/>
      <c r="D25" s="23" t="n"/>
      <c r="E25" s="23" t="n"/>
      <c r="F25" s="23" t="n"/>
      <c r="G25" s="23" t="n"/>
      <c r="H25" s="23" t="n"/>
      <c r="I25" s="23" t="n"/>
      <c r="J25" s="23" t="n"/>
    </row>
    <row r="26">
      <c r="A26" s="74" t="inlineStr">
        <is>
          <t>Jumlah Data (n)</t>
        </is>
      </c>
      <c r="B26" s="23" t="n"/>
      <c r="C26" s="23" t="n"/>
      <c r="D26" s="23" t="n"/>
      <c r="E26" s="23" t="n"/>
      <c r="F26" s="75" t="n">
        <v>15</v>
      </c>
      <c r="G26" s="23" t="n"/>
      <c r="H26" s="23" t="n"/>
      <c r="I26" s="23" t="n"/>
      <c r="J26" s="23" t="n"/>
    </row>
    <row r="27" ht="26" customHeight="1">
      <c r="A27" s="28" t="inlineStr">
        <is>
          <t>MSE  =  Σ(Aktual−Prediksi)² / n  =</t>
        </is>
      </c>
      <c r="B27" s="23" t="n"/>
      <c r="C27" s="23" t="n"/>
      <c r="D27" s="23" t="n"/>
      <c r="E27" s="23" t="n"/>
      <c r="F27" s="29">
        <f>F23/F26</f>
        <v/>
      </c>
      <c r="G27" s="23" t="n"/>
      <c r="H27" s="23" t="n"/>
      <c r="I27" s="23" t="n"/>
      <c r="J27" s="23" t="n"/>
    </row>
    <row r="28" ht="26" customHeight="1">
      <c r="A28" s="30" t="inlineStr">
        <is>
          <t>RMSE  =  √MSE  =</t>
        </is>
      </c>
      <c r="B28" s="23" t="n"/>
      <c r="C28" s="23" t="n"/>
      <c r="D28" s="23" t="n"/>
      <c r="E28" s="23" t="n"/>
      <c r="F28" s="31">
        <f>SQRT(F27)</f>
        <v/>
      </c>
      <c r="G28" s="23" t="n"/>
      <c r="H28" s="23" t="n"/>
      <c r="I28" s="23" t="n"/>
      <c r="J28" s="23" t="n"/>
    </row>
    <row r="29" ht="26" customHeight="1">
      <c r="A29" s="32" t="inlineStr">
        <is>
          <t>MAPE  =  (Σ|Error|/Aktual) / n × 100%  =</t>
        </is>
      </c>
      <c r="B29" s="23" t="n"/>
      <c r="C29" s="23" t="n"/>
      <c r="D29" s="23" t="n"/>
      <c r="E29" s="23" t="n"/>
      <c r="F29" s="33">
        <f>I23/F26</f>
        <v/>
      </c>
      <c r="G29" s="23" t="n"/>
      <c r="H29" s="23" t="n"/>
      <c r="I29" s="23" t="n"/>
      <c r="J29" s="23" t="n"/>
    </row>
    <row r="30" ht="22" customHeight="1">
      <c r="A30" s="34">
        <f>IF(F29&lt;10,"✅ Akurasi SANGAT BAIK — MAPE &lt; 10%",IF(F29&lt;20,"🟡 Akurasi BAIK — MAPE 10% s.d. 20%",IF(F29&lt;50,"🟠 Akurasi CUKUP — MAPE 20% s.d. 50%","🔴 Akurasi KURANG — MAPE &gt; 50%")))</f>
        <v/>
      </c>
      <c r="B30" s="23" t="n"/>
      <c r="C30" s="23" t="n"/>
      <c r="D30" s="23" t="n"/>
      <c r="E30" s="23" t="n"/>
      <c r="F30" s="23" t="n"/>
      <c r="G30" s="23" t="n"/>
      <c r="H30" s="23" t="n"/>
      <c r="I30" s="23" t="n"/>
      <c r="J30" s="23" t="n"/>
    </row>
  </sheetData>
  <mergeCells count="14">
    <mergeCell ref="A1:J1"/>
    <mergeCell ref="A5:J5"/>
    <mergeCell ref="A29:E29"/>
    <mergeCell ref="F29:J29"/>
    <mergeCell ref="A26:E26"/>
    <mergeCell ref="A28:E28"/>
    <mergeCell ref="A30:J30"/>
    <mergeCell ref="F28:J28"/>
    <mergeCell ref="A23:E23"/>
    <mergeCell ref="A2:J2"/>
    <mergeCell ref="A25:J25"/>
    <mergeCell ref="F26:J26"/>
    <mergeCell ref="F27:J27"/>
    <mergeCell ref="A27:E2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4" customWidth="1" min="5" max="5"/>
    <col width="30" customWidth="1" min="6" max="6"/>
    <col width="22" customWidth="1" min="7" max="7"/>
  </cols>
  <sheetData>
    <row r="1" ht="30" customHeight="1">
      <c r="A1" s="40" t="inlineStr">
        <is>
          <t>PERBANDINGAN EVALUASI MODEL LSTM vs GRU vs HYBRID LSTM-GRU</t>
        </is>
      </c>
    </row>
    <row r="2" ht="20" customHeight="1">
      <c r="A2" s="41" t="inlineStr">
        <is>
          <t>Metrik: MSE, RMSE, MAPE  |  Semakin kecil nilai = semakin akurat</t>
        </is>
      </c>
    </row>
    <row r="4" ht="22" customHeight="1">
      <c r="A4" s="6" t="inlineStr">
        <is>
          <t>Model</t>
        </is>
      </c>
      <c r="B4" s="6" t="inlineStr">
        <is>
          <t>Jumlah Data (n)</t>
        </is>
      </c>
      <c r="C4" s="6" t="inlineStr">
        <is>
          <t>MSE</t>
        </is>
      </c>
      <c r="D4" s="6" t="inlineStr">
        <is>
          <t>RMSE</t>
        </is>
      </c>
      <c r="E4" s="6" t="inlineStr">
        <is>
          <t>MAPE (%)</t>
        </is>
      </c>
      <c r="F4" s="6" t="inlineStr">
        <is>
          <t>Interpretasi MAPE</t>
        </is>
      </c>
      <c r="G4" s="6" t="inlineStr">
        <is>
          <t>Rekomendasi</t>
        </is>
      </c>
    </row>
    <row r="5" ht="22" customHeight="1">
      <c r="A5" s="42" t="inlineStr">
        <is>
          <t>LSTM</t>
        </is>
      </c>
      <c r="B5" s="43">
        <f>LSTM!F25</f>
        <v/>
      </c>
      <c r="C5" s="44">
        <f>LSTM!F26</f>
        <v/>
      </c>
      <c r="D5" s="44">
        <f>LSTM!F27</f>
        <v/>
      </c>
      <c r="E5" s="45">
        <f>LSTM!F28</f>
        <v/>
      </c>
      <c r="F5" s="26">
        <f>LSTM!A29</f>
        <v/>
      </c>
      <c r="G5" s="46" t="n"/>
    </row>
    <row r="6" ht="22" customHeight="1">
      <c r="A6" s="47" t="inlineStr">
        <is>
          <t>GRU</t>
        </is>
      </c>
      <c r="B6" s="48">
        <f>GRU!F25</f>
        <v/>
      </c>
      <c r="C6" s="49">
        <f>GRU!F26</f>
        <v/>
      </c>
      <c r="D6" s="49">
        <f>GRU!F27</f>
        <v/>
      </c>
      <c r="E6" s="50">
        <f>GRU!F28</f>
        <v/>
      </c>
      <c r="F6" s="38">
        <f>GRU!A29</f>
        <v/>
      </c>
      <c r="G6" s="51" t="n"/>
    </row>
    <row r="7" ht="22" customHeight="1">
      <c r="A7" s="76" t="inlineStr">
        <is>
          <t>Hybrid LSTM-GRU</t>
        </is>
      </c>
      <c r="B7" s="77">
        <f>'Hybrid LSTM-GRU'!F26</f>
        <v/>
      </c>
      <c r="C7" s="78">
        <f>'Hybrid LSTM-GRU'!F27</f>
        <v/>
      </c>
      <c r="D7" s="78">
        <f>'Hybrid LSTM-GRU'!F28</f>
        <v/>
      </c>
      <c r="E7" s="79">
        <f>'Hybrid LSTM-GRU'!F29</f>
        <v/>
      </c>
      <c r="F7" s="74">
        <f>'Hybrid LSTM-GRU'!A30</f>
        <v/>
      </c>
      <c r="G7" s="80" t="n"/>
    </row>
    <row r="8" ht="22" customHeight="1">
      <c r="A8" s="25" t="inlineStr">
        <is>
          <t>REKOMENDASI MODEL TERBAIK</t>
        </is>
      </c>
      <c r="B8" s="63" t="n"/>
      <c r="C8" s="63" t="n"/>
      <c r="D8" s="63" t="n"/>
      <c r="E8" s="63" t="n"/>
      <c r="F8" s="63" t="n"/>
      <c r="G8" s="64" t="n"/>
    </row>
    <row r="9" ht="22" customHeight="1">
      <c r="A9" s="25" t="inlineStr">
        <is>
          <t>REKOMENDASI MODEL TERBAIK (berdasarkan MSE)</t>
        </is>
      </c>
      <c r="B9" s="23" t="n"/>
      <c r="C9" s="23" t="n"/>
      <c r="D9" s="23" t="n"/>
      <c r="E9" s="23" t="n"/>
      <c r="F9" s="23" t="n"/>
      <c r="G9" s="23" t="n"/>
    </row>
    <row r="10" ht="28" customHeight="1">
      <c r="A10" s="52">
        <f>IF(AND('LSTM'!F23&lt;='GRU'!F23,'LSTM'!F23&lt;='Hybrid LSTM-GRU'!F27),"✅ LSTM — MSE terkecil, model paling akurat",IF(AND('GRU'!F23&lt;='LSTM'!F23,'GRU'!F23&lt;='Hybrid LSTM-GRU'!F27),"✅ GRU — MSE terkecil, model paling akurat","✅ Hybrid LSTM-GRU — MSE terkecil, model paling akurat"))</f>
        <v/>
      </c>
      <c r="B10" s="23" t="n"/>
      <c r="C10" s="23" t="n"/>
      <c r="D10" s="23" t="n"/>
      <c r="E10" s="23" t="n"/>
      <c r="F10" s="23" t="n"/>
      <c r="G10" s="23" t="n"/>
    </row>
    <row r="11" ht="28" customHeight="1">
      <c r="A11" s="53">
        <f>IF(AND('LSTM'!F25&lt;='GRU'!F25,'LSTM'!F25&lt;='Hybrid LSTM-GRU'!F29),"✅ LSTM — MAPE terkecil, model paling akurat",IF(AND('GRU'!F25&lt;='LSTM'!F25,'GRU'!F25&lt;='Hybrid LSTM-GRU'!F29),"✅ GRU — MAPE terkecil, model paling akurat","✅ Hybrid LSTM-GRU — MAPE terkecil, model paling akurat"))</f>
        <v/>
      </c>
      <c r="B11" s="23" t="n"/>
      <c r="C11" s="23" t="n"/>
      <c r="D11" s="23" t="n"/>
      <c r="E11" s="23" t="n"/>
      <c r="F11" s="23" t="n"/>
      <c r="G11" s="23" t="n"/>
    </row>
    <row r="12">
      <c r="A12" s="54" t="inlineStr">
        <is>
          <t>PANDUAN INTERPRETASI MAPE (Lewis, 1982)</t>
        </is>
      </c>
      <c r="B12" s="63" t="n"/>
      <c r="C12" s="63" t="n"/>
      <c r="D12" s="63" t="n"/>
      <c r="E12" s="63" t="n"/>
      <c r="F12" s="63" t="n"/>
      <c r="G12" s="64" t="n"/>
    </row>
    <row r="13" ht="20" customHeight="1">
      <c r="A13" s="55" t="inlineStr">
        <is>
          <t>&lt; 10%</t>
        </is>
      </c>
      <c r="B13" s="64" t="n"/>
      <c r="C13" s="56" t="inlineStr">
        <is>
          <t>Sangat Baik  — Model sangat layak digunakan</t>
        </is>
      </c>
      <c r="D13" s="63" t="n"/>
      <c r="E13" s="63" t="n"/>
      <c r="F13" s="63" t="n"/>
      <c r="G13" s="64" t="n"/>
    </row>
    <row r="14" ht="20" customHeight="1">
      <c r="A14" s="57" t="inlineStr">
        <is>
          <t>10% – 20%</t>
        </is>
      </c>
      <c r="B14" s="64" t="n"/>
      <c r="C14" s="58" t="inlineStr">
        <is>
          <t>Baik  — Model cukup layak digunakan</t>
        </is>
      </c>
      <c r="D14" s="63" t="n"/>
      <c r="E14" s="63" t="n"/>
      <c r="F14" s="63" t="n"/>
      <c r="G14" s="64" t="n"/>
    </row>
    <row r="15" ht="20" customHeight="1">
      <c r="A15" s="59" t="inlineStr">
        <is>
          <t>20% – 50%</t>
        </is>
      </c>
      <c r="B15" s="64" t="n"/>
      <c r="C15" s="60" t="inlineStr">
        <is>
          <t>Cukup  — Model perlu perbaikan</t>
        </is>
      </c>
      <c r="D15" s="63" t="n"/>
      <c r="E15" s="63" t="n"/>
      <c r="F15" s="63" t="n"/>
      <c r="G15" s="64" t="n"/>
    </row>
    <row r="16" ht="20" customHeight="1">
      <c r="A16" s="61" t="inlineStr">
        <is>
          <t>&gt; 50%</t>
        </is>
      </c>
      <c r="B16" s="64" t="n"/>
      <c r="C16" s="62" t="inlineStr">
        <is>
          <t>Kurang  — Model tidak layak, perlu diulang</t>
        </is>
      </c>
      <c r="D16" s="63" t="n"/>
      <c r="E16" s="63" t="n"/>
      <c r="F16" s="63" t="n"/>
      <c r="G16" s="64" t="n"/>
    </row>
  </sheetData>
  <mergeCells count="15">
    <mergeCell ref="A16:B16"/>
    <mergeCell ref="A1:G1"/>
    <mergeCell ref="A15:B15"/>
    <mergeCell ref="A9:G9"/>
    <mergeCell ref="A8:G8"/>
    <mergeCell ref="C16:G16"/>
    <mergeCell ref="C15:G15"/>
    <mergeCell ref="A12:G12"/>
    <mergeCell ref="A13:B13"/>
    <mergeCell ref="A2:G2"/>
    <mergeCell ref="A14:B14"/>
    <mergeCell ref="C14:G14"/>
    <mergeCell ref="C13:G13"/>
    <mergeCell ref="A11:G11"/>
    <mergeCell ref="A10:G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2026-05-11T03:13:50Z</dcterms:created>
  <dcterms:modified xmlns:dcterms="http://purl.org/dc/terms/" xmlns:xsi="http://www.w3.org/2001/XMLSchema-instance" xsi:type="dcterms:W3CDTF">2026-05-11T03:24:31Z</dcterms:modified>
</cp:coreProperties>
</file>