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B858C821-9B35-48F1-82EC-F719E93F7986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Moving Average (MA-3)" sheetId="1" r:id="rId1"/>
    <sheet name="Exponential Smoothing" sheetId="2" r:id="rId2"/>
    <sheet name="Perbandingan MS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" i="1" l="1"/>
  <c r="C5" i="3"/>
  <c r="C4" i="3"/>
  <c r="D7" i="2"/>
  <c r="D8" i="2" s="1"/>
  <c r="F21" i="1"/>
  <c r="D21" i="1"/>
  <c r="I21" i="1" s="1"/>
  <c r="D20" i="1"/>
  <c r="G20" i="1" s="1"/>
  <c r="D19" i="1"/>
  <c r="I19" i="1" s="1"/>
  <c r="D18" i="1"/>
  <c r="G18" i="1" s="1"/>
  <c r="F17" i="1"/>
  <c r="D17" i="1"/>
  <c r="I17" i="1" s="1"/>
  <c r="D16" i="1"/>
  <c r="G16" i="1" s="1"/>
  <c r="F15" i="1"/>
  <c r="D15" i="1"/>
  <c r="I15" i="1" s="1"/>
  <c r="D14" i="1"/>
  <c r="G14" i="1" s="1"/>
  <c r="F13" i="1"/>
  <c r="D13" i="1"/>
  <c r="I13" i="1" s="1"/>
  <c r="D12" i="1"/>
  <c r="G12" i="1" s="1"/>
  <c r="F11" i="1"/>
  <c r="D11" i="1"/>
  <c r="I11" i="1" s="1"/>
  <c r="D10" i="1"/>
  <c r="G10" i="1" s="1"/>
  <c r="I8" i="2" l="1"/>
  <c r="E8" i="2"/>
  <c r="H8" i="2"/>
  <c r="G8" i="2"/>
  <c r="D9" i="2"/>
  <c r="F8" i="2"/>
  <c r="H12" i="1"/>
  <c r="E10" i="1"/>
  <c r="I10" i="1"/>
  <c r="G11" i="1"/>
  <c r="E12" i="1"/>
  <c r="I12" i="1"/>
  <c r="G13" i="1"/>
  <c r="E14" i="1"/>
  <c r="I14" i="1"/>
  <c r="G15" i="1"/>
  <c r="E16" i="1"/>
  <c r="I16" i="1"/>
  <c r="G17" i="1"/>
  <c r="E18" i="1"/>
  <c r="I18" i="1"/>
  <c r="G19" i="1"/>
  <c r="E20" i="1"/>
  <c r="I20" i="1"/>
  <c r="G21" i="1"/>
  <c r="H14" i="1"/>
  <c r="H16" i="1"/>
  <c r="H18" i="1"/>
  <c r="F19" i="1"/>
  <c r="H20" i="1"/>
  <c r="F10" i="1"/>
  <c r="F22" i="1" s="1"/>
  <c r="H11" i="1"/>
  <c r="F12" i="1"/>
  <c r="H13" i="1"/>
  <c r="F14" i="1"/>
  <c r="H15" i="1"/>
  <c r="F16" i="1"/>
  <c r="H17" i="1"/>
  <c r="F18" i="1"/>
  <c r="H21" i="1"/>
  <c r="H19" i="1"/>
  <c r="F20" i="1"/>
  <c r="E11" i="1"/>
  <c r="E13" i="1"/>
  <c r="E15" i="1"/>
  <c r="E17" i="1"/>
  <c r="E19" i="1"/>
  <c r="E21" i="1"/>
  <c r="D4" i="3" l="1"/>
  <c r="D25" i="1"/>
  <c r="I22" i="1"/>
  <c r="D27" i="1" s="1"/>
  <c r="G9" i="2"/>
  <c r="D10" i="2"/>
  <c r="F9" i="2"/>
  <c r="I9" i="2"/>
  <c r="E9" i="2"/>
  <c r="H9" i="2"/>
  <c r="E4" i="3" l="1"/>
  <c r="D26" i="1"/>
  <c r="F4" i="3" s="1"/>
  <c r="G4" i="3"/>
  <c r="A28" i="1"/>
  <c r="I10" i="2"/>
  <c r="E10" i="2"/>
  <c r="H10" i="2"/>
  <c r="G10" i="2"/>
  <c r="D11" i="2"/>
  <c r="F10" i="2"/>
  <c r="G11" i="2" l="1"/>
  <c r="D12" i="2"/>
  <c r="F11" i="2"/>
  <c r="I11" i="2"/>
  <c r="E11" i="2"/>
  <c r="H11" i="2"/>
  <c r="I12" i="2" l="1"/>
  <c r="E12" i="2"/>
  <c r="H12" i="2"/>
  <c r="G12" i="2"/>
  <c r="D13" i="2"/>
  <c r="F12" i="2"/>
  <c r="G13" i="2" l="1"/>
  <c r="D14" i="2"/>
  <c r="F13" i="2"/>
  <c r="I13" i="2"/>
  <c r="E13" i="2"/>
  <c r="H13" i="2"/>
  <c r="I14" i="2" l="1"/>
  <c r="E14" i="2"/>
  <c r="H14" i="2"/>
  <c r="G14" i="2"/>
  <c r="D15" i="2"/>
  <c r="F14" i="2"/>
  <c r="G15" i="2" l="1"/>
  <c r="D16" i="2"/>
  <c r="F15" i="2"/>
  <c r="I15" i="2"/>
  <c r="E15" i="2"/>
  <c r="H15" i="2"/>
  <c r="I16" i="2" l="1"/>
  <c r="E16" i="2"/>
  <c r="H16" i="2"/>
  <c r="G16" i="2"/>
  <c r="D17" i="2"/>
  <c r="F16" i="2"/>
  <c r="G17" i="2" l="1"/>
  <c r="D18" i="2"/>
  <c r="F17" i="2"/>
  <c r="I17" i="2"/>
  <c r="E17" i="2"/>
  <c r="H17" i="2"/>
  <c r="I18" i="2" l="1"/>
  <c r="E18" i="2"/>
  <c r="H18" i="2"/>
  <c r="G18" i="2"/>
  <c r="D19" i="2"/>
  <c r="F18" i="2"/>
  <c r="G19" i="2" l="1"/>
  <c r="D20" i="2"/>
  <c r="F19" i="2"/>
  <c r="I19" i="2"/>
  <c r="E19" i="2"/>
  <c r="H19" i="2"/>
  <c r="I20" i="2" l="1"/>
  <c r="E20" i="2"/>
  <c r="H20" i="2"/>
  <c r="G20" i="2"/>
  <c r="D21" i="2"/>
  <c r="F20" i="2"/>
  <c r="G21" i="2" l="1"/>
  <c r="F21" i="2"/>
  <c r="F22" i="2" s="1"/>
  <c r="I21" i="2"/>
  <c r="I22" i="2" s="1"/>
  <c r="D27" i="2" s="1"/>
  <c r="E21" i="2"/>
  <c r="H21" i="2"/>
  <c r="A28" i="2" l="1"/>
  <c r="A11" i="3" s="1"/>
  <c r="G5" i="3"/>
  <c r="D5" i="3"/>
  <c r="D25" i="2"/>
  <c r="E5" i="3" l="1"/>
  <c r="D26" i="2"/>
  <c r="F5" i="3" s="1"/>
  <c r="A8" i="3"/>
</calcChain>
</file>

<file path=xl/sharedStrings.xml><?xml version="1.0" encoding="utf-8"?>
<sst xmlns="http://schemas.openxmlformats.org/spreadsheetml/2006/main" count="115" uniqueCount="67">
  <si>
    <t>METODE 1: MOVING AVERAGE (MA-3) — PREDIKSI HARGA SAHAM</t>
  </si>
  <si>
    <t>Prediksi Hari ke-n  =  AVERAGE(Aktual n-3, n-2, n-1)     |     MSE = Σ(Aktual − Prediksi)² / n</t>
  </si>
  <si>
    <t>Parameter:</t>
  </si>
  <si>
    <t>Periode MA (k)</t>
  </si>
  <si>
    <t>← Ubah nilai ini untuk ganti periode MA</t>
  </si>
  <si>
    <t>No</t>
  </si>
  <si>
    <t>Tanggal</t>
  </si>
  <si>
    <t>Harga Aktual
(Rp)</t>
  </si>
  <si>
    <t>Harga Prediksi
MA-3 (Rp)</t>
  </si>
  <si>
    <t>Error
(Aktual−Prediksi)</t>
  </si>
  <si>
    <t>Error²
(Aktual−Prediksi)²</t>
  </si>
  <si>
    <t>Keterangan</t>
  </si>
  <si>
    <t>|Error| / Aktual
(Absolut %)</t>
  </si>
  <si>
    <t>MAPE Kontribusi
(%)</t>
  </si>
  <si>
    <t>01 Jan 2024</t>
  </si>
  <si>
    <t>—</t>
  </si>
  <si>
    <t>Tidak dihitung (data awal)</t>
  </si>
  <si>
    <t>02 Jan 2024</t>
  </si>
  <si>
    <t>03 Jan 2024</t>
  </si>
  <si>
    <t>04 Jan 2024</t>
  </si>
  <si>
    <t>05 Jan 2024</t>
  </si>
  <si>
    <t>06 Jan 2024</t>
  </si>
  <si>
    <t>07 Jan 2024</t>
  </si>
  <si>
    <t>08 Jan 2024</t>
  </si>
  <si>
    <t>09 Jan 2024</t>
  </si>
  <si>
    <t>10 Jan 2024</t>
  </si>
  <si>
    <t>11 Jan 2024</t>
  </si>
  <si>
    <t>12 Jan 2024</t>
  </si>
  <si>
    <t>13 Jan 2024</t>
  </si>
  <si>
    <t>14 Jan 2024</t>
  </si>
  <si>
    <t>15 Jan 2024</t>
  </si>
  <si>
    <t>Σ Jumlah Total Error²  (hanya data yang terprediksi)</t>
  </si>
  <si>
    <t>Jumlah data terprediksi (n)</t>
  </si>
  <si>
    <t>MSE  =  Σ Error² / n  =</t>
  </si>
  <si>
    <t>RMSE  =  √MSE  =</t>
  </si>
  <si>
    <t>MAPE  =  (Σ|Error|/Aktual) / n × 100%  =</t>
  </si>
  <si>
    <t>METODE 2: EXPONENTIAL SMOOTHING — PREDIKSI HARGA SAHAM</t>
  </si>
  <si>
    <t>Prediksi t+1  =  α × Aktual(t)  +  (1−α) × Prediksi(t)     |     MSE = Σ(Aktual − Prediksi)² / n</t>
  </si>
  <si>
    <t>Alpha (α)</t>
  </si>
  <si>
    <t>← Ubah nilai α (0.1 = lambat, 0.9 = cepat merespons)</t>
  </si>
  <si>
    <t>Harga Prediksi
ES (Rp)</t>
  </si>
  <si>
    <t>Nilai awal (prediksi = aktual)</t>
  </si>
  <si>
    <t>Σ Jumlah Total Error²  (data ke-2 s.d. ke-15)</t>
  </si>
  <si>
    <t>PERBANDINGAN HASIL MSE &amp; MAPE — MOVING AVERAGE vs EXPONENTIAL SMOOTHING</t>
  </si>
  <si>
    <t>Metode</t>
  </si>
  <si>
    <t>Parameter</t>
  </si>
  <si>
    <t>n Data</t>
  </si>
  <si>
    <t>Σ Error²</t>
  </si>
  <si>
    <t>MSE</t>
  </si>
  <si>
    <t>RMSE</t>
  </si>
  <si>
    <t>MAPE (%)</t>
  </si>
  <si>
    <t>Moving Average (MA-3)</t>
  </si>
  <si>
    <t>Periode k = 3</t>
  </si>
  <si>
    <t>Exponential Smoothing (ES)</t>
  </si>
  <si>
    <t>Alpha α = 0.3</t>
  </si>
  <si>
    <t>KESIMPULAN</t>
  </si>
  <si>
    <t>💡 Catatan: Semakin kecil nilai MSE &amp; RMSE, semakin akurat model prediksi tersebut.</t>
  </si>
  <si>
    <t>KESIMPULAN MAPE</t>
  </si>
  <si>
    <t>PANDUAN INTERPRETASI MAPE</t>
  </si>
  <si>
    <t>&lt; 10%</t>
  </si>
  <si>
    <t>Sangat Baik</t>
  </si>
  <si>
    <t>10% – 20%</t>
  </si>
  <si>
    <t>Baik</t>
  </si>
  <si>
    <t>20% – 50%</t>
  </si>
  <si>
    <t>Cukup / Perlu Perbaikan</t>
  </si>
  <si>
    <t>&gt; 50%</t>
  </si>
  <si>
    <t>Kurang Akurat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</si>
</sst>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;[Red]\(#,##0.00\)"/>
    <numFmt numFmtId="165" formatCode="0.0"/>
    <numFmt numFmtId="166" formatCode="0.0000"/>
    <numFmt numFmtId="167" formatCode="0.00&quot;%&quot;"/>
  </numFmts>
  <fonts count="21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  <font>
      <b/>
      <sz val="10"/>
      <color rgb="FF0000FF"/>
      <name val="Arial"/>
    </font>
    <font>
      <i/>
      <sz val="9"/>
      <color rgb="FF808080"/>
      <name val="Arial"/>
    </font>
    <font>
      <sz val="10"/>
      <color rgb="FF000000"/>
      <name val="Arial"/>
    </font>
    <font>
      <b/>
      <sz val="10"/>
      <color rgb="FF00008B"/>
      <name val="Arial"/>
    </font>
    <font>
      <sz val="9"/>
      <color rgb="FF000000"/>
      <name val="Arial"/>
    </font>
    <font>
      <b/>
      <sz val="10"/>
      <color rgb="FF000000"/>
      <name val="Arial"/>
    </font>
    <font>
      <b/>
      <sz val="11"/>
      <color rgb="FFFFFFFF"/>
      <name val="Arial"/>
    </font>
    <font>
      <i/>
      <sz val="10"/>
      <color rgb="FF000000"/>
      <name val="Arial"/>
    </font>
    <font>
      <b/>
      <sz val="10"/>
      <color rgb="FF006400"/>
      <name val="Arial"/>
    </font>
    <font>
      <sz val="10"/>
      <color rgb="FF006400"/>
      <name val="Arial"/>
    </font>
    <font>
      <b/>
      <sz val="10"/>
      <color rgb="FF7D6608"/>
      <name val="Arial"/>
    </font>
    <font>
      <sz val="10"/>
      <color rgb="FF7D6608"/>
      <name val="Arial"/>
    </font>
    <font>
      <b/>
      <sz val="10"/>
      <color rgb="FFBF360C"/>
      <name val="Arial"/>
    </font>
    <font>
      <sz val="10"/>
      <color rgb="FFBF360C"/>
      <name val="Arial"/>
    </font>
    <font>
      <b/>
      <sz val="10"/>
      <color rgb="FFB71C1C"/>
      <name val="Arial"/>
    </font>
    <font>
      <sz val="10"/>
      <color rgb="FFB71C1C"/>
      <name val="Arial"/>
    </font>
  </fonts>
  <fills count="20">
    <fill>
      <patternFill patternType="none"/>
    </fill>
    <fill>
      <patternFill patternType="gray125"/>
    </fill>
    <fill>
      <patternFill patternType="solid">
        <fgColor rgb="FF003366"/>
      </patternFill>
    </fill>
    <fill>
      <patternFill patternType="solid">
        <fgColor rgb="FF0070C0"/>
      </patternFill>
    </fill>
    <fill>
      <patternFill patternType="solid">
        <fgColor rgb="FFFFFF99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C000"/>
      </patternFill>
    </fill>
    <fill>
      <patternFill patternType="solid">
        <fgColor rgb="FFDDEEFF"/>
      </patternFill>
    </fill>
    <fill>
      <patternFill patternType="solid">
        <fgColor rgb="FF006400"/>
      </patternFill>
    </fill>
    <fill>
      <patternFill patternType="solid">
        <fgColor rgb="FF7030A0"/>
      </patternFill>
    </fill>
    <fill>
      <patternFill patternType="solid">
        <fgColor rgb="FFEDE7F6"/>
      </patternFill>
    </fill>
    <fill>
      <patternFill patternType="solid">
        <fgColor rgb="FF4B0082"/>
      </patternFill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D04A00"/>
      </patternFill>
    </fill>
    <fill>
      <patternFill patternType="solid">
        <fgColor rgb="FFFFF2CC"/>
      </patternFill>
    </fill>
    <fill>
      <patternFill patternType="solid">
        <fgColor rgb="FFFFF9C4"/>
      </patternFill>
    </fill>
    <fill>
      <patternFill patternType="solid">
        <fgColor rgb="FFFFE0CC"/>
      </patternFill>
    </fill>
    <fill>
      <patternFill patternType="solid">
        <fgColor rgb="FFFFCCC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3" fillId="0" borderId="0" xfId="0" applyFont="1"/>
    <xf numFmtId="0" fontId="4" fillId="0" borderId="0" xfId="0" applyFont="1"/>
    <xf numFmtId="1" fontId="5" fillId="4" borderId="0" xfId="0" applyNumberFormat="1" applyFont="1" applyFill="1" applyAlignment="1">
      <alignment horizontal="center"/>
    </xf>
    <xf numFmtId="0" fontId="6" fillId="0" borderId="0" xfId="0" applyFont="1"/>
    <xf numFmtId="0" fontId="2" fillId="3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3" fontId="8" fillId="5" borderId="1" xfId="0" applyNumberFormat="1" applyFont="1" applyFill="1" applyBorder="1" applyAlignment="1">
      <alignment horizontal="right" vertical="center"/>
    </xf>
    <xf numFmtId="0" fontId="9" fillId="5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center" vertical="center"/>
    </xf>
    <xf numFmtId="3" fontId="8" fillId="6" borderId="1" xfId="0" applyNumberFormat="1" applyFont="1" applyFill="1" applyBorder="1" applyAlignment="1">
      <alignment horizontal="right" vertical="center"/>
    </xf>
    <xf numFmtId="0" fontId="9" fillId="6" borderId="1" xfId="0" applyFont="1" applyFill="1" applyBorder="1" applyAlignment="1">
      <alignment horizontal="left" vertical="center"/>
    </xf>
    <xf numFmtId="4" fontId="7" fillId="6" borderId="1" xfId="0" applyNumberFormat="1" applyFont="1" applyFill="1" applyBorder="1" applyAlignment="1">
      <alignment horizontal="right" vertical="center"/>
    </xf>
    <xf numFmtId="164" fontId="7" fillId="6" borderId="1" xfId="0" applyNumberFormat="1" applyFont="1" applyFill="1" applyBorder="1" applyAlignment="1">
      <alignment horizontal="right" vertical="center"/>
    </xf>
    <xf numFmtId="4" fontId="7" fillId="5" borderId="1" xfId="0" applyNumberFormat="1" applyFont="1" applyFill="1" applyBorder="1" applyAlignment="1">
      <alignment horizontal="right" vertical="center"/>
    </xf>
    <xf numFmtId="164" fontId="7" fillId="5" borderId="1" xfId="0" applyNumberFormat="1" applyFont="1" applyFill="1" applyBorder="1" applyAlignment="1">
      <alignment horizontal="right" vertical="center"/>
    </xf>
    <xf numFmtId="0" fontId="0" fillId="0" borderId="1" xfId="0" applyBorder="1"/>
    <xf numFmtId="4" fontId="3" fillId="7" borderId="1" xfId="0" applyNumberFormat="1" applyFont="1" applyFill="1" applyBorder="1" applyAlignment="1">
      <alignment horizontal="right" vertical="center"/>
    </xf>
    <xf numFmtId="1" fontId="3" fillId="8" borderId="1" xfId="0" applyNumberFormat="1" applyFont="1" applyFill="1" applyBorder="1" applyAlignment="1">
      <alignment horizontal="center"/>
    </xf>
    <xf numFmtId="4" fontId="1" fillId="9" borderId="1" xfId="0" applyNumberFormat="1" applyFont="1" applyFill="1" applyBorder="1" applyAlignment="1">
      <alignment horizontal="center" vertical="center"/>
    </xf>
    <xf numFmtId="4" fontId="1" fillId="3" borderId="1" xfId="0" applyNumberFormat="1" applyFont="1" applyFill="1" applyBorder="1" applyAlignment="1">
      <alignment horizontal="center" vertical="center"/>
    </xf>
    <xf numFmtId="165" fontId="5" fillId="4" borderId="0" xfId="0" applyNumberFormat="1" applyFont="1" applyFill="1" applyAlignment="1">
      <alignment horizontal="center"/>
    </xf>
    <xf numFmtId="0" fontId="2" fillId="10" borderId="1" xfId="0" applyFont="1" applyFill="1" applyBorder="1" applyAlignment="1">
      <alignment horizontal="center" vertical="center" wrapText="1"/>
    </xf>
    <xf numFmtId="1" fontId="3" fillId="11" borderId="1" xfId="0" applyNumberFormat="1" applyFont="1" applyFill="1" applyBorder="1" applyAlignment="1">
      <alignment horizontal="center"/>
    </xf>
    <xf numFmtId="4" fontId="1" fillId="12" borderId="1" xfId="0" applyNumberFormat="1" applyFont="1" applyFill="1" applyBorder="1" applyAlignment="1">
      <alignment horizontal="center" vertical="center"/>
    </xf>
    <xf numFmtId="4" fontId="1" fillId="10" borderId="1" xfId="0" applyNumberFormat="1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left" vertical="center" wrapText="1"/>
    </xf>
    <xf numFmtId="0" fontId="7" fillId="14" borderId="1" xfId="0" applyFont="1" applyFill="1" applyBorder="1" applyAlignment="1">
      <alignment horizontal="center" vertical="center" wrapText="1"/>
    </xf>
    <xf numFmtId="4" fontId="10" fillId="14" borderId="1" xfId="0" applyNumberFormat="1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left" vertical="center" wrapText="1"/>
    </xf>
    <xf numFmtId="0" fontId="7" fillId="11" borderId="1" xfId="0" applyFont="1" applyFill="1" applyBorder="1" applyAlignment="1">
      <alignment horizontal="center" vertical="center" wrapText="1"/>
    </xf>
    <xf numFmtId="4" fontId="10" fillId="11" borderId="1" xfId="0" applyNumberFormat="1" applyFont="1" applyFill="1" applyBorder="1" applyAlignment="1">
      <alignment horizontal="center" vertical="center"/>
    </xf>
    <xf numFmtId="166" fontId="7" fillId="6" borderId="1" xfId="0" applyNumberFormat="1" applyFont="1" applyFill="1" applyBorder="1" applyAlignment="1">
      <alignment horizontal="right" vertical="center"/>
    </xf>
    <xf numFmtId="167" fontId="7" fillId="6" borderId="1" xfId="0" applyNumberFormat="1" applyFont="1" applyFill="1" applyBorder="1" applyAlignment="1">
      <alignment horizontal="right" vertical="center"/>
    </xf>
    <xf numFmtId="166" fontId="7" fillId="5" borderId="1" xfId="0" applyNumberFormat="1" applyFont="1" applyFill="1" applyBorder="1" applyAlignment="1">
      <alignment horizontal="right" vertical="center"/>
    </xf>
    <xf numFmtId="167" fontId="7" fillId="5" borderId="1" xfId="0" applyNumberFormat="1" applyFont="1" applyFill="1" applyBorder="1" applyAlignment="1">
      <alignment horizontal="right" vertical="center"/>
    </xf>
    <xf numFmtId="167" fontId="3" fillId="7" borderId="1" xfId="0" applyNumberFormat="1" applyFont="1" applyFill="1" applyBorder="1" applyAlignment="1">
      <alignment horizontal="right" vertical="center"/>
    </xf>
    <xf numFmtId="167" fontId="1" fillId="15" borderId="1" xfId="0" applyNumberFormat="1" applyFont="1" applyFill="1" applyBorder="1" applyAlignment="1">
      <alignment horizontal="center" vertical="center"/>
    </xf>
    <xf numFmtId="167" fontId="10" fillId="14" borderId="1" xfId="0" applyNumberFormat="1" applyFont="1" applyFill="1" applyBorder="1" applyAlignment="1">
      <alignment horizontal="center" vertical="center"/>
    </xf>
    <xf numFmtId="167" fontId="10" fillId="11" borderId="1" xfId="0" applyNumberFormat="1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right" vertical="center" wrapText="1"/>
    </xf>
    <xf numFmtId="0" fontId="0" fillId="0" borderId="2" xfId="0" applyBorder="1"/>
    <xf numFmtId="0" fontId="0" fillId="0" borderId="3" xfId="0" applyBorder="1"/>
    <xf numFmtId="0" fontId="2" fillId="3" borderId="0" xfId="0" applyFont="1" applyFill="1" applyAlignment="1">
      <alignment horizontal="center" vertical="center" wrapText="1"/>
    </xf>
    <xf numFmtId="0" fontId="0" fillId="0" borderId="0" xfId="0"/>
    <xf numFmtId="0" fontId="10" fillId="16" borderId="1" xfId="0" applyFont="1" applyFill="1" applyBorder="1" applyAlignment="1">
      <alignment horizontal="center" vertical="center"/>
    </xf>
    <xf numFmtId="0" fontId="0" fillId="0" borderId="1" xfId="0" applyBorder="1"/>
    <xf numFmtId="0" fontId="1" fillId="2" borderId="0" xfId="0" applyFont="1" applyFill="1" applyAlignment="1">
      <alignment horizontal="center" vertical="center" wrapText="1"/>
    </xf>
    <xf numFmtId="0" fontId="11" fillId="15" borderId="1" xfId="0" applyFont="1" applyFill="1" applyBorder="1" applyAlignment="1">
      <alignment horizontal="right" vertical="center" wrapText="1"/>
    </xf>
    <xf numFmtId="0" fontId="10" fillId="7" borderId="1" xfId="0" applyFont="1" applyFill="1" applyBorder="1" applyAlignment="1">
      <alignment horizontal="right" vertical="center" wrapText="1"/>
    </xf>
    <xf numFmtId="0" fontId="11" fillId="3" borderId="1" xfId="0" applyFont="1" applyFill="1" applyBorder="1" applyAlignment="1">
      <alignment horizontal="right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11" fillId="12" borderId="1" xfId="0" applyFont="1" applyFill="1" applyBorder="1" applyAlignment="1">
      <alignment horizontal="right" vertical="center" wrapText="1"/>
    </xf>
    <xf numFmtId="0" fontId="2" fillId="10" borderId="0" xfId="0" applyFont="1" applyFill="1" applyAlignment="1">
      <alignment horizontal="center" vertical="center" wrapText="1"/>
    </xf>
    <xf numFmtId="0" fontId="11" fillId="10" borderId="1" xfId="0" applyFont="1" applyFill="1" applyBorder="1" applyAlignment="1">
      <alignment horizontal="right" vertical="center" wrapText="1"/>
    </xf>
    <xf numFmtId="0" fontId="7" fillId="11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0" fillId="19" borderId="1" xfId="0" applyFont="1" applyFill="1" applyBorder="1" applyAlignment="1">
      <alignment horizontal="left" vertical="center" wrapText="1"/>
    </xf>
    <xf numFmtId="0" fontId="17" fillId="18" borderId="1" xfId="0" applyFont="1" applyFill="1" applyBorder="1" applyAlignment="1">
      <alignment horizontal="center" vertical="center" wrapText="1"/>
    </xf>
    <xf numFmtId="0" fontId="13" fillId="14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left" vertical="center"/>
    </xf>
    <xf numFmtId="0" fontId="18" fillId="18" borderId="1" xfId="0" applyFont="1" applyFill="1" applyBorder="1" applyAlignment="1">
      <alignment horizontal="left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19" fillId="19" borderId="1" xfId="0" applyFont="1" applyFill="1" applyBorder="1" applyAlignment="1">
      <alignment horizontal="center" vertical="center" wrapText="1"/>
    </xf>
    <xf numFmtId="0" fontId="16" fillId="17" borderId="1" xfId="0" applyFont="1" applyFill="1" applyBorder="1" applyAlignment="1">
      <alignment horizontal="left" vertical="center" wrapText="1"/>
    </xf>
    <xf numFmtId="0" fontId="15" fillId="17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14" fillId="1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workbookViewId="0">
      <selection activeCell="D27" sqref="D27"/>
    </sheetView>
  </sheetViews>
  <sheetFormatPr defaultRowHeight="15" x14ac:dyDescent="0.25"/>
  <cols>
    <col min="1" max="1" width="5" customWidth="1"/>
    <col min="2" max="2" width="15" customWidth="1"/>
    <col min="3" max="5" width="18" customWidth="1"/>
    <col min="6" max="6" width="22" customWidth="1"/>
    <col min="7" max="7" width="28" customWidth="1"/>
    <col min="8" max="9" width="20" customWidth="1"/>
  </cols>
  <sheetData>
    <row r="1" spans="1:9" ht="27.95" customHeight="1" x14ac:dyDescent="0.25">
      <c r="A1" s="48" t="s">
        <v>0</v>
      </c>
      <c r="B1" s="45"/>
      <c r="C1" s="45"/>
      <c r="D1" s="45"/>
      <c r="E1" s="45"/>
      <c r="F1" s="45"/>
      <c r="G1" s="45"/>
      <c r="H1" s="45"/>
      <c r="I1" s="45"/>
    </row>
    <row r="2" spans="1:9" ht="20.100000000000001" customHeight="1" x14ac:dyDescent="0.25">
      <c r="A2" s="44" t="s">
        <v>1</v>
      </c>
      <c r="B2" s="45"/>
      <c r="C2" s="45"/>
      <c r="D2" s="45"/>
      <c r="E2" s="45"/>
      <c r="F2" s="45"/>
      <c r="G2" s="45"/>
      <c r="H2" s="45"/>
      <c r="I2" s="45"/>
    </row>
    <row r="4" spans="1:9" ht="18" customHeight="1" x14ac:dyDescent="0.25">
      <c r="A4" s="1" t="s">
        <v>2</v>
      </c>
      <c r="B4" s="2" t="s">
        <v>3</v>
      </c>
      <c r="C4" s="3">
        <v>3</v>
      </c>
      <c r="D4" s="4" t="s">
        <v>4</v>
      </c>
    </row>
    <row r="6" spans="1:9" ht="36" customHeight="1" x14ac:dyDescent="0.25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5" t="s">
        <v>12</v>
      </c>
      <c r="I6" s="5" t="s">
        <v>13</v>
      </c>
    </row>
    <row r="7" spans="1:9" x14ac:dyDescent="0.25">
      <c r="A7" s="6">
        <v>1</v>
      </c>
      <c r="B7" s="6" t="s">
        <v>14</v>
      </c>
      <c r="C7" s="7">
        <v>7200</v>
      </c>
      <c r="D7" s="6" t="s">
        <v>15</v>
      </c>
      <c r="E7" s="6" t="s">
        <v>15</v>
      </c>
      <c r="F7" s="6" t="s">
        <v>15</v>
      </c>
      <c r="G7" s="8" t="s">
        <v>16</v>
      </c>
      <c r="H7" s="6" t="s">
        <v>15</v>
      </c>
      <c r="I7" s="6" t="s">
        <v>15</v>
      </c>
    </row>
    <row r="8" spans="1:9" x14ac:dyDescent="0.25">
      <c r="A8" s="9">
        <v>2</v>
      </c>
      <c r="B8" s="9" t="s">
        <v>17</v>
      </c>
      <c r="C8" s="10">
        <v>7350</v>
      </c>
      <c r="D8" s="9" t="s">
        <v>15</v>
      </c>
      <c r="E8" s="9" t="s">
        <v>15</v>
      </c>
      <c r="F8" s="9" t="s">
        <v>15</v>
      </c>
      <c r="G8" s="11" t="s">
        <v>16</v>
      </c>
      <c r="H8" s="9" t="s">
        <v>15</v>
      </c>
      <c r="I8" s="9" t="s">
        <v>15</v>
      </c>
    </row>
    <row r="9" spans="1:9" x14ac:dyDescent="0.25">
      <c r="A9" s="6">
        <v>3</v>
      </c>
      <c r="B9" s="6" t="s">
        <v>18</v>
      </c>
      <c r="C9" s="7">
        <v>7100</v>
      </c>
      <c r="D9" s="6" t="s">
        <v>15</v>
      </c>
      <c r="E9" s="6" t="s">
        <v>15</v>
      </c>
      <c r="F9" s="6" t="s">
        <v>15</v>
      </c>
      <c r="G9" s="8" t="s">
        <v>16</v>
      </c>
      <c r="H9" s="6" t="s">
        <v>15</v>
      </c>
      <c r="I9" s="6" t="s">
        <v>15</v>
      </c>
    </row>
    <row r="10" spans="1:9" x14ac:dyDescent="0.25">
      <c r="A10" s="9">
        <v>4</v>
      </c>
      <c r="B10" s="9" t="s">
        <v>19</v>
      </c>
      <c r="C10" s="10">
        <v>7450</v>
      </c>
      <c r="D10" s="12">
        <f t="shared" ref="D10:D21" si="0">AVERAGE(C7:C9)</f>
        <v>7216.666666666667</v>
      </c>
      <c r="E10" s="13">
        <f t="shared" ref="E10:E21" si="1">C10-D10</f>
        <v>233.33333333333303</v>
      </c>
      <c r="F10" s="12">
        <f t="shared" ref="F10:F21" si="2">(C10-D10)^2</f>
        <v>54444.4444444443</v>
      </c>
      <c r="G10" s="11" t="str">
        <f t="shared" ref="G10:G21" si="3">IF(C10&gt;D10,"↑ Underestimasi (Aktual &gt; Prediksi)",IF(C10&lt;D10,"↓ Overestimasi (Aktual &lt; Prediksi)","✓ Tepat"))</f>
        <v>↑ Underestimasi (Aktual &gt; Prediksi)</v>
      </c>
      <c r="H10" s="33">
        <f>ABS(C10-D10)/C10</f>
        <v>3.1319910514541346E-2</v>
      </c>
      <c r="I10" s="34">
        <f t="shared" ref="I10:I21" si="4">ABS(C10-D10)/C10*100</f>
        <v>3.1319910514541345</v>
      </c>
    </row>
    <row r="11" spans="1:9" x14ac:dyDescent="0.25">
      <c r="A11" s="6">
        <v>5</v>
      </c>
      <c r="B11" s="6" t="s">
        <v>20</v>
      </c>
      <c r="C11" s="7">
        <v>7600</v>
      </c>
      <c r="D11" s="14">
        <f t="shared" si="0"/>
        <v>7300</v>
      </c>
      <c r="E11" s="15">
        <f t="shared" si="1"/>
        <v>300</v>
      </c>
      <c r="F11" s="14">
        <f t="shared" si="2"/>
        <v>90000</v>
      </c>
      <c r="G11" s="8" t="str">
        <f t="shared" si="3"/>
        <v>↑ Underestimasi (Aktual &gt; Prediksi)</v>
      </c>
      <c r="H11" s="35">
        <f t="shared" ref="H11:H21" si="5">ABS(C11-D11)/C11</f>
        <v>3.9473684210526314E-2</v>
      </c>
      <c r="I11" s="36">
        <f t="shared" si="4"/>
        <v>3.9473684210526314</v>
      </c>
    </row>
    <row r="12" spans="1:9" x14ac:dyDescent="0.25">
      <c r="A12" s="9">
        <v>6</v>
      </c>
      <c r="B12" s="9" t="s">
        <v>21</v>
      </c>
      <c r="C12" s="10">
        <v>7300</v>
      </c>
      <c r="D12" s="12">
        <f t="shared" si="0"/>
        <v>7383.333333333333</v>
      </c>
      <c r="E12" s="13">
        <f t="shared" si="1"/>
        <v>-83.33333333333303</v>
      </c>
      <c r="F12" s="12">
        <f t="shared" si="2"/>
        <v>6944.4444444443943</v>
      </c>
      <c r="G12" s="11" t="str">
        <f t="shared" si="3"/>
        <v>↓ Overestimasi (Aktual &lt; Prediksi)</v>
      </c>
      <c r="H12" s="33">
        <f t="shared" si="5"/>
        <v>1.1415525114155209E-2</v>
      </c>
      <c r="I12" s="34">
        <f t="shared" si="4"/>
        <v>1.1415525114155209</v>
      </c>
    </row>
    <row r="13" spans="1:9" x14ac:dyDescent="0.25">
      <c r="A13" s="6">
        <v>7</v>
      </c>
      <c r="B13" s="6" t="s">
        <v>22</v>
      </c>
      <c r="C13" s="7">
        <v>7500</v>
      </c>
      <c r="D13" s="14">
        <f t="shared" si="0"/>
        <v>7450</v>
      </c>
      <c r="E13" s="15">
        <f t="shared" si="1"/>
        <v>50</v>
      </c>
      <c r="F13" s="14">
        <f t="shared" si="2"/>
        <v>2500</v>
      </c>
      <c r="G13" s="8" t="str">
        <f t="shared" si="3"/>
        <v>↑ Underestimasi (Aktual &gt; Prediksi)</v>
      </c>
      <c r="H13" s="35">
        <f t="shared" si="5"/>
        <v>6.6666666666666671E-3</v>
      </c>
      <c r="I13" s="36">
        <f t="shared" si="4"/>
        <v>0.66666666666666674</v>
      </c>
    </row>
    <row r="14" spans="1:9" x14ac:dyDescent="0.25">
      <c r="A14" s="9">
        <v>8</v>
      </c>
      <c r="B14" s="9" t="s">
        <v>23</v>
      </c>
      <c r="C14" s="10">
        <v>7250</v>
      </c>
      <c r="D14" s="12">
        <f t="shared" si="0"/>
        <v>7466.666666666667</v>
      </c>
      <c r="E14" s="13">
        <f t="shared" si="1"/>
        <v>-216.66666666666697</v>
      </c>
      <c r="F14" s="12">
        <f t="shared" si="2"/>
        <v>46944.444444444576</v>
      </c>
      <c r="G14" s="11" t="str">
        <f t="shared" si="3"/>
        <v>↓ Overestimasi (Aktual &lt; Prediksi)</v>
      </c>
      <c r="H14" s="33">
        <f t="shared" si="5"/>
        <v>2.9885057471264409E-2</v>
      </c>
      <c r="I14" s="34">
        <f t="shared" si="4"/>
        <v>2.9885057471264407</v>
      </c>
    </row>
    <row r="15" spans="1:9" x14ac:dyDescent="0.25">
      <c r="A15" s="6">
        <v>9</v>
      </c>
      <c r="B15" s="6" t="s">
        <v>24</v>
      </c>
      <c r="C15" s="7">
        <v>7700</v>
      </c>
      <c r="D15" s="14">
        <f t="shared" si="0"/>
        <v>7350</v>
      </c>
      <c r="E15" s="15">
        <f t="shared" si="1"/>
        <v>350</v>
      </c>
      <c r="F15" s="14">
        <f t="shared" si="2"/>
        <v>122500</v>
      </c>
      <c r="G15" s="8" t="str">
        <f t="shared" si="3"/>
        <v>↑ Underestimasi (Aktual &gt; Prediksi)</v>
      </c>
      <c r="H15" s="35">
        <f t="shared" si="5"/>
        <v>4.5454545454545456E-2</v>
      </c>
      <c r="I15" s="36">
        <f t="shared" si="4"/>
        <v>4.5454545454545459</v>
      </c>
    </row>
    <row r="16" spans="1:9" x14ac:dyDescent="0.25">
      <c r="A16" s="9">
        <v>10</v>
      </c>
      <c r="B16" s="9" t="s">
        <v>25</v>
      </c>
      <c r="C16" s="10">
        <v>7800</v>
      </c>
      <c r="D16" s="12">
        <f t="shared" si="0"/>
        <v>7483.333333333333</v>
      </c>
      <c r="E16" s="13">
        <f t="shared" si="1"/>
        <v>316.66666666666697</v>
      </c>
      <c r="F16" s="12">
        <f t="shared" si="2"/>
        <v>100277.77777777797</v>
      </c>
      <c r="G16" s="11" t="str">
        <f t="shared" si="3"/>
        <v>↑ Underestimasi (Aktual &gt; Prediksi)</v>
      </c>
      <c r="H16" s="33">
        <f t="shared" si="5"/>
        <v>4.0598290598290634E-2</v>
      </c>
      <c r="I16" s="34">
        <f t="shared" si="4"/>
        <v>4.0598290598290632</v>
      </c>
    </row>
    <row r="17" spans="1:9" x14ac:dyDescent="0.25">
      <c r="A17" s="6">
        <v>11</v>
      </c>
      <c r="B17" s="6" t="s">
        <v>26</v>
      </c>
      <c r="C17" s="7">
        <v>7650</v>
      </c>
      <c r="D17" s="14">
        <f t="shared" si="0"/>
        <v>7583.333333333333</v>
      </c>
      <c r="E17" s="15">
        <f t="shared" si="1"/>
        <v>66.66666666666697</v>
      </c>
      <c r="F17" s="14">
        <f t="shared" si="2"/>
        <v>4444.4444444444853</v>
      </c>
      <c r="G17" s="8" t="str">
        <f t="shared" si="3"/>
        <v>↑ Underestimasi (Aktual &gt; Prediksi)</v>
      </c>
      <c r="H17" s="35">
        <f t="shared" si="5"/>
        <v>8.7145969498911065E-3</v>
      </c>
      <c r="I17" s="36">
        <f t="shared" si="4"/>
        <v>0.87145969498911069</v>
      </c>
    </row>
    <row r="18" spans="1:9" x14ac:dyDescent="0.25">
      <c r="A18" s="9">
        <v>12</v>
      </c>
      <c r="B18" s="9" t="s">
        <v>27</v>
      </c>
      <c r="C18" s="10">
        <v>7400</v>
      </c>
      <c r="D18" s="12">
        <f t="shared" si="0"/>
        <v>7716.666666666667</v>
      </c>
      <c r="E18" s="13">
        <f t="shared" si="1"/>
        <v>-316.66666666666697</v>
      </c>
      <c r="F18" s="12">
        <f t="shared" si="2"/>
        <v>100277.77777777797</v>
      </c>
      <c r="G18" s="11" t="str">
        <f t="shared" si="3"/>
        <v>↓ Overestimasi (Aktual &lt; Prediksi)</v>
      </c>
      <c r="H18" s="33">
        <f t="shared" si="5"/>
        <v>4.2792792792792834E-2</v>
      </c>
      <c r="I18" s="34">
        <f t="shared" si="4"/>
        <v>4.2792792792792831</v>
      </c>
    </row>
    <row r="19" spans="1:9" x14ac:dyDescent="0.25">
      <c r="A19" s="6">
        <v>13</v>
      </c>
      <c r="B19" s="6" t="s">
        <v>28</v>
      </c>
      <c r="C19" s="7">
        <v>7550</v>
      </c>
      <c r="D19" s="14">
        <f t="shared" si="0"/>
        <v>7616.666666666667</v>
      </c>
      <c r="E19" s="15">
        <f t="shared" si="1"/>
        <v>-66.66666666666697</v>
      </c>
      <c r="F19" s="14">
        <f t="shared" si="2"/>
        <v>4444.4444444444853</v>
      </c>
      <c r="G19" s="8" t="str">
        <f t="shared" si="3"/>
        <v>↓ Overestimasi (Aktual &lt; Prediksi)</v>
      </c>
      <c r="H19" s="35">
        <f t="shared" si="5"/>
        <v>8.8300220750552275E-3</v>
      </c>
      <c r="I19" s="36">
        <f t="shared" si="4"/>
        <v>0.88300220750552272</v>
      </c>
    </row>
    <row r="20" spans="1:9" x14ac:dyDescent="0.25">
      <c r="A20" s="9">
        <v>14</v>
      </c>
      <c r="B20" s="9" t="s">
        <v>29</v>
      </c>
      <c r="C20" s="10">
        <v>7900</v>
      </c>
      <c r="D20" s="12">
        <f t="shared" si="0"/>
        <v>7533.333333333333</v>
      </c>
      <c r="E20" s="13">
        <f t="shared" si="1"/>
        <v>366.66666666666697</v>
      </c>
      <c r="F20" s="12">
        <f t="shared" si="2"/>
        <v>134444.44444444467</v>
      </c>
      <c r="G20" s="11" t="str">
        <f t="shared" si="3"/>
        <v>↑ Underestimasi (Aktual &gt; Prediksi)</v>
      </c>
      <c r="H20" s="33">
        <f t="shared" si="5"/>
        <v>4.6413502109704678E-2</v>
      </c>
      <c r="I20" s="34">
        <f t="shared" si="4"/>
        <v>4.6413502109704678</v>
      </c>
    </row>
    <row r="21" spans="1:9" x14ac:dyDescent="0.25">
      <c r="A21" s="6">
        <v>15</v>
      </c>
      <c r="B21" s="6" t="s">
        <v>30</v>
      </c>
      <c r="C21" s="7">
        <v>8000</v>
      </c>
      <c r="D21" s="14">
        <f t="shared" si="0"/>
        <v>7616.666666666667</v>
      </c>
      <c r="E21" s="15">
        <f t="shared" si="1"/>
        <v>383.33333333333303</v>
      </c>
      <c r="F21" s="14">
        <f t="shared" si="2"/>
        <v>146944.44444444421</v>
      </c>
      <c r="G21" s="8" t="str">
        <f t="shared" si="3"/>
        <v>↑ Underestimasi (Aktual &gt; Prediksi)</v>
      </c>
      <c r="H21" s="35">
        <f t="shared" si="5"/>
        <v>4.7916666666666628E-2</v>
      </c>
      <c r="I21" s="36">
        <f t="shared" si="4"/>
        <v>4.7916666666666625</v>
      </c>
    </row>
    <row r="22" spans="1:9" x14ac:dyDescent="0.25">
      <c r="A22" s="50" t="s">
        <v>31</v>
      </c>
      <c r="B22" s="42"/>
      <c r="C22" s="42"/>
      <c r="D22" s="42"/>
      <c r="E22" s="43"/>
      <c r="F22" s="17">
        <f>SUMIF(D7:D21,"&lt;&gt;—",F7:F21)</f>
        <v>814166.66666666721</v>
      </c>
      <c r="G22" s="16"/>
      <c r="H22" s="16"/>
      <c r="I22" s="37">
        <f>SUM(I7:I21)</f>
        <v>35.948126062410047</v>
      </c>
    </row>
    <row r="24" spans="1:9" x14ac:dyDescent="0.25">
      <c r="A24" s="52" t="s">
        <v>32</v>
      </c>
      <c r="B24" s="42"/>
      <c r="C24" s="43"/>
      <c r="D24" s="18">
        <v>12</v>
      </c>
    </row>
    <row r="25" spans="1:9" ht="26.1" customHeight="1" x14ac:dyDescent="0.25">
      <c r="A25" s="41" t="s">
        <v>33</v>
      </c>
      <c r="B25" s="42"/>
      <c r="C25" s="43"/>
      <c r="D25" s="19">
        <f>F22/D24</f>
        <v>67847.222222222263</v>
      </c>
    </row>
    <row r="26" spans="1:9" ht="26.1" customHeight="1" x14ac:dyDescent="0.25">
      <c r="A26" s="51" t="s">
        <v>34</v>
      </c>
      <c r="B26" s="42"/>
      <c r="C26" s="43"/>
      <c r="D26" s="20">
        <f>SQRT(D25)</f>
        <v>260.47499346812981</v>
      </c>
    </row>
    <row r="27" spans="1:9" ht="26.1" customHeight="1" x14ac:dyDescent="0.25">
      <c r="A27" s="49" t="s">
        <v>35</v>
      </c>
      <c r="B27" s="47"/>
      <c r="C27" s="47"/>
      <c r="D27" s="38">
        <f>I22/D24</f>
        <v>2.9956771718675039</v>
      </c>
      <c r="E27" s="16"/>
      <c r="F27" s="16"/>
      <c r="G27" s="16"/>
      <c r="H27" s="16"/>
      <c r="I27" s="16"/>
    </row>
    <row r="28" spans="1:9" ht="21.95" customHeight="1" x14ac:dyDescent="0.25">
      <c r="A28" s="46" t="str">
        <f>IF(D27&lt;10,"✅ Akurasi SANGAT BAIK (MAPE &lt; 10%)",IF(D27&lt;20,"🟡 Akurasi BAIK (MAPE 10%-20%)",IF(D27&lt;50,"🟠 Akurasi CUKUP (MAPE 20%-50%)","🔴 Akurasi KURANG (MAPE &gt; 50%)")))</f>
        <v>✅ Akurasi SANGAT BAIK (MAPE &lt; 10%)</v>
      </c>
      <c r="B28" s="47"/>
      <c r="C28" s="47"/>
      <c r="D28" s="47"/>
      <c r="E28" s="47"/>
      <c r="F28" s="47"/>
      <c r="G28" s="47"/>
      <c r="H28" s="47"/>
      <c r="I28" s="47"/>
    </row>
  </sheetData>
  <mergeCells count="8">
    <mergeCell ref="A25:C25"/>
    <mergeCell ref="A2:I2"/>
    <mergeCell ref="A28:I28"/>
    <mergeCell ref="A1:I1"/>
    <mergeCell ref="A27:C27"/>
    <mergeCell ref="A22:E22"/>
    <mergeCell ref="A26:C26"/>
    <mergeCell ref="A24:C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8"/>
  <sheetViews>
    <sheetView tabSelected="1" workbookViewId="0">
      <selection activeCell="C4" sqref="C4"/>
    </sheetView>
  </sheetViews>
  <sheetFormatPr defaultRowHeight="15" x14ac:dyDescent="0.25"/>
  <cols>
    <col min="1" max="1" width="5" customWidth="1"/>
    <col min="2" max="2" width="15" customWidth="1"/>
    <col min="3" max="5" width="18" customWidth="1"/>
    <col min="6" max="6" width="22" customWidth="1"/>
    <col min="7" max="7" width="28" customWidth="1"/>
    <col min="8" max="9" width="20" customWidth="1"/>
  </cols>
  <sheetData>
    <row r="1" spans="1:9" ht="27.95" customHeight="1" x14ac:dyDescent="0.25">
      <c r="A1" s="48" t="s">
        <v>36</v>
      </c>
      <c r="B1" s="45"/>
      <c r="C1" s="45"/>
      <c r="D1" s="45"/>
      <c r="E1" s="45"/>
      <c r="F1" s="45"/>
      <c r="G1" s="45"/>
      <c r="H1" s="45"/>
      <c r="I1" s="45"/>
    </row>
    <row r="2" spans="1:9" ht="20.100000000000001" customHeight="1" x14ac:dyDescent="0.25">
      <c r="A2" s="54" t="s">
        <v>37</v>
      </c>
      <c r="B2" s="45"/>
      <c r="C2" s="45"/>
      <c r="D2" s="45"/>
      <c r="E2" s="45"/>
      <c r="F2" s="45"/>
      <c r="G2" s="45"/>
      <c r="H2" s="45"/>
      <c r="I2" s="45"/>
    </row>
    <row r="4" spans="1:9" ht="18" customHeight="1" x14ac:dyDescent="0.25">
      <c r="A4" s="1" t="s">
        <v>2</v>
      </c>
      <c r="B4" s="2" t="s">
        <v>38</v>
      </c>
      <c r="C4" s="21">
        <v>0.3</v>
      </c>
      <c r="D4" s="4" t="s">
        <v>39</v>
      </c>
    </row>
    <row r="6" spans="1:9" ht="36" customHeight="1" x14ac:dyDescent="0.25">
      <c r="A6" s="22" t="s">
        <v>5</v>
      </c>
      <c r="B6" s="22" t="s">
        <v>6</v>
      </c>
      <c r="C6" s="22" t="s">
        <v>7</v>
      </c>
      <c r="D6" s="22" t="s">
        <v>40</v>
      </c>
      <c r="E6" s="22" t="s">
        <v>9</v>
      </c>
      <c r="F6" s="22" t="s">
        <v>10</v>
      </c>
      <c r="G6" s="22" t="s">
        <v>11</v>
      </c>
      <c r="H6" s="22" t="s">
        <v>12</v>
      </c>
      <c r="I6" s="22" t="s">
        <v>13</v>
      </c>
    </row>
    <row r="7" spans="1:9" x14ac:dyDescent="0.25">
      <c r="A7" s="6">
        <v>1</v>
      </c>
      <c r="B7" s="6" t="s">
        <v>14</v>
      </c>
      <c r="C7" s="7">
        <v>7200</v>
      </c>
      <c r="D7" s="14">
        <f>C7</f>
        <v>7200</v>
      </c>
      <c r="E7" s="6" t="s">
        <v>15</v>
      </c>
      <c r="F7" s="6" t="s">
        <v>15</v>
      </c>
      <c r="G7" s="8" t="s">
        <v>41</v>
      </c>
      <c r="H7" s="6" t="s">
        <v>15</v>
      </c>
      <c r="I7" s="6" t="s">
        <v>15</v>
      </c>
    </row>
    <row r="8" spans="1:9" x14ac:dyDescent="0.25">
      <c r="A8" s="9">
        <v>2</v>
      </c>
      <c r="B8" s="9" t="s">
        <v>17</v>
      </c>
      <c r="C8" s="10">
        <v>7350</v>
      </c>
      <c r="D8" s="12">
        <f t="shared" ref="D8:D21" si="0">$C$4*C7+(1-$C$4)*D7</f>
        <v>7200</v>
      </c>
      <c r="E8" s="13">
        <f t="shared" ref="E8:E21" si="1">C8-D8</f>
        <v>150</v>
      </c>
      <c r="F8" s="12">
        <f t="shared" ref="F8:F21" si="2">(C8-D8)^2</f>
        <v>22500</v>
      </c>
      <c r="G8" s="11" t="str">
        <f t="shared" ref="G8:G21" si="3">IF(C8&gt;D8,"↑ Underestimasi (Aktual &gt; Prediksi)",IF(C8&lt;D8,"↓ Overestimasi (Aktual &lt; Prediksi)","✓ Tepat"))</f>
        <v>↑ Underestimasi (Aktual &gt; Prediksi)</v>
      </c>
      <c r="H8" s="33">
        <f t="shared" ref="H8:H21" si="4">ABS(C8-D8)/C8</f>
        <v>2.0408163265306121E-2</v>
      </c>
      <c r="I8" s="34">
        <f t="shared" ref="I8:I21" si="5">ABS(C8-D8)/C8*100</f>
        <v>2.0408163265306123</v>
      </c>
    </row>
    <row r="9" spans="1:9" x14ac:dyDescent="0.25">
      <c r="A9" s="6">
        <v>3</v>
      </c>
      <c r="B9" s="6" t="s">
        <v>18</v>
      </c>
      <c r="C9" s="7">
        <v>7100</v>
      </c>
      <c r="D9" s="14">
        <f t="shared" si="0"/>
        <v>7245</v>
      </c>
      <c r="E9" s="15">
        <f t="shared" si="1"/>
        <v>-145</v>
      </c>
      <c r="F9" s="14">
        <f t="shared" si="2"/>
        <v>21025</v>
      </c>
      <c r="G9" s="8" t="str">
        <f t="shared" si="3"/>
        <v>↓ Overestimasi (Aktual &lt; Prediksi)</v>
      </c>
      <c r="H9" s="35">
        <f t="shared" si="4"/>
        <v>2.0422535211267606E-2</v>
      </c>
      <c r="I9" s="36">
        <f t="shared" si="5"/>
        <v>2.0422535211267605</v>
      </c>
    </row>
    <row r="10" spans="1:9" x14ac:dyDescent="0.25">
      <c r="A10" s="9">
        <v>4</v>
      </c>
      <c r="B10" s="9" t="s">
        <v>19</v>
      </c>
      <c r="C10" s="10">
        <v>7450</v>
      </c>
      <c r="D10" s="12">
        <f t="shared" si="0"/>
        <v>7201.5</v>
      </c>
      <c r="E10" s="13">
        <f t="shared" si="1"/>
        <v>248.5</v>
      </c>
      <c r="F10" s="12">
        <f t="shared" si="2"/>
        <v>61752.25</v>
      </c>
      <c r="G10" s="11" t="str">
        <f t="shared" si="3"/>
        <v>↑ Underestimasi (Aktual &gt; Prediksi)</v>
      </c>
      <c r="H10" s="33">
        <f t="shared" si="4"/>
        <v>3.3355704697986578E-2</v>
      </c>
      <c r="I10" s="34">
        <f t="shared" si="5"/>
        <v>3.3355704697986579</v>
      </c>
    </row>
    <row r="11" spans="1:9" x14ac:dyDescent="0.25">
      <c r="A11" s="6">
        <v>5</v>
      </c>
      <c r="B11" s="6" t="s">
        <v>20</v>
      </c>
      <c r="C11" s="7">
        <v>7600</v>
      </c>
      <c r="D11" s="14">
        <f t="shared" si="0"/>
        <v>7276.0499999999993</v>
      </c>
      <c r="E11" s="15">
        <f t="shared" si="1"/>
        <v>323.95000000000073</v>
      </c>
      <c r="F11" s="14">
        <f t="shared" si="2"/>
        <v>104943.60250000047</v>
      </c>
      <c r="G11" s="8" t="str">
        <f t="shared" si="3"/>
        <v>↑ Underestimasi (Aktual &gt; Prediksi)</v>
      </c>
      <c r="H11" s="35">
        <f t="shared" si="4"/>
        <v>4.2625000000000093E-2</v>
      </c>
      <c r="I11" s="36">
        <f t="shared" si="5"/>
        <v>4.2625000000000091</v>
      </c>
    </row>
    <row r="12" spans="1:9" x14ac:dyDescent="0.25">
      <c r="A12" s="9">
        <v>6</v>
      </c>
      <c r="B12" s="9" t="s">
        <v>21</v>
      </c>
      <c r="C12" s="10">
        <v>7300</v>
      </c>
      <c r="D12" s="12">
        <f t="shared" si="0"/>
        <v>7373.2349999999988</v>
      </c>
      <c r="E12" s="13">
        <f t="shared" si="1"/>
        <v>-73.234999999998763</v>
      </c>
      <c r="F12" s="12">
        <f t="shared" si="2"/>
        <v>5363.3652249998186</v>
      </c>
      <c r="G12" s="11" t="str">
        <f t="shared" si="3"/>
        <v>↓ Overestimasi (Aktual &lt; Prediksi)</v>
      </c>
      <c r="H12" s="33">
        <f t="shared" si="4"/>
        <v>1.0032191780821749E-2</v>
      </c>
      <c r="I12" s="34">
        <f t="shared" si="5"/>
        <v>1.0032191780821749</v>
      </c>
    </row>
    <row r="13" spans="1:9" x14ac:dyDescent="0.25">
      <c r="A13" s="6">
        <v>7</v>
      </c>
      <c r="B13" s="6" t="s">
        <v>22</v>
      </c>
      <c r="C13" s="7">
        <v>7500</v>
      </c>
      <c r="D13" s="14">
        <f t="shared" si="0"/>
        <v>7351.2644999999984</v>
      </c>
      <c r="E13" s="15">
        <f t="shared" si="1"/>
        <v>148.73550000000159</v>
      </c>
      <c r="F13" s="14">
        <f t="shared" si="2"/>
        <v>22122.248960250476</v>
      </c>
      <c r="G13" s="8" t="str">
        <f t="shared" si="3"/>
        <v>↑ Underestimasi (Aktual &gt; Prediksi)</v>
      </c>
      <c r="H13" s="35">
        <f t="shared" si="4"/>
        <v>1.9831400000000214E-2</v>
      </c>
      <c r="I13" s="36">
        <f t="shared" si="5"/>
        <v>1.9831400000000214</v>
      </c>
    </row>
    <row r="14" spans="1:9" x14ac:dyDescent="0.25">
      <c r="A14" s="9">
        <v>8</v>
      </c>
      <c r="B14" s="9" t="s">
        <v>23</v>
      </c>
      <c r="C14" s="10">
        <v>7250</v>
      </c>
      <c r="D14" s="12">
        <f t="shared" si="0"/>
        <v>7395.8851499999982</v>
      </c>
      <c r="E14" s="13">
        <f t="shared" si="1"/>
        <v>-145.88514999999825</v>
      </c>
      <c r="F14" s="12">
        <f t="shared" si="2"/>
        <v>21282.476990521987</v>
      </c>
      <c r="G14" s="11" t="str">
        <f t="shared" si="3"/>
        <v>↓ Overestimasi (Aktual &lt; Prediksi)</v>
      </c>
      <c r="H14" s="33">
        <f t="shared" si="4"/>
        <v>2.0122089655172173E-2</v>
      </c>
      <c r="I14" s="34">
        <f t="shared" si="5"/>
        <v>2.0122089655172171</v>
      </c>
    </row>
    <row r="15" spans="1:9" x14ac:dyDescent="0.25">
      <c r="A15" s="6">
        <v>9</v>
      </c>
      <c r="B15" s="6" t="s">
        <v>24</v>
      </c>
      <c r="C15" s="7">
        <v>7700</v>
      </c>
      <c r="D15" s="14">
        <f t="shared" si="0"/>
        <v>7352.119604999998</v>
      </c>
      <c r="E15" s="15">
        <f t="shared" si="1"/>
        <v>347.88039500000195</v>
      </c>
      <c r="F15" s="14">
        <f t="shared" si="2"/>
        <v>121020.76922535739</v>
      </c>
      <c r="G15" s="8" t="str">
        <f t="shared" si="3"/>
        <v>↑ Underestimasi (Aktual &gt; Prediksi)</v>
      </c>
      <c r="H15" s="35">
        <f t="shared" si="4"/>
        <v>4.5179272077922335E-2</v>
      </c>
      <c r="I15" s="36">
        <f t="shared" si="5"/>
        <v>4.5179272077922334</v>
      </c>
    </row>
    <row r="16" spans="1:9" x14ac:dyDescent="0.25">
      <c r="A16" s="9">
        <v>10</v>
      </c>
      <c r="B16" s="9" t="s">
        <v>25</v>
      </c>
      <c r="C16" s="10">
        <v>7800</v>
      </c>
      <c r="D16" s="12">
        <f t="shared" si="0"/>
        <v>7456.4837234999986</v>
      </c>
      <c r="E16" s="13">
        <f t="shared" si="1"/>
        <v>343.51627650000137</v>
      </c>
      <c r="F16" s="12">
        <f t="shared" si="2"/>
        <v>118003.4322204254</v>
      </c>
      <c r="G16" s="11" t="str">
        <f t="shared" si="3"/>
        <v>↑ Underestimasi (Aktual &gt; Prediksi)</v>
      </c>
      <c r="H16" s="33">
        <f t="shared" si="4"/>
        <v>4.4040548269230942E-2</v>
      </c>
      <c r="I16" s="34">
        <f t="shared" si="5"/>
        <v>4.4040548269230939</v>
      </c>
    </row>
    <row r="17" spans="1:9" x14ac:dyDescent="0.25">
      <c r="A17" s="6">
        <v>11</v>
      </c>
      <c r="B17" s="6" t="s">
        <v>26</v>
      </c>
      <c r="C17" s="7">
        <v>7650</v>
      </c>
      <c r="D17" s="14">
        <f t="shared" si="0"/>
        <v>7559.538606449999</v>
      </c>
      <c r="E17" s="15">
        <f t="shared" si="1"/>
        <v>90.461393550001048</v>
      </c>
      <c r="F17" s="14">
        <f t="shared" si="2"/>
        <v>8183.2637230081709</v>
      </c>
      <c r="G17" s="8" t="str">
        <f t="shared" si="3"/>
        <v>↑ Underestimasi (Aktual &gt; Prediksi)</v>
      </c>
      <c r="H17" s="35">
        <f t="shared" si="4"/>
        <v>1.1825018764706019E-2</v>
      </c>
      <c r="I17" s="36">
        <f t="shared" si="5"/>
        <v>1.1825018764706019</v>
      </c>
    </row>
    <row r="18" spans="1:9" x14ac:dyDescent="0.25">
      <c r="A18" s="9">
        <v>12</v>
      </c>
      <c r="B18" s="9" t="s">
        <v>27</v>
      </c>
      <c r="C18" s="10">
        <v>7400</v>
      </c>
      <c r="D18" s="12">
        <f t="shared" si="0"/>
        <v>7586.6770245149992</v>
      </c>
      <c r="E18" s="13">
        <f t="shared" si="1"/>
        <v>-186.67702451499918</v>
      </c>
      <c r="F18" s="12">
        <f t="shared" si="2"/>
        <v>34848.311481773606</v>
      </c>
      <c r="G18" s="11" t="str">
        <f t="shared" si="3"/>
        <v>↓ Overestimasi (Aktual &lt; Prediksi)</v>
      </c>
      <c r="H18" s="33">
        <f t="shared" si="4"/>
        <v>2.5226624934459346E-2</v>
      </c>
      <c r="I18" s="34">
        <f t="shared" si="5"/>
        <v>2.5226624934459347</v>
      </c>
    </row>
    <row r="19" spans="1:9" x14ac:dyDescent="0.25">
      <c r="A19" s="6">
        <v>13</v>
      </c>
      <c r="B19" s="6" t="s">
        <v>28</v>
      </c>
      <c r="C19" s="7">
        <v>7550</v>
      </c>
      <c r="D19" s="14">
        <f t="shared" si="0"/>
        <v>7530.6739171604995</v>
      </c>
      <c r="E19" s="15">
        <f t="shared" si="1"/>
        <v>19.326082839500486</v>
      </c>
      <c r="F19" s="14">
        <f t="shared" si="2"/>
        <v>373.49747791923517</v>
      </c>
      <c r="G19" s="8" t="str">
        <f t="shared" si="3"/>
        <v>↑ Underestimasi (Aktual &gt; Prediksi)</v>
      </c>
      <c r="H19" s="35">
        <f t="shared" si="4"/>
        <v>2.5597460714570182E-3</v>
      </c>
      <c r="I19" s="36">
        <f t="shared" si="5"/>
        <v>0.2559746071457018</v>
      </c>
    </row>
    <row r="20" spans="1:9" x14ac:dyDescent="0.25">
      <c r="A20" s="9">
        <v>14</v>
      </c>
      <c r="B20" s="9" t="s">
        <v>29</v>
      </c>
      <c r="C20" s="10">
        <v>7900</v>
      </c>
      <c r="D20" s="12">
        <f t="shared" si="0"/>
        <v>7536.4717420123498</v>
      </c>
      <c r="E20" s="13">
        <f t="shared" si="1"/>
        <v>363.52825798765025</v>
      </c>
      <c r="F20" s="12">
        <f t="shared" si="2"/>
        <v>132152.79435553559</v>
      </c>
      <c r="G20" s="11" t="str">
        <f t="shared" si="3"/>
        <v>↑ Underestimasi (Aktual &gt; Prediksi)</v>
      </c>
      <c r="H20" s="33">
        <f t="shared" si="4"/>
        <v>4.6016235188310155E-2</v>
      </c>
      <c r="I20" s="34">
        <f t="shared" si="5"/>
        <v>4.6016235188310155</v>
      </c>
    </row>
    <row r="21" spans="1:9" x14ac:dyDescent="0.25">
      <c r="A21" s="6">
        <v>15</v>
      </c>
      <c r="B21" s="6" t="s">
        <v>30</v>
      </c>
      <c r="C21" s="7">
        <v>8000</v>
      </c>
      <c r="D21" s="14">
        <f t="shared" si="0"/>
        <v>7645.5302194086444</v>
      </c>
      <c r="E21" s="15">
        <f t="shared" si="1"/>
        <v>354.46978059135563</v>
      </c>
      <c r="F21" s="14">
        <f t="shared" si="2"/>
        <v>125648.82535248381</v>
      </c>
      <c r="G21" s="8" t="str">
        <f t="shared" si="3"/>
        <v>↑ Underestimasi (Aktual &gt; Prediksi)</v>
      </c>
      <c r="H21" s="35">
        <f t="shared" si="4"/>
        <v>4.4308722573919455E-2</v>
      </c>
      <c r="I21" s="36">
        <f t="shared" si="5"/>
        <v>4.4308722573919459</v>
      </c>
    </row>
    <row r="22" spans="1:9" x14ac:dyDescent="0.25">
      <c r="A22" s="50" t="s">
        <v>42</v>
      </c>
      <c r="B22" s="42"/>
      <c r="C22" s="42"/>
      <c r="D22" s="42"/>
      <c r="E22" s="43"/>
      <c r="F22" s="17">
        <f>SUM(F8:F21)</f>
        <v>799219.83751227579</v>
      </c>
      <c r="G22" s="16"/>
      <c r="H22" s="16"/>
      <c r="I22" s="37">
        <f>SUM(I8:I21)</f>
        <v>38.595325249055982</v>
      </c>
    </row>
    <row r="24" spans="1:9" x14ac:dyDescent="0.25">
      <c r="A24" s="56" t="s">
        <v>32</v>
      </c>
      <c r="B24" s="42"/>
      <c r="C24" s="43"/>
      <c r="D24" s="23">
        <v>14</v>
      </c>
    </row>
    <row r="25" spans="1:9" ht="26.1" customHeight="1" x14ac:dyDescent="0.25">
      <c r="A25" s="53" t="s">
        <v>33</v>
      </c>
      <c r="B25" s="42"/>
      <c r="C25" s="43"/>
      <c r="D25" s="24">
        <f>F22/D24</f>
        <v>57087.131250876839</v>
      </c>
    </row>
    <row r="26" spans="1:9" ht="26.1" customHeight="1" x14ac:dyDescent="0.25">
      <c r="A26" s="55" t="s">
        <v>34</v>
      </c>
      <c r="B26" s="42"/>
      <c r="C26" s="43"/>
      <c r="D26" s="25">
        <f>SQRT(D25)</f>
        <v>238.929134370166</v>
      </c>
    </row>
    <row r="27" spans="1:9" ht="26.1" customHeight="1" x14ac:dyDescent="0.25">
      <c r="A27" s="49" t="s">
        <v>35</v>
      </c>
      <c r="B27" s="47"/>
      <c r="C27" s="47"/>
      <c r="D27" s="38">
        <f>I22/D24</f>
        <v>2.7568089463611414</v>
      </c>
      <c r="E27" s="16"/>
      <c r="F27" s="16"/>
      <c r="G27" s="16"/>
      <c r="H27" s="16"/>
      <c r="I27" s="16"/>
    </row>
    <row r="28" spans="1:9" ht="21.95" customHeight="1" x14ac:dyDescent="0.25">
      <c r="A28" s="46" t="str">
        <f>IF(D27&lt;10,"✅ Akurasi SANGAT BAIK (MAPE &lt; 10%)",IF(D27&lt;20,"🟡 Akurasi BAIK (MAPE 10%-20%)",IF(D27&lt;50,"🟠 Akurasi CUKUP (MAPE 20%-50%)","🔴 Akurasi KURANG (MAPE &gt; 50%)")))</f>
        <v>✅ Akurasi SANGAT BAIK (MAPE &lt; 10%)</v>
      </c>
      <c r="B28" s="47"/>
      <c r="C28" s="47"/>
      <c r="D28" s="47"/>
      <c r="E28" s="47"/>
      <c r="F28" s="47"/>
      <c r="G28" s="47"/>
      <c r="H28" s="47"/>
      <c r="I28" s="47"/>
    </row>
  </sheetData>
  <mergeCells count="8">
    <mergeCell ref="A25:C25"/>
    <mergeCell ref="A2:I2"/>
    <mergeCell ref="A28:I28"/>
    <mergeCell ref="A1:I1"/>
    <mergeCell ref="A27:C27"/>
    <mergeCell ref="A22:E22"/>
    <mergeCell ref="A26:C26"/>
    <mergeCell ref="A24:C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7"/>
  <sheetViews>
    <sheetView workbookViewId="0">
      <selection sqref="A1:F1"/>
    </sheetView>
  </sheetViews>
  <sheetFormatPr defaultRowHeight="15" x14ac:dyDescent="0.25"/>
  <cols>
    <col min="1" max="1" width="30" customWidth="1"/>
    <col min="2" max="2" width="25" customWidth="1"/>
    <col min="3" max="3" width="12" customWidth="1"/>
    <col min="4" max="7" width="18" customWidth="1"/>
  </cols>
  <sheetData>
    <row r="1" spans="1:7" ht="27.95" customHeight="1" x14ac:dyDescent="0.25">
      <c r="A1" s="48" t="s">
        <v>43</v>
      </c>
      <c r="B1" s="45"/>
      <c r="C1" s="45"/>
      <c r="D1" s="45"/>
      <c r="E1" s="45"/>
      <c r="F1" s="45"/>
    </row>
    <row r="3" spans="1:7" ht="21.95" customHeight="1" x14ac:dyDescent="0.25">
      <c r="A3" s="26" t="s">
        <v>44</v>
      </c>
      <c r="B3" s="26" t="s">
        <v>45</v>
      </c>
      <c r="C3" s="26" t="s">
        <v>46</v>
      </c>
      <c r="D3" s="26" t="s">
        <v>47</v>
      </c>
      <c r="E3" s="26" t="s">
        <v>48</v>
      </c>
      <c r="F3" s="26" t="s">
        <v>49</v>
      </c>
      <c r="G3" s="26" t="s">
        <v>50</v>
      </c>
    </row>
    <row r="4" spans="1:7" x14ac:dyDescent="0.25">
      <c r="A4" s="27" t="s">
        <v>51</v>
      </c>
      <c r="B4" s="28" t="s">
        <v>52</v>
      </c>
      <c r="C4" s="29">
        <f>'Moving Average (MA-3)'!D24</f>
        <v>12</v>
      </c>
      <c r="D4" s="29">
        <f>'Moving Average (MA-3)'!F22</f>
        <v>814166.66666666721</v>
      </c>
      <c r="E4" s="29">
        <f>'Moving Average (MA-3)'!D25</f>
        <v>67847.222222222263</v>
      </c>
      <c r="F4" s="29">
        <f>'Moving Average (MA-3)'!D26</f>
        <v>260.47499346812981</v>
      </c>
      <c r="G4" s="39">
        <f>'Moving Average (MA-3)'!D27</f>
        <v>2.9956771718675039</v>
      </c>
    </row>
    <row r="5" spans="1:7" x14ac:dyDescent="0.25">
      <c r="A5" s="30" t="s">
        <v>53</v>
      </c>
      <c r="B5" s="31" t="s">
        <v>54</v>
      </c>
      <c r="C5" s="32">
        <f>'Exponential Smoothing'!D24</f>
        <v>14</v>
      </c>
      <c r="D5" s="32">
        <f>'Exponential Smoothing'!F22</f>
        <v>799219.83751227579</v>
      </c>
      <c r="E5" s="32">
        <f>'Exponential Smoothing'!D25</f>
        <v>57087.131250876839</v>
      </c>
      <c r="F5" s="32">
        <f>'Exponential Smoothing'!D26</f>
        <v>238.929134370166</v>
      </c>
      <c r="G5" s="40">
        <f>'Exponential Smoothing'!D27</f>
        <v>2.7568089463611414</v>
      </c>
    </row>
    <row r="7" spans="1:7" x14ac:dyDescent="0.25">
      <c r="A7" s="57" t="s">
        <v>55</v>
      </c>
      <c r="B7" s="42"/>
      <c r="C7" s="42"/>
      <c r="D7" s="42"/>
      <c r="E7" s="42"/>
      <c r="F7" s="43"/>
    </row>
    <row r="8" spans="1:7" ht="27.95" customHeight="1" x14ac:dyDescent="0.25">
      <c r="A8" s="63" t="str">
        <f>IF('Moving Average (MA-3)'!D25&lt;'Exponential Smoothing'!D25,"✅ Moving Average (MA-3) lebih akurat karena MSE lebih kecil","✅ Exponential Smoothing lebih akurat karena MSE lebih kecil")</f>
        <v>✅ Exponential Smoothing lebih akurat karena MSE lebih kecil</v>
      </c>
      <c r="B8" s="42"/>
      <c r="C8" s="42"/>
      <c r="D8" s="42"/>
      <c r="E8" s="42"/>
      <c r="F8" s="43"/>
    </row>
    <row r="9" spans="1:7" ht="21.95" customHeight="1" x14ac:dyDescent="0.25">
      <c r="A9" s="61" t="s">
        <v>56</v>
      </c>
      <c r="B9" s="42"/>
      <c r="C9" s="42"/>
      <c r="D9" s="42"/>
      <c r="E9" s="42"/>
      <c r="F9" s="43"/>
    </row>
    <row r="10" spans="1:7" ht="20.100000000000001" customHeight="1" x14ac:dyDescent="0.25">
      <c r="A10" s="68" t="s">
        <v>57</v>
      </c>
      <c r="B10" s="47"/>
      <c r="C10" s="47"/>
      <c r="D10" s="47"/>
      <c r="E10" s="47"/>
      <c r="F10" s="47"/>
      <c r="G10" s="47"/>
    </row>
    <row r="11" spans="1:7" ht="30" customHeight="1" x14ac:dyDescent="0.25">
      <c r="A11" s="67" t="str">
        <f>'Moving Average (MA-3)'!A28&amp;"  |  "&amp;'Exponential Smoothing'!A28</f>
        <v>✅ Akurasi SANGAT BAIK (MAPE &lt; 10%)  |  ✅ Akurasi SANGAT BAIK (MAPE &lt; 10%)</v>
      </c>
      <c r="B11" s="47"/>
      <c r="C11" s="47"/>
      <c r="D11" s="47"/>
      <c r="E11" s="47"/>
      <c r="F11" s="47"/>
      <c r="G11" s="47"/>
    </row>
    <row r="13" spans="1:7" x14ac:dyDescent="0.25">
      <c r="A13" s="57" t="s">
        <v>58</v>
      </c>
      <c r="B13" s="47"/>
      <c r="C13" s="47"/>
      <c r="D13" s="47"/>
      <c r="E13" s="47"/>
      <c r="F13" s="47"/>
      <c r="G13" s="47"/>
    </row>
    <row r="14" spans="1:7" ht="20.100000000000001" customHeight="1" x14ac:dyDescent="0.25">
      <c r="A14" s="60" t="s">
        <v>59</v>
      </c>
      <c r="B14" s="47"/>
      <c r="C14" s="47"/>
      <c r="D14" s="69" t="s">
        <v>60</v>
      </c>
      <c r="E14" s="47"/>
      <c r="F14" s="47"/>
      <c r="G14" s="47"/>
    </row>
    <row r="15" spans="1:7" ht="20.100000000000001" customHeight="1" x14ac:dyDescent="0.25">
      <c r="A15" s="66" t="s">
        <v>61</v>
      </c>
      <c r="B15" s="47"/>
      <c r="C15" s="47"/>
      <c r="D15" s="65" t="s">
        <v>62</v>
      </c>
      <c r="E15" s="47"/>
      <c r="F15" s="47"/>
      <c r="G15" s="47"/>
    </row>
    <row r="16" spans="1:7" ht="20.100000000000001" customHeight="1" x14ac:dyDescent="0.25">
      <c r="A16" s="59" t="s">
        <v>63</v>
      </c>
      <c r="B16" s="47"/>
      <c r="C16" s="47"/>
      <c r="D16" s="62" t="s">
        <v>64</v>
      </c>
      <c r="E16" s="47"/>
      <c r="F16" s="47"/>
      <c r="G16" s="47"/>
    </row>
    <row r="17" spans="1:7" ht="20.100000000000001" customHeight="1" x14ac:dyDescent="0.25">
      <c r="A17" s="64" t="s">
        <v>65</v>
      </c>
      <c r="B17" s="47"/>
      <c r="C17" s="47"/>
      <c r="D17" s="58" t="s">
        <v>66</v>
      </c>
      <c r="E17" s="47"/>
      <c r="F17" s="47"/>
      <c r="G17" s="47"/>
    </row>
  </sheetData>
  <mergeCells count="15">
    <mergeCell ref="A13:G13"/>
    <mergeCell ref="A7:F7"/>
    <mergeCell ref="D17:G17"/>
    <mergeCell ref="A16:C16"/>
    <mergeCell ref="A1:F1"/>
    <mergeCell ref="A14:C14"/>
    <mergeCell ref="A9:F9"/>
    <mergeCell ref="D16:G16"/>
    <mergeCell ref="A8:F8"/>
    <mergeCell ref="A17:C17"/>
    <mergeCell ref="D15:G15"/>
    <mergeCell ref="A15:C15"/>
    <mergeCell ref="A11:G11"/>
    <mergeCell ref="A10:G10"/>
    <mergeCell ref="D14:G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Moving Average (MA-3)</vt:lpstr>
      <vt:lpstr>Exponential Smoothing</vt:lpstr>
      <vt:lpstr>Perbandingan MSE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Fakultas Ekonomi</cp:lastModifiedBy>
  <dcterms:created xsi:type="dcterms:W3CDTF">2026-04-18T03:59:18Z</dcterms:created>
  <dcterms:modified xsi:type="dcterms:W3CDTF">2026-04-18T08:56:37Z</dcterms:modified>
</cp:coreProperties>
</file>